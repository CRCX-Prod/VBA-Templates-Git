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3.xml" ContentType="application/vnd.openxmlformats-officedocument.drawing+xml"/>
  <Override PartName="/xl/slicers/slicer1.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harts/chart18.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xml"/>
  <Override PartName="/xl/charts/chart19.xml" ContentType="application/vnd.openxmlformats-officedocument.drawingml.chart+xml"/>
  <Override PartName="/xl/charts/style14.xml" ContentType="application/vnd.ms-office.chartstyle+xml"/>
  <Override PartName="/xl/charts/colors14.xml" ContentType="application/vnd.ms-office.chartcolorstyle+xml"/>
  <Override PartName="/xl/charts/chart20.xml" ContentType="application/vnd.openxmlformats-officedocument.drawingml.chart+xml"/>
  <Override PartName="/xl/charts/style15.xml" ContentType="application/vnd.ms-office.chartstyle+xml"/>
  <Override PartName="/xl/charts/colors15.xml" ContentType="application/vnd.ms-office.chartcolorstyle+xml"/>
  <Override PartName="/xl/charts/chart21.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6.xml" ContentType="application/vnd.openxmlformats-officedocument.drawing+xml"/>
  <Override PartName="/xl/charts/chart22.xml" ContentType="application/vnd.openxmlformats-officedocument.drawingml.chart+xml"/>
  <Override PartName="/xl/charts/style17.xml" ContentType="application/vnd.ms-office.chartstyle+xml"/>
  <Override PartName="/xl/charts/colors17.xml" ContentType="application/vnd.ms-office.chartcolorstyle+xml"/>
  <Override PartName="/xl/charts/chart23.xml" ContentType="application/vnd.openxmlformats-officedocument.drawingml.chart+xml"/>
  <Override PartName="/xl/charts/style18.xml" ContentType="application/vnd.ms-office.chartstyle+xml"/>
  <Override PartName="/xl/charts/colors18.xml" ContentType="application/vnd.ms-office.chartcolorstyle+xml"/>
  <Override PartName="/xl/charts/chart24.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25.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2.xml" ContentType="application/vnd.openxmlformats-officedocument.spreadsheetml.pivotTable+xml"/>
  <Override PartName="/xl/drawings/drawing8.xml" ContentType="application/vnd.openxmlformats-officedocument.drawing+xml"/>
  <Override PartName="/xl/slicers/slicer3.xml" ContentType="application/vnd.ms-excel.slicer+xml"/>
  <Override PartName="/xl/charts/chart26.xml" ContentType="application/vnd.openxmlformats-officedocument.drawingml.chart+xml"/>
  <Override PartName="/xl/pivotTables/pivotTable3.xml" ContentType="application/vnd.openxmlformats-officedocument.spreadsheetml.pivotTable+xml"/>
  <Override PartName="/xl/drawings/drawing9.xml" ContentType="application/vnd.openxmlformats-officedocument.drawing+xml"/>
  <Override PartName="/xl/slicers/slicer4.xml" ContentType="application/vnd.ms-excel.slicer+xml"/>
  <Override PartName="/xl/charts/chart27.xml" ContentType="application/vnd.openxmlformats-officedocument.drawingml.chart+xml"/>
  <Override PartName="/xl/pivotTables/pivotTable4.xml" ContentType="application/vnd.openxmlformats-officedocument.spreadsheetml.pivotTable+xml"/>
  <Override PartName="/xl/drawings/drawing10.xml" ContentType="application/vnd.openxmlformats-officedocument.drawing+xml"/>
  <Override PartName="/xl/slicers/slicer5.xml" ContentType="application/vnd.ms-excel.slicer+xml"/>
  <Override PartName="/xl/charts/chart28.xml" ContentType="application/vnd.openxmlformats-officedocument.drawingml.chart+xml"/>
  <Override PartName="/xl/pivotTables/pivotTable5.xml" ContentType="application/vnd.openxmlformats-officedocument.spreadsheetml.pivotTable+xml"/>
  <Override PartName="/xl/drawings/drawing11.xml" ContentType="application/vnd.openxmlformats-officedocument.drawing+xml"/>
  <Override PartName="/xl/slicers/slicer6.xml" ContentType="application/vnd.ms-excel.slicer+xml"/>
  <Override PartName="/xl/charts/chart29.xml" ContentType="application/vnd.openxmlformats-officedocument.drawingml.chart+xml"/>
  <Override PartName="/xl/pivotTables/pivotTable6.xml" ContentType="application/vnd.openxmlformats-officedocument.spreadsheetml.pivotTable+xml"/>
  <Override PartName="/xl/drawings/drawing12.xml" ContentType="application/vnd.openxmlformats-officedocument.drawing+xml"/>
  <Override PartName="/xl/slicers/slicer7.xml" ContentType="application/vnd.ms-excel.slicer+xml"/>
  <Override PartName="/xl/charts/chart30.xml" ContentType="application/vnd.openxmlformats-officedocument.drawingml.chart+xml"/>
  <Override PartName="/xl/pivotTables/pivotTable7.xml" ContentType="application/vnd.openxmlformats-officedocument.spreadsheetml.pivotTable+xml"/>
  <Override PartName="/xl/drawings/drawing13.xml" ContentType="application/vnd.openxmlformats-officedocument.drawing+xml"/>
  <Override PartName="/xl/slicers/slicer8.xml" ContentType="application/vnd.ms-excel.slicer+xml"/>
  <Override PartName="/xl/charts/chart3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OneDrive - apollo-towers.com\Apollo Towers\00-Process &amp; Database\Colo Prevalidation\Read Only\"/>
    </mc:Choice>
  </mc:AlternateContent>
  <xr:revisionPtr revIDLastSave="4" documentId="8_{B830DCF0-47DC-48B4-8D8D-A95183E7D3BA}" xr6:coauthVersionLast="40" xr6:coauthVersionMax="40" xr10:uidLastSave="{DE265D24-DAD0-454E-A3A5-E42263595208}"/>
  <bookViews>
    <workbookView xWindow="0" yWindow="0" windowWidth="15350" windowHeight="4940" tabRatio="832" xr2:uid="{00000000-000D-0000-FFFF-FFFF00000000}"/>
  </bookViews>
  <sheets>
    <sheet name="D1 (2)" sheetId="36" r:id="rId1"/>
    <sheet name="D1 (4)" sheetId="44" r:id="rId2"/>
    <sheet name="Personal Dashboard" sheetId="28" r:id="rId3"/>
    <sheet name="MySQL" sheetId="15" r:id="rId4"/>
    <sheet name="MySQL -Work Orders" sheetId="33" state="hidden" r:id="rId5"/>
    <sheet name="Graph Infos" sheetId="9" r:id="rId6"/>
    <sheet name="Bar Completion" sheetId="42" r:id="rId7"/>
    <sheet name="Bar Completion Operator" sheetId="46" r:id="rId8"/>
    <sheet name="Chart Donut" sheetId="20" r:id="rId9"/>
    <sheet name="Community Chart" sheetId="29" state="hidden" r:id="rId10"/>
    <sheet name="CW" sheetId="37" state="hidden" r:id="rId11"/>
    <sheet name="Power" sheetId="38" state="hidden" r:id="rId12"/>
    <sheet name="Structural" sheetId="39" state="hidden" r:id="rId13"/>
    <sheet name="RF" sheetId="40" state="hidden" r:id="rId14"/>
    <sheet name="SAQ" sheetId="41" state="hidden" r:id="rId15"/>
  </sheets>
  <externalReferences>
    <externalReference r:id="rId16"/>
  </externalReferences>
  <definedNames>
    <definedName name="ExternalData_1" localSheetId="3" hidden="1">MySQL!$A$1:$AI$268</definedName>
    <definedName name="ExternalData_1" localSheetId="4" hidden="1">'MySQL -Work Orders'!$A$1:$O$47</definedName>
    <definedName name="FolderPath">'Graph Infos'!$J$3</definedName>
    <definedName name="Slicer_Operator">#N/A</definedName>
    <definedName name="Slicer_Operator1">#N/A</definedName>
    <definedName name="Slicer_Operator11">#N/A</definedName>
    <definedName name="Slicer_Operator111">#N/A</definedName>
    <definedName name="Slicer_Operator1111">#N/A</definedName>
    <definedName name="Slicer_Operator11111">#N/A</definedName>
    <definedName name="Slicer_Region">#N/A</definedName>
    <definedName name="Slicer_Regional_Manager">#N/A</definedName>
    <definedName name="Slicer_SAQ_Result2">#N/A</definedName>
    <definedName name="Slicer_Tower_Type">#N/A</definedName>
  </definedNames>
  <calcPr calcId="191029"/>
  <pivotCaches>
    <pivotCache cacheId="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2" i="15" l="1"/>
  <c r="AK2" i="15" s="1"/>
  <c r="AJ3" i="15"/>
  <c r="AK3" i="15" s="1"/>
  <c r="AJ4" i="15"/>
  <c r="AJ5" i="15"/>
  <c r="AK5" i="15" s="1"/>
  <c r="AJ6" i="15"/>
  <c r="AJ7" i="15"/>
  <c r="AK7" i="15" s="1"/>
  <c r="AJ8" i="15"/>
  <c r="AK8" i="15" s="1"/>
  <c r="AN8" i="15" s="1"/>
  <c r="AO8" i="15" s="1"/>
  <c r="AS8" i="15" s="1"/>
  <c r="AJ9" i="15"/>
  <c r="AJ10" i="15"/>
  <c r="AJ11" i="15"/>
  <c r="AK11" i="15" s="1"/>
  <c r="AJ12" i="15"/>
  <c r="AJ13" i="15"/>
  <c r="AJ14" i="15"/>
  <c r="AK14" i="15" s="1"/>
  <c r="AJ15" i="15"/>
  <c r="AK15" i="15" s="1"/>
  <c r="AJ16" i="15"/>
  <c r="AK16" i="15" s="1"/>
  <c r="AJ17" i="15"/>
  <c r="AJ18" i="15"/>
  <c r="AJ19" i="15"/>
  <c r="AK19" i="15" s="1"/>
  <c r="AJ20" i="15"/>
  <c r="AJ21" i="15"/>
  <c r="AJ22" i="15"/>
  <c r="AK22" i="15" s="1"/>
  <c r="AJ23" i="15"/>
  <c r="AK23" i="15" s="1"/>
  <c r="AJ24" i="15"/>
  <c r="AK24" i="15" s="1"/>
  <c r="AN24" i="15" s="1"/>
  <c r="AO24" i="15" s="1"/>
  <c r="AJ25" i="15"/>
  <c r="AJ26" i="15"/>
  <c r="AJ27" i="15"/>
  <c r="AK27" i="15" s="1"/>
  <c r="AJ28" i="15"/>
  <c r="AJ29" i="15"/>
  <c r="AJ30" i="15"/>
  <c r="AK30" i="15" s="1"/>
  <c r="AJ31" i="15"/>
  <c r="AK31" i="15" s="1"/>
  <c r="AJ32" i="15"/>
  <c r="AK32" i="15" s="1"/>
  <c r="AJ33" i="15"/>
  <c r="AJ34" i="15"/>
  <c r="AJ35" i="15"/>
  <c r="AK35" i="15" s="1"/>
  <c r="AJ36" i="15"/>
  <c r="AJ37" i="15"/>
  <c r="AJ38" i="15"/>
  <c r="AJ39" i="15"/>
  <c r="AK39" i="15" s="1"/>
  <c r="AJ40" i="15"/>
  <c r="AK40" i="15" s="1"/>
  <c r="AJ41" i="15"/>
  <c r="AJ42" i="15"/>
  <c r="AJ43" i="15"/>
  <c r="AK43" i="15" s="1"/>
  <c r="AJ44" i="15"/>
  <c r="AJ45" i="15"/>
  <c r="AJ46" i="15"/>
  <c r="AK46" i="15" s="1"/>
  <c r="AJ47" i="15"/>
  <c r="AK47" i="15" s="1"/>
  <c r="AJ48" i="15"/>
  <c r="AK48" i="15" s="1"/>
  <c r="AJ49" i="15"/>
  <c r="AJ50" i="15"/>
  <c r="AJ51" i="15"/>
  <c r="AK51" i="15" s="1"/>
  <c r="AJ52" i="15"/>
  <c r="AJ53" i="15"/>
  <c r="AJ54" i="15"/>
  <c r="AK54" i="15" s="1"/>
  <c r="AJ55" i="15"/>
  <c r="AK55" i="15" s="1"/>
  <c r="AJ56" i="15"/>
  <c r="AK56" i="15" s="1"/>
  <c r="AN56" i="15" s="1"/>
  <c r="AO56" i="15" s="1"/>
  <c r="AJ57" i="15"/>
  <c r="AJ58" i="15"/>
  <c r="AJ59" i="15"/>
  <c r="AK59" i="15" s="1"/>
  <c r="AJ60" i="15"/>
  <c r="AJ61" i="15"/>
  <c r="AJ62" i="15"/>
  <c r="AK62" i="15" s="1"/>
  <c r="AJ63" i="15"/>
  <c r="AK63" i="15" s="1"/>
  <c r="AJ64" i="15"/>
  <c r="AK64" i="15" s="1"/>
  <c r="AJ65" i="15"/>
  <c r="AJ66" i="15"/>
  <c r="AJ67" i="15"/>
  <c r="AK67" i="15" s="1"/>
  <c r="AJ68" i="15"/>
  <c r="AJ69" i="15"/>
  <c r="AJ70" i="15"/>
  <c r="AK70" i="15" s="1"/>
  <c r="AJ71" i="15"/>
  <c r="AK71" i="15" s="1"/>
  <c r="AJ72" i="15"/>
  <c r="AK72" i="15" s="1"/>
  <c r="AN72" i="15" s="1"/>
  <c r="AO72" i="15" s="1"/>
  <c r="AJ73" i="15"/>
  <c r="AJ74" i="15"/>
  <c r="AJ75" i="15"/>
  <c r="AK75" i="15" s="1"/>
  <c r="AJ76" i="15"/>
  <c r="AJ77" i="15"/>
  <c r="AJ78" i="15"/>
  <c r="AK78" i="15" s="1"/>
  <c r="AJ79" i="15"/>
  <c r="AK79" i="15" s="1"/>
  <c r="AJ80" i="15"/>
  <c r="AK80" i="15" s="1"/>
  <c r="AJ81" i="15"/>
  <c r="AJ82" i="15"/>
  <c r="AJ83" i="15"/>
  <c r="AK83" i="15" s="1"/>
  <c r="AJ84" i="15"/>
  <c r="AJ85" i="15"/>
  <c r="AJ86" i="15"/>
  <c r="AK86" i="15" s="1"/>
  <c r="AJ87" i="15"/>
  <c r="AK87" i="15" s="1"/>
  <c r="AJ88" i="15"/>
  <c r="AK88" i="15" s="1"/>
  <c r="AN88" i="15" s="1"/>
  <c r="AO88" i="15" s="1"/>
  <c r="AW88" i="15" s="1"/>
  <c r="AJ89" i="15"/>
  <c r="AJ90" i="15"/>
  <c r="AJ91" i="15"/>
  <c r="AK91" i="15" s="1"/>
  <c r="AJ92" i="15"/>
  <c r="AJ93" i="15"/>
  <c r="AJ94" i="15"/>
  <c r="AK94" i="15" s="1"/>
  <c r="AJ95" i="15"/>
  <c r="AK95" i="15" s="1"/>
  <c r="AJ96" i="15"/>
  <c r="AK96" i="15" s="1"/>
  <c r="AJ97" i="15"/>
  <c r="AJ98" i="15"/>
  <c r="AJ99" i="15"/>
  <c r="AK99" i="15" s="1"/>
  <c r="AJ100" i="15"/>
  <c r="AJ101" i="15"/>
  <c r="AJ102" i="15"/>
  <c r="AK102" i="15" s="1"/>
  <c r="AJ103" i="15"/>
  <c r="AK103" i="15" s="1"/>
  <c r="AJ104" i="15"/>
  <c r="AK104" i="15" s="1"/>
  <c r="AN104" i="15" s="1"/>
  <c r="AO104" i="15" s="1"/>
  <c r="AJ105" i="15"/>
  <c r="AJ106" i="15"/>
  <c r="AJ107" i="15"/>
  <c r="AK107" i="15" s="1"/>
  <c r="AJ108" i="15"/>
  <c r="AJ109" i="15"/>
  <c r="AJ110" i="15"/>
  <c r="AK110" i="15" s="1"/>
  <c r="AJ111" i="15"/>
  <c r="AK111" i="15" s="1"/>
  <c r="AJ112" i="15"/>
  <c r="AK112" i="15" s="1"/>
  <c r="AJ113" i="15"/>
  <c r="AJ114" i="15"/>
  <c r="AJ115" i="15"/>
  <c r="AK115" i="15" s="1"/>
  <c r="AJ116" i="15"/>
  <c r="AJ117" i="15"/>
  <c r="AJ118" i="15"/>
  <c r="AK118" i="15" s="1"/>
  <c r="AJ119" i="15"/>
  <c r="AK119" i="15" s="1"/>
  <c r="AJ120" i="15"/>
  <c r="AK120" i="15" s="1"/>
  <c r="AJ121" i="15"/>
  <c r="AJ122" i="15"/>
  <c r="AJ123" i="15"/>
  <c r="AK123" i="15" s="1"/>
  <c r="AJ124" i="15"/>
  <c r="AJ125" i="15"/>
  <c r="AJ126" i="15"/>
  <c r="AK126" i="15" s="1"/>
  <c r="AJ127" i="15"/>
  <c r="AK127" i="15" s="1"/>
  <c r="AJ128" i="15"/>
  <c r="AK128" i="15" s="1"/>
  <c r="AJ129" i="15"/>
  <c r="AJ130" i="15"/>
  <c r="AJ131" i="15"/>
  <c r="AK131" i="15" s="1"/>
  <c r="AJ132" i="15"/>
  <c r="AJ133" i="15"/>
  <c r="AJ134" i="15"/>
  <c r="AJ135" i="15"/>
  <c r="AK135" i="15" s="1"/>
  <c r="AJ136" i="15"/>
  <c r="AK136" i="15" s="1"/>
  <c r="AN136" i="15" s="1"/>
  <c r="AO136" i="15" s="1"/>
  <c r="AJ137" i="15"/>
  <c r="AJ138" i="15"/>
  <c r="AJ139" i="15"/>
  <c r="AK139" i="15" s="1"/>
  <c r="AJ140" i="15"/>
  <c r="AJ141" i="15"/>
  <c r="AJ142" i="15"/>
  <c r="AK142" i="15" s="1"/>
  <c r="AJ143" i="15"/>
  <c r="AK143" i="15" s="1"/>
  <c r="AJ144" i="15"/>
  <c r="AK144" i="15" s="1"/>
  <c r="AJ145" i="15"/>
  <c r="AJ146" i="15"/>
  <c r="AJ147" i="15"/>
  <c r="AK147" i="15" s="1"/>
  <c r="AJ148" i="15"/>
  <c r="AJ149" i="15"/>
  <c r="AJ150" i="15"/>
  <c r="AK150" i="15" s="1"/>
  <c r="AJ151" i="15"/>
  <c r="AK151" i="15" s="1"/>
  <c r="AJ152" i="15"/>
  <c r="AK152" i="15" s="1"/>
  <c r="AN152" i="15" s="1"/>
  <c r="AO152" i="15" s="1"/>
  <c r="AJ153" i="15"/>
  <c r="AJ154" i="15"/>
  <c r="AJ155" i="15"/>
  <c r="AK155" i="15" s="1"/>
  <c r="AJ156" i="15"/>
  <c r="AJ157" i="15"/>
  <c r="AJ158" i="15"/>
  <c r="AK158" i="15" s="1"/>
  <c r="AJ159" i="15"/>
  <c r="AK159" i="15" s="1"/>
  <c r="AJ160" i="15"/>
  <c r="AK160" i="15" s="1"/>
  <c r="AJ161" i="15"/>
  <c r="AJ162" i="15"/>
  <c r="AJ163" i="15"/>
  <c r="AK163" i="15" s="1"/>
  <c r="AJ164" i="15"/>
  <c r="AJ165" i="15"/>
  <c r="AJ166" i="15"/>
  <c r="AJ167" i="15"/>
  <c r="AK167" i="15" s="1"/>
  <c r="AJ168" i="15"/>
  <c r="AK168" i="15" s="1"/>
  <c r="AN168" i="15" s="1"/>
  <c r="AO168" i="15" s="1"/>
  <c r="AJ169" i="15"/>
  <c r="AJ170" i="15"/>
  <c r="AJ171" i="15"/>
  <c r="AK171" i="15" s="1"/>
  <c r="AJ172" i="15"/>
  <c r="AJ173" i="15"/>
  <c r="AJ174" i="15"/>
  <c r="AK174" i="15" s="1"/>
  <c r="AJ175" i="15"/>
  <c r="AK175" i="15" s="1"/>
  <c r="AJ176" i="15"/>
  <c r="AK176" i="15" s="1"/>
  <c r="AJ177" i="15"/>
  <c r="AJ178" i="15"/>
  <c r="AJ179" i="15"/>
  <c r="AK179" i="15" s="1"/>
  <c r="AJ180" i="15"/>
  <c r="AJ181" i="15"/>
  <c r="AJ182" i="15"/>
  <c r="AK182" i="15" s="1"/>
  <c r="AJ183" i="15"/>
  <c r="AK183" i="15" s="1"/>
  <c r="AJ184" i="15"/>
  <c r="AK184" i="15" s="1"/>
  <c r="AJ185" i="15"/>
  <c r="AJ186" i="15"/>
  <c r="AJ187" i="15"/>
  <c r="AK187" i="15" s="1"/>
  <c r="AJ188" i="15"/>
  <c r="AJ189" i="15"/>
  <c r="AJ190" i="15"/>
  <c r="AK190" i="15" s="1"/>
  <c r="AJ191" i="15"/>
  <c r="AK191" i="15" s="1"/>
  <c r="AJ192" i="15"/>
  <c r="AK192" i="15" s="1"/>
  <c r="AJ193" i="15"/>
  <c r="AJ194" i="15"/>
  <c r="AJ195" i="15"/>
  <c r="AK195" i="15" s="1"/>
  <c r="AJ196" i="15"/>
  <c r="AJ197" i="15"/>
  <c r="AJ198" i="15"/>
  <c r="AK198" i="15" s="1"/>
  <c r="AJ199" i="15"/>
  <c r="AK199" i="15" s="1"/>
  <c r="AJ200" i="15"/>
  <c r="AK200" i="15" s="1"/>
  <c r="AN200" i="15" s="1"/>
  <c r="AO200" i="15" s="1"/>
  <c r="AJ201" i="15"/>
  <c r="AJ202" i="15"/>
  <c r="AJ203" i="15"/>
  <c r="AK203" i="15" s="1"/>
  <c r="AJ204" i="15"/>
  <c r="AJ205" i="15"/>
  <c r="AJ206" i="15"/>
  <c r="AK206" i="15" s="1"/>
  <c r="AJ207" i="15"/>
  <c r="AK207" i="15" s="1"/>
  <c r="AJ208" i="15"/>
  <c r="AK208" i="15" s="1"/>
  <c r="AJ209" i="15"/>
  <c r="AJ210" i="15"/>
  <c r="AJ211" i="15"/>
  <c r="AK211" i="15" s="1"/>
  <c r="AJ212" i="15"/>
  <c r="AJ213" i="15"/>
  <c r="AK213" i="15" s="1"/>
  <c r="AJ214" i="15"/>
  <c r="AK214" i="15" s="1"/>
  <c r="AJ215" i="15"/>
  <c r="AK215" i="15" s="1"/>
  <c r="AJ216" i="15"/>
  <c r="AK216" i="15" s="1"/>
  <c r="AN216" i="15" s="1"/>
  <c r="AO216" i="15" s="1"/>
  <c r="AJ217" i="15"/>
  <c r="AJ218" i="15"/>
  <c r="AJ219" i="15"/>
  <c r="AK219" i="15" s="1"/>
  <c r="AJ220" i="15"/>
  <c r="AJ221" i="15"/>
  <c r="AK221" i="15" s="1"/>
  <c r="AJ222" i="15"/>
  <c r="AK222" i="15" s="1"/>
  <c r="AJ223" i="15"/>
  <c r="AK223" i="15" s="1"/>
  <c r="AJ224" i="15"/>
  <c r="AK224" i="15" s="1"/>
  <c r="AJ225" i="15"/>
  <c r="AJ226" i="15"/>
  <c r="AJ227" i="15"/>
  <c r="AK227" i="15" s="1"/>
  <c r="AJ228" i="15"/>
  <c r="AJ229" i="15"/>
  <c r="AJ230" i="15"/>
  <c r="AK230" i="15" s="1"/>
  <c r="AJ231" i="15"/>
  <c r="AK231" i="15" s="1"/>
  <c r="AJ232" i="15"/>
  <c r="AK232" i="15" s="1"/>
  <c r="AN232" i="15" s="1"/>
  <c r="AO232" i="15" s="1"/>
  <c r="AJ233" i="15"/>
  <c r="AJ234" i="15"/>
  <c r="AJ235" i="15"/>
  <c r="AK235" i="15" s="1"/>
  <c r="AJ236" i="15"/>
  <c r="AJ237" i="15"/>
  <c r="AK237" i="15" s="1"/>
  <c r="AJ238" i="15"/>
  <c r="AK238" i="15" s="1"/>
  <c r="AJ239" i="15"/>
  <c r="AK239" i="15" s="1"/>
  <c r="AJ240" i="15"/>
  <c r="AK240" i="15" s="1"/>
  <c r="AJ241" i="15"/>
  <c r="AJ242" i="15"/>
  <c r="AJ243" i="15"/>
  <c r="AK243" i="15" s="1"/>
  <c r="AJ244" i="15"/>
  <c r="AJ245" i="15"/>
  <c r="AK245" i="15" s="1"/>
  <c r="AJ246" i="15"/>
  <c r="AK246" i="15" s="1"/>
  <c r="AJ247" i="15"/>
  <c r="AK247" i="15" s="1"/>
  <c r="AJ248" i="15"/>
  <c r="AK248" i="15" s="1"/>
  <c r="AN248" i="15" s="1"/>
  <c r="AO248" i="15" s="1"/>
  <c r="AJ249" i="15"/>
  <c r="AJ250" i="15"/>
  <c r="AJ251" i="15"/>
  <c r="AK251" i="15" s="1"/>
  <c r="AJ252" i="15"/>
  <c r="AJ253" i="15"/>
  <c r="AK253" i="15" s="1"/>
  <c r="AJ254" i="15"/>
  <c r="AK254" i="15" s="1"/>
  <c r="AJ255" i="15"/>
  <c r="AK255" i="15" s="1"/>
  <c r="AJ256" i="15"/>
  <c r="AK256" i="15" s="1"/>
  <c r="AJ257" i="15"/>
  <c r="AJ258" i="15"/>
  <c r="AJ259" i="15"/>
  <c r="AK259" i="15" s="1"/>
  <c r="AJ260" i="15"/>
  <c r="AJ261" i="15"/>
  <c r="AJ262" i="15"/>
  <c r="AK262" i="15" s="1"/>
  <c r="AJ263" i="15"/>
  <c r="AK263" i="15" s="1"/>
  <c r="AJ264" i="15"/>
  <c r="AK264" i="15" s="1"/>
  <c r="AJ265" i="15"/>
  <c r="AJ266" i="15"/>
  <c r="AJ267" i="15"/>
  <c r="AK267" i="15" s="1"/>
  <c r="AJ268" i="15"/>
  <c r="AK4" i="15"/>
  <c r="AK6" i="15"/>
  <c r="AK9" i="15"/>
  <c r="AN9" i="15" s="1"/>
  <c r="AO9" i="15" s="1"/>
  <c r="AX9" i="15" s="1"/>
  <c r="AY9" i="15" s="1"/>
  <c r="AK10" i="15"/>
  <c r="AK12" i="15"/>
  <c r="AK13" i="15"/>
  <c r="AK17" i="15"/>
  <c r="AK18" i="15"/>
  <c r="AK20" i="15"/>
  <c r="AK21" i="15"/>
  <c r="AK25" i="15"/>
  <c r="AK26" i="15"/>
  <c r="AK28" i="15"/>
  <c r="AK29" i="15"/>
  <c r="AK33" i="15"/>
  <c r="AK34" i="15"/>
  <c r="AK36" i="15"/>
  <c r="AK37" i="15"/>
  <c r="AK38" i="15"/>
  <c r="AK41" i="15"/>
  <c r="AK42" i="15"/>
  <c r="AK44" i="15"/>
  <c r="AK45" i="15"/>
  <c r="AK49" i="15"/>
  <c r="AK50" i="15"/>
  <c r="AK52" i="15"/>
  <c r="AK53" i="15"/>
  <c r="AK57" i="15"/>
  <c r="AK58" i="15"/>
  <c r="AK60" i="15"/>
  <c r="AK61" i="15"/>
  <c r="AK65" i="15"/>
  <c r="AK66" i="15"/>
  <c r="AK68" i="15"/>
  <c r="AK69" i="15"/>
  <c r="AK73" i="15"/>
  <c r="AK74" i="15"/>
  <c r="AK76" i="15"/>
  <c r="AK77" i="15"/>
  <c r="AK81" i="15"/>
  <c r="AK82" i="15"/>
  <c r="AK84" i="15"/>
  <c r="AK85" i="15"/>
  <c r="AK89" i="15"/>
  <c r="AK90" i="15"/>
  <c r="AK92" i="15"/>
  <c r="AK93" i="15"/>
  <c r="AK97" i="15"/>
  <c r="AK98" i="15"/>
  <c r="AK100" i="15"/>
  <c r="AK101" i="15"/>
  <c r="AK105" i="15"/>
  <c r="AK106" i="15"/>
  <c r="AK108" i="15"/>
  <c r="AK109" i="15"/>
  <c r="AK113" i="15"/>
  <c r="AK114" i="15"/>
  <c r="AK116" i="15"/>
  <c r="AK117" i="15"/>
  <c r="AK121" i="15"/>
  <c r="AK122" i="15"/>
  <c r="AK124" i="15"/>
  <c r="AK125" i="15"/>
  <c r="AK129" i="15"/>
  <c r="AK130" i="15"/>
  <c r="AK132" i="15"/>
  <c r="AK133" i="15"/>
  <c r="AK134" i="15"/>
  <c r="AK137" i="15"/>
  <c r="AK138" i="15"/>
  <c r="AK140" i="15"/>
  <c r="AK141" i="15"/>
  <c r="AK145" i="15"/>
  <c r="AK146" i="15"/>
  <c r="AK148" i="15"/>
  <c r="AK149" i="15"/>
  <c r="AK153" i="15"/>
  <c r="AK154" i="15"/>
  <c r="AK156" i="15"/>
  <c r="AK157" i="15"/>
  <c r="AK161" i="15"/>
  <c r="AK162" i="15"/>
  <c r="AK164" i="15"/>
  <c r="AK165" i="15"/>
  <c r="AK166" i="15"/>
  <c r="AK169" i="15"/>
  <c r="AN169" i="15" s="1"/>
  <c r="AO169" i="15" s="1"/>
  <c r="AK170" i="15"/>
  <c r="AK172" i="15"/>
  <c r="AK173" i="15"/>
  <c r="AK177" i="15"/>
  <c r="AK178" i="15"/>
  <c r="AK180" i="15"/>
  <c r="AK181" i="15"/>
  <c r="AK185" i="15"/>
  <c r="AK186" i="15"/>
  <c r="AK188" i="15"/>
  <c r="AK189" i="15"/>
  <c r="AK193" i="15"/>
  <c r="AK194" i="15"/>
  <c r="AK196" i="15"/>
  <c r="AK197" i="15"/>
  <c r="AK201" i="15"/>
  <c r="AK202" i="15"/>
  <c r="AK204" i="15"/>
  <c r="AK205" i="15"/>
  <c r="AK209" i="15"/>
  <c r="AK210" i="15"/>
  <c r="AK212" i="15"/>
  <c r="AK217" i="15"/>
  <c r="AK218" i="15"/>
  <c r="AK220" i="15"/>
  <c r="AK225" i="15"/>
  <c r="AK226" i="15"/>
  <c r="AK228" i="15"/>
  <c r="AK229" i="15"/>
  <c r="AK233" i="15"/>
  <c r="AK234" i="15"/>
  <c r="AK236" i="15"/>
  <c r="AK241" i="15"/>
  <c r="AK242" i="15"/>
  <c r="AK244" i="15"/>
  <c r="AK249" i="15"/>
  <c r="AK250" i="15"/>
  <c r="AK252" i="15"/>
  <c r="AK257" i="15"/>
  <c r="AK258" i="15"/>
  <c r="AK260" i="15"/>
  <c r="AK261" i="15"/>
  <c r="AK265" i="15"/>
  <c r="AK266" i="15"/>
  <c r="AK268" i="15"/>
  <c r="AL2" i="15"/>
  <c r="AM2" i="15" s="1"/>
  <c r="AN2" i="15" s="1"/>
  <c r="AL3" i="15"/>
  <c r="AL4" i="15"/>
  <c r="AL5" i="15"/>
  <c r="AL6" i="15"/>
  <c r="AM6" i="15" s="1"/>
  <c r="AL7" i="15"/>
  <c r="AM7" i="15" s="1"/>
  <c r="AN7" i="15" s="1"/>
  <c r="AO7" i="15" s="1"/>
  <c r="AR7" i="15" s="1"/>
  <c r="AL8" i="15"/>
  <c r="AL9" i="15"/>
  <c r="AL10" i="15"/>
  <c r="AM10" i="15" s="1"/>
  <c r="AL11" i="15"/>
  <c r="AM11" i="15" s="1"/>
  <c r="AL12" i="15"/>
  <c r="AL13" i="15"/>
  <c r="AM13" i="15" s="1"/>
  <c r="AN13" i="15" s="1"/>
  <c r="AO13" i="15" s="1"/>
  <c r="AL14" i="15"/>
  <c r="AM14" i="15" s="1"/>
  <c r="AL15" i="15"/>
  <c r="AM15" i="15" s="1"/>
  <c r="AL16" i="15"/>
  <c r="AL17" i="15"/>
  <c r="AL18" i="15"/>
  <c r="AM18" i="15" s="1"/>
  <c r="AL19" i="15"/>
  <c r="AM19" i="15" s="1"/>
  <c r="AL20" i="15"/>
  <c r="AL21" i="15"/>
  <c r="AM21" i="15" s="1"/>
  <c r="AN21" i="15" s="1"/>
  <c r="AO21" i="15" s="1"/>
  <c r="AL22" i="15"/>
  <c r="AM22" i="15" s="1"/>
  <c r="AL23" i="15"/>
  <c r="AM23" i="15" s="1"/>
  <c r="AL24" i="15"/>
  <c r="AL25" i="15"/>
  <c r="AL26" i="15"/>
  <c r="AM26" i="15" s="1"/>
  <c r="AL27" i="15"/>
  <c r="AM27" i="15" s="1"/>
  <c r="AL28" i="15"/>
  <c r="AL29" i="15"/>
  <c r="AM29" i="15" s="1"/>
  <c r="AN29" i="15" s="1"/>
  <c r="AO29" i="15" s="1"/>
  <c r="AL30" i="15"/>
  <c r="AM30" i="15" s="1"/>
  <c r="AL31" i="15"/>
  <c r="AM31" i="15" s="1"/>
  <c r="AL32" i="15"/>
  <c r="AL33" i="15"/>
  <c r="AL34" i="15"/>
  <c r="AM34" i="15" s="1"/>
  <c r="AL35" i="15"/>
  <c r="AM35" i="15" s="1"/>
  <c r="AL36" i="15"/>
  <c r="AL37" i="15"/>
  <c r="AM37" i="15" s="1"/>
  <c r="AN37" i="15" s="1"/>
  <c r="AO37" i="15" s="1"/>
  <c r="AL38" i="15"/>
  <c r="AM38" i="15" s="1"/>
  <c r="AL39" i="15"/>
  <c r="AM39" i="15" s="1"/>
  <c r="AL40" i="15"/>
  <c r="AL41" i="15"/>
  <c r="AL42" i="15"/>
  <c r="AM42" i="15" s="1"/>
  <c r="AL43" i="15"/>
  <c r="AM43" i="15" s="1"/>
  <c r="AL44" i="15"/>
  <c r="AL45" i="15"/>
  <c r="AM45" i="15" s="1"/>
  <c r="AN45" i="15" s="1"/>
  <c r="AO45" i="15" s="1"/>
  <c r="AL46" i="15"/>
  <c r="AM46" i="15" s="1"/>
  <c r="AL47" i="15"/>
  <c r="AM47" i="15" s="1"/>
  <c r="AL48" i="15"/>
  <c r="AL49" i="15"/>
  <c r="AL50" i="15"/>
  <c r="AM50" i="15" s="1"/>
  <c r="AL51" i="15"/>
  <c r="AM51" i="15" s="1"/>
  <c r="AL52" i="15"/>
  <c r="AL53" i="15"/>
  <c r="AM53" i="15" s="1"/>
  <c r="AN53" i="15" s="1"/>
  <c r="AO53" i="15" s="1"/>
  <c r="AT53" i="15" s="1"/>
  <c r="AL54" i="15"/>
  <c r="AM54" i="15" s="1"/>
  <c r="AL55" i="15"/>
  <c r="AM55" i="15" s="1"/>
  <c r="AL56" i="15"/>
  <c r="AL57" i="15"/>
  <c r="AL58" i="15"/>
  <c r="AM58" i="15" s="1"/>
  <c r="AL59" i="15"/>
  <c r="AM59" i="15" s="1"/>
  <c r="AL60" i="15"/>
  <c r="AL61" i="15"/>
  <c r="AM61" i="15" s="1"/>
  <c r="AN61" i="15" s="1"/>
  <c r="AO61" i="15" s="1"/>
  <c r="AL62" i="15"/>
  <c r="AM62" i="15" s="1"/>
  <c r="AL63" i="15"/>
  <c r="AM63" i="15" s="1"/>
  <c r="AL64" i="15"/>
  <c r="AL65" i="15"/>
  <c r="AL66" i="15"/>
  <c r="AM66" i="15" s="1"/>
  <c r="AL67" i="15"/>
  <c r="AM67" i="15" s="1"/>
  <c r="AL68" i="15"/>
  <c r="AL69" i="15"/>
  <c r="AM69" i="15" s="1"/>
  <c r="AN69" i="15" s="1"/>
  <c r="AO69" i="15" s="1"/>
  <c r="AX69" i="15" s="1"/>
  <c r="AL70" i="15"/>
  <c r="AM70" i="15" s="1"/>
  <c r="AL71" i="15"/>
  <c r="AM71" i="15" s="1"/>
  <c r="AL72" i="15"/>
  <c r="AL73" i="15"/>
  <c r="AL74" i="15"/>
  <c r="AM74" i="15" s="1"/>
  <c r="AL75" i="15"/>
  <c r="AM75" i="15" s="1"/>
  <c r="AL76" i="15"/>
  <c r="AL77" i="15"/>
  <c r="AM77" i="15" s="1"/>
  <c r="AN77" i="15" s="1"/>
  <c r="AO77" i="15" s="1"/>
  <c r="AP77" i="15" s="1"/>
  <c r="AL78" i="15"/>
  <c r="AM78" i="15" s="1"/>
  <c r="AL79" i="15"/>
  <c r="AM79" i="15" s="1"/>
  <c r="AL80" i="15"/>
  <c r="AL81" i="15"/>
  <c r="AL82" i="15"/>
  <c r="AM82" i="15" s="1"/>
  <c r="AN82" i="15" s="1"/>
  <c r="AO82" i="15" s="1"/>
  <c r="AL83" i="15"/>
  <c r="AM83" i="15" s="1"/>
  <c r="AL84" i="15"/>
  <c r="AL85" i="15"/>
  <c r="AM85" i="15" s="1"/>
  <c r="AN85" i="15" s="1"/>
  <c r="AO85" i="15" s="1"/>
  <c r="AL86" i="15"/>
  <c r="AM86" i="15" s="1"/>
  <c r="AL87" i="15"/>
  <c r="AM87" i="15" s="1"/>
  <c r="AL88" i="15"/>
  <c r="AL89" i="15"/>
  <c r="AL90" i="15"/>
  <c r="AM90" i="15" s="1"/>
  <c r="AN90" i="15" s="1"/>
  <c r="AO90" i="15" s="1"/>
  <c r="AL91" i="15"/>
  <c r="AM91" i="15" s="1"/>
  <c r="AL92" i="15"/>
  <c r="AL93" i="15"/>
  <c r="AM93" i="15" s="1"/>
  <c r="AN93" i="15" s="1"/>
  <c r="AO93" i="15" s="1"/>
  <c r="AL94" i="15"/>
  <c r="AM94" i="15" s="1"/>
  <c r="AL95" i="15"/>
  <c r="AM95" i="15" s="1"/>
  <c r="AL96" i="15"/>
  <c r="AL97" i="15"/>
  <c r="AL98" i="15"/>
  <c r="AM98" i="15" s="1"/>
  <c r="AN98" i="15" s="1"/>
  <c r="AO98" i="15" s="1"/>
  <c r="AL99" i="15"/>
  <c r="AM99" i="15" s="1"/>
  <c r="AL100" i="15"/>
  <c r="AL101" i="15"/>
  <c r="AM101" i="15" s="1"/>
  <c r="AN101" i="15" s="1"/>
  <c r="AL102" i="15"/>
  <c r="AM102" i="15" s="1"/>
  <c r="AL103" i="15"/>
  <c r="AM103" i="15" s="1"/>
  <c r="AL104" i="15"/>
  <c r="AL105" i="15"/>
  <c r="AL106" i="15"/>
  <c r="AM106" i="15" s="1"/>
  <c r="AN106" i="15" s="1"/>
  <c r="AO106" i="15" s="1"/>
  <c r="AL107" i="15"/>
  <c r="AM107" i="15" s="1"/>
  <c r="AL108" i="15"/>
  <c r="AL109" i="15"/>
  <c r="AM109" i="15" s="1"/>
  <c r="AN109" i="15" s="1"/>
  <c r="AO109" i="15" s="1"/>
  <c r="AL110" i="15"/>
  <c r="AM110" i="15" s="1"/>
  <c r="AL111" i="15"/>
  <c r="AM111" i="15" s="1"/>
  <c r="AL112" i="15"/>
  <c r="AL113" i="15"/>
  <c r="AL114" i="15"/>
  <c r="AM114" i="15" s="1"/>
  <c r="AN114" i="15" s="1"/>
  <c r="AO114" i="15" s="1"/>
  <c r="AL115" i="15"/>
  <c r="AM115" i="15" s="1"/>
  <c r="AL116" i="15"/>
  <c r="AL117" i="15"/>
  <c r="AM117" i="15" s="1"/>
  <c r="AN117" i="15" s="1"/>
  <c r="AO117" i="15" s="1"/>
  <c r="AL118" i="15"/>
  <c r="AM118" i="15" s="1"/>
  <c r="AL119" i="15"/>
  <c r="AM119" i="15" s="1"/>
  <c r="AL120" i="15"/>
  <c r="AL121" i="15"/>
  <c r="AL122" i="15"/>
  <c r="AM122" i="15" s="1"/>
  <c r="AN122" i="15" s="1"/>
  <c r="AO122" i="15" s="1"/>
  <c r="AL123" i="15"/>
  <c r="AM123" i="15" s="1"/>
  <c r="AL124" i="15"/>
  <c r="AL125" i="15"/>
  <c r="AM125" i="15" s="1"/>
  <c r="AN125" i="15" s="1"/>
  <c r="AO125" i="15" s="1"/>
  <c r="AL126" i="15"/>
  <c r="AM126" i="15" s="1"/>
  <c r="AL127" i="15"/>
  <c r="AM127" i="15" s="1"/>
  <c r="AL128" i="15"/>
  <c r="AL129" i="15"/>
  <c r="AL130" i="15"/>
  <c r="AM130" i="15" s="1"/>
  <c r="AN130" i="15" s="1"/>
  <c r="AO130" i="15" s="1"/>
  <c r="AX130" i="15" s="1"/>
  <c r="AY130" i="15" s="1"/>
  <c r="AL131" i="15"/>
  <c r="AM131" i="15" s="1"/>
  <c r="AL132" i="15"/>
  <c r="AL133" i="15"/>
  <c r="AM133" i="15" s="1"/>
  <c r="AN133" i="15" s="1"/>
  <c r="AO133" i="15" s="1"/>
  <c r="AL134" i="15"/>
  <c r="AM134" i="15" s="1"/>
  <c r="AL135" i="15"/>
  <c r="AM135" i="15" s="1"/>
  <c r="AL136" i="15"/>
  <c r="AL137" i="15"/>
  <c r="AL138" i="15"/>
  <c r="AM138" i="15" s="1"/>
  <c r="AN138" i="15" s="1"/>
  <c r="AO138" i="15" s="1"/>
  <c r="AL139" i="15"/>
  <c r="AM139" i="15" s="1"/>
  <c r="AL140" i="15"/>
  <c r="AL141" i="15"/>
  <c r="AM141" i="15" s="1"/>
  <c r="AN141" i="15" s="1"/>
  <c r="AO141" i="15" s="1"/>
  <c r="AX141" i="15" s="1"/>
  <c r="AY141" i="15" s="1"/>
  <c r="AL142" i="15"/>
  <c r="AM142" i="15" s="1"/>
  <c r="AL143" i="15"/>
  <c r="AM143" i="15" s="1"/>
  <c r="AL144" i="15"/>
  <c r="AL145" i="15"/>
  <c r="AL146" i="15"/>
  <c r="AM146" i="15" s="1"/>
  <c r="AN146" i="15" s="1"/>
  <c r="AO146" i="15" s="1"/>
  <c r="AL147" i="15"/>
  <c r="AM147" i="15" s="1"/>
  <c r="AL148" i="15"/>
  <c r="AL149" i="15"/>
  <c r="AM149" i="15" s="1"/>
  <c r="AN149" i="15" s="1"/>
  <c r="AO149" i="15" s="1"/>
  <c r="AL150" i="15"/>
  <c r="AM150" i="15" s="1"/>
  <c r="AL151" i="15"/>
  <c r="AM151" i="15" s="1"/>
  <c r="AL152" i="15"/>
  <c r="AL153" i="15"/>
  <c r="AL154" i="15"/>
  <c r="AM154" i="15" s="1"/>
  <c r="AN154" i="15" s="1"/>
  <c r="AO154" i="15" s="1"/>
  <c r="AL155" i="15"/>
  <c r="AM155" i="15" s="1"/>
  <c r="AL156" i="15"/>
  <c r="AL157" i="15"/>
  <c r="AM157" i="15" s="1"/>
  <c r="AN157" i="15" s="1"/>
  <c r="AO157" i="15" s="1"/>
  <c r="AU157" i="15" s="1"/>
  <c r="AL158" i="15"/>
  <c r="AM158" i="15" s="1"/>
  <c r="AL159" i="15"/>
  <c r="AM159" i="15" s="1"/>
  <c r="AL160" i="15"/>
  <c r="AL161" i="15"/>
  <c r="AL162" i="15"/>
  <c r="AM162" i="15" s="1"/>
  <c r="AN162" i="15" s="1"/>
  <c r="AO162" i="15" s="1"/>
  <c r="AL163" i="15"/>
  <c r="AM163" i="15" s="1"/>
  <c r="AL164" i="15"/>
  <c r="AL165" i="15"/>
  <c r="AM165" i="15" s="1"/>
  <c r="AN165" i="15" s="1"/>
  <c r="AO165" i="15" s="1"/>
  <c r="AT165" i="15" s="1"/>
  <c r="AL166" i="15"/>
  <c r="AM166" i="15" s="1"/>
  <c r="AL167" i="15"/>
  <c r="AM167" i="15" s="1"/>
  <c r="AL168" i="15"/>
  <c r="AL169" i="15"/>
  <c r="AL170" i="15"/>
  <c r="AM170" i="15" s="1"/>
  <c r="AN170" i="15" s="1"/>
  <c r="AO170" i="15" s="1"/>
  <c r="AL171" i="15"/>
  <c r="AM171" i="15" s="1"/>
  <c r="AL172" i="15"/>
  <c r="AL173" i="15"/>
  <c r="AM173" i="15" s="1"/>
  <c r="AN173" i="15" s="1"/>
  <c r="AO173" i="15" s="1"/>
  <c r="AT173" i="15" s="1"/>
  <c r="AL174" i="15"/>
  <c r="AM174" i="15" s="1"/>
  <c r="AL175" i="15"/>
  <c r="AM175" i="15" s="1"/>
  <c r="AL176" i="15"/>
  <c r="AL177" i="15"/>
  <c r="AL178" i="15"/>
  <c r="AM178" i="15" s="1"/>
  <c r="AN178" i="15" s="1"/>
  <c r="AO178" i="15" s="1"/>
  <c r="AX178" i="15" s="1"/>
  <c r="AY178" i="15" s="1"/>
  <c r="AL179" i="15"/>
  <c r="AM179" i="15" s="1"/>
  <c r="AL180" i="15"/>
  <c r="AL181" i="15"/>
  <c r="AM181" i="15" s="1"/>
  <c r="AN181" i="15" s="1"/>
  <c r="AL182" i="15"/>
  <c r="AM182" i="15" s="1"/>
  <c r="AL183" i="15"/>
  <c r="AM183" i="15" s="1"/>
  <c r="AL184" i="15"/>
  <c r="AL185" i="15"/>
  <c r="AL186" i="15"/>
  <c r="AM186" i="15" s="1"/>
  <c r="AN186" i="15" s="1"/>
  <c r="AO186" i="15" s="1"/>
  <c r="AT186" i="15" s="1"/>
  <c r="AL187" i="15"/>
  <c r="AM187" i="15" s="1"/>
  <c r="AL188" i="15"/>
  <c r="AL189" i="15"/>
  <c r="AM189" i="15" s="1"/>
  <c r="AN189" i="15" s="1"/>
  <c r="AO189" i="15" s="1"/>
  <c r="AL190" i="15"/>
  <c r="AM190" i="15" s="1"/>
  <c r="AL191" i="15"/>
  <c r="AM191" i="15" s="1"/>
  <c r="AL192" i="15"/>
  <c r="AL193" i="15"/>
  <c r="AL194" i="15"/>
  <c r="AM194" i="15" s="1"/>
  <c r="AN194" i="15" s="1"/>
  <c r="AO194" i="15" s="1"/>
  <c r="AW194" i="15" s="1"/>
  <c r="AL195" i="15"/>
  <c r="AM195" i="15" s="1"/>
  <c r="AL196" i="15"/>
  <c r="AL197" i="15"/>
  <c r="AM197" i="15" s="1"/>
  <c r="AN197" i="15" s="1"/>
  <c r="AO197" i="15" s="1"/>
  <c r="AL198" i="15"/>
  <c r="AM198" i="15" s="1"/>
  <c r="AL199" i="15"/>
  <c r="AM199" i="15" s="1"/>
  <c r="AL200" i="15"/>
  <c r="AL201" i="15"/>
  <c r="AL202" i="15"/>
  <c r="AM202" i="15" s="1"/>
  <c r="AN202" i="15" s="1"/>
  <c r="AO202" i="15" s="1"/>
  <c r="AL203" i="15"/>
  <c r="AM203" i="15" s="1"/>
  <c r="AL204" i="15"/>
  <c r="AL205" i="15"/>
  <c r="AM205" i="15" s="1"/>
  <c r="AN205" i="15" s="1"/>
  <c r="AO205" i="15" s="1"/>
  <c r="AX205" i="15" s="1"/>
  <c r="AL206" i="15"/>
  <c r="AM206" i="15" s="1"/>
  <c r="AL207" i="15"/>
  <c r="AM207" i="15" s="1"/>
  <c r="AL208" i="15"/>
  <c r="AL209" i="15"/>
  <c r="AL210" i="15"/>
  <c r="AM210" i="15" s="1"/>
  <c r="AN210" i="15" s="1"/>
  <c r="AO210" i="15" s="1"/>
  <c r="AL211" i="15"/>
  <c r="AM211" i="15" s="1"/>
  <c r="AL212" i="15"/>
  <c r="AL213" i="15"/>
  <c r="AM213" i="15" s="1"/>
  <c r="AN213" i="15" s="1"/>
  <c r="AO213" i="15" s="1"/>
  <c r="AL214" i="15"/>
  <c r="AM214" i="15" s="1"/>
  <c r="AL215" i="15"/>
  <c r="AM215" i="15" s="1"/>
  <c r="AL216" i="15"/>
  <c r="AL217" i="15"/>
  <c r="AL218" i="15"/>
  <c r="AM218" i="15" s="1"/>
  <c r="AN218" i="15" s="1"/>
  <c r="AO218" i="15" s="1"/>
  <c r="AL219" i="15"/>
  <c r="AM219" i="15" s="1"/>
  <c r="AL220" i="15"/>
  <c r="AL221" i="15"/>
  <c r="AM221" i="15" s="1"/>
  <c r="AN221" i="15" s="1"/>
  <c r="AO221" i="15" s="1"/>
  <c r="AX221" i="15" s="1"/>
  <c r="AL222" i="15"/>
  <c r="AM222" i="15" s="1"/>
  <c r="AL223" i="15"/>
  <c r="AM223" i="15" s="1"/>
  <c r="AL224" i="15"/>
  <c r="AL225" i="15"/>
  <c r="AL226" i="15"/>
  <c r="AM226" i="15" s="1"/>
  <c r="AN226" i="15" s="1"/>
  <c r="AO226" i="15" s="1"/>
  <c r="AL227" i="15"/>
  <c r="AM227" i="15" s="1"/>
  <c r="AL228" i="15"/>
  <c r="AM228" i="15" s="1"/>
  <c r="AN228" i="15" s="1"/>
  <c r="AO228" i="15" s="1"/>
  <c r="AX228" i="15" s="1"/>
  <c r="AY228" i="15" s="1"/>
  <c r="AL229" i="15"/>
  <c r="AM229" i="15" s="1"/>
  <c r="AN229" i="15" s="1"/>
  <c r="AO229" i="15" s="1"/>
  <c r="AL230" i="15"/>
  <c r="AM230" i="15" s="1"/>
  <c r="AL231" i="15"/>
  <c r="AM231" i="15" s="1"/>
  <c r="AL232" i="15"/>
  <c r="AL233" i="15"/>
  <c r="AL234" i="15"/>
  <c r="AM234" i="15" s="1"/>
  <c r="AN234" i="15" s="1"/>
  <c r="AO234" i="15" s="1"/>
  <c r="AT234" i="15" s="1"/>
  <c r="AL235" i="15"/>
  <c r="AM235" i="15" s="1"/>
  <c r="AL236" i="15"/>
  <c r="AL237" i="15"/>
  <c r="AM237" i="15" s="1"/>
  <c r="AN237" i="15" s="1"/>
  <c r="AO237" i="15" s="1"/>
  <c r="AL238" i="15"/>
  <c r="AM238" i="15" s="1"/>
  <c r="AL239" i="15"/>
  <c r="AM239" i="15" s="1"/>
  <c r="AL240" i="15"/>
  <c r="AL241" i="15"/>
  <c r="AL242" i="15"/>
  <c r="AM242" i="15" s="1"/>
  <c r="AN242" i="15" s="1"/>
  <c r="AO242" i="15" s="1"/>
  <c r="AL243" i="15"/>
  <c r="AM243" i="15" s="1"/>
  <c r="AL244" i="15"/>
  <c r="AL245" i="15"/>
  <c r="AM245" i="15" s="1"/>
  <c r="AN245" i="15" s="1"/>
  <c r="AO245" i="15" s="1"/>
  <c r="AL246" i="15"/>
  <c r="AM246" i="15" s="1"/>
  <c r="AL247" i="15"/>
  <c r="AM247" i="15" s="1"/>
  <c r="AL248" i="15"/>
  <c r="AL249" i="15"/>
  <c r="AL250" i="15"/>
  <c r="AM250" i="15" s="1"/>
  <c r="AN250" i="15" s="1"/>
  <c r="AO250" i="15" s="1"/>
  <c r="AL251" i="15"/>
  <c r="AM251" i="15" s="1"/>
  <c r="AL252" i="15"/>
  <c r="AL253" i="15"/>
  <c r="AM253" i="15" s="1"/>
  <c r="AN253" i="15" s="1"/>
  <c r="AO253" i="15" s="1"/>
  <c r="AL254" i="15"/>
  <c r="AM254" i="15" s="1"/>
  <c r="AL255" i="15"/>
  <c r="AM255" i="15" s="1"/>
  <c r="AL256" i="15"/>
  <c r="AL257" i="15"/>
  <c r="AL258" i="15"/>
  <c r="AM258" i="15" s="1"/>
  <c r="AN258" i="15" s="1"/>
  <c r="AO258" i="15" s="1"/>
  <c r="AW258" i="15" s="1"/>
  <c r="AL259" i="15"/>
  <c r="AM259" i="15" s="1"/>
  <c r="AL260" i="15"/>
  <c r="AL261" i="15"/>
  <c r="AM261" i="15" s="1"/>
  <c r="AN261" i="15" s="1"/>
  <c r="AO261" i="15" s="1"/>
  <c r="AL262" i="15"/>
  <c r="AM262" i="15" s="1"/>
  <c r="AL263" i="15"/>
  <c r="AM263" i="15" s="1"/>
  <c r="AL264" i="15"/>
  <c r="AL265" i="15"/>
  <c r="AM265" i="15" s="1"/>
  <c r="AL266" i="15"/>
  <c r="AM266" i="15" s="1"/>
  <c r="AN266" i="15" s="1"/>
  <c r="AO266" i="15" s="1"/>
  <c r="AU266" i="15" s="1"/>
  <c r="AL267" i="15"/>
  <c r="AM267" i="15" s="1"/>
  <c r="AL268" i="15"/>
  <c r="AM268" i="15" s="1"/>
  <c r="AN268" i="15" s="1"/>
  <c r="AO268" i="15" s="1"/>
  <c r="AM3" i="15"/>
  <c r="AN3" i="15" s="1"/>
  <c r="AO3" i="15" s="1"/>
  <c r="AT3" i="15" s="1"/>
  <c r="AM4" i="15"/>
  <c r="AN4" i="15" s="1"/>
  <c r="AO4" i="15" s="1"/>
  <c r="AS4" i="15" s="1"/>
  <c r="AM5" i="15"/>
  <c r="AN5" i="15" s="1"/>
  <c r="AO5" i="15" s="1"/>
  <c r="AX5" i="15" s="1"/>
  <c r="AM8" i="15"/>
  <c r="AM9" i="15"/>
  <c r="AM12" i="15"/>
  <c r="AN12" i="15" s="1"/>
  <c r="AO12" i="15" s="1"/>
  <c r="AM16" i="15"/>
  <c r="AN16" i="15" s="1"/>
  <c r="AO16" i="15" s="1"/>
  <c r="AT16" i="15" s="1"/>
  <c r="AM17" i="15"/>
  <c r="AN17" i="15" s="1"/>
  <c r="AO17" i="15" s="1"/>
  <c r="AP17" i="15" s="1"/>
  <c r="AM20" i="15"/>
  <c r="AM24" i="15"/>
  <c r="AM25" i="15"/>
  <c r="AN25" i="15" s="1"/>
  <c r="AO25" i="15" s="1"/>
  <c r="AM28" i="15"/>
  <c r="AM32" i="15"/>
  <c r="AM33" i="15"/>
  <c r="AN33" i="15" s="1"/>
  <c r="AO33" i="15" s="1"/>
  <c r="AM36" i="15"/>
  <c r="AN36" i="15" s="1"/>
  <c r="AO36" i="15" s="1"/>
  <c r="AM40" i="15"/>
  <c r="AM41" i="15"/>
  <c r="AM44" i="15"/>
  <c r="AN44" i="15" s="1"/>
  <c r="AO44" i="15" s="1"/>
  <c r="AM48" i="15"/>
  <c r="AM49" i="15"/>
  <c r="AN49" i="15" s="1"/>
  <c r="AO49" i="15" s="1"/>
  <c r="AM52" i="15"/>
  <c r="AM56" i="15"/>
  <c r="AM57" i="15"/>
  <c r="AN57" i="15" s="1"/>
  <c r="AO57" i="15" s="1"/>
  <c r="AM60" i="15"/>
  <c r="AN60" i="15" s="1"/>
  <c r="AO60" i="15" s="1"/>
  <c r="AM64" i="15"/>
  <c r="AM65" i="15"/>
  <c r="AN65" i="15" s="1"/>
  <c r="AO65" i="15" s="1"/>
  <c r="AM68" i="15"/>
  <c r="AN68" i="15" s="1"/>
  <c r="AO68" i="15" s="1"/>
  <c r="AX68" i="15" s="1"/>
  <c r="AM72" i="15"/>
  <c r="AM73" i="15"/>
  <c r="AM76" i="15"/>
  <c r="AN76" i="15" s="1"/>
  <c r="AO76" i="15" s="1"/>
  <c r="AX76" i="15" s="1"/>
  <c r="AM80" i="15"/>
  <c r="AN80" i="15" s="1"/>
  <c r="AO80" i="15" s="1"/>
  <c r="AX80" i="15" s="1"/>
  <c r="AZ80" i="15" s="1"/>
  <c r="AM81" i="15"/>
  <c r="AN81" i="15" s="1"/>
  <c r="AO81" i="15" s="1"/>
  <c r="AW81" i="15" s="1"/>
  <c r="AM84" i="15"/>
  <c r="AM88" i="15"/>
  <c r="AM89" i="15"/>
  <c r="AN89" i="15" s="1"/>
  <c r="AM92" i="15"/>
  <c r="AN92" i="15" s="1"/>
  <c r="AO92" i="15" s="1"/>
  <c r="AW92" i="15" s="1"/>
  <c r="AM96" i="15"/>
  <c r="AM97" i="15"/>
  <c r="AN97" i="15" s="1"/>
  <c r="AO97" i="15" s="1"/>
  <c r="AM100" i="15"/>
  <c r="AN100" i="15" s="1"/>
  <c r="AO100" i="15" s="1"/>
  <c r="AM104" i="15"/>
  <c r="AM105" i="15"/>
  <c r="AM108" i="15"/>
  <c r="AN108" i="15" s="1"/>
  <c r="AO108" i="15" s="1"/>
  <c r="AM112" i="15"/>
  <c r="AN112" i="15" s="1"/>
  <c r="AO112" i="15" s="1"/>
  <c r="AM113" i="15"/>
  <c r="AN113" i="15" s="1"/>
  <c r="AM116" i="15"/>
  <c r="AM120" i="15"/>
  <c r="AM121" i="15"/>
  <c r="AN121" i="15" s="1"/>
  <c r="AO121" i="15" s="1"/>
  <c r="AM124" i="15"/>
  <c r="AN124" i="15" s="1"/>
  <c r="AO124" i="15" s="1"/>
  <c r="AM128" i="15"/>
  <c r="AM129" i="15"/>
  <c r="AN129" i="15" s="1"/>
  <c r="AO129" i="15" s="1"/>
  <c r="AM132" i="15"/>
  <c r="AN132" i="15" s="1"/>
  <c r="AO132" i="15" s="1"/>
  <c r="AM136" i="15"/>
  <c r="AM137" i="15"/>
  <c r="AM140" i="15"/>
  <c r="AN140" i="15" s="1"/>
  <c r="AO140" i="15" s="1"/>
  <c r="AM144" i="15"/>
  <c r="AM145" i="15"/>
  <c r="AN145" i="15" s="1"/>
  <c r="AO145" i="15" s="1"/>
  <c r="AM148" i="15"/>
  <c r="AM152" i="15"/>
  <c r="AM153" i="15"/>
  <c r="AN153" i="15" s="1"/>
  <c r="AM156" i="15"/>
  <c r="AM160" i="15"/>
  <c r="AM161" i="15"/>
  <c r="AN161" i="15" s="1"/>
  <c r="AO161" i="15" s="1"/>
  <c r="AM164" i="15"/>
  <c r="AN164" i="15" s="1"/>
  <c r="AO164" i="15" s="1"/>
  <c r="AM168" i="15"/>
  <c r="AM169" i="15"/>
  <c r="AM172" i="15"/>
  <c r="AN172" i="15" s="1"/>
  <c r="AO172" i="15" s="1"/>
  <c r="AM176" i="15"/>
  <c r="AM177" i="15"/>
  <c r="AN177" i="15" s="1"/>
  <c r="AO177" i="15" s="1"/>
  <c r="AM180" i="15"/>
  <c r="AM184" i="15"/>
  <c r="AM185" i="15"/>
  <c r="AM188" i="15"/>
  <c r="AN188" i="15" s="1"/>
  <c r="AO188" i="15" s="1"/>
  <c r="AM192" i="15"/>
  <c r="AM193" i="15"/>
  <c r="AM196" i="15"/>
  <c r="AN196" i="15" s="1"/>
  <c r="AO196" i="15" s="1"/>
  <c r="AX196" i="15" s="1"/>
  <c r="AM200" i="15"/>
  <c r="AM201" i="15"/>
  <c r="AM204" i="15"/>
  <c r="AN204" i="15" s="1"/>
  <c r="AO204" i="15" s="1"/>
  <c r="AM208" i="15"/>
  <c r="AM209" i="15"/>
  <c r="AN209" i="15" s="1"/>
  <c r="AO209" i="15" s="1"/>
  <c r="AM212" i="15"/>
  <c r="AM216" i="15"/>
  <c r="AM217" i="15"/>
  <c r="AM220" i="15"/>
  <c r="AN220" i="15" s="1"/>
  <c r="AO220" i="15" s="1"/>
  <c r="AX220" i="15" s="1"/>
  <c r="AZ220" i="15" s="1"/>
  <c r="AM224" i="15"/>
  <c r="AM225" i="15"/>
  <c r="AN225" i="15" s="1"/>
  <c r="AO225" i="15" s="1"/>
  <c r="AX225" i="15" s="1"/>
  <c r="AM232" i="15"/>
  <c r="AM233" i="15"/>
  <c r="AM236" i="15"/>
  <c r="AN236" i="15" s="1"/>
  <c r="AO236" i="15" s="1"/>
  <c r="AU236" i="15" s="1"/>
  <c r="AM240" i="15"/>
  <c r="AM241" i="15"/>
  <c r="AM244" i="15"/>
  <c r="AN244" i="15" s="1"/>
  <c r="AO244" i="15" s="1"/>
  <c r="AM248" i="15"/>
  <c r="AM249" i="15"/>
  <c r="AN249" i="15" s="1"/>
  <c r="AO249" i="15" s="1"/>
  <c r="AM252" i="15"/>
  <c r="AN252" i="15" s="1"/>
  <c r="AO252" i="15" s="1"/>
  <c r="AX252" i="15" s="1"/>
  <c r="AM256" i="15"/>
  <c r="AM257" i="15"/>
  <c r="AN257" i="15" s="1"/>
  <c r="AO257" i="15" s="1"/>
  <c r="AM260" i="15"/>
  <c r="AN260" i="15" s="1"/>
  <c r="AO260" i="15" s="1"/>
  <c r="AS260" i="15" s="1"/>
  <c r="AM264" i="15"/>
  <c r="AN32" i="15"/>
  <c r="AO32" i="15" s="1"/>
  <c r="AU32" i="15" s="1"/>
  <c r="AN40" i="15"/>
  <c r="AO40" i="15" s="1"/>
  <c r="AN64" i="15"/>
  <c r="AO64" i="15" s="1"/>
  <c r="AN105" i="15"/>
  <c r="AO105" i="15" s="1"/>
  <c r="AN120" i="15"/>
  <c r="AO120" i="15" s="1"/>
  <c r="AP120" i="15" s="1"/>
  <c r="AN184" i="15"/>
  <c r="AO184" i="15" s="1"/>
  <c r="AN185" i="15"/>
  <c r="AO185" i="15" s="1"/>
  <c r="AS185" i="15" s="1"/>
  <c r="AN193" i="15"/>
  <c r="AO193" i="15" s="1"/>
  <c r="AX193" i="15" s="1"/>
  <c r="AY193" i="15" s="1"/>
  <c r="AN217" i="15"/>
  <c r="AO217" i="15" s="1"/>
  <c r="AO2" i="15"/>
  <c r="AR2" i="15" s="1"/>
  <c r="AO89" i="15"/>
  <c r="AP89" i="15" s="1"/>
  <c r="AO101" i="15"/>
  <c r="AO113" i="15"/>
  <c r="AO153" i="15"/>
  <c r="AQ153" i="15" s="1"/>
  <c r="AO181" i="15"/>
  <c r="AU181" i="15" s="1"/>
  <c r="AP2" i="15"/>
  <c r="AP57" i="15"/>
  <c r="AP205" i="15"/>
  <c r="AQ2" i="15"/>
  <c r="AQ80" i="15"/>
  <c r="AQ121" i="15"/>
  <c r="AQ236" i="15"/>
  <c r="AR9" i="15"/>
  <c r="AR16" i="15"/>
  <c r="AR89" i="15"/>
  <c r="AR193" i="15"/>
  <c r="AR209" i="15"/>
  <c r="AS2" i="15"/>
  <c r="AS9" i="15"/>
  <c r="AS17" i="15"/>
  <c r="AS24" i="15"/>
  <c r="AS25" i="15"/>
  <c r="AS57" i="15"/>
  <c r="AS113" i="15"/>
  <c r="AS177" i="15"/>
  <c r="AS193" i="15"/>
  <c r="AS216" i="15"/>
  <c r="AT13" i="15"/>
  <c r="AT32" i="15"/>
  <c r="AT40" i="15"/>
  <c r="AT49" i="15"/>
  <c r="AT57" i="15"/>
  <c r="AT65" i="15"/>
  <c r="AT81" i="15"/>
  <c r="AT129" i="15"/>
  <c r="AT161" i="15"/>
  <c r="AT177" i="15"/>
  <c r="AT193" i="15"/>
  <c r="AT209" i="15"/>
  <c r="AU2" i="15"/>
  <c r="AU8" i="15"/>
  <c r="AU9" i="15"/>
  <c r="AU16" i="15"/>
  <c r="AU25" i="15"/>
  <c r="AU49" i="15"/>
  <c r="AU57" i="15"/>
  <c r="AU65" i="15"/>
  <c r="AU81" i="15"/>
  <c r="AU89" i="15"/>
  <c r="AU121" i="15"/>
  <c r="AU145" i="15"/>
  <c r="AU177" i="15"/>
  <c r="AU193" i="15"/>
  <c r="AU209" i="15"/>
  <c r="AW5" i="15"/>
  <c r="AW9" i="15"/>
  <c r="AW13" i="15"/>
  <c r="AW25" i="15"/>
  <c r="AW32" i="15"/>
  <c r="AW57" i="15"/>
  <c r="AW65" i="15"/>
  <c r="AW69" i="15"/>
  <c r="AW80" i="15"/>
  <c r="AW104" i="15"/>
  <c r="AW112" i="15"/>
  <c r="AW121" i="15"/>
  <c r="AW130" i="15"/>
  <c r="AW169" i="15"/>
  <c r="AW177" i="15"/>
  <c r="AW193" i="15"/>
  <c r="AW249" i="15"/>
  <c r="AX2" i="15"/>
  <c r="AZ2" i="15" s="1"/>
  <c r="AX17" i="15"/>
  <c r="AY17" i="15" s="1"/>
  <c r="AX24" i="15"/>
  <c r="AX25" i="15"/>
  <c r="AX40" i="15"/>
  <c r="AX49" i="15"/>
  <c r="AX57" i="15"/>
  <c r="AY57" i="15" s="1"/>
  <c r="AX81" i="15"/>
  <c r="AY81" i="15" s="1"/>
  <c r="AX90" i="15"/>
  <c r="AY90" i="15" s="1"/>
  <c r="AX97" i="15"/>
  <c r="AY97" i="15" s="1"/>
  <c r="AX98" i="15"/>
  <c r="AX101" i="15"/>
  <c r="AX121" i="15"/>
  <c r="AX122" i="15"/>
  <c r="AY122" i="15" s="1"/>
  <c r="AX153" i="15"/>
  <c r="AY153" i="15" s="1"/>
  <c r="AX161" i="15"/>
  <c r="AX200" i="15"/>
  <c r="AX204" i="15"/>
  <c r="AZ204" i="15" s="1"/>
  <c r="AX209" i="15"/>
  <c r="AY209" i="15" s="1"/>
  <c r="AX236" i="15"/>
  <c r="AY24" i="15"/>
  <c r="AY80" i="15"/>
  <c r="AZ9" i="15"/>
  <c r="AZ17" i="15"/>
  <c r="AZ24" i="15"/>
  <c r="AZ97" i="15"/>
  <c r="AZ153" i="15"/>
  <c r="AZ209" i="15"/>
  <c r="BA2" i="15"/>
  <c r="BA3" i="15"/>
  <c r="BA4" i="15"/>
  <c r="BA5" i="15"/>
  <c r="BA6" i="15"/>
  <c r="BA7" i="15"/>
  <c r="BA8" i="15"/>
  <c r="BA9" i="15"/>
  <c r="BA10" i="15"/>
  <c r="BA11" i="15"/>
  <c r="BA12" i="15"/>
  <c r="BA13" i="15"/>
  <c r="BA14" i="15"/>
  <c r="BA15" i="15"/>
  <c r="BA16" i="15"/>
  <c r="BA17" i="15"/>
  <c r="BA18" i="15"/>
  <c r="BA19" i="15"/>
  <c r="BA20" i="15"/>
  <c r="BA21" i="15"/>
  <c r="BC21" i="15" s="1"/>
  <c r="BA22" i="15"/>
  <c r="BA23" i="15"/>
  <c r="BA24" i="15"/>
  <c r="BA25" i="15"/>
  <c r="BA26" i="15"/>
  <c r="BA27" i="15"/>
  <c r="BA28" i="15"/>
  <c r="BA29" i="15"/>
  <c r="BA30" i="15"/>
  <c r="BA31" i="15"/>
  <c r="BA32" i="15"/>
  <c r="BA33" i="15"/>
  <c r="BA34" i="15"/>
  <c r="BA35" i="15"/>
  <c r="BA36" i="15"/>
  <c r="BA37" i="15"/>
  <c r="BA38" i="15"/>
  <c r="BA39" i="15"/>
  <c r="BA40" i="15"/>
  <c r="BA41" i="15"/>
  <c r="BA42" i="15"/>
  <c r="BA43" i="15"/>
  <c r="BA44" i="15"/>
  <c r="BA45" i="15"/>
  <c r="BA46" i="15"/>
  <c r="BA47" i="15"/>
  <c r="BA48" i="15"/>
  <c r="BA49" i="15"/>
  <c r="BA50" i="15"/>
  <c r="BA51" i="15"/>
  <c r="BA52" i="15"/>
  <c r="BA53" i="15"/>
  <c r="BA54" i="15"/>
  <c r="BA55" i="15"/>
  <c r="BA56" i="15"/>
  <c r="BA57" i="15"/>
  <c r="BA58" i="15"/>
  <c r="BA59" i="15"/>
  <c r="BA60" i="15"/>
  <c r="BA61" i="15"/>
  <c r="BA62" i="15"/>
  <c r="BA63" i="15"/>
  <c r="BA64" i="15"/>
  <c r="BA65" i="15"/>
  <c r="BA66" i="15"/>
  <c r="BA67" i="15"/>
  <c r="BA68" i="15"/>
  <c r="BA69" i="15"/>
  <c r="BA70" i="15"/>
  <c r="BA71" i="15"/>
  <c r="BA72" i="15"/>
  <c r="BA73" i="15"/>
  <c r="BA74" i="15"/>
  <c r="BA75" i="15"/>
  <c r="BA76" i="15"/>
  <c r="BA77" i="15"/>
  <c r="BA78" i="15"/>
  <c r="BA79" i="15"/>
  <c r="BA80" i="15"/>
  <c r="BA81" i="15"/>
  <c r="BA82" i="15"/>
  <c r="BA83" i="15"/>
  <c r="BA84" i="15"/>
  <c r="BA85" i="15"/>
  <c r="BA86" i="15"/>
  <c r="BA87" i="15"/>
  <c r="BA88" i="15"/>
  <c r="BA89" i="15"/>
  <c r="BA90" i="15"/>
  <c r="BA91" i="15"/>
  <c r="BA92" i="15"/>
  <c r="BA93" i="15"/>
  <c r="BA94" i="15"/>
  <c r="BA95" i="15"/>
  <c r="BA96" i="15"/>
  <c r="BA97" i="15"/>
  <c r="BA98" i="15"/>
  <c r="BA99" i="15"/>
  <c r="BA100" i="15"/>
  <c r="BA101" i="15"/>
  <c r="BA102" i="15"/>
  <c r="BA103" i="15"/>
  <c r="BA104" i="15"/>
  <c r="BA105" i="15"/>
  <c r="BA106" i="15"/>
  <c r="BA107" i="15"/>
  <c r="BA108" i="15"/>
  <c r="BA109" i="15"/>
  <c r="BA110" i="15"/>
  <c r="BA111" i="15"/>
  <c r="BA112" i="15"/>
  <c r="BA113" i="15"/>
  <c r="BA114" i="15"/>
  <c r="BA115" i="15"/>
  <c r="BA116" i="15"/>
  <c r="BA117" i="15"/>
  <c r="BA118" i="15"/>
  <c r="BA119" i="15"/>
  <c r="BA120" i="15"/>
  <c r="BA121" i="15"/>
  <c r="BA122" i="15"/>
  <c r="BA123" i="15"/>
  <c r="BA124" i="15"/>
  <c r="BA125" i="15"/>
  <c r="BA126" i="15"/>
  <c r="BA127" i="15"/>
  <c r="BA128" i="15"/>
  <c r="BA129" i="15"/>
  <c r="BA130" i="15"/>
  <c r="BA131" i="15"/>
  <c r="BA132" i="15"/>
  <c r="BA133" i="15"/>
  <c r="BA134" i="15"/>
  <c r="BA135" i="15"/>
  <c r="BA136" i="15"/>
  <c r="BA137" i="15"/>
  <c r="BA138" i="15"/>
  <c r="BA139" i="15"/>
  <c r="BA140" i="15"/>
  <c r="BA141" i="15"/>
  <c r="BA142" i="15"/>
  <c r="BA143" i="15"/>
  <c r="BA144" i="15"/>
  <c r="BA145" i="15"/>
  <c r="BA146" i="15"/>
  <c r="BA147" i="15"/>
  <c r="BA148" i="15"/>
  <c r="BA149" i="15"/>
  <c r="BC149" i="15" s="1"/>
  <c r="BA150" i="15"/>
  <c r="BA151" i="15"/>
  <c r="BA152" i="15"/>
  <c r="BA153" i="15"/>
  <c r="BA154" i="15"/>
  <c r="BA155" i="15"/>
  <c r="BA156" i="15"/>
  <c r="BA157" i="15"/>
  <c r="BA158" i="15"/>
  <c r="BA159" i="15"/>
  <c r="BA160" i="15"/>
  <c r="BA161" i="15"/>
  <c r="BA162" i="15"/>
  <c r="BA163" i="15"/>
  <c r="BA164" i="15"/>
  <c r="BA165" i="15"/>
  <c r="BA166" i="15"/>
  <c r="BA167" i="15"/>
  <c r="BA168" i="15"/>
  <c r="BA169" i="15"/>
  <c r="BA170" i="15"/>
  <c r="BA171" i="15"/>
  <c r="BA172" i="15"/>
  <c r="BA173" i="15"/>
  <c r="BA174" i="15"/>
  <c r="BA175" i="15"/>
  <c r="BA176" i="15"/>
  <c r="BA177" i="15"/>
  <c r="BA178" i="15"/>
  <c r="BA179" i="15"/>
  <c r="BA180" i="15"/>
  <c r="BA181" i="15"/>
  <c r="BC181" i="15" s="1"/>
  <c r="BA182" i="15"/>
  <c r="BA183" i="15"/>
  <c r="BA184" i="15"/>
  <c r="BA185" i="15"/>
  <c r="BA186" i="15"/>
  <c r="BA187" i="15"/>
  <c r="BA188" i="15"/>
  <c r="BA189" i="15"/>
  <c r="BA190" i="15"/>
  <c r="BA191" i="15"/>
  <c r="BA192" i="15"/>
  <c r="BA193" i="15"/>
  <c r="BA194" i="15"/>
  <c r="BA195" i="15"/>
  <c r="BA196" i="15"/>
  <c r="BA197" i="15"/>
  <c r="BA198" i="15"/>
  <c r="BA199" i="15"/>
  <c r="BA200" i="15"/>
  <c r="BA201" i="15"/>
  <c r="BA202" i="15"/>
  <c r="BA203" i="15"/>
  <c r="BA204" i="15"/>
  <c r="BA205" i="15"/>
  <c r="BA206" i="15"/>
  <c r="BA207" i="15"/>
  <c r="BA208" i="15"/>
  <c r="BA209" i="15"/>
  <c r="BA210" i="15"/>
  <c r="BA211" i="15"/>
  <c r="BA212" i="15"/>
  <c r="BA213" i="15"/>
  <c r="BC213" i="15" s="1"/>
  <c r="BA214" i="15"/>
  <c r="BA215" i="15"/>
  <c r="BA216" i="15"/>
  <c r="BA217" i="15"/>
  <c r="BA218" i="15"/>
  <c r="BA219" i="15"/>
  <c r="BA220" i="15"/>
  <c r="BA221" i="15"/>
  <c r="BA222" i="15"/>
  <c r="BA223" i="15"/>
  <c r="BA224" i="15"/>
  <c r="BA225" i="15"/>
  <c r="BA226" i="15"/>
  <c r="BA227" i="15"/>
  <c r="BA228" i="15"/>
  <c r="BA229" i="15"/>
  <c r="BA230" i="15"/>
  <c r="BA231" i="15"/>
  <c r="BA232" i="15"/>
  <c r="BA233" i="15"/>
  <c r="BA234" i="15"/>
  <c r="BA235" i="15"/>
  <c r="BA236" i="15"/>
  <c r="BA237" i="15"/>
  <c r="BA238" i="15"/>
  <c r="BA239" i="15"/>
  <c r="BA240" i="15"/>
  <c r="BA241" i="15"/>
  <c r="BA242" i="15"/>
  <c r="BA243" i="15"/>
  <c r="BA244" i="15"/>
  <c r="BA245" i="15"/>
  <c r="BA246" i="15"/>
  <c r="BA247" i="15"/>
  <c r="BA248" i="15"/>
  <c r="BA249" i="15"/>
  <c r="BA250" i="15"/>
  <c r="BA251" i="15"/>
  <c r="BA252" i="15"/>
  <c r="BA253" i="15"/>
  <c r="BA254" i="15"/>
  <c r="BA255" i="15"/>
  <c r="BA256" i="15"/>
  <c r="BA257" i="15"/>
  <c r="BA258" i="15"/>
  <c r="BA259" i="15"/>
  <c r="BA260" i="15"/>
  <c r="BA261" i="15"/>
  <c r="BA262" i="15"/>
  <c r="BA263" i="15"/>
  <c r="BA264" i="15"/>
  <c r="BA265" i="15"/>
  <c r="BA266" i="15"/>
  <c r="BA267" i="15"/>
  <c r="BA268" i="15"/>
  <c r="BB2" i="15"/>
  <c r="BC2" i="15" s="1"/>
  <c r="BD2" i="15" s="1"/>
  <c r="BE2" i="15" s="1"/>
  <c r="BB3" i="15"/>
  <c r="BB4" i="15"/>
  <c r="BB5" i="15"/>
  <c r="BB6" i="15"/>
  <c r="BC6" i="15" s="1"/>
  <c r="BB7" i="15"/>
  <c r="BB8" i="15"/>
  <c r="BB9" i="15"/>
  <c r="BB10" i="15"/>
  <c r="BC10" i="15" s="1"/>
  <c r="BB11" i="15"/>
  <c r="BB12" i="15"/>
  <c r="BB13" i="15"/>
  <c r="BB14" i="15"/>
  <c r="BC14" i="15" s="1"/>
  <c r="BB15" i="15"/>
  <c r="BB16" i="15"/>
  <c r="BB17" i="15"/>
  <c r="BB18" i="15"/>
  <c r="BC18" i="15" s="1"/>
  <c r="BB19" i="15"/>
  <c r="BB20" i="15"/>
  <c r="BB21" i="15"/>
  <c r="BB22" i="15"/>
  <c r="BC22" i="15" s="1"/>
  <c r="BB23" i="15"/>
  <c r="BC23" i="15" s="1"/>
  <c r="BB24" i="15"/>
  <c r="BC24" i="15" s="1"/>
  <c r="BB25" i="15"/>
  <c r="BC25" i="15" s="1"/>
  <c r="BB26" i="15"/>
  <c r="BC26" i="15" s="1"/>
  <c r="BB27" i="15"/>
  <c r="BC27" i="15" s="1"/>
  <c r="BB28" i="15"/>
  <c r="BC28" i="15" s="1"/>
  <c r="BB29" i="15"/>
  <c r="BC29" i="15" s="1"/>
  <c r="BB30" i="15"/>
  <c r="BC30" i="15" s="1"/>
  <c r="BB31" i="15"/>
  <c r="BB32" i="15"/>
  <c r="BB33" i="15"/>
  <c r="BB34" i="15"/>
  <c r="BC34" i="15" s="1"/>
  <c r="BB35" i="15"/>
  <c r="BC35" i="15" s="1"/>
  <c r="BB36" i="15"/>
  <c r="BC36" i="15" s="1"/>
  <c r="BB37" i="15"/>
  <c r="BB38" i="15"/>
  <c r="BC38" i="15" s="1"/>
  <c r="BB39" i="15"/>
  <c r="BB40" i="15"/>
  <c r="BB41" i="15"/>
  <c r="BB42" i="15"/>
  <c r="BC42" i="15" s="1"/>
  <c r="BB43" i="15"/>
  <c r="BB44" i="15"/>
  <c r="BB45" i="15"/>
  <c r="BB46" i="15"/>
  <c r="BC46" i="15" s="1"/>
  <c r="BB47" i="15"/>
  <c r="BC47" i="15" s="1"/>
  <c r="BB48" i="15"/>
  <c r="BC48" i="15" s="1"/>
  <c r="BB49" i="15"/>
  <c r="BC49" i="15" s="1"/>
  <c r="BB50" i="15"/>
  <c r="BC50" i="15" s="1"/>
  <c r="BB51" i="15"/>
  <c r="BC51" i="15" s="1"/>
  <c r="BB52" i="15"/>
  <c r="BC52" i="15" s="1"/>
  <c r="BB53" i="15"/>
  <c r="BB54" i="15"/>
  <c r="BC54" i="15" s="1"/>
  <c r="BB55" i="15"/>
  <c r="BB56" i="15"/>
  <c r="BB57" i="15"/>
  <c r="BB58" i="15"/>
  <c r="BC58" i="15" s="1"/>
  <c r="BB59" i="15"/>
  <c r="BB60" i="15"/>
  <c r="BB61" i="15"/>
  <c r="BB62" i="15"/>
  <c r="BC62" i="15" s="1"/>
  <c r="BB63" i="15"/>
  <c r="BB64" i="15"/>
  <c r="BB65" i="15"/>
  <c r="BB66" i="15"/>
  <c r="BC66" i="15" s="1"/>
  <c r="BB67" i="15"/>
  <c r="BB68" i="15"/>
  <c r="BB69" i="15"/>
  <c r="BB70" i="15"/>
  <c r="BC70" i="15" s="1"/>
  <c r="BB71" i="15"/>
  <c r="BB72" i="15"/>
  <c r="BB73" i="15"/>
  <c r="BB74" i="15"/>
  <c r="BC74" i="15" s="1"/>
  <c r="BB75" i="15"/>
  <c r="BB76" i="15"/>
  <c r="BB77" i="15"/>
  <c r="BB78" i="15"/>
  <c r="BC78" i="15" s="1"/>
  <c r="BB79" i="15"/>
  <c r="BB80" i="15"/>
  <c r="BB81" i="15"/>
  <c r="BB82" i="15"/>
  <c r="BC82" i="15" s="1"/>
  <c r="BB83" i="15"/>
  <c r="BB84" i="15"/>
  <c r="BB85" i="15"/>
  <c r="BB86" i="15"/>
  <c r="BC86" i="15" s="1"/>
  <c r="BB87" i="15"/>
  <c r="BB88" i="15"/>
  <c r="BB89" i="15"/>
  <c r="BB90" i="15"/>
  <c r="BC90" i="15" s="1"/>
  <c r="BB91" i="15"/>
  <c r="BC91" i="15" s="1"/>
  <c r="BB92" i="15"/>
  <c r="BB93" i="15"/>
  <c r="BB94" i="15"/>
  <c r="BC94" i="15" s="1"/>
  <c r="BB95" i="15"/>
  <c r="BB96" i="15"/>
  <c r="BB97" i="15"/>
  <c r="BB98" i="15"/>
  <c r="BC98" i="15" s="1"/>
  <c r="BB99" i="15"/>
  <c r="BB100" i="15"/>
  <c r="BB101" i="15"/>
  <c r="BB102" i="15"/>
  <c r="BC102" i="15" s="1"/>
  <c r="BB103" i="15"/>
  <c r="BB104" i="15"/>
  <c r="BB105" i="15"/>
  <c r="BB106" i="15"/>
  <c r="BC106" i="15" s="1"/>
  <c r="BB107" i="15"/>
  <c r="BB108" i="15"/>
  <c r="BC108" i="15" s="1"/>
  <c r="BB109" i="15"/>
  <c r="BC109" i="15" s="1"/>
  <c r="BB110" i="15"/>
  <c r="BC110" i="15" s="1"/>
  <c r="BB111" i="15"/>
  <c r="BB112" i="15"/>
  <c r="BB113" i="15"/>
  <c r="BB114" i="15"/>
  <c r="BC114" i="15" s="1"/>
  <c r="BB115" i="15"/>
  <c r="BB116" i="15"/>
  <c r="BB117" i="15"/>
  <c r="BB118" i="15"/>
  <c r="BC118" i="15" s="1"/>
  <c r="BB119" i="15"/>
  <c r="BB120" i="15"/>
  <c r="BC120" i="15" s="1"/>
  <c r="BB121" i="15"/>
  <c r="BB122" i="15"/>
  <c r="BC122" i="15" s="1"/>
  <c r="BB123" i="15"/>
  <c r="BB124" i="15"/>
  <c r="BB125" i="15"/>
  <c r="BC125" i="15" s="1"/>
  <c r="BB126" i="15"/>
  <c r="BC126" i="15" s="1"/>
  <c r="BB127" i="15"/>
  <c r="BB128" i="15"/>
  <c r="BC128" i="15" s="1"/>
  <c r="BB129" i="15"/>
  <c r="BB130" i="15"/>
  <c r="BC130" i="15" s="1"/>
  <c r="BB131" i="15"/>
  <c r="BB132" i="15"/>
  <c r="BB133" i="15"/>
  <c r="BB134" i="15"/>
  <c r="BC134" i="15" s="1"/>
  <c r="BB135" i="15"/>
  <c r="BB136" i="15"/>
  <c r="BB137" i="15"/>
  <c r="BB138" i="15"/>
  <c r="BC138" i="15" s="1"/>
  <c r="BB139" i="15"/>
  <c r="BB140" i="15"/>
  <c r="BB141" i="15"/>
  <c r="BB142" i="15"/>
  <c r="BC142" i="15" s="1"/>
  <c r="BB143" i="15"/>
  <c r="BB144" i="15"/>
  <c r="BB145" i="15"/>
  <c r="BB146" i="15"/>
  <c r="BC146" i="15" s="1"/>
  <c r="BB147" i="15"/>
  <c r="BB148" i="15"/>
  <c r="BB149" i="15"/>
  <c r="BB150" i="15"/>
  <c r="BC150" i="15" s="1"/>
  <c r="BB151" i="15"/>
  <c r="BB152" i="15"/>
  <c r="BB153" i="15"/>
  <c r="BB154" i="15"/>
  <c r="BC154" i="15" s="1"/>
  <c r="BB155" i="15"/>
  <c r="BB156" i="15"/>
  <c r="BB157" i="15"/>
  <c r="BB158" i="15"/>
  <c r="BC158" i="15" s="1"/>
  <c r="BB159" i="15"/>
  <c r="BB160" i="15"/>
  <c r="BB161" i="15"/>
  <c r="BB162" i="15"/>
  <c r="BC162" i="15" s="1"/>
  <c r="BB163" i="15"/>
  <c r="BB164" i="15"/>
  <c r="BB165" i="15"/>
  <c r="BB166" i="15"/>
  <c r="BC166" i="15" s="1"/>
  <c r="BB167" i="15"/>
  <c r="BB168" i="15"/>
  <c r="BB169" i="15"/>
  <c r="BB170" i="15"/>
  <c r="BC170" i="15" s="1"/>
  <c r="BB171" i="15"/>
  <c r="BB172" i="15"/>
  <c r="BB173" i="15"/>
  <c r="BB174" i="15"/>
  <c r="BC174" i="15" s="1"/>
  <c r="BB175" i="15"/>
  <c r="BB176" i="15"/>
  <c r="BB177" i="15"/>
  <c r="BB178" i="15"/>
  <c r="BC178" i="15" s="1"/>
  <c r="BB179" i="15"/>
  <c r="BB180" i="15"/>
  <c r="BB181" i="15"/>
  <c r="BB182" i="15"/>
  <c r="BC182" i="15" s="1"/>
  <c r="BB183" i="15"/>
  <c r="BB184" i="15"/>
  <c r="BB185" i="15"/>
  <c r="BB186" i="15"/>
  <c r="BC186" i="15" s="1"/>
  <c r="BB187" i="15"/>
  <c r="BB188" i="15"/>
  <c r="BB189" i="15"/>
  <c r="BB190" i="15"/>
  <c r="BC190" i="15" s="1"/>
  <c r="BB191" i="15"/>
  <c r="BB192" i="15"/>
  <c r="BB193" i="15"/>
  <c r="BB194" i="15"/>
  <c r="BC194" i="15" s="1"/>
  <c r="BB195" i="15"/>
  <c r="BB196" i="15"/>
  <c r="BB197" i="15"/>
  <c r="BB198" i="15"/>
  <c r="BC198" i="15" s="1"/>
  <c r="BB199" i="15"/>
  <c r="BB200" i="15"/>
  <c r="BB201" i="15"/>
  <c r="BB202" i="15"/>
  <c r="BC202" i="15" s="1"/>
  <c r="BB203" i="15"/>
  <c r="BB204" i="15"/>
  <c r="BB205" i="15"/>
  <c r="BB206" i="15"/>
  <c r="BC206" i="15" s="1"/>
  <c r="BB207" i="15"/>
  <c r="BB208" i="15"/>
  <c r="BB209" i="15"/>
  <c r="BB210" i="15"/>
  <c r="BC210" i="15" s="1"/>
  <c r="BB211" i="15"/>
  <c r="BB212" i="15"/>
  <c r="BB213" i="15"/>
  <c r="BB214" i="15"/>
  <c r="BC214" i="15" s="1"/>
  <c r="BB215" i="15"/>
  <c r="BB216" i="15"/>
  <c r="BB217" i="15"/>
  <c r="BB218" i="15"/>
  <c r="BC218" i="15" s="1"/>
  <c r="BB219" i="15"/>
  <c r="BB220" i="15"/>
  <c r="BB221" i="15"/>
  <c r="BB222" i="15"/>
  <c r="BC222" i="15" s="1"/>
  <c r="BB223" i="15"/>
  <c r="BB224" i="15"/>
  <c r="BB225" i="15"/>
  <c r="BB226" i="15"/>
  <c r="BC226" i="15" s="1"/>
  <c r="BB227" i="15"/>
  <c r="BB228" i="15"/>
  <c r="BC228" i="15" s="1"/>
  <c r="BB229" i="15"/>
  <c r="BB230" i="15"/>
  <c r="BC230" i="15" s="1"/>
  <c r="BB231" i="15"/>
  <c r="BB232" i="15"/>
  <c r="BB233" i="15"/>
  <c r="BC233" i="15" s="1"/>
  <c r="BB234" i="15"/>
  <c r="BC234" i="15" s="1"/>
  <c r="BB235" i="15"/>
  <c r="BB236" i="15"/>
  <c r="BC236" i="15" s="1"/>
  <c r="BB237" i="15"/>
  <c r="BB238" i="15"/>
  <c r="BC238" i="15" s="1"/>
  <c r="BB239" i="15"/>
  <c r="BB240" i="15"/>
  <c r="BB241" i="15"/>
  <c r="BB242" i="15"/>
  <c r="BC242" i="15" s="1"/>
  <c r="BB243" i="15"/>
  <c r="BC243" i="15" s="1"/>
  <c r="BB244" i="15"/>
  <c r="BB245" i="15"/>
  <c r="BB246" i="15"/>
  <c r="BC246" i="15" s="1"/>
  <c r="BB247" i="15"/>
  <c r="BB248" i="15"/>
  <c r="BB249" i="15"/>
  <c r="BB250" i="15"/>
  <c r="BC250" i="15" s="1"/>
  <c r="BB251" i="15"/>
  <c r="BB252" i="15"/>
  <c r="BB253" i="15"/>
  <c r="BB254" i="15"/>
  <c r="BC254" i="15" s="1"/>
  <c r="BB255" i="15"/>
  <c r="BB256" i="15"/>
  <c r="BB257" i="15"/>
  <c r="BB258" i="15"/>
  <c r="BC258" i="15" s="1"/>
  <c r="BB259" i="15"/>
  <c r="BB260" i="15"/>
  <c r="BB261" i="15"/>
  <c r="BB262" i="15"/>
  <c r="BC262" i="15" s="1"/>
  <c r="BB263" i="15"/>
  <c r="BB264" i="15"/>
  <c r="BB265" i="15"/>
  <c r="BB266" i="15"/>
  <c r="BC266" i="15" s="1"/>
  <c r="BB267" i="15"/>
  <c r="BB268" i="15"/>
  <c r="BC37" i="15"/>
  <c r="BC245" i="15"/>
  <c r="BD126" i="15"/>
  <c r="BE126" i="15" s="1"/>
  <c r="AX237" i="15" l="1"/>
  <c r="AW237" i="15"/>
  <c r="AU237" i="15"/>
  <c r="AQ109" i="15"/>
  <c r="AS109" i="15"/>
  <c r="AW109" i="15"/>
  <c r="AP109" i="15"/>
  <c r="AX109" i="15"/>
  <c r="AY109" i="15" s="1"/>
  <c r="AT109" i="15"/>
  <c r="AR109" i="15"/>
  <c r="AU109" i="15"/>
  <c r="AY69" i="15"/>
  <c r="AZ69" i="15"/>
  <c r="AQ168" i="15"/>
  <c r="AP168" i="15"/>
  <c r="AT168" i="15"/>
  <c r="AU168" i="15"/>
  <c r="AW168" i="15"/>
  <c r="AX168" i="15"/>
  <c r="AS168" i="15"/>
  <c r="AR168" i="15"/>
  <c r="AT133" i="15"/>
  <c r="AU133" i="15"/>
  <c r="AR133" i="15"/>
  <c r="AS133" i="15"/>
  <c r="AX133" i="15"/>
  <c r="AW133" i="15"/>
  <c r="AQ29" i="15"/>
  <c r="AS29" i="15"/>
  <c r="AT29" i="15"/>
  <c r="AW29" i="15"/>
  <c r="AX29" i="15"/>
  <c r="AY29" i="15" s="1"/>
  <c r="AY205" i="15"/>
  <c r="AZ205" i="15"/>
  <c r="AY221" i="15"/>
  <c r="AZ221" i="15"/>
  <c r="AP37" i="15"/>
  <c r="AQ37" i="15"/>
  <c r="AR37" i="15"/>
  <c r="AX37" i="15"/>
  <c r="AS37" i="15"/>
  <c r="AU37" i="15"/>
  <c r="AW37" i="15"/>
  <c r="AQ189" i="15"/>
  <c r="AR189" i="15"/>
  <c r="AS189" i="15"/>
  <c r="AT189" i="15"/>
  <c r="AW189" i="15"/>
  <c r="AP189" i="15"/>
  <c r="AX189" i="15"/>
  <c r="AU189" i="15"/>
  <c r="AU253" i="15"/>
  <c r="AQ253" i="15"/>
  <c r="AS253" i="15"/>
  <c r="AX253" i="15"/>
  <c r="AX213" i="15"/>
  <c r="AT213" i="15"/>
  <c r="AW213" i="15"/>
  <c r="AW125" i="15"/>
  <c r="AU125" i="15"/>
  <c r="AT125" i="15"/>
  <c r="AP125" i="15"/>
  <c r="AS125" i="15"/>
  <c r="AX13" i="15"/>
  <c r="AY13" i="15" s="1"/>
  <c r="AP13" i="15"/>
  <c r="AQ13" i="15"/>
  <c r="AS13" i="15"/>
  <c r="AR13" i="15"/>
  <c r="AU13" i="15"/>
  <c r="AY40" i="15"/>
  <c r="AZ40" i="15"/>
  <c r="AY161" i="15"/>
  <c r="AZ161" i="15"/>
  <c r="AY25" i="15"/>
  <c r="AZ25" i="15"/>
  <c r="BD25" i="15" s="1"/>
  <c r="BE25" i="15" s="1"/>
  <c r="AW221" i="15"/>
  <c r="AU225" i="15"/>
  <c r="AT205" i="15"/>
  <c r="AR253" i="15"/>
  <c r="AX113" i="15"/>
  <c r="AR113" i="15"/>
  <c r="AU113" i="15"/>
  <c r="AW113" i="15"/>
  <c r="AW244" i="15"/>
  <c r="AS244" i="15"/>
  <c r="AT97" i="15"/>
  <c r="AU97" i="15"/>
  <c r="AW97" i="15"/>
  <c r="AR97" i="15"/>
  <c r="AW261" i="15"/>
  <c r="AT261" i="15"/>
  <c r="AX261" i="15"/>
  <c r="AS261" i="15"/>
  <c r="AU261" i="15"/>
  <c r="AP248" i="15"/>
  <c r="AX248" i="15"/>
  <c r="AU248" i="15"/>
  <c r="AR248" i="15"/>
  <c r="AT248" i="15"/>
  <c r="AT216" i="15"/>
  <c r="AP216" i="15"/>
  <c r="AQ216" i="15"/>
  <c r="AW216" i="15"/>
  <c r="AR216" i="15"/>
  <c r="AX216" i="15"/>
  <c r="AU216" i="15"/>
  <c r="AQ200" i="15"/>
  <c r="AU200" i="15"/>
  <c r="AW200" i="15"/>
  <c r="AS200" i="15"/>
  <c r="AP200" i="15"/>
  <c r="AT200" i="15"/>
  <c r="AP152" i="15"/>
  <c r="AQ152" i="15"/>
  <c r="AW152" i="15"/>
  <c r="AP136" i="15"/>
  <c r="AT136" i="15"/>
  <c r="AU136" i="15"/>
  <c r="AX136" i="15"/>
  <c r="AS136" i="15"/>
  <c r="AW136" i="15"/>
  <c r="AT104" i="15"/>
  <c r="AX104" i="15"/>
  <c r="AS104" i="15"/>
  <c r="AR72" i="15"/>
  <c r="AU72" i="15"/>
  <c r="AT72" i="15"/>
  <c r="AX72" i="15"/>
  <c r="AT101" i="15"/>
  <c r="AW101" i="15"/>
  <c r="AR184" i="15"/>
  <c r="AS184" i="15"/>
  <c r="AW184" i="15"/>
  <c r="AT184" i="15"/>
  <c r="AQ184" i="15"/>
  <c r="AP184" i="15"/>
  <c r="AX184" i="15"/>
  <c r="AY184" i="15" s="1"/>
  <c r="AU184" i="15"/>
  <c r="AN264" i="15"/>
  <c r="AO264" i="15" s="1"/>
  <c r="AT33" i="15"/>
  <c r="AW33" i="15"/>
  <c r="AZ141" i="15"/>
  <c r="AR200" i="15"/>
  <c r="AP5" i="15"/>
  <c r="AN240" i="15"/>
  <c r="AO240" i="15" s="1"/>
  <c r="AT245" i="15"/>
  <c r="AW245" i="15"/>
  <c r="AS232" i="15"/>
  <c r="AX232" i="15"/>
  <c r="AW232" i="15"/>
  <c r="AT232" i="15"/>
  <c r="AQ232" i="15"/>
  <c r="AU232" i="15"/>
  <c r="BC117" i="15"/>
  <c r="BC85" i="15"/>
  <c r="BC53" i="15"/>
  <c r="AX125" i="15"/>
  <c r="AW181" i="15"/>
  <c r="AS181" i="15"/>
  <c r="AQ120" i="15"/>
  <c r="AW120" i="15"/>
  <c r="AX257" i="15"/>
  <c r="AQ257" i="15"/>
  <c r="AW257" i="15"/>
  <c r="AS257" i="15"/>
  <c r="AU257" i="15"/>
  <c r="AR257" i="15"/>
  <c r="AR112" i="15"/>
  <c r="AT112" i="15"/>
  <c r="AY101" i="15"/>
  <c r="AZ101" i="15"/>
  <c r="AR129" i="15"/>
  <c r="AU129" i="15"/>
  <c r="AX129" i="15"/>
  <c r="AU5" i="15"/>
  <c r="AR5" i="15"/>
  <c r="AS5" i="15"/>
  <c r="AQ5" i="15"/>
  <c r="AT5" i="15"/>
  <c r="AW253" i="15"/>
  <c r="AT253" i="15"/>
  <c r="AN208" i="15"/>
  <c r="AO208" i="15" s="1"/>
  <c r="AS145" i="15"/>
  <c r="AT145" i="15"/>
  <c r="AW145" i="15"/>
  <c r="AX145" i="15"/>
  <c r="AY145" i="15" s="1"/>
  <c r="AQ60" i="15"/>
  <c r="AU60" i="15"/>
  <c r="AQ3" i="15"/>
  <c r="AW3" i="15"/>
  <c r="AP3" i="15"/>
  <c r="AU3" i="15"/>
  <c r="AS3" i="15"/>
  <c r="AR3" i="15"/>
  <c r="AV3" i="15" s="1"/>
  <c r="AX3" i="15"/>
  <c r="AW197" i="15"/>
  <c r="AT197" i="15"/>
  <c r="AX197" i="15"/>
  <c r="AU173" i="15"/>
  <c r="AW173" i="15"/>
  <c r="AX173" i="15"/>
  <c r="AR117" i="15"/>
  <c r="AU117" i="15"/>
  <c r="AW117" i="15"/>
  <c r="AT117" i="15"/>
  <c r="AX117" i="15"/>
  <c r="AP93" i="15"/>
  <c r="AS93" i="15"/>
  <c r="AW93" i="15"/>
  <c r="AX93" i="15"/>
  <c r="AY93" i="15" s="1"/>
  <c r="AU93" i="15"/>
  <c r="AR69" i="15"/>
  <c r="AP69" i="15"/>
  <c r="AS69" i="15"/>
  <c r="AT69" i="15"/>
  <c r="AU69" i="15"/>
  <c r="AQ69" i="15"/>
  <c r="AY200" i="15"/>
  <c r="AZ200" i="15"/>
  <c r="AR181" i="15"/>
  <c r="AT181" i="15"/>
  <c r="AX181" i="15"/>
  <c r="AY181" i="15" s="1"/>
  <c r="AW217" i="15"/>
  <c r="AT217" i="15"/>
  <c r="AX217" i="15"/>
  <c r="AU217" i="15"/>
  <c r="AP225" i="15"/>
  <c r="AQ225" i="15"/>
  <c r="AR225" i="15"/>
  <c r="AS225" i="15"/>
  <c r="AW225" i="15"/>
  <c r="AT225" i="15"/>
  <c r="AX229" i="15"/>
  <c r="AT229" i="15"/>
  <c r="AR205" i="15"/>
  <c r="AU205" i="15"/>
  <c r="AS205" i="15"/>
  <c r="AW205" i="15"/>
  <c r="AP61" i="15"/>
  <c r="AT61" i="15"/>
  <c r="AU61" i="15"/>
  <c r="AX61" i="15"/>
  <c r="AY61" i="15" s="1"/>
  <c r="AW61" i="15"/>
  <c r="AS61" i="15"/>
  <c r="AU45" i="15"/>
  <c r="AW45" i="15"/>
  <c r="AX45" i="15"/>
  <c r="AQ21" i="15"/>
  <c r="AP21" i="15"/>
  <c r="AR21" i="15"/>
  <c r="AU21" i="15"/>
  <c r="AX21" i="15"/>
  <c r="AT21" i="15"/>
  <c r="AW21" i="15"/>
  <c r="AS21" i="15"/>
  <c r="AX245" i="15"/>
  <c r="AW248" i="15"/>
  <c r="AT93" i="15"/>
  <c r="AP129" i="15"/>
  <c r="AS268" i="15"/>
  <c r="AX268" i="15"/>
  <c r="AW268" i="15"/>
  <c r="AT89" i="15"/>
  <c r="AQ88" i="15"/>
  <c r="AN241" i="15"/>
  <c r="AO241" i="15" s="1"/>
  <c r="AN224" i="15"/>
  <c r="AO224" i="15" s="1"/>
  <c r="AN96" i="15"/>
  <c r="AO96" i="15" s="1"/>
  <c r="AS96" i="15" s="1"/>
  <c r="AQ169" i="15"/>
  <c r="AX169" i="15"/>
  <c r="AR24" i="15"/>
  <c r="AT24" i="15"/>
  <c r="AU24" i="15"/>
  <c r="AW24" i="15"/>
  <c r="AT169" i="15"/>
  <c r="AS169" i="15"/>
  <c r="AS16" i="15"/>
  <c r="AR8" i="15"/>
  <c r="AR105" i="15"/>
  <c r="AU105" i="15"/>
  <c r="AS105" i="15"/>
  <c r="AW105" i="15"/>
  <c r="AN128" i="15"/>
  <c r="AO128" i="15" s="1"/>
  <c r="AR128" i="15" s="1"/>
  <c r="AR161" i="15"/>
  <c r="AU161" i="15"/>
  <c r="AN144" i="15"/>
  <c r="AO144" i="15" s="1"/>
  <c r="AZ236" i="15"/>
  <c r="AY236" i="15"/>
  <c r="AX88" i="15"/>
  <c r="AW260" i="15"/>
  <c r="AQ17" i="15"/>
  <c r="AQ177" i="15"/>
  <c r="AP177" i="15"/>
  <c r="AR177" i="15"/>
  <c r="AN160" i="15"/>
  <c r="AO160" i="15" s="1"/>
  <c r="AW49" i="15"/>
  <c r="AQ49" i="15"/>
  <c r="AR32" i="15"/>
  <c r="AX32" i="15"/>
  <c r="BD24" i="15"/>
  <c r="BE24" i="15" s="1"/>
  <c r="AZ57" i="15"/>
  <c r="AX105" i="15"/>
  <c r="AX16" i="15"/>
  <c r="AW17" i="15"/>
  <c r="AT153" i="15"/>
  <c r="AT17" i="15"/>
  <c r="AS88" i="15"/>
  <c r="AS32" i="15"/>
  <c r="AP169" i="15"/>
  <c r="AN212" i="15"/>
  <c r="AO212" i="15" s="1"/>
  <c r="AN176" i="15"/>
  <c r="AO176" i="15" s="1"/>
  <c r="AN156" i="15"/>
  <c r="AO156" i="15" s="1"/>
  <c r="AP156" i="15" s="1"/>
  <c r="AX65" i="15"/>
  <c r="AY65" i="15" s="1"/>
  <c r="AS65" i="15"/>
  <c r="AN48" i="15"/>
  <c r="AO48" i="15" s="1"/>
  <c r="AN28" i="15"/>
  <c r="AO28" i="15" s="1"/>
  <c r="AU28" i="15" s="1"/>
  <c r="AS89" i="15"/>
  <c r="AX89" i="15"/>
  <c r="AX177" i="15"/>
  <c r="AX8" i="15"/>
  <c r="AW89" i="15"/>
  <c r="AW16" i="15"/>
  <c r="AU153" i="15"/>
  <c r="AU17" i="15"/>
  <c r="AT105" i="15"/>
  <c r="AS76" i="15"/>
  <c r="AR17" i="15"/>
  <c r="AN192" i="15"/>
  <c r="AO192" i="15" s="1"/>
  <c r="AW2" i="15"/>
  <c r="AN180" i="15"/>
  <c r="AO180" i="15" s="1"/>
  <c r="AN148" i="15"/>
  <c r="AO148" i="15" s="1"/>
  <c r="AR148" i="15" s="1"/>
  <c r="AN116" i="15"/>
  <c r="AO116" i="15" s="1"/>
  <c r="AR116" i="15" s="1"/>
  <c r="AN84" i="15"/>
  <c r="AO84" i="15" s="1"/>
  <c r="AN52" i="15"/>
  <c r="AO52" i="15" s="1"/>
  <c r="AS52" i="15" s="1"/>
  <c r="AN20" i="15"/>
  <c r="AO20" i="15" s="1"/>
  <c r="AN262" i="15"/>
  <c r="AO262" i="15" s="1"/>
  <c r="AT262" i="15" s="1"/>
  <c r="AN254" i="15"/>
  <c r="AO254" i="15" s="1"/>
  <c r="AX254" i="15" s="1"/>
  <c r="AY254" i="15" s="1"/>
  <c r="AN246" i="15"/>
  <c r="AO246" i="15" s="1"/>
  <c r="AN238" i="15"/>
  <c r="AO238" i="15" s="1"/>
  <c r="AX238" i="15" s="1"/>
  <c r="AN230" i="15"/>
  <c r="AO230" i="15" s="1"/>
  <c r="AT230" i="15" s="1"/>
  <c r="AN222" i="15"/>
  <c r="AO222" i="15" s="1"/>
  <c r="AN214" i="15"/>
  <c r="AO214" i="15" s="1"/>
  <c r="AT214" i="15" s="1"/>
  <c r="AN206" i="15"/>
  <c r="AO206" i="15" s="1"/>
  <c r="AN198" i="15"/>
  <c r="AO198" i="15" s="1"/>
  <c r="AU198" i="15" s="1"/>
  <c r="AN190" i="15"/>
  <c r="AO190" i="15" s="1"/>
  <c r="AN182" i="15"/>
  <c r="AO182" i="15" s="1"/>
  <c r="AN174" i="15"/>
  <c r="AO174" i="15" s="1"/>
  <c r="AN166" i="15"/>
  <c r="AO166" i="15" s="1"/>
  <c r="AT166" i="15" s="1"/>
  <c r="AN158" i="15"/>
  <c r="AO158" i="15" s="1"/>
  <c r="AN150" i="15"/>
  <c r="AO150" i="15" s="1"/>
  <c r="AN142" i="15"/>
  <c r="AO142" i="15" s="1"/>
  <c r="AN134" i="15"/>
  <c r="AO134" i="15" s="1"/>
  <c r="AN126" i="15"/>
  <c r="AO126" i="15" s="1"/>
  <c r="AN118" i="15"/>
  <c r="AO118" i="15" s="1"/>
  <c r="AN110" i="15"/>
  <c r="AO110" i="15" s="1"/>
  <c r="AW110" i="15" s="1"/>
  <c r="AN102" i="15"/>
  <c r="AO102" i="15" s="1"/>
  <c r="AN94" i="15"/>
  <c r="AO94" i="15" s="1"/>
  <c r="AU94" i="15" s="1"/>
  <c r="AN86" i="15"/>
  <c r="AO86" i="15" s="1"/>
  <c r="AN256" i="15"/>
  <c r="AO256" i="15" s="1"/>
  <c r="AT2" i="15"/>
  <c r="AV2" i="15" s="1"/>
  <c r="AN233" i="15"/>
  <c r="AO233" i="15" s="1"/>
  <c r="AN201" i="15"/>
  <c r="AO201" i="15" s="1"/>
  <c r="AN137" i="15"/>
  <c r="AO137" i="15" s="1"/>
  <c r="AN73" i="15"/>
  <c r="AO73" i="15" s="1"/>
  <c r="AN41" i="15"/>
  <c r="AO41" i="15" s="1"/>
  <c r="AN265" i="15"/>
  <c r="AO265" i="15" s="1"/>
  <c r="AW265" i="15" s="1"/>
  <c r="BC261" i="15"/>
  <c r="BC229" i="15"/>
  <c r="BC197" i="15"/>
  <c r="BC165" i="15"/>
  <c r="BC133" i="15"/>
  <c r="BC101" i="15"/>
  <c r="BD101" i="15" s="1"/>
  <c r="BE101" i="15" s="1"/>
  <c r="BC69" i="15"/>
  <c r="BD69" i="15" s="1"/>
  <c r="BE69" i="15" s="1"/>
  <c r="BC5" i="15"/>
  <c r="BC265" i="15"/>
  <c r="BC257" i="15"/>
  <c r="BC253" i="15"/>
  <c r="BC249" i="15"/>
  <c r="BC241" i="15"/>
  <c r="BC237" i="15"/>
  <c r="BC225" i="15"/>
  <c r="BC221" i="15"/>
  <c r="BD221" i="15" s="1"/>
  <c r="BE221" i="15" s="1"/>
  <c r="BC217" i="15"/>
  <c r="BC209" i="15"/>
  <c r="BD209" i="15" s="1"/>
  <c r="BE209" i="15" s="1"/>
  <c r="BC205" i="15"/>
  <c r="BD205" i="15" s="1"/>
  <c r="BE205" i="15" s="1"/>
  <c r="BC201" i="15"/>
  <c r="BC193" i="15"/>
  <c r="BC189" i="15"/>
  <c r="BC185" i="15"/>
  <c r="BC177" i="15"/>
  <c r="BC173" i="15"/>
  <c r="BC169" i="15"/>
  <c r="BC161" i="15"/>
  <c r="BD161" i="15" s="1"/>
  <c r="BE161" i="15" s="1"/>
  <c r="BC157" i="15"/>
  <c r="BC153" i="15"/>
  <c r="BD153" i="15" s="1"/>
  <c r="BE153" i="15" s="1"/>
  <c r="BC145" i="15"/>
  <c r="BC141" i="15"/>
  <c r="BD141" i="15" s="1"/>
  <c r="BE141" i="15" s="1"/>
  <c r="BC137" i="15"/>
  <c r="BC129" i="15"/>
  <c r="BC121" i="15"/>
  <c r="BC113" i="15"/>
  <c r="BC105" i="15"/>
  <c r="BC97" i="15"/>
  <c r="BD97" i="15" s="1"/>
  <c r="BE97" i="15" s="1"/>
  <c r="BC93" i="15"/>
  <c r="BC89" i="15"/>
  <c r="BC81" i="15"/>
  <c r="BC77" i="15"/>
  <c r="BC73" i="15"/>
  <c r="BC65" i="15"/>
  <c r="BC61" i="15"/>
  <c r="BC57" i="15"/>
  <c r="BD57" i="15" s="1"/>
  <c r="BE57" i="15" s="1"/>
  <c r="BC45" i="15"/>
  <c r="BC41" i="15"/>
  <c r="BC33" i="15"/>
  <c r="BC17" i="15"/>
  <c r="BD17" i="15" s="1"/>
  <c r="BE17" i="15" s="1"/>
  <c r="BC13" i="15"/>
  <c r="BC9" i="15"/>
  <c r="BD9" i="15" s="1"/>
  <c r="BE9" i="15" s="1"/>
  <c r="AP188" i="15"/>
  <c r="AT188" i="15"/>
  <c r="AR188" i="15"/>
  <c r="AS188" i="15"/>
  <c r="AU188" i="15"/>
  <c r="AX188" i="15"/>
  <c r="AQ188" i="15"/>
  <c r="AW188" i="15"/>
  <c r="AZ252" i="15"/>
  <c r="AY252" i="15"/>
  <c r="AY76" i="15"/>
  <c r="AZ76" i="15"/>
  <c r="AY196" i="15"/>
  <c r="AZ196" i="15"/>
  <c r="AY68" i="15"/>
  <c r="AZ68" i="15"/>
  <c r="AT212" i="15"/>
  <c r="AS212" i="15"/>
  <c r="AQ156" i="15"/>
  <c r="AT156" i="15"/>
  <c r="AR156" i="15"/>
  <c r="AS132" i="15"/>
  <c r="AW132" i="15"/>
  <c r="AQ218" i="15"/>
  <c r="AT218" i="15"/>
  <c r="AW202" i="15"/>
  <c r="AU202" i="15"/>
  <c r="AQ190" i="15"/>
  <c r="AW190" i="15"/>
  <c r="AP174" i="15"/>
  <c r="AW174" i="15"/>
  <c r="AX162" i="15"/>
  <c r="AW162" i="15"/>
  <c r="AU162" i="15"/>
  <c r="AQ146" i="15"/>
  <c r="AW146" i="15"/>
  <c r="AX146" i="15"/>
  <c r="AU118" i="15"/>
  <c r="AT118" i="15"/>
  <c r="AW118" i="15"/>
  <c r="AX118" i="15"/>
  <c r="AU102" i="15"/>
  <c r="AW102" i="15"/>
  <c r="AT102" i="15"/>
  <c r="AW90" i="15"/>
  <c r="AU90" i="15"/>
  <c r="AP82" i="15"/>
  <c r="AT82" i="15"/>
  <c r="AX82" i="15"/>
  <c r="AZ82" i="15" s="1"/>
  <c r="AU82" i="15"/>
  <c r="BC268" i="15"/>
  <c r="BC252" i="15"/>
  <c r="BD236" i="15"/>
  <c r="BE236" i="15" s="1"/>
  <c r="BC220" i="15"/>
  <c r="BD220" i="15" s="1"/>
  <c r="BE220" i="15" s="1"/>
  <c r="BC204" i="15"/>
  <c r="BD204" i="15" s="1"/>
  <c r="BE204" i="15" s="1"/>
  <c r="BC192" i="15"/>
  <c r="BC176" i="15"/>
  <c r="BC160" i="15"/>
  <c r="BC148" i="15"/>
  <c r="BC132" i="15"/>
  <c r="AZ193" i="15"/>
  <c r="BD193" i="15" s="1"/>
  <c r="BE193" i="15" s="1"/>
  <c r="AZ122" i="15"/>
  <c r="AZ90" i="15"/>
  <c r="AY204" i="15"/>
  <c r="AX258" i="15"/>
  <c r="AY168" i="15"/>
  <c r="AZ168" i="15"/>
  <c r="AX102" i="15"/>
  <c r="AX94" i="15"/>
  <c r="AY5" i="15"/>
  <c r="AZ5" i="15"/>
  <c r="AW238" i="15"/>
  <c r="AT90" i="15"/>
  <c r="AV168" i="15"/>
  <c r="AR245" i="15"/>
  <c r="AU245" i="15"/>
  <c r="AS245" i="15"/>
  <c r="AS229" i="15"/>
  <c r="AW229" i="15"/>
  <c r="AU229" i="15"/>
  <c r="AY98" i="15"/>
  <c r="AZ98" i="15"/>
  <c r="AV184" i="15"/>
  <c r="AR228" i="15"/>
  <c r="AS228" i="15"/>
  <c r="AT228" i="15"/>
  <c r="AW228" i="15"/>
  <c r="AP236" i="15"/>
  <c r="AR236" i="15"/>
  <c r="AS236" i="15"/>
  <c r="AT236" i="15"/>
  <c r="AW236" i="15"/>
  <c r="AQ220" i="15"/>
  <c r="AR220" i="15"/>
  <c r="AS220" i="15"/>
  <c r="AU220" i="15"/>
  <c r="AP220" i="15"/>
  <c r="AT220" i="15"/>
  <c r="AP204" i="15"/>
  <c r="AT204" i="15"/>
  <c r="AW204" i="15"/>
  <c r="AR204" i="15"/>
  <c r="AS204" i="15"/>
  <c r="AV204" i="15" s="1"/>
  <c r="AU204" i="15"/>
  <c r="AQ204" i="15"/>
  <c r="AS180" i="15"/>
  <c r="AT180" i="15"/>
  <c r="AQ180" i="15"/>
  <c r="AW180" i="15"/>
  <c r="AX180" i="15"/>
  <c r="AQ164" i="15"/>
  <c r="AS164" i="15"/>
  <c r="AT164" i="15"/>
  <c r="AX164" i="15"/>
  <c r="AP148" i="15"/>
  <c r="AQ148" i="15"/>
  <c r="AS148" i="15"/>
  <c r="AT148" i="15"/>
  <c r="AU148" i="15"/>
  <c r="AW148" i="15"/>
  <c r="AX148" i="15"/>
  <c r="AP140" i="15"/>
  <c r="AR140" i="15"/>
  <c r="AS140" i="15"/>
  <c r="AQ140" i="15"/>
  <c r="AW140" i="15"/>
  <c r="AX140" i="15"/>
  <c r="AT140" i="15"/>
  <c r="AP116" i="15"/>
  <c r="AQ116" i="15"/>
  <c r="AS116" i="15"/>
  <c r="AU116" i="15"/>
  <c r="AR108" i="15"/>
  <c r="AS108" i="15"/>
  <c r="AQ108" i="15"/>
  <c r="AT108" i="15"/>
  <c r="AW108" i="15"/>
  <c r="AX108" i="15"/>
  <c r="AR100" i="15"/>
  <c r="AU100" i="15"/>
  <c r="AS100" i="15"/>
  <c r="AP100" i="15"/>
  <c r="AT100" i="15"/>
  <c r="AW100" i="15"/>
  <c r="AQ100" i="15"/>
  <c r="AX100" i="15"/>
  <c r="AQ92" i="15"/>
  <c r="AP92" i="15"/>
  <c r="AR92" i="15"/>
  <c r="AS92" i="15"/>
  <c r="AT92" i="15"/>
  <c r="AV92" i="15" s="1"/>
  <c r="AU92" i="15"/>
  <c r="AX92" i="15"/>
  <c r="AP84" i="15"/>
  <c r="AW84" i="15"/>
  <c r="AQ84" i="15"/>
  <c r="AU84" i="15"/>
  <c r="AX84" i="15"/>
  <c r="AS84" i="15"/>
  <c r="AV84" i="15" s="1"/>
  <c r="AR84" i="15"/>
  <c r="AT84" i="15"/>
  <c r="AP76" i="15"/>
  <c r="AR76" i="15"/>
  <c r="AU76" i="15"/>
  <c r="AW76" i="15"/>
  <c r="AQ76" i="15"/>
  <c r="AT76" i="15"/>
  <c r="AP68" i="15"/>
  <c r="AS68" i="15"/>
  <c r="AP60" i="15"/>
  <c r="AR60" i="15"/>
  <c r="AS60" i="15"/>
  <c r="AT60" i="15"/>
  <c r="AX60" i="15"/>
  <c r="AW60" i="15"/>
  <c r="AQ52" i="15"/>
  <c r="AT52" i="15"/>
  <c r="AU52" i="15"/>
  <c r="AW52" i="15"/>
  <c r="AP52" i="15"/>
  <c r="AR52" i="15"/>
  <c r="AX52" i="15"/>
  <c r="AX36" i="15"/>
  <c r="AW36" i="15"/>
  <c r="AR36" i="15"/>
  <c r="AS36" i="15"/>
  <c r="AP28" i="15"/>
  <c r="AS28" i="15"/>
  <c r="AQ28" i="15"/>
  <c r="AR28" i="15"/>
  <c r="AT28" i="15"/>
  <c r="AX28" i="15"/>
  <c r="AP20" i="15"/>
  <c r="AS20" i="15"/>
  <c r="AX20" i="15"/>
  <c r="AW20" i="15"/>
  <c r="AU12" i="15"/>
  <c r="AR12" i="15"/>
  <c r="AS12" i="15"/>
  <c r="AW12" i="15"/>
  <c r="AX12" i="15"/>
  <c r="AP254" i="15"/>
  <c r="AW254" i="15"/>
  <c r="AQ242" i="15"/>
  <c r="AU242" i="15"/>
  <c r="AW242" i="15"/>
  <c r="AX226" i="15"/>
  <c r="AW226" i="15"/>
  <c r="AX206" i="15"/>
  <c r="AU206" i="15"/>
  <c r="AP206" i="15"/>
  <c r="AW206" i="15"/>
  <c r="AW198" i="15"/>
  <c r="AQ198" i="15"/>
  <c r="AT198" i="15"/>
  <c r="AU170" i="15"/>
  <c r="AT170" i="15"/>
  <c r="AU158" i="15"/>
  <c r="AW158" i="15"/>
  <c r="AW154" i="15"/>
  <c r="AT154" i="15"/>
  <c r="AX154" i="15"/>
  <c r="AP142" i="15"/>
  <c r="AX142" i="15"/>
  <c r="AW142" i="15"/>
  <c r="AW134" i="15"/>
  <c r="AT134" i="15"/>
  <c r="AX134" i="15"/>
  <c r="AP126" i="15"/>
  <c r="AU126" i="15"/>
  <c r="AW126" i="15"/>
  <c r="AX126" i="15"/>
  <c r="AW114" i="15"/>
  <c r="AX114" i="15"/>
  <c r="AU106" i="15"/>
  <c r="AT106" i="15"/>
  <c r="AW106" i="15"/>
  <c r="AT98" i="15"/>
  <c r="AP98" i="15"/>
  <c r="AU98" i="15"/>
  <c r="AT86" i="15"/>
  <c r="AU86" i="15"/>
  <c r="AW86" i="15"/>
  <c r="BC260" i="15"/>
  <c r="BC256" i="15"/>
  <c r="BC244" i="15"/>
  <c r="BC240" i="15"/>
  <c r="BC232" i="15"/>
  <c r="BC224" i="15"/>
  <c r="BC212" i="15"/>
  <c r="BC208" i="15"/>
  <c r="BC196" i="15"/>
  <c r="BD196" i="15" s="1"/>
  <c r="BE196" i="15" s="1"/>
  <c r="BC188" i="15"/>
  <c r="BC180" i="15"/>
  <c r="BC172" i="15"/>
  <c r="BC164" i="15"/>
  <c r="BC152" i="15"/>
  <c r="BC144" i="15"/>
  <c r="BC136" i="15"/>
  <c r="BC116" i="15"/>
  <c r="BD122" i="15"/>
  <c r="BE122" i="15" s="1"/>
  <c r="BD98" i="15"/>
  <c r="BE98" i="15" s="1"/>
  <c r="BD90" i="15"/>
  <c r="BE90" i="15" s="1"/>
  <c r="BD82" i="15"/>
  <c r="BE82" i="15" s="1"/>
  <c r="AZ178" i="15"/>
  <c r="BD178" i="15" s="1"/>
  <c r="BE178" i="15" s="1"/>
  <c r="AY220" i="15"/>
  <c r="AX116" i="15"/>
  <c r="AX106" i="15"/>
  <c r="AX86" i="15"/>
  <c r="AY21" i="15"/>
  <c r="AZ21" i="15"/>
  <c r="AW164" i="15"/>
  <c r="AW82" i="15"/>
  <c r="AT116" i="15"/>
  <c r="AT12" i="15"/>
  <c r="AX201" i="15"/>
  <c r="AS201" i="15"/>
  <c r="AW201" i="15"/>
  <c r="AQ33" i="15"/>
  <c r="AV33" i="15" s="1"/>
  <c r="AR33" i="15"/>
  <c r="AS33" i="15"/>
  <c r="AP33" i="15"/>
  <c r="AU33" i="15"/>
  <c r="AX33" i="15"/>
  <c r="AP252" i="15"/>
  <c r="AR252" i="15"/>
  <c r="AQ252" i="15"/>
  <c r="AS252" i="15"/>
  <c r="AW252" i="15"/>
  <c r="AU252" i="15"/>
  <c r="AT252" i="15"/>
  <c r="AT196" i="15"/>
  <c r="AW196" i="15"/>
  <c r="AS196" i="15"/>
  <c r="AP172" i="15"/>
  <c r="AR172" i="15"/>
  <c r="AS172" i="15"/>
  <c r="AT172" i="15"/>
  <c r="AU172" i="15"/>
  <c r="AW172" i="15"/>
  <c r="AQ172" i="15"/>
  <c r="AX172" i="15"/>
  <c r="AU124" i="15"/>
  <c r="AP124" i="15"/>
  <c r="AR124" i="15"/>
  <c r="AT124" i="15"/>
  <c r="AQ124" i="15"/>
  <c r="AW124" i="15"/>
  <c r="AX124" i="15"/>
  <c r="AS124" i="15"/>
  <c r="AX266" i="15"/>
  <c r="AT266" i="15"/>
  <c r="AT250" i="15"/>
  <c r="AX250" i="15"/>
  <c r="AY250" i="15" s="1"/>
  <c r="AY238" i="15"/>
  <c r="AZ238" i="15"/>
  <c r="BD238" i="15" s="1"/>
  <c r="BE238" i="15" s="1"/>
  <c r="AX222" i="15"/>
  <c r="AW222" i="15"/>
  <c r="AX210" i="15"/>
  <c r="AU210" i="15"/>
  <c r="AW210" i="15"/>
  <c r="AX194" i="15"/>
  <c r="AU194" i="15"/>
  <c r="AW182" i="15"/>
  <c r="AT182" i="15"/>
  <c r="AT150" i="15"/>
  <c r="AX150" i="15"/>
  <c r="AW138" i="15"/>
  <c r="AT138" i="15"/>
  <c r="AX138" i="15"/>
  <c r="AT122" i="15"/>
  <c r="AW122" i="15"/>
  <c r="AU122" i="15"/>
  <c r="AU110" i="15"/>
  <c r="AP110" i="15"/>
  <c r="AT94" i="15"/>
  <c r="AW94" i="15"/>
  <c r="BC264" i="15"/>
  <c r="BC248" i="15"/>
  <c r="BC216" i="15"/>
  <c r="BC200" i="15"/>
  <c r="BD200" i="15" s="1"/>
  <c r="BE200" i="15" s="1"/>
  <c r="BC184" i="15"/>
  <c r="BD184" i="15" s="1"/>
  <c r="BE184" i="15" s="1"/>
  <c r="BC168" i="15"/>
  <c r="BD168" i="15" s="1"/>
  <c r="BE168" i="15" s="1"/>
  <c r="BC156" i="15"/>
  <c r="BC140" i="15"/>
  <c r="BC124" i="15"/>
  <c r="BC112" i="15"/>
  <c r="BC104" i="15"/>
  <c r="BC100" i="15"/>
  <c r="BC96" i="15"/>
  <c r="BC92" i="15"/>
  <c r="BC88" i="15"/>
  <c r="BC84" i="15"/>
  <c r="BC80" i="15"/>
  <c r="BD80" i="15" s="1"/>
  <c r="BE80" i="15" s="1"/>
  <c r="BC76" i="15"/>
  <c r="BD76" i="15" s="1"/>
  <c r="BE76" i="15" s="1"/>
  <c r="BC72" i="15"/>
  <c r="BC68" i="15"/>
  <c r="BD68" i="15" s="1"/>
  <c r="BE68" i="15" s="1"/>
  <c r="BC64" i="15"/>
  <c r="BC60" i="15"/>
  <c r="BC56" i="15"/>
  <c r="BC44" i="15"/>
  <c r="BC40" i="15"/>
  <c r="BD40" i="15" s="1"/>
  <c r="BE40" i="15" s="1"/>
  <c r="BC32" i="15"/>
  <c r="BC20" i="15"/>
  <c r="BC16" i="15"/>
  <c r="BC12" i="15"/>
  <c r="BC8" i="15"/>
  <c r="BC4" i="15"/>
  <c r="AZ228" i="15"/>
  <c r="BD228" i="15" s="1"/>
  <c r="BE228" i="15" s="1"/>
  <c r="AZ184" i="15"/>
  <c r="AY261" i="15"/>
  <c r="AZ261" i="15"/>
  <c r="BD261" i="15" s="1"/>
  <c r="BE261" i="15" s="1"/>
  <c r="AY225" i="15"/>
  <c r="AZ225" i="15"/>
  <c r="BD225" i="15" s="1"/>
  <c r="BE225" i="15" s="1"/>
  <c r="AX156" i="15"/>
  <c r="AX110" i="15"/>
  <c r="AY37" i="15"/>
  <c r="AZ37" i="15"/>
  <c r="BD37" i="15" s="1"/>
  <c r="BE37" i="15" s="1"/>
  <c r="AW220" i="15"/>
  <c r="AW212" i="15"/>
  <c r="AW178" i="15"/>
  <c r="AW156" i="15"/>
  <c r="AW116" i="15"/>
  <c r="AW98" i="15"/>
  <c r="AW68" i="15"/>
  <c r="AW28" i="15"/>
  <c r="AU140" i="15"/>
  <c r="AU114" i="15"/>
  <c r="AQ170" i="15"/>
  <c r="AU149" i="15"/>
  <c r="AT149" i="15"/>
  <c r="AW149" i="15"/>
  <c r="AX149" i="15"/>
  <c r="AQ96" i="15"/>
  <c r="AW96" i="15"/>
  <c r="AR96" i="15"/>
  <c r="AT96" i="15"/>
  <c r="AX96" i="15"/>
  <c r="AP53" i="15"/>
  <c r="AQ53" i="15"/>
  <c r="AS53" i="15"/>
  <c r="AX53" i="15"/>
  <c r="AU53" i="15"/>
  <c r="AR53" i="15"/>
  <c r="AW53" i="15"/>
  <c r="AV109" i="15"/>
  <c r="AP268" i="15"/>
  <c r="AR268" i="15"/>
  <c r="AT268" i="15"/>
  <c r="AU268" i="15"/>
  <c r="AQ268" i="15"/>
  <c r="AQ209" i="15"/>
  <c r="AP209" i="15"/>
  <c r="AW209" i="15"/>
  <c r="AS209" i="15"/>
  <c r="AP193" i="15"/>
  <c r="AQ193" i="15"/>
  <c r="AQ40" i="15"/>
  <c r="AP40" i="15"/>
  <c r="AR40" i="15"/>
  <c r="AU40" i="15"/>
  <c r="AW40" i="15"/>
  <c r="AS40" i="15"/>
  <c r="AQ8" i="15"/>
  <c r="AP8" i="15"/>
  <c r="AT8" i="15"/>
  <c r="AW8" i="15"/>
  <c r="AZ181" i="15"/>
  <c r="BD181" i="15" s="1"/>
  <c r="BE181" i="15" s="1"/>
  <c r="AZ145" i="15"/>
  <c r="BD145" i="15" s="1"/>
  <c r="BE145" i="15" s="1"/>
  <c r="AZ109" i="15"/>
  <c r="BD109" i="15" s="1"/>
  <c r="BE109" i="15" s="1"/>
  <c r="AZ93" i="15"/>
  <c r="BD93" i="15" s="1"/>
  <c r="BE93" i="15" s="1"/>
  <c r="AZ29" i="15"/>
  <c r="BD29" i="15" s="1"/>
  <c r="BE29" i="15" s="1"/>
  <c r="AZ13" i="15"/>
  <c r="BD13" i="15" s="1"/>
  <c r="BE13" i="15" s="1"/>
  <c r="AV216" i="15"/>
  <c r="AQ89" i="15"/>
  <c r="AV89" i="15" s="1"/>
  <c r="AQ241" i="15"/>
  <c r="AR241" i="15"/>
  <c r="AS241" i="15"/>
  <c r="AU141" i="15"/>
  <c r="AW141" i="15"/>
  <c r="AP113" i="15"/>
  <c r="AV113" i="15" s="1"/>
  <c r="AQ113" i="15"/>
  <c r="AT113" i="15"/>
  <c r="AP80" i="15"/>
  <c r="AR80" i="15"/>
  <c r="AS80" i="15"/>
  <c r="AT80" i="15"/>
  <c r="AU80" i="15"/>
  <c r="AP232" i="15"/>
  <c r="AR232" i="15"/>
  <c r="AQ217" i="15"/>
  <c r="AR217" i="15"/>
  <c r="AP217" i="15"/>
  <c r="AS217" i="15"/>
  <c r="AQ129" i="15"/>
  <c r="AS129" i="15"/>
  <c r="AW129" i="15"/>
  <c r="AP72" i="15"/>
  <c r="AQ72" i="15"/>
  <c r="AW72" i="15"/>
  <c r="AS72" i="15"/>
  <c r="AV225" i="15"/>
  <c r="AP153" i="15"/>
  <c r="AR153" i="15"/>
  <c r="AW153" i="15"/>
  <c r="AS153" i="15"/>
  <c r="AP257" i="15"/>
  <c r="AT257" i="15"/>
  <c r="AV257" i="15" s="1"/>
  <c r="AQ173" i="15"/>
  <c r="AP173" i="15"/>
  <c r="AR173" i="15"/>
  <c r="AS173" i="15"/>
  <c r="AQ161" i="15"/>
  <c r="AV161" i="15" s="1"/>
  <c r="AS161" i="15"/>
  <c r="AW161" i="15"/>
  <c r="AP161" i="15"/>
  <c r="AP145" i="15"/>
  <c r="AQ145" i="15"/>
  <c r="AR145" i="15"/>
  <c r="AP105" i="15"/>
  <c r="AQ105" i="15"/>
  <c r="AQ9" i="15"/>
  <c r="AP9" i="15"/>
  <c r="AT9" i="15"/>
  <c r="AR121" i="15"/>
  <c r="AP121" i="15"/>
  <c r="AT121" i="15"/>
  <c r="AS121" i="15"/>
  <c r="AS97" i="15"/>
  <c r="AV97" i="15" s="1"/>
  <c r="AP97" i="15"/>
  <c r="AQ97" i="15"/>
  <c r="AP81" i="15"/>
  <c r="AV81" i="15" s="1"/>
  <c r="AQ81" i="15"/>
  <c r="AR81" i="15"/>
  <c r="AS81" i="15"/>
  <c r="AQ65" i="15"/>
  <c r="AP65" i="15"/>
  <c r="AV65" i="15" s="1"/>
  <c r="AR65" i="15"/>
  <c r="AR57" i="15"/>
  <c r="AQ57" i="15"/>
  <c r="AV57" i="15" s="1"/>
  <c r="AP49" i="15"/>
  <c r="AR49" i="15"/>
  <c r="AS49" i="15"/>
  <c r="AR25" i="15"/>
  <c r="AQ25" i="15"/>
  <c r="AV25" i="15" s="1"/>
  <c r="AP25" i="15"/>
  <c r="AT25" i="15"/>
  <c r="AR41" i="15"/>
  <c r="AQ73" i="15"/>
  <c r="AP253" i="15"/>
  <c r="AV253" i="15" s="1"/>
  <c r="AV200" i="15"/>
  <c r="AP73" i="15"/>
  <c r="AP160" i="15"/>
  <c r="AR160" i="15"/>
  <c r="AU169" i="15"/>
  <c r="AU73" i="15"/>
  <c r="AU29" i="15"/>
  <c r="AT37" i="15"/>
  <c r="AV37" i="15" s="1"/>
  <c r="AS248" i="15"/>
  <c r="AS117" i="15"/>
  <c r="AR169" i="15"/>
  <c r="AQ248" i="15"/>
  <c r="AQ205" i="15"/>
  <c r="AV205" i="15" s="1"/>
  <c r="AP224" i="15"/>
  <c r="AQ224" i="15"/>
  <c r="AQ136" i="15"/>
  <c r="AR136" i="15"/>
  <c r="AQ24" i="15"/>
  <c r="AV24" i="15" s="1"/>
  <c r="AP24" i="15"/>
  <c r="AN267" i="15"/>
  <c r="AO267" i="15" s="1"/>
  <c r="AR267" i="15" s="1"/>
  <c r="AN263" i="15"/>
  <c r="AO263" i="15" s="1"/>
  <c r="AQ263" i="15" s="1"/>
  <c r="AN259" i="15"/>
  <c r="AO259" i="15" s="1"/>
  <c r="AU259" i="15" s="1"/>
  <c r="AN255" i="15"/>
  <c r="AO255" i="15" s="1"/>
  <c r="AN251" i="15"/>
  <c r="AO251" i="15" s="1"/>
  <c r="AT251" i="15" s="1"/>
  <c r="AN247" i="15"/>
  <c r="AO247" i="15" s="1"/>
  <c r="AS247" i="15" s="1"/>
  <c r="AN243" i="15"/>
  <c r="AO243" i="15" s="1"/>
  <c r="AP243" i="15" s="1"/>
  <c r="AN239" i="15"/>
  <c r="AO239" i="15" s="1"/>
  <c r="AN235" i="15"/>
  <c r="AO235" i="15" s="1"/>
  <c r="AR235" i="15" s="1"/>
  <c r="AN231" i="15"/>
  <c r="AO231" i="15" s="1"/>
  <c r="AR231" i="15" s="1"/>
  <c r="AN227" i="15"/>
  <c r="AO227" i="15" s="1"/>
  <c r="AR227" i="15" s="1"/>
  <c r="AN223" i="15"/>
  <c r="AO223" i="15" s="1"/>
  <c r="AN219" i="15"/>
  <c r="AO219" i="15" s="1"/>
  <c r="AU219" i="15" s="1"/>
  <c r="AN215" i="15"/>
  <c r="AO215" i="15" s="1"/>
  <c r="AT215" i="15" s="1"/>
  <c r="AN211" i="15"/>
  <c r="AO211" i="15" s="1"/>
  <c r="AS211" i="15" s="1"/>
  <c r="AN207" i="15"/>
  <c r="AO207" i="15" s="1"/>
  <c r="AN203" i="15"/>
  <c r="AO203" i="15" s="1"/>
  <c r="AR203" i="15" s="1"/>
  <c r="AN199" i="15"/>
  <c r="AO199" i="15" s="1"/>
  <c r="AQ199" i="15" s="1"/>
  <c r="AN195" i="15"/>
  <c r="AO195" i="15" s="1"/>
  <c r="AT195" i="15" s="1"/>
  <c r="AN191" i="15"/>
  <c r="AO191" i="15" s="1"/>
  <c r="AN187" i="15"/>
  <c r="AO187" i="15" s="1"/>
  <c r="AX187" i="15" s="1"/>
  <c r="AN183" i="15"/>
  <c r="AO183" i="15" s="1"/>
  <c r="AT183" i="15" s="1"/>
  <c r="AN179" i="15"/>
  <c r="AO179" i="15" s="1"/>
  <c r="AU179" i="15" s="1"/>
  <c r="AN175" i="15"/>
  <c r="AO175" i="15" s="1"/>
  <c r="AQ175" i="15" s="1"/>
  <c r="AN171" i="15"/>
  <c r="AO171" i="15" s="1"/>
  <c r="AP171" i="15" s="1"/>
  <c r="AN167" i="15"/>
  <c r="AO167" i="15" s="1"/>
  <c r="AU167" i="15" s="1"/>
  <c r="AN163" i="15"/>
  <c r="AO163" i="15" s="1"/>
  <c r="AX163" i="15" s="1"/>
  <c r="AZ163" i="15" s="1"/>
  <c r="AN159" i="15"/>
  <c r="AO159" i="15" s="1"/>
  <c r="AN155" i="15"/>
  <c r="AO155" i="15" s="1"/>
  <c r="AS155" i="15" s="1"/>
  <c r="AN151" i="15"/>
  <c r="AO151" i="15" s="1"/>
  <c r="AN147" i="15"/>
  <c r="AO147" i="15" s="1"/>
  <c r="AX147" i="15" s="1"/>
  <c r="AZ147" i="15" s="1"/>
  <c r="AN143" i="15"/>
  <c r="AO143" i="15" s="1"/>
  <c r="AX143" i="15" s="1"/>
  <c r="AN139" i="15"/>
  <c r="AO139" i="15" s="1"/>
  <c r="AX139" i="15" s="1"/>
  <c r="AZ139" i="15" s="1"/>
  <c r="AN135" i="15"/>
  <c r="AO135" i="15" s="1"/>
  <c r="AX135" i="15" s="1"/>
  <c r="AN131" i="15"/>
  <c r="AO131" i="15" s="1"/>
  <c r="AU131" i="15" s="1"/>
  <c r="AN127" i="15"/>
  <c r="AO127" i="15" s="1"/>
  <c r="AN123" i="15"/>
  <c r="AO123" i="15" s="1"/>
  <c r="AX123" i="15" s="1"/>
  <c r="AN119" i="15"/>
  <c r="AO119" i="15" s="1"/>
  <c r="AR119" i="15" s="1"/>
  <c r="AN115" i="15"/>
  <c r="AO115" i="15" s="1"/>
  <c r="AW115" i="15" s="1"/>
  <c r="AN111" i="15"/>
  <c r="AO111" i="15" s="1"/>
  <c r="AX111" i="15" s="1"/>
  <c r="AN107" i="15"/>
  <c r="AO107" i="15" s="1"/>
  <c r="AN103" i="15"/>
  <c r="AO103" i="15" s="1"/>
  <c r="AT103" i="15" s="1"/>
  <c r="AN99" i="15"/>
  <c r="AO99" i="15" s="1"/>
  <c r="AX99" i="15" s="1"/>
  <c r="AZ99" i="15" s="1"/>
  <c r="AN95" i="15"/>
  <c r="AO95" i="15" s="1"/>
  <c r="AX95" i="15" s="1"/>
  <c r="AN91" i="15"/>
  <c r="AO91" i="15" s="1"/>
  <c r="AN87" i="15"/>
  <c r="AO87" i="15" s="1"/>
  <c r="AX87" i="15" s="1"/>
  <c r="AN83" i="15"/>
  <c r="AO83" i="15" s="1"/>
  <c r="AU83" i="15" s="1"/>
  <c r="AN79" i="15"/>
  <c r="AO79" i="15" s="1"/>
  <c r="AX79" i="15" s="1"/>
  <c r="AN75" i="15"/>
  <c r="AO75" i="15" s="1"/>
  <c r="AN71" i="15"/>
  <c r="AO71" i="15" s="1"/>
  <c r="AX71" i="15" s="1"/>
  <c r="AN67" i="15"/>
  <c r="AO67" i="15" s="1"/>
  <c r="AX67" i="15" s="1"/>
  <c r="AY67" i="15" s="1"/>
  <c r="AN63" i="15"/>
  <c r="AO63" i="15" s="1"/>
  <c r="AX63" i="15" s="1"/>
  <c r="AN59" i="15"/>
  <c r="AO59" i="15" s="1"/>
  <c r="AN55" i="15"/>
  <c r="AO55" i="15" s="1"/>
  <c r="AX55" i="15" s="1"/>
  <c r="AN51" i="15"/>
  <c r="AO51" i="15" s="1"/>
  <c r="AP51" i="15" s="1"/>
  <c r="AN47" i="15"/>
  <c r="AO47" i="15" s="1"/>
  <c r="AX47" i="15" s="1"/>
  <c r="AN43" i="15"/>
  <c r="AO43" i="15" s="1"/>
  <c r="AN39" i="15"/>
  <c r="AO39" i="15" s="1"/>
  <c r="AN35" i="15"/>
  <c r="AO35" i="15" s="1"/>
  <c r="AQ35" i="15" s="1"/>
  <c r="AN31" i="15"/>
  <c r="AO31" i="15" s="1"/>
  <c r="AN27" i="15"/>
  <c r="AO27" i="15" s="1"/>
  <c r="AU27" i="15" s="1"/>
  <c r="AN23" i="15"/>
  <c r="AO23" i="15" s="1"/>
  <c r="AS23" i="15" s="1"/>
  <c r="AN19" i="15"/>
  <c r="AO19" i="15" s="1"/>
  <c r="AR19" i="15" s="1"/>
  <c r="AN15" i="15"/>
  <c r="AO15" i="15" s="1"/>
  <c r="AR15" i="15" s="1"/>
  <c r="AN11" i="15"/>
  <c r="AO11" i="15" s="1"/>
  <c r="AR11" i="15" s="1"/>
  <c r="AN78" i="15"/>
  <c r="AO78" i="15" s="1"/>
  <c r="AN74" i="15"/>
  <c r="AO74" i="15" s="1"/>
  <c r="AR74" i="15" s="1"/>
  <c r="AN70" i="15"/>
  <c r="AO70" i="15" s="1"/>
  <c r="AN66" i="15"/>
  <c r="AO66" i="15" s="1"/>
  <c r="AN62" i="15"/>
  <c r="AO62" i="15" s="1"/>
  <c r="AW62" i="15" s="1"/>
  <c r="AN58" i="15"/>
  <c r="AO58" i="15" s="1"/>
  <c r="AN54" i="15"/>
  <c r="AO54" i="15" s="1"/>
  <c r="AN50" i="15"/>
  <c r="AO50" i="15" s="1"/>
  <c r="AN46" i="15"/>
  <c r="AO46" i="15" s="1"/>
  <c r="AN42" i="15"/>
  <c r="AO42" i="15" s="1"/>
  <c r="AN38" i="15"/>
  <c r="AO38" i="15" s="1"/>
  <c r="AN34" i="15"/>
  <c r="AO34" i="15" s="1"/>
  <c r="AN30" i="15"/>
  <c r="AO30" i="15" s="1"/>
  <c r="AN26" i="15"/>
  <c r="AO26" i="15" s="1"/>
  <c r="AN22" i="15"/>
  <c r="AO22" i="15" s="1"/>
  <c r="AN18" i="15"/>
  <c r="AO18" i="15" s="1"/>
  <c r="AN14" i="15"/>
  <c r="AO14" i="15" s="1"/>
  <c r="AN10" i="15"/>
  <c r="AO10" i="15" s="1"/>
  <c r="AN6" i="15"/>
  <c r="AO6" i="15" s="1"/>
  <c r="AP255" i="15"/>
  <c r="AT255" i="15"/>
  <c r="AS255" i="15"/>
  <c r="AR255" i="15"/>
  <c r="AW255" i="15"/>
  <c r="AX255" i="15"/>
  <c r="AQ255" i="15"/>
  <c r="AU255" i="15"/>
  <c r="AZ250" i="15"/>
  <c r="BD250" i="15" s="1"/>
  <c r="BE250" i="15" s="1"/>
  <c r="AZ130" i="15"/>
  <c r="BD130" i="15" s="1"/>
  <c r="BE130" i="15" s="1"/>
  <c r="AX259" i="15"/>
  <c r="AY121" i="15"/>
  <c r="AZ121" i="15"/>
  <c r="AY71" i="15"/>
  <c r="AZ71" i="15"/>
  <c r="AY49" i="15"/>
  <c r="AZ49" i="15"/>
  <c r="BD49" i="15" s="1"/>
  <c r="BE49" i="15" s="1"/>
  <c r="AP185" i="15"/>
  <c r="AQ249" i="15"/>
  <c r="AR249" i="15"/>
  <c r="AP249" i="15"/>
  <c r="AT249" i="15"/>
  <c r="AU249" i="15"/>
  <c r="AX249" i="15"/>
  <c r="AS249" i="15"/>
  <c r="AY201" i="15"/>
  <c r="AZ201" i="15"/>
  <c r="AP56" i="15"/>
  <c r="AR56" i="15"/>
  <c r="AU56" i="15"/>
  <c r="AQ56" i="15"/>
  <c r="AT56" i="15"/>
  <c r="AS56" i="15"/>
  <c r="AX56" i="15"/>
  <c r="AW56" i="15"/>
  <c r="BC267" i="15"/>
  <c r="BC263" i="15"/>
  <c r="BC259" i="15"/>
  <c r="BC255" i="15"/>
  <c r="BC251" i="15"/>
  <c r="BC247" i="15"/>
  <c r="BC239" i="15"/>
  <c r="BC235" i="15"/>
  <c r="BC231" i="15"/>
  <c r="BC227" i="15"/>
  <c r="BC223" i="15"/>
  <c r="BC219" i="15"/>
  <c r="BC215" i="15"/>
  <c r="BC211" i="15"/>
  <c r="BC207" i="15"/>
  <c r="BC203" i="15"/>
  <c r="BC199" i="15"/>
  <c r="BC195" i="15"/>
  <c r="BC191" i="15"/>
  <c r="BC187" i="15"/>
  <c r="BC183" i="15"/>
  <c r="BC179" i="15"/>
  <c r="BC175" i="15"/>
  <c r="BC171" i="15"/>
  <c r="BC167" i="15"/>
  <c r="BC163" i="15"/>
  <c r="BC159" i="15"/>
  <c r="BC155" i="15"/>
  <c r="BC151" i="15"/>
  <c r="BC147" i="15"/>
  <c r="BC143" i="15"/>
  <c r="BC139" i="15"/>
  <c r="BD139" i="15" s="1"/>
  <c r="BE139" i="15" s="1"/>
  <c r="BC135" i="15"/>
  <c r="BC131" i="15"/>
  <c r="BC127" i="15"/>
  <c r="BC123" i="15"/>
  <c r="BC119" i="15"/>
  <c r="BC115" i="15"/>
  <c r="BC111" i="15"/>
  <c r="BC107" i="15"/>
  <c r="BC103" i="15"/>
  <c r="BC99" i="15"/>
  <c r="BC95" i="15"/>
  <c r="BC87" i="15"/>
  <c r="BC83" i="15"/>
  <c r="BC79" i="15"/>
  <c r="BC75" i="15"/>
  <c r="BC71" i="15"/>
  <c r="BC67" i="15"/>
  <c r="BC63" i="15"/>
  <c r="BC59" i="15"/>
  <c r="BC55" i="15"/>
  <c r="BC43" i="15"/>
  <c r="BC39" i="15"/>
  <c r="BC31" i="15"/>
  <c r="BC19" i="15"/>
  <c r="BC15" i="15"/>
  <c r="BC11" i="15"/>
  <c r="BC7" i="15"/>
  <c r="BC3" i="15"/>
  <c r="AZ254" i="15"/>
  <c r="BD254" i="15" s="1"/>
  <c r="BE254" i="15" s="1"/>
  <c r="AY125" i="15"/>
  <c r="AZ125" i="15"/>
  <c r="BD125" i="15" s="1"/>
  <c r="BE125" i="15" s="1"/>
  <c r="AZ79" i="15"/>
  <c r="AY79" i="15"/>
  <c r="AY3" i="15"/>
  <c r="AZ3" i="15"/>
  <c r="AW185" i="15"/>
  <c r="AV177" i="15"/>
  <c r="AQ265" i="15"/>
  <c r="AR265" i="15"/>
  <c r="AT265" i="15"/>
  <c r="AX265" i="15"/>
  <c r="AS265" i="15"/>
  <c r="AU265" i="15"/>
  <c r="AP265" i="15"/>
  <c r="AP240" i="15"/>
  <c r="AU240" i="15"/>
  <c r="AQ240" i="15"/>
  <c r="AX240" i="15"/>
  <c r="AS240" i="15"/>
  <c r="AT240" i="15"/>
  <c r="AW240" i="15"/>
  <c r="AR240" i="15"/>
  <c r="AZ111" i="15"/>
  <c r="AY111" i="15"/>
  <c r="AY95" i="15"/>
  <c r="AZ95" i="15"/>
  <c r="AY87" i="15"/>
  <c r="AZ87" i="15"/>
  <c r="AQ185" i="15"/>
  <c r="AR185" i="15"/>
  <c r="AT185" i="15"/>
  <c r="AX185" i="15"/>
  <c r="AU185" i="15"/>
  <c r="AP165" i="15"/>
  <c r="AQ165" i="15"/>
  <c r="AR165" i="15"/>
  <c r="AS165" i="15"/>
  <c r="AU165" i="15"/>
  <c r="AW165" i="15"/>
  <c r="AX165" i="15"/>
  <c r="AQ157" i="15"/>
  <c r="AR157" i="15"/>
  <c r="AP157" i="15"/>
  <c r="AS157" i="15"/>
  <c r="AT157" i="15"/>
  <c r="AX157" i="15"/>
  <c r="AW157" i="15"/>
  <c r="AP128" i="15"/>
  <c r="AU128" i="15"/>
  <c r="AX128" i="15"/>
  <c r="AS128" i="15"/>
  <c r="AQ128" i="15"/>
  <c r="AT128" i="15"/>
  <c r="AW128" i="15"/>
  <c r="AP85" i="15"/>
  <c r="AQ85" i="15"/>
  <c r="AR85" i="15"/>
  <c r="AS85" i="15"/>
  <c r="AW85" i="15"/>
  <c r="AU85" i="15"/>
  <c r="AX85" i="15"/>
  <c r="AQ77" i="15"/>
  <c r="AR77" i="15"/>
  <c r="AS77" i="15"/>
  <c r="AT77" i="15"/>
  <c r="AW77" i="15"/>
  <c r="AX77" i="15"/>
  <c r="AQ62" i="15"/>
  <c r="AP62" i="15"/>
  <c r="AS62" i="15"/>
  <c r="AU62" i="15"/>
  <c r="AP263" i="15"/>
  <c r="AT263" i="15"/>
  <c r="AW263" i="15"/>
  <c r="AR263" i="15"/>
  <c r="AX263" i="15"/>
  <c r="AP247" i="15"/>
  <c r="AT247" i="15"/>
  <c r="AW247" i="15"/>
  <c r="AQ247" i="15"/>
  <c r="AR247" i="15"/>
  <c r="AU247" i="15"/>
  <c r="AQ243" i="15"/>
  <c r="AU243" i="15"/>
  <c r="AP235" i="15"/>
  <c r="AT235" i="15"/>
  <c r="AS235" i="15"/>
  <c r="AW235" i="15"/>
  <c r="AP231" i="15"/>
  <c r="AT231" i="15"/>
  <c r="AS231" i="15"/>
  <c r="AW231" i="15"/>
  <c r="AQ231" i="15"/>
  <c r="AS227" i="15"/>
  <c r="AX227" i="15"/>
  <c r="AP223" i="15"/>
  <c r="AT223" i="15"/>
  <c r="AS223" i="15"/>
  <c r="AW223" i="15"/>
  <c r="AQ223" i="15"/>
  <c r="AX223" i="15"/>
  <c r="AR223" i="15"/>
  <c r="AU223" i="15"/>
  <c r="AQ219" i="15"/>
  <c r="AT219" i="15"/>
  <c r="AS219" i="15"/>
  <c r="AR219" i="15"/>
  <c r="AX219" i="15"/>
  <c r="AP215" i="15"/>
  <c r="AQ215" i="15"/>
  <c r="AS215" i="15"/>
  <c r="AW215" i="15"/>
  <c r="AU215" i="15"/>
  <c r="AX215" i="15"/>
  <c r="AP207" i="15"/>
  <c r="AT207" i="15"/>
  <c r="AR207" i="15"/>
  <c r="AS207" i="15"/>
  <c r="AQ207" i="15"/>
  <c r="AW207" i="15"/>
  <c r="AX207" i="15"/>
  <c r="AP203" i="15"/>
  <c r="AT203" i="15"/>
  <c r="AS203" i="15"/>
  <c r="AQ203" i="15"/>
  <c r="AX203" i="15"/>
  <c r="AT199" i="15"/>
  <c r="AS199" i="15"/>
  <c r="AU199" i="15"/>
  <c r="AX199" i="15"/>
  <c r="AP195" i="15"/>
  <c r="AS195" i="15"/>
  <c r="AP191" i="15"/>
  <c r="AQ191" i="15"/>
  <c r="AT191" i="15"/>
  <c r="AR191" i="15"/>
  <c r="AS191" i="15"/>
  <c r="AW191" i="15"/>
  <c r="AU191" i="15"/>
  <c r="AX191" i="15"/>
  <c r="AP183" i="15"/>
  <c r="AQ183" i="15"/>
  <c r="AS183" i="15"/>
  <c r="AW183" i="15"/>
  <c r="AR183" i="15"/>
  <c r="AX183" i="15"/>
  <c r="AW179" i="15"/>
  <c r="AY163" i="15"/>
  <c r="AQ139" i="15"/>
  <c r="AT139" i="15"/>
  <c r="AW139" i="15"/>
  <c r="AU139" i="15"/>
  <c r="AP127" i="15"/>
  <c r="AT127" i="15"/>
  <c r="AR127" i="15"/>
  <c r="AS127" i="15"/>
  <c r="AW127" i="15"/>
  <c r="AQ127" i="15"/>
  <c r="AU127" i="15"/>
  <c r="AX127" i="15"/>
  <c r="AZ63" i="15"/>
  <c r="AY63" i="15"/>
  <c r="AY55" i="15"/>
  <c r="AZ55" i="15"/>
  <c r="AY47" i="15"/>
  <c r="AZ47" i="15"/>
  <c r="BD47" i="15" s="1"/>
  <c r="BE47" i="15" s="1"/>
  <c r="AP11" i="15"/>
  <c r="AT11" i="15"/>
  <c r="AU11" i="15"/>
  <c r="AX11" i="15"/>
  <c r="AP7" i="15"/>
  <c r="AT7" i="15"/>
  <c r="AQ7" i="15"/>
  <c r="AS7" i="15"/>
  <c r="AU7" i="15"/>
  <c r="AW7" i="15"/>
  <c r="AX7" i="15"/>
  <c r="BD121" i="15"/>
  <c r="BE121" i="15" s="1"/>
  <c r="AP267" i="15"/>
  <c r="AQ267" i="15"/>
  <c r="AS267" i="15"/>
  <c r="AU267" i="15"/>
  <c r="AW267" i="15"/>
  <c r="AS259" i="15"/>
  <c r="AP251" i="15"/>
  <c r="AS251" i="15"/>
  <c r="AW251" i="15"/>
  <c r="AR251" i="15"/>
  <c r="AX251" i="15"/>
  <c r="AU251" i="15"/>
  <c r="AP239" i="15"/>
  <c r="AQ239" i="15"/>
  <c r="AT239" i="15"/>
  <c r="AS239" i="15"/>
  <c r="AW239" i="15"/>
  <c r="AR239" i="15"/>
  <c r="AU239" i="15"/>
  <c r="AX239" i="15"/>
  <c r="BD21" i="15"/>
  <c r="BE21" i="15" s="1"/>
  <c r="AY147" i="15"/>
  <c r="AY143" i="15"/>
  <c r="AZ143" i="15"/>
  <c r="AY135" i="15"/>
  <c r="AZ135" i="15"/>
  <c r="AY45" i="15"/>
  <c r="AZ45" i="15"/>
  <c r="BD45" i="15" s="1"/>
  <c r="BE45" i="15" s="1"/>
  <c r="AU211" i="15"/>
  <c r="AU207" i="15"/>
  <c r="AU203" i="15"/>
  <c r="AU77" i="15"/>
  <c r="AT85" i="15"/>
  <c r="AT171" i="15"/>
  <c r="AS171" i="15"/>
  <c r="AQ171" i="15"/>
  <c r="AW171" i="15"/>
  <c r="AP155" i="15"/>
  <c r="AT155" i="15"/>
  <c r="AQ155" i="15"/>
  <c r="AR155" i="15"/>
  <c r="AU155" i="15"/>
  <c r="AP111" i="15"/>
  <c r="AQ111" i="15"/>
  <c r="AT111" i="15"/>
  <c r="AR111" i="15"/>
  <c r="AS111" i="15"/>
  <c r="AW111" i="15"/>
  <c r="AU111" i="15"/>
  <c r="AQ99" i="15"/>
  <c r="AR83" i="15"/>
  <c r="AT71" i="15"/>
  <c r="AS71" i="15"/>
  <c r="AR71" i="15"/>
  <c r="AU71" i="15"/>
  <c r="AT35" i="15"/>
  <c r="AP23" i="15"/>
  <c r="AT23" i="15"/>
  <c r="AQ23" i="15"/>
  <c r="AW23" i="15"/>
  <c r="AR23" i="15"/>
  <c r="AX175" i="15"/>
  <c r="AP64" i="15"/>
  <c r="AU64" i="15"/>
  <c r="AT64" i="15"/>
  <c r="AQ64" i="15"/>
  <c r="AX64" i="15"/>
  <c r="AR64" i="15"/>
  <c r="AS64" i="15"/>
  <c r="AP44" i="15"/>
  <c r="AU44" i="15"/>
  <c r="AQ44" i="15"/>
  <c r="AT44" i="15"/>
  <c r="AR44" i="15"/>
  <c r="AS44" i="15"/>
  <c r="AX44" i="15"/>
  <c r="AU260" i="15"/>
  <c r="AP260" i="15"/>
  <c r="AR260" i="15"/>
  <c r="AX260" i="15"/>
  <c r="AT260" i="15"/>
  <c r="AQ4" i="15"/>
  <c r="AP4" i="15"/>
  <c r="AR4" i="15"/>
  <c r="AU4" i="15"/>
  <c r="AT4" i="15"/>
  <c r="AX4" i="15"/>
  <c r="AW4" i="15"/>
  <c r="AS254" i="15"/>
  <c r="AQ254" i="15"/>
  <c r="AR254" i="15"/>
  <c r="AT254" i="15"/>
  <c r="AZ61" i="15"/>
  <c r="AX262" i="15"/>
  <c r="AX234" i="15"/>
  <c r="AX230" i="15"/>
  <c r="AX218" i="15"/>
  <c r="AX214" i="15"/>
  <c r="AX202" i="15"/>
  <c r="AX198" i="15"/>
  <c r="AX190" i="15"/>
  <c r="AX186" i="15"/>
  <c r="AX182" i="15"/>
  <c r="AX174" i="15"/>
  <c r="AX170" i="15"/>
  <c r="AX166" i="15"/>
  <c r="AX158" i="15"/>
  <c r="AX51" i="15"/>
  <c r="AW262" i="15"/>
  <c r="AW246" i="15"/>
  <c r="AW230" i="15"/>
  <c r="AW214" i="15"/>
  <c r="AW166" i="15"/>
  <c r="AW150" i="15"/>
  <c r="AW44" i="15"/>
  <c r="AU246" i="15"/>
  <c r="AU175" i="15"/>
  <c r="AU171" i="15"/>
  <c r="AU154" i="15"/>
  <c r="AU63" i="15"/>
  <c r="AT202" i="15"/>
  <c r="AR39" i="15"/>
  <c r="AQ142" i="15"/>
  <c r="AP213" i="15"/>
  <c r="AQ213" i="15"/>
  <c r="AS213" i="15"/>
  <c r="AU213" i="15"/>
  <c r="AR213" i="15"/>
  <c r="AP197" i="15"/>
  <c r="AQ197" i="15"/>
  <c r="AS197" i="15"/>
  <c r="AR197" i="15"/>
  <c r="AU197" i="15"/>
  <c r="AQ221" i="15"/>
  <c r="AR221" i="15"/>
  <c r="AP221" i="15"/>
  <c r="AS221" i="15"/>
  <c r="AT221" i="15"/>
  <c r="AU221" i="15"/>
  <c r="AR152" i="15"/>
  <c r="AU152" i="15"/>
  <c r="AT152" i="15"/>
  <c r="AX152" i="15"/>
  <c r="AS152" i="15"/>
  <c r="AP187" i="15"/>
  <c r="AQ187" i="15"/>
  <c r="AT187" i="15"/>
  <c r="AS187" i="15"/>
  <c r="AR187" i="15"/>
  <c r="AW187" i="15"/>
  <c r="AU187" i="15"/>
  <c r="AP175" i="15"/>
  <c r="AT175" i="15"/>
  <c r="AR175" i="15"/>
  <c r="AS175" i="15"/>
  <c r="AW175" i="15"/>
  <c r="AP167" i="15"/>
  <c r="AT167" i="15"/>
  <c r="AS167" i="15"/>
  <c r="AW167" i="15"/>
  <c r="AP159" i="15"/>
  <c r="AT159" i="15"/>
  <c r="AQ159" i="15"/>
  <c r="AR159" i="15"/>
  <c r="AS159" i="15"/>
  <c r="AU159" i="15"/>
  <c r="AW159" i="15"/>
  <c r="AS147" i="15"/>
  <c r="AP143" i="15"/>
  <c r="AT143" i="15"/>
  <c r="AR143" i="15"/>
  <c r="AS143" i="15"/>
  <c r="AW143" i="15"/>
  <c r="AU143" i="15"/>
  <c r="AQ131" i="15"/>
  <c r="AP123" i="15"/>
  <c r="AQ123" i="15"/>
  <c r="AT123" i="15"/>
  <c r="AS123" i="15"/>
  <c r="AR123" i="15"/>
  <c r="AW123" i="15"/>
  <c r="AS115" i="15"/>
  <c r="AP103" i="15"/>
  <c r="AS103" i="15"/>
  <c r="AW103" i="15"/>
  <c r="AR103" i="15"/>
  <c r="AP95" i="15"/>
  <c r="AT95" i="15"/>
  <c r="AR95" i="15"/>
  <c r="AS95" i="15"/>
  <c r="AU95" i="15"/>
  <c r="AW95" i="15"/>
  <c r="AP87" i="15"/>
  <c r="AT87" i="15"/>
  <c r="AS87" i="15"/>
  <c r="AW87" i="15"/>
  <c r="AR87" i="15"/>
  <c r="AP79" i="15"/>
  <c r="AQ79" i="15"/>
  <c r="AT79" i="15"/>
  <c r="AR79" i="15"/>
  <c r="AS79" i="15"/>
  <c r="AW79" i="15"/>
  <c r="AU79" i="15"/>
  <c r="AT67" i="15"/>
  <c r="AP59" i="15"/>
  <c r="AT59" i="15"/>
  <c r="AS59" i="15"/>
  <c r="AW59" i="15"/>
  <c r="AP47" i="15"/>
  <c r="AT47" i="15"/>
  <c r="AR47" i="15"/>
  <c r="AS47" i="15"/>
  <c r="AQ47" i="15"/>
  <c r="AW47" i="15"/>
  <c r="AU47" i="15"/>
  <c r="AP43" i="15"/>
  <c r="AQ43" i="15"/>
  <c r="AT43" i="15"/>
  <c r="AS43" i="15"/>
  <c r="AW43" i="15"/>
  <c r="AP31" i="15"/>
  <c r="AQ31" i="15"/>
  <c r="AT31" i="15"/>
  <c r="AS31" i="15"/>
  <c r="AR31" i="15"/>
  <c r="AW31" i="15"/>
  <c r="AS19" i="15"/>
  <c r="AP15" i="15"/>
  <c r="AQ15" i="15"/>
  <c r="AT15" i="15"/>
  <c r="AS15" i="15"/>
  <c r="AU15" i="15"/>
  <c r="AW15" i="15"/>
  <c r="AX171" i="15"/>
  <c r="AX159" i="15"/>
  <c r="AX155" i="15"/>
  <c r="AX35" i="15"/>
  <c r="AX27" i="15"/>
  <c r="AX15" i="15"/>
  <c r="AU99" i="15"/>
  <c r="AP266" i="15"/>
  <c r="AS266" i="15"/>
  <c r="AR266" i="15"/>
  <c r="AQ266" i="15"/>
  <c r="AP250" i="15"/>
  <c r="AS250" i="15"/>
  <c r="AQ250" i="15"/>
  <c r="AR250" i="15"/>
  <c r="AZ81" i="15"/>
  <c r="AZ65" i="15"/>
  <c r="BD65" i="15" s="1"/>
  <c r="BE65" i="15" s="1"/>
  <c r="AY82" i="15"/>
  <c r="AY2" i="15"/>
  <c r="AX242" i="15"/>
  <c r="AX59" i="15"/>
  <c r="AW266" i="15"/>
  <c r="AW250" i="15"/>
  <c r="AW234" i="15"/>
  <c r="AW218" i="15"/>
  <c r="AW186" i="15"/>
  <c r="AW170" i="15"/>
  <c r="AW64" i="15"/>
  <c r="AU254" i="15"/>
  <c r="AU250" i="15"/>
  <c r="AU174" i="15"/>
  <c r="AU166" i="15"/>
  <c r="AU123" i="15"/>
  <c r="AU31" i="15"/>
  <c r="AU23" i="15"/>
  <c r="AQ260" i="15"/>
  <c r="AQ103" i="15"/>
  <c r="AQ95" i="15"/>
  <c r="AQ71" i="15"/>
  <c r="AQ59" i="15"/>
  <c r="AV13" i="15"/>
  <c r="AP256" i="15"/>
  <c r="AU256" i="15"/>
  <c r="AX256" i="15"/>
  <c r="AR256" i="15"/>
  <c r="AS256" i="15"/>
  <c r="AU244" i="15"/>
  <c r="AP244" i="15"/>
  <c r="AQ244" i="15"/>
  <c r="AX244" i="15"/>
  <c r="AR244" i="15"/>
  <c r="AT244" i="15"/>
  <c r="AP149" i="15"/>
  <c r="AQ149" i="15"/>
  <c r="AS149" i="15"/>
  <c r="AR149" i="15"/>
  <c r="AQ141" i="15"/>
  <c r="AR141" i="15"/>
  <c r="AP141" i="15"/>
  <c r="AS141" i="15"/>
  <c r="AT141" i="15"/>
  <c r="AR120" i="15"/>
  <c r="AU120" i="15"/>
  <c r="AT120" i="15"/>
  <c r="AX120" i="15"/>
  <c r="AS120" i="15"/>
  <c r="AP112" i="15"/>
  <c r="AU112" i="15"/>
  <c r="AQ112" i="15"/>
  <c r="AX112" i="15"/>
  <c r="AS112" i="15"/>
  <c r="AP101" i="15"/>
  <c r="AQ101" i="15"/>
  <c r="AR101" i="15"/>
  <c r="AS101" i="15"/>
  <c r="AU101" i="15"/>
  <c r="AQ45" i="15"/>
  <c r="AR45" i="15"/>
  <c r="AP45" i="15"/>
  <c r="AS45" i="15"/>
  <c r="AT45" i="15"/>
  <c r="AR34" i="15"/>
  <c r="AP34" i="15"/>
  <c r="AS34" i="15"/>
  <c r="AQ237" i="15"/>
  <c r="AR237" i="15"/>
  <c r="AP237" i="15"/>
  <c r="AS237" i="15"/>
  <c r="AT237" i="15"/>
  <c r="AU132" i="15"/>
  <c r="AR132" i="15"/>
  <c r="AP132" i="15"/>
  <c r="AQ132" i="15"/>
  <c r="AX132" i="15"/>
  <c r="AT132" i="15"/>
  <c r="AT163" i="15"/>
  <c r="AW163" i="15"/>
  <c r="AP151" i="15"/>
  <c r="AT151" i="15"/>
  <c r="AS151" i="15"/>
  <c r="AW151" i="15"/>
  <c r="AQ151" i="15"/>
  <c r="AU151" i="15"/>
  <c r="AP135" i="15"/>
  <c r="AQ135" i="15"/>
  <c r="AT135" i="15"/>
  <c r="AS135" i="15"/>
  <c r="AW135" i="15"/>
  <c r="AR135" i="15"/>
  <c r="AU135" i="15"/>
  <c r="AP119" i="15"/>
  <c r="AT119" i="15"/>
  <c r="AQ119" i="15"/>
  <c r="AS119" i="15"/>
  <c r="AU119" i="15"/>
  <c r="AW119" i="15"/>
  <c r="AP107" i="15"/>
  <c r="AT107" i="15"/>
  <c r="AS107" i="15"/>
  <c r="AW107" i="15"/>
  <c r="AQ107" i="15"/>
  <c r="AP91" i="15"/>
  <c r="AQ91" i="15"/>
  <c r="AT91" i="15"/>
  <c r="AS91" i="15"/>
  <c r="AU91" i="15"/>
  <c r="AW91" i="15"/>
  <c r="AP75" i="15"/>
  <c r="AT75" i="15"/>
  <c r="AS75" i="15"/>
  <c r="AW75" i="15"/>
  <c r="AU75" i="15"/>
  <c r="AP63" i="15"/>
  <c r="AT63" i="15"/>
  <c r="AQ63" i="15"/>
  <c r="AR63" i="15"/>
  <c r="AS63" i="15"/>
  <c r="AW63" i="15"/>
  <c r="AP55" i="15"/>
  <c r="AQ55" i="15"/>
  <c r="AT55" i="15"/>
  <c r="AS55" i="15"/>
  <c r="AU55" i="15"/>
  <c r="AW55" i="15"/>
  <c r="AR55" i="15"/>
  <c r="AP39" i="15"/>
  <c r="AT39" i="15"/>
  <c r="AQ39" i="15"/>
  <c r="AS39" i="15"/>
  <c r="AW39" i="15"/>
  <c r="AP27" i="15"/>
  <c r="AQ27" i="15"/>
  <c r="AT27" i="15"/>
  <c r="AS27" i="15"/>
  <c r="AW27" i="15"/>
  <c r="AR27" i="15"/>
  <c r="AX167" i="15"/>
  <c r="AX119" i="15"/>
  <c r="AX43" i="15"/>
  <c r="AX31" i="15"/>
  <c r="AX23" i="15"/>
  <c r="AQ143" i="15"/>
  <c r="AQ201" i="15"/>
  <c r="AR201" i="15"/>
  <c r="AP201" i="15"/>
  <c r="AT201" i="15"/>
  <c r="AU201" i="15"/>
  <c r="AP262" i="15"/>
  <c r="AQ262" i="15"/>
  <c r="AS262" i="15"/>
  <c r="AR262" i="15"/>
  <c r="AU262" i="15"/>
  <c r="AP258" i="15"/>
  <c r="AS258" i="15"/>
  <c r="AQ258" i="15"/>
  <c r="AR258" i="15"/>
  <c r="AT258" i="15"/>
  <c r="AU258" i="15"/>
  <c r="AP246" i="15"/>
  <c r="AS246" i="15"/>
  <c r="AR246" i="15"/>
  <c r="AQ246" i="15"/>
  <c r="AP242" i="15"/>
  <c r="AS242" i="15"/>
  <c r="AR242" i="15"/>
  <c r="AT242" i="15"/>
  <c r="AS238" i="15"/>
  <c r="AR238" i="15"/>
  <c r="AU238" i="15"/>
  <c r="AP238" i="15"/>
  <c r="AQ238" i="15"/>
  <c r="AT238" i="15"/>
  <c r="AP234" i="15"/>
  <c r="AQ234" i="15"/>
  <c r="AS234" i="15"/>
  <c r="AR234" i="15"/>
  <c r="AU234" i="15"/>
  <c r="AP230" i="15"/>
  <c r="AS230" i="15"/>
  <c r="AQ230" i="15"/>
  <c r="AR230" i="15"/>
  <c r="AU230" i="15"/>
  <c r="AP226" i="15"/>
  <c r="AS226" i="15"/>
  <c r="AR226" i="15"/>
  <c r="AQ226" i="15"/>
  <c r="AT226" i="15"/>
  <c r="AU226" i="15"/>
  <c r="AS222" i="15"/>
  <c r="AR222" i="15"/>
  <c r="AP222" i="15"/>
  <c r="AQ222" i="15"/>
  <c r="AT222" i="15"/>
  <c r="AU222" i="15"/>
  <c r="AP218" i="15"/>
  <c r="AR218" i="15"/>
  <c r="AS218" i="15"/>
  <c r="AU218" i="15"/>
  <c r="AR214" i="15"/>
  <c r="AP214" i="15"/>
  <c r="AQ214" i="15"/>
  <c r="AS214" i="15"/>
  <c r="AU214" i="15"/>
  <c r="AR210" i="15"/>
  <c r="AP210" i="15"/>
  <c r="AS210" i="15"/>
  <c r="AQ210" i="15"/>
  <c r="AT210" i="15"/>
  <c r="AR206" i="15"/>
  <c r="AS206" i="15"/>
  <c r="AQ206" i="15"/>
  <c r="AT206" i="15"/>
  <c r="AP202" i="15"/>
  <c r="AR202" i="15"/>
  <c r="AS202" i="15"/>
  <c r="AQ202" i="15"/>
  <c r="AR198" i="15"/>
  <c r="AP198" i="15"/>
  <c r="AS198" i="15"/>
  <c r="AR194" i="15"/>
  <c r="AP194" i="15"/>
  <c r="AS194" i="15"/>
  <c r="AT194" i="15"/>
  <c r="AQ194" i="15"/>
  <c r="AR190" i="15"/>
  <c r="AS190" i="15"/>
  <c r="AU190" i="15"/>
  <c r="AP190" i="15"/>
  <c r="AT190" i="15"/>
  <c r="AP186" i="15"/>
  <c r="AR186" i="15"/>
  <c r="AS186" i="15"/>
  <c r="AQ186" i="15"/>
  <c r="AU186" i="15"/>
  <c r="AR182" i="15"/>
  <c r="AP182" i="15"/>
  <c r="AQ182" i="15"/>
  <c r="AS182" i="15"/>
  <c r="AU182" i="15"/>
  <c r="AR178" i="15"/>
  <c r="AP178" i="15"/>
  <c r="AS178" i="15"/>
  <c r="AQ178" i="15"/>
  <c r="AT178" i="15"/>
  <c r="AU178" i="15"/>
  <c r="AR174" i="15"/>
  <c r="AS174" i="15"/>
  <c r="AQ174" i="15"/>
  <c r="AT174" i="15"/>
  <c r="AP170" i="15"/>
  <c r="AR170" i="15"/>
  <c r="AS170" i="15"/>
  <c r="AR166" i="15"/>
  <c r="AP166" i="15"/>
  <c r="AS166" i="15"/>
  <c r="AQ166" i="15"/>
  <c r="AR162" i="15"/>
  <c r="AP162" i="15"/>
  <c r="AQ162" i="15"/>
  <c r="AS162" i="15"/>
  <c r="AT162" i="15"/>
  <c r="AR158" i="15"/>
  <c r="AQ158" i="15"/>
  <c r="AS158" i="15"/>
  <c r="AP158" i="15"/>
  <c r="AT158" i="15"/>
  <c r="AP154" i="15"/>
  <c r="AR154" i="15"/>
  <c r="AS154" i="15"/>
  <c r="AQ154" i="15"/>
  <c r="AR150" i="15"/>
  <c r="AP150" i="15"/>
  <c r="AS150" i="15"/>
  <c r="AQ150" i="15"/>
  <c r="AU150" i="15"/>
  <c r="AR146" i="15"/>
  <c r="AP146" i="15"/>
  <c r="AS146" i="15"/>
  <c r="AT146" i="15"/>
  <c r="AU146" i="15"/>
  <c r="AR142" i="15"/>
  <c r="AS142" i="15"/>
  <c r="AU142" i="15"/>
  <c r="AT142" i="15"/>
  <c r="AP138" i="15"/>
  <c r="AR138" i="15"/>
  <c r="AS138" i="15"/>
  <c r="AQ138" i="15"/>
  <c r="AU138" i="15"/>
  <c r="AR134" i="15"/>
  <c r="AP134" i="15"/>
  <c r="AS134" i="15"/>
  <c r="AU134" i="15"/>
  <c r="AQ134" i="15"/>
  <c r="AR130" i="15"/>
  <c r="AQ130" i="15"/>
  <c r="AS130" i="15"/>
  <c r="AP130" i="15"/>
  <c r="AT130" i="15"/>
  <c r="AU130" i="15"/>
  <c r="AR126" i="15"/>
  <c r="AQ126" i="15"/>
  <c r="AS126" i="15"/>
  <c r="AT126" i="15"/>
  <c r="AP122" i="15"/>
  <c r="AR122" i="15"/>
  <c r="AQ122" i="15"/>
  <c r="AS122" i="15"/>
  <c r="AR118" i="15"/>
  <c r="AP118" i="15"/>
  <c r="AQ118" i="15"/>
  <c r="AS118" i="15"/>
  <c r="AR114" i="15"/>
  <c r="AQ114" i="15"/>
  <c r="AS114" i="15"/>
  <c r="AP114" i="15"/>
  <c r="AT114" i="15"/>
  <c r="AT110" i="15"/>
  <c r="AV17" i="15"/>
  <c r="AP261" i="15"/>
  <c r="AQ261" i="15"/>
  <c r="AR261" i="15"/>
  <c r="AP229" i="15"/>
  <c r="AQ229" i="15"/>
  <c r="AR229" i="15"/>
  <c r="AU212" i="15"/>
  <c r="AP212" i="15"/>
  <c r="AR212" i="15"/>
  <c r="AU164" i="15"/>
  <c r="AP164" i="15"/>
  <c r="AR164" i="15"/>
  <c r="AQ93" i="15"/>
  <c r="AR93" i="15"/>
  <c r="AP108" i="15"/>
  <c r="AU108" i="15"/>
  <c r="AQ61" i="15"/>
  <c r="AR61" i="15"/>
  <c r="AP176" i="15"/>
  <c r="AU176" i="15"/>
  <c r="AP48" i="15"/>
  <c r="AU48" i="15"/>
  <c r="AT48" i="15"/>
  <c r="AV21" i="15"/>
  <c r="AV5" i="15"/>
  <c r="AV9" i="15"/>
  <c r="AQ228" i="15"/>
  <c r="AU228" i="15"/>
  <c r="AP228" i="15"/>
  <c r="AP192" i="15"/>
  <c r="AU192" i="15"/>
  <c r="AQ192" i="15"/>
  <c r="AU180" i="15"/>
  <c r="AP180" i="15"/>
  <c r="AR180" i="15"/>
  <c r="AP104" i="15"/>
  <c r="AQ104" i="15"/>
  <c r="AR104" i="15"/>
  <c r="AU104" i="15"/>
  <c r="AR46" i="15"/>
  <c r="AQ46" i="15"/>
  <c r="AS46" i="15"/>
  <c r="AQ36" i="15"/>
  <c r="AU36" i="15"/>
  <c r="AP36" i="15"/>
  <c r="AT36" i="15"/>
  <c r="AP29" i="15"/>
  <c r="AR29" i="15"/>
  <c r="AQ20" i="15"/>
  <c r="AR20" i="15"/>
  <c r="AU20" i="15"/>
  <c r="AT20" i="15"/>
  <c r="AQ125" i="15"/>
  <c r="AR125" i="15"/>
  <c r="AP96" i="15"/>
  <c r="AU96" i="15"/>
  <c r="AP88" i="15"/>
  <c r="AR88" i="15"/>
  <c r="AU88" i="15"/>
  <c r="AT88" i="15"/>
  <c r="AU196" i="15"/>
  <c r="AP196" i="15"/>
  <c r="AQ196" i="15"/>
  <c r="AR196" i="15"/>
  <c r="AU68" i="15"/>
  <c r="AQ68" i="15"/>
  <c r="AR68" i="15"/>
  <c r="AT68" i="15"/>
  <c r="AR110" i="15"/>
  <c r="AQ110" i="15"/>
  <c r="AS110" i="15"/>
  <c r="AP106" i="15"/>
  <c r="AR106" i="15"/>
  <c r="AQ106" i="15"/>
  <c r="AS106" i="15"/>
  <c r="AR102" i="15"/>
  <c r="AP102" i="15"/>
  <c r="AQ102" i="15"/>
  <c r="AS102" i="15"/>
  <c r="AR98" i="15"/>
  <c r="AQ98" i="15"/>
  <c r="AS98" i="15"/>
  <c r="AR94" i="15"/>
  <c r="AQ94" i="15"/>
  <c r="AP94" i="15"/>
  <c r="AS94" i="15"/>
  <c r="AP90" i="15"/>
  <c r="AR90" i="15"/>
  <c r="AQ90" i="15"/>
  <c r="AS90" i="15"/>
  <c r="AR86" i="15"/>
  <c r="AP86" i="15"/>
  <c r="AQ86" i="15"/>
  <c r="AS86" i="15"/>
  <c r="AR82" i="15"/>
  <c r="AQ82" i="15"/>
  <c r="AS82" i="15"/>
  <c r="AR78" i="15"/>
  <c r="AQ78" i="15"/>
  <c r="AP78" i="15"/>
  <c r="AS78" i="15"/>
  <c r="AP117" i="15"/>
  <c r="AQ117" i="15"/>
  <c r="AQ32" i="15"/>
  <c r="AP32" i="15"/>
  <c r="AQ12" i="15"/>
  <c r="AP12" i="15"/>
  <c r="AQ16" i="15"/>
  <c r="AP16" i="15"/>
  <c r="AP245" i="15"/>
  <c r="AQ245" i="15"/>
  <c r="AP181" i="15"/>
  <c r="AQ181" i="15"/>
  <c r="AP133" i="15"/>
  <c r="AQ133" i="15"/>
  <c r="AP74" i="15"/>
  <c r="AR70" i="15"/>
  <c r="AP70" i="15"/>
  <c r="AQ70" i="15"/>
  <c r="AR66" i="15"/>
  <c r="AQ66" i="15"/>
  <c r="AP58" i="15"/>
  <c r="AR54" i="15"/>
  <c r="AP54" i="15"/>
  <c r="AQ54" i="15"/>
  <c r="AR50" i="15"/>
  <c r="AQ50" i="15"/>
  <c r="BH36" i="44"/>
  <c r="G28" i="44"/>
  <c r="E2" i="46" s="1"/>
  <c r="AV174" i="15" l="1"/>
  <c r="AU51" i="15"/>
  <c r="AY99" i="15"/>
  <c r="AV105" i="15"/>
  <c r="AV193" i="15"/>
  <c r="AV268" i="15"/>
  <c r="AR137" i="15"/>
  <c r="AX137" i="15"/>
  <c r="AQ137" i="15"/>
  <c r="AP137" i="15"/>
  <c r="AS137" i="15"/>
  <c r="AT137" i="15"/>
  <c r="AU137" i="15"/>
  <c r="AW137" i="15"/>
  <c r="AY136" i="15"/>
  <c r="AZ136" i="15"/>
  <c r="AY253" i="15"/>
  <c r="AZ253" i="15"/>
  <c r="AR51" i="15"/>
  <c r="AS139" i="15"/>
  <c r="AW199" i="15"/>
  <c r="AW211" i="15"/>
  <c r="AU231" i="15"/>
  <c r="AV136" i="15"/>
  <c r="BD88" i="15"/>
  <c r="BE88" i="15" s="1"/>
  <c r="BD136" i="15"/>
  <c r="BE136" i="15" s="1"/>
  <c r="AV116" i="15"/>
  <c r="AV148" i="15"/>
  <c r="AU156" i="15"/>
  <c r="BD105" i="15"/>
  <c r="BE105" i="15" s="1"/>
  <c r="BD201" i="15"/>
  <c r="BE201" i="15" s="1"/>
  <c r="AT246" i="15"/>
  <c r="AX246" i="15"/>
  <c r="AW48" i="15"/>
  <c r="AR48" i="15"/>
  <c r="AX48" i="15"/>
  <c r="AQ48" i="15"/>
  <c r="AS48" i="15"/>
  <c r="AP144" i="15"/>
  <c r="AQ144" i="15"/>
  <c r="AW144" i="15"/>
  <c r="AX144" i="15"/>
  <c r="AR144" i="15"/>
  <c r="AS144" i="15"/>
  <c r="AU144" i="15"/>
  <c r="AT144" i="15"/>
  <c r="AY169" i="15"/>
  <c r="AZ169" i="15"/>
  <c r="BD169" i="15" s="1"/>
  <c r="BE169" i="15" s="1"/>
  <c r="AY268" i="15"/>
  <c r="AZ268" i="15"/>
  <c r="AY117" i="15"/>
  <c r="AZ117" i="15"/>
  <c r="AY197" i="15"/>
  <c r="AZ197" i="15"/>
  <c r="BD197" i="15" s="1"/>
  <c r="BE197" i="15" s="1"/>
  <c r="AP208" i="15"/>
  <c r="AR208" i="15"/>
  <c r="AX208" i="15"/>
  <c r="AU208" i="15"/>
  <c r="AQ208" i="15"/>
  <c r="AS208" i="15"/>
  <c r="AT208" i="15"/>
  <c r="AW208" i="15"/>
  <c r="AY129" i="15"/>
  <c r="AZ129" i="15"/>
  <c r="BD129" i="15" s="1"/>
  <c r="BE129" i="15" s="1"/>
  <c r="AP211" i="15"/>
  <c r="BD8" i="15"/>
  <c r="BE8" i="15" s="1"/>
  <c r="AV252" i="15"/>
  <c r="AV76" i="15"/>
  <c r="AS156" i="15"/>
  <c r="BD253" i="15"/>
  <c r="BE253" i="15" s="1"/>
  <c r="AQ233" i="15"/>
  <c r="AP233" i="15"/>
  <c r="AR233" i="15"/>
  <c r="AU233" i="15"/>
  <c r="AX233" i="15"/>
  <c r="AW233" i="15"/>
  <c r="AT233" i="15"/>
  <c r="AS233" i="15"/>
  <c r="AV69" i="15"/>
  <c r="AY232" i="15"/>
  <c r="AZ232" i="15"/>
  <c r="AV265" i="15"/>
  <c r="BD268" i="15"/>
  <c r="BE268" i="15" s="1"/>
  <c r="AV156" i="15"/>
  <c r="BD229" i="15"/>
  <c r="BE229" i="15" s="1"/>
  <c r="AR192" i="15"/>
  <c r="AS192" i="15"/>
  <c r="AT192" i="15"/>
  <c r="AW192" i="15"/>
  <c r="AX192" i="15"/>
  <c r="AY8" i="15"/>
  <c r="AZ8" i="15"/>
  <c r="AZ32" i="15"/>
  <c r="BD32" i="15" s="1"/>
  <c r="BE32" i="15" s="1"/>
  <c r="AY32" i="15"/>
  <c r="BD16" i="15"/>
  <c r="BE16" i="15" s="1"/>
  <c r="BD232" i="15"/>
  <c r="BE232" i="15" s="1"/>
  <c r="AQ256" i="15"/>
  <c r="AT256" i="15"/>
  <c r="AW256" i="15"/>
  <c r="AY177" i="15"/>
  <c r="AZ177" i="15"/>
  <c r="AU224" i="15"/>
  <c r="AW224" i="15"/>
  <c r="AT224" i="15"/>
  <c r="AR224" i="15"/>
  <c r="AV224" i="15" s="1"/>
  <c r="AS224" i="15"/>
  <c r="AX224" i="15"/>
  <c r="AU264" i="15"/>
  <c r="AW264" i="15"/>
  <c r="AP264" i="15"/>
  <c r="AQ264" i="15"/>
  <c r="AT264" i="15"/>
  <c r="AX264" i="15"/>
  <c r="AS264" i="15"/>
  <c r="AR264" i="15"/>
  <c r="AZ104" i="15"/>
  <c r="AY104" i="15"/>
  <c r="AV239" i="15"/>
  <c r="AV157" i="15"/>
  <c r="BD104" i="15"/>
  <c r="BE104" i="15" s="1"/>
  <c r="BD177" i="15"/>
  <c r="BE177" i="15" s="1"/>
  <c r="AY89" i="15"/>
  <c r="AZ89" i="15"/>
  <c r="AQ176" i="15"/>
  <c r="AT176" i="15"/>
  <c r="AX176" i="15"/>
  <c r="AS176" i="15"/>
  <c r="AW176" i="15"/>
  <c r="AR176" i="15"/>
  <c r="AY16" i="15"/>
  <c r="AZ16" i="15"/>
  <c r="AZ88" i="15"/>
  <c r="AY88" i="15"/>
  <c r="AT241" i="15"/>
  <c r="AW241" i="15"/>
  <c r="AU241" i="15"/>
  <c r="AX241" i="15"/>
  <c r="AP241" i="15"/>
  <c r="AV241" i="15" s="1"/>
  <c r="AY229" i="15"/>
  <c r="AZ229" i="15"/>
  <c r="AY217" i="15"/>
  <c r="AZ217" i="15"/>
  <c r="BD217" i="15" s="1"/>
  <c r="BE217" i="15" s="1"/>
  <c r="AY257" i="15"/>
  <c r="AZ257" i="15"/>
  <c r="BD257" i="15" s="1"/>
  <c r="BE257" i="15" s="1"/>
  <c r="BD117" i="15"/>
  <c r="BE117" i="15" s="1"/>
  <c r="AY189" i="15"/>
  <c r="AZ189" i="15"/>
  <c r="AS11" i="15"/>
  <c r="AP179" i="15"/>
  <c r="AW203" i="15"/>
  <c r="AU235" i="15"/>
  <c r="AS263" i="15"/>
  <c r="AV169" i="15"/>
  <c r="AV72" i="15"/>
  <c r="BD89" i="15"/>
  <c r="BE89" i="15" s="1"/>
  <c r="AQ41" i="15"/>
  <c r="AW41" i="15"/>
  <c r="AX41" i="15"/>
  <c r="AS41" i="15"/>
  <c r="AP41" i="15"/>
  <c r="AT41" i="15"/>
  <c r="AU41" i="15"/>
  <c r="AX212" i="15"/>
  <c r="AQ212" i="15"/>
  <c r="AY105" i="15"/>
  <c r="AZ105" i="15"/>
  <c r="AY245" i="15"/>
  <c r="AZ245" i="15"/>
  <c r="BD245" i="15" s="1"/>
  <c r="BE245" i="15" s="1"/>
  <c r="AY173" i="15"/>
  <c r="AZ173" i="15"/>
  <c r="BD173" i="15" s="1"/>
  <c r="BE173" i="15" s="1"/>
  <c r="AZ216" i="15"/>
  <c r="BD216" i="15" s="1"/>
  <c r="BE216" i="15" s="1"/>
  <c r="AY216" i="15"/>
  <c r="AV189" i="15"/>
  <c r="AY133" i="15"/>
  <c r="AZ133" i="15"/>
  <c r="BD133" i="15" s="1"/>
  <c r="BE133" i="15" s="1"/>
  <c r="BD189" i="15"/>
  <c r="BE189" i="15" s="1"/>
  <c r="AT73" i="15"/>
  <c r="AR73" i="15"/>
  <c r="AW73" i="15"/>
  <c r="AX73" i="15"/>
  <c r="AS73" i="15"/>
  <c r="AS160" i="15"/>
  <c r="AV160" i="15" s="1"/>
  <c r="AW160" i="15"/>
  <c r="AQ160" i="15"/>
  <c r="AT160" i="15"/>
  <c r="AU160" i="15"/>
  <c r="AX160" i="15"/>
  <c r="AY72" i="15"/>
  <c r="AZ72" i="15"/>
  <c r="BD72" i="15" s="1"/>
  <c r="BE72" i="15" s="1"/>
  <c r="AY248" i="15"/>
  <c r="AZ248" i="15"/>
  <c r="BD248" i="15" s="1"/>
  <c r="BE248" i="15" s="1"/>
  <c r="AY113" i="15"/>
  <c r="AZ113" i="15"/>
  <c r="BD113" i="15" s="1"/>
  <c r="BE113" i="15" s="1"/>
  <c r="AY213" i="15"/>
  <c r="AZ213" i="15"/>
  <c r="BD213" i="15" s="1"/>
  <c r="BE213" i="15" s="1"/>
  <c r="AY237" i="15"/>
  <c r="AZ237" i="15"/>
  <c r="BD237" i="15" s="1"/>
  <c r="BE237" i="15" s="1"/>
  <c r="BD61" i="15"/>
  <c r="BE61" i="15" s="1"/>
  <c r="BD5" i="15"/>
  <c r="BE5" i="15" s="1"/>
  <c r="BD81" i="15"/>
  <c r="BE81" i="15" s="1"/>
  <c r="AT58" i="15"/>
  <c r="AU58" i="15"/>
  <c r="AW58" i="15"/>
  <c r="AS58" i="15"/>
  <c r="AX58" i="15"/>
  <c r="AQ83" i="15"/>
  <c r="AX83" i="15"/>
  <c r="AY53" i="15"/>
  <c r="AZ53" i="15"/>
  <c r="BD53" i="15" s="1"/>
  <c r="BE53" i="15" s="1"/>
  <c r="BD12" i="15"/>
  <c r="BE12" i="15" s="1"/>
  <c r="AY266" i="15"/>
  <c r="AZ266" i="15"/>
  <c r="BD266" i="15" s="1"/>
  <c r="BE266" i="15" s="1"/>
  <c r="AY226" i="15"/>
  <c r="AZ226" i="15"/>
  <c r="BD226" i="15" s="1"/>
  <c r="BE226" i="15" s="1"/>
  <c r="AY36" i="15"/>
  <c r="AZ36" i="15"/>
  <c r="BD36" i="15" s="1"/>
  <c r="BE36" i="15" s="1"/>
  <c r="AV134" i="15"/>
  <c r="AV218" i="15"/>
  <c r="AV242" i="15"/>
  <c r="AX131" i="15"/>
  <c r="AT19" i="15"/>
  <c r="AT115" i="15"/>
  <c r="AQ58" i="15"/>
  <c r="AV133" i="15"/>
  <c r="AV68" i="15"/>
  <c r="AV126" i="15"/>
  <c r="AP163" i="15"/>
  <c r="AX19" i="15"/>
  <c r="AW67" i="15"/>
  <c r="AR131" i="15"/>
  <c r="AU147" i="15"/>
  <c r="AV142" i="15"/>
  <c r="AV4" i="15"/>
  <c r="AW35" i="15"/>
  <c r="AR195" i="15"/>
  <c r="AQ211" i="15"/>
  <c r="AT211" i="15"/>
  <c r="AQ227" i="15"/>
  <c r="AP227" i="15"/>
  <c r="AX243" i="15"/>
  <c r="AS243" i="15"/>
  <c r="AZ67" i="15"/>
  <c r="AP18" i="15"/>
  <c r="AQ18" i="15"/>
  <c r="AT18" i="15"/>
  <c r="AW18" i="15"/>
  <c r="AR18" i="15"/>
  <c r="AS18" i="15"/>
  <c r="AU18" i="15"/>
  <c r="AX18" i="15"/>
  <c r="AU34" i="15"/>
  <c r="AW34" i="15"/>
  <c r="AT34" i="15"/>
  <c r="AX34" i="15"/>
  <c r="AQ34" i="15"/>
  <c r="AP50" i="15"/>
  <c r="AS50" i="15"/>
  <c r="AT50" i="15"/>
  <c r="AV50" i="15" s="1"/>
  <c r="AW50" i="15"/>
  <c r="AX50" i="15"/>
  <c r="AU50" i="15"/>
  <c r="AS66" i="15"/>
  <c r="AP66" i="15"/>
  <c r="AT66" i="15"/>
  <c r="AU66" i="15"/>
  <c r="AW66" i="15"/>
  <c r="AX66" i="15"/>
  <c r="AR43" i="15"/>
  <c r="AU43" i="15"/>
  <c r="AU59" i="15"/>
  <c r="AR59" i="15"/>
  <c r="AR75" i="15"/>
  <c r="AQ75" i="15"/>
  <c r="AX75" i="15"/>
  <c r="AR91" i="15"/>
  <c r="AX91" i="15"/>
  <c r="AR107" i="15"/>
  <c r="AU107" i="15"/>
  <c r="AX107" i="15"/>
  <c r="AZ123" i="15"/>
  <c r="BD123" i="15" s="1"/>
  <c r="BE123" i="15" s="1"/>
  <c r="AY123" i="15"/>
  <c r="AZ187" i="15"/>
  <c r="BD187" i="15" s="1"/>
  <c r="BE187" i="15" s="1"/>
  <c r="AY187" i="15"/>
  <c r="AV248" i="15"/>
  <c r="AV145" i="15"/>
  <c r="AV153" i="15"/>
  <c r="AV80" i="15"/>
  <c r="AZ156" i="15"/>
  <c r="BD156" i="15" s="1"/>
  <c r="BE156" i="15" s="1"/>
  <c r="AY156" i="15"/>
  <c r="AY222" i="15"/>
  <c r="AZ222" i="15"/>
  <c r="BD222" i="15" s="1"/>
  <c r="BE222" i="15" s="1"/>
  <c r="AZ124" i="15"/>
  <c r="AY124" i="15"/>
  <c r="AY106" i="15"/>
  <c r="AZ106" i="15"/>
  <c r="BD106" i="15" s="1"/>
  <c r="BE106" i="15" s="1"/>
  <c r="AY206" i="15"/>
  <c r="AZ206" i="15"/>
  <c r="BD206" i="15" s="1"/>
  <c r="BE206" i="15" s="1"/>
  <c r="AY12" i="15"/>
  <c r="AZ12" i="15"/>
  <c r="AZ92" i="15"/>
  <c r="BD92" i="15" s="1"/>
  <c r="BE92" i="15" s="1"/>
  <c r="AY92" i="15"/>
  <c r="AV100" i="15"/>
  <c r="AZ148" i="15"/>
  <c r="AY148" i="15"/>
  <c r="AZ102" i="15"/>
  <c r="BD102" i="15" s="1"/>
  <c r="BE102" i="15" s="1"/>
  <c r="AY102" i="15"/>
  <c r="AY118" i="15"/>
  <c r="AZ118" i="15"/>
  <c r="BD118" i="15" s="1"/>
  <c r="BE118" i="15" s="1"/>
  <c r="AY146" i="15"/>
  <c r="AZ146" i="15"/>
  <c r="BD146" i="15" s="1"/>
  <c r="BE146" i="15" s="1"/>
  <c r="AP10" i="15"/>
  <c r="AQ10" i="15"/>
  <c r="AR10" i="15"/>
  <c r="AS10" i="15"/>
  <c r="AT10" i="15"/>
  <c r="AU10" i="15"/>
  <c r="AW10" i="15"/>
  <c r="AX10" i="15"/>
  <c r="AP42" i="15"/>
  <c r="AT42" i="15"/>
  <c r="AQ42" i="15"/>
  <c r="AS42" i="15"/>
  <c r="AW42" i="15"/>
  <c r="AU42" i="15"/>
  <c r="AX42" i="15"/>
  <c r="AR42" i="15"/>
  <c r="AY96" i="15"/>
  <c r="AZ96" i="15"/>
  <c r="BD124" i="15"/>
  <c r="BE124" i="15" s="1"/>
  <c r="AY210" i="15"/>
  <c r="AZ210" i="15"/>
  <c r="BD210" i="15" s="1"/>
  <c r="BE210" i="15" s="1"/>
  <c r="AV172" i="15"/>
  <c r="AY20" i="15"/>
  <c r="AZ20" i="15"/>
  <c r="BD20" i="15" s="1"/>
  <c r="BE20" i="15" s="1"/>
  <c r="AV28" i="15"/>
  <c r="AY140" i="15"/>
  <c r="AZ140" i="15"/>
  <c r="AV154" i="15"/>
  <c r="AV206" i="15"/>
  <c r="AV222" i="15"/>
  <c r="AV246" i="15"/>
  <c r="AU163" i="15"/>
  <c r="AT131" i="15"/>
  <c r="AQ74" i="15"/>
  <c r="AV245" i="15"/>
  <c r="AV117" i="15"/>
  <c r="AV110" i="15"/>
  <c r="AV196" i="15"/>
  <c r="AV180" i="15"/>
  <c r="AV192" i="15"/>
  <c r="AX115" i="15"/>
  <c r="AS163" i="15"/>
  <c r="AU35" i="15"/>
  <c r="AQ147" i="15"/>
  <c r="AW19" i="15"/>
  <c r="AQ19" i="15"/>
  <c r="AQ67" i="15"/>
  <c r="AV79" i="15"/>
  <c r="AU115" i="15"/>
  <c r="AR115" i="15"/>
  <c r="AW131" i="15"/>
  <c r="AR147" i="15"/>
  <c r="AV159" i="15"/>
  <c r="AV64" i="15"/>
  <c r="AP35" i="15"/>
  <c r="AQ51" i="15"/>
  <c r="AS83" i="15"/>
  <c r="AW99" i="15"/>
  <c r="AR99" i="15"/>
  <c r="AQ259" i="15"/>
  <c r="AP259" i="15"/>
  <c r="AX179" i="15"/>
  <c r="AY179" i="15" s="1"/>
  <c r="AT179" i="15"/>
  <c r="AW195" i="15"/>
  <c r="AR58" i="15"/>
  <c r="AV16" i="15"/>
  <c r="AV32" i="15"/>
  <c r="AV82" i="15"/>
  <c r="AV98" i="15"/>
  <c r="AV20" i="15"/>
  <c r="AV228" i="15"/>
  <c r="AQ163" i="15"/>
  <c r="AU67" i="15"/>
  <c r="AU19" i="15"/>
  <c r="AP19" i="15"/>
  <c r="AS67" i="15"/>
  <c r="AP67" i="15"/>
  <c r="AU87" i="15"/>
  <c r="AQ87" i="15"/>
  <c r="AQ115" i="15"/>
  <c r="AV115" i="15" s="1"/>
  <c r="AP115" i="15"/>
  <c r="AS131" i="15"/>
  <c r="AP131" i="15"/>
  <c r="AW147" i="15"/>
  <c r="AP147" i="15"/>
  <c r="AR167" i="15"/>
  <c r="AQ167" i="15"/>
  <c r="AR35" i="15"/>
  <c r="AV254" i="15"/>
  <c r="AS35" i="15"/>
  <c r="AW51" i="15"/>
  <c r="AT51" i="15"/>
  <c r="AW71" i="15"/>
  <c r="AP71" i="15"/>
  <c r="AT83" i="15"/>
  <c r="AS99" i="15"/>
  <c r="AP99" i="15"/>
  <c r="AW155" i="15"/>
  <c r="AR171" i="15"/>
  <c r="AX62" i="15"/>
  <c r="AY62" i="15" s="1"/>
  <c r="AQ251" i="15"/>
  <c r="AW259" i="15"/>
  <c r="AX267" i="15"/>
  <c r="AT267" i="15"/>
  <c r="AV267" i="15" s="1"/>
  <c r="AW11" i="15"/>
  <c r="AQ11" i="15"/>
  <c r="AR139" i="15"/>
  <c r="AP139" i="15"/>
  <c r="AQ179" i="15"/>
  <c r="AR179" i="15"/>
  <c r="AU183" i="15"/>
  <c r="AU195" i="15"/>
  <c r="AV195" i="15" s="1"/>
  <c r="AQ195" i="15"/>
  <c r="AR199" i="15"/>
  <c r="AP199" i="15"/>
  <c r="AX211" i="15"/>
  <c r="AZ211" i="15" s="1"/>
  <c r="BD211" i="15" s="1"/>
  <c r="BE211" i="15" s="1"/>
  <c r="AR211" i="15"/>
  <c r="AR215" i="15"/>
  <c r="AW219" i="15"/>
  <c r="AP219" i="15"/>
  <c r="AV219" i="15" s="1"/>
  <c r="AW227" i="15"/>
  <c r="AX231" i="15"/>
  <c r="AX235" i="15"/>
  <c r="AQ235" i="15"/>
  <c r="AV235" i="15" s="1"/>
  <c r="AW243" i="15"/>
  <c r="AT243" i="15"/>
  <c r="AX247" i="15"/>
  <c r="AU263" i="15"/>
  <c r="AV263" i="15" s="1"/>
  <c r="AT62" i="15"/>
  <c r="AV62" i="15" s="1"/>
  <c r="AR62" i="15"/>
  <c r="AY139" i="15"/>
  <c r="BD79" i="15"/>
  <c r="BE79" i="15" s="1"/>
  <c r="BD111" i="15"/>
  <c r="BE111" i="15" s="1"/>
  <c r="AR6" i="15"/>
  <c r="AU6" i="15"/>
  <c r="AS6" i="15"/>
  <c r="AQ6" i="15"/>
  <c r="AX6" i="15"/>
  <c r="AP6" i="15"/>
  <c r="AT6" i="15"/>
  <c r="AW6" i="15"/>
  <c r="AR22" i="15"/>
  <c r="AQ22" i="15"/>
  <c r="AS22" i="15"/>
  <c r="AX22" i="15"/>
  <c r="AP22" i="15"/>
  <c r="AT22" i="15"/>
  <c r="AU22" i="15"/>
  <c r="AW22" i="15"/>
  <c r="AR38" i="15"/>
  <c r="AQ38" i="15"/>
  <c r="AS38" i="15"/>
  <c r="AP38" i="15"/>
  <c r="AW38" i="15"/>
  <c r="AU38" i="15"/>
  <c r="AX38" i="15"/>
  <c r="AT38" i="15"/>
  <c r="AS54" i="15"/>
  <c r="AW54" i="15"/>
  <c r="AT54" i="15"/>
  <c r="AU54" i="15"/>
  <c r="AX54" i="15"/>
  <c r="AS70" i="15"/>
  <c r="AT70" i="15"/>
  <c r="AW70" i="15"/>
  <c r="AX70" i="15"/>
  <c r="AU70" i="15"/>
  <c r="AV49" i="15"/>
  <c r="AV121" i="15"/>
  <c r="AV173" i="15"/>
  <c r="AV129" i="15"/>
  <c r="AV8" i="15"/>
  <c r="AV53" i="15"/>
  <c r="BD96" i="15"/>
  <c r="BE96" i="15" s="1"/>
  <c r="AY33" i="15"/>
  <c r="AZ33" i="15"/>
  <c r="BD33" i="15" s="1"/>
  <c r="BE33" i="15" s="1"/>
  <c r="AZ116" i="15"/>
  <c r="AY116" i="15"/>
  <c r="BD116" i="15"/>
  <c r="BE116" i="15" s="1"/>
  <c r="AY126" i="15"/>
  <c r="AZ126" i="15"/>
  <c r="AZ134" i="15"/>
  <c r="BD134" i="15" s="1"/>
  <c r="BE134" i="15" s="1"/>
  <c r="AY134" i="15"/>
  <c r="AY142" i="15"/>
  <c r="AZ142" i="15"/>
  <c r="BD142" i="15" s="1"/>
  <c r="BE142" i="15" s="1"/>
  <c r="AZ28" i="15"/>
  <c r="BD28" i="15" s="1"/>
  <c r="BE28" i="15" s="1"/>
  <c r="AY28" i="15"/>
  <c r="AV52" i="15"/>
  <c r="AV140" i="15"/>
  <c r="AV236" i="15"/>
  <c r="BD252" i="15"/>
  <c r="BE252" i="15" s="1"/>
  <c r="AY162" i="15"/>
  <c r="AZ162" i="15"/>
  <c r="BD162" i="15" s="1"/>
  <c r="BE162" i="15" s="1"/>
  <c r="AQ26" i="15"/>
  <c r="AS26" i="15"/>
  <c r="AP26" i="15"/>
  <c r="AU26" i="15"/>
  <c r="AW26" i="15"/>
  <c r="AT26" i="15"/>
  <c r="AX26" i="15"/>
  <c r="AR26" i="15"/>
  <c r="AS74" i="15"/>
  <c r="AT74" i="15"/>
  <c r="AU74" i="15"/>
  <c r="AX74" i="15"/>
  <c r="AW74" i="15"/>
  <c r="AZ150" i="15"/>
  <c r="BD150" i="15" s="1"/>
  <c r="BE150" i="15" s="1"/>
  <c r="AY150" i="15"/>
  <c r="BD148" i="15"/>
  <c r="BE148" i="15" s="1"/>
  <c r="AY188" i="15"/>
  <c r="AZ188" i="15"/>
  <c r="BD188" i="15" s="1"/>
  <c r="BE188" i="15" s="1"/>
  <c r="AV226" i="15"/>
  <c r="AR163" i="15"/>
  <c r="AR67" i="15"/>
  <c r="AT147" i="15"/>
  <c r="AS51" i="15"/>
  <c r="AW83" i="15"/>
  <c r="AP83" i="15"/>
  <c r="AV83" i="15" s="1"/>
  <c r="AT99" i="15"/>
  <c r="AR259" i="15"/>
  <c r="AT259" i="15"/>
  <c r="AV7" i="15"/>
  <c r="AS179" i="15"/>
  <c r="AX195" i="15"/>
  <c r="AV207" i="15"/>
  <c r="AU227" i="15"/>
  <c r="AT227" i="15"/>
  <c r="AR243" i="15"/>
  <c r="AV247" i="15"/>
  <c r="AV77" i="15"/>
  <c r="BD71" i="15"/>
  <c r="BE71" i="15" s="1"/>
  <c r="BD135" i="15"/>
  <c r="BE135" i="15" s="1"/>
  <c r="AQ14" i="15"/>
  <c r="AS14" i="15"/>
  <c r="AU14" i="15"/>
  <c r="AW14" i="15"/>
  <c r="AX14" i="15"/>
  <c r="AR14" i="15"/>
  <c r="AT14" i="15"/>
  <c r="AP14" i="15"/>
  <c r="AP30" i="15"/>
  <c r="AR30" i="15"/>
  <c r="AT30" i="15"/>
  <c r="AQ30" i="15"/>
  <c r="AX30" i="15"/>
  <c r="AU30" i="15"/>
  <c r="AW30" i="15"/>
  <c r="AS30" i="15"/>
  <c r="AW46" i="15"/>
  <c r="AP46" i="15"/>
  <c r="AT46" i="15"/>
  <c r="AU46" i="15"/>
  <c r="AV46" i="15" s="1"/>
  <c r="AX46" i="15"/>
  <c r="AW78" i="15"/>
  <c r="AT78" i="15"/>
  <c r="AX78" i="15"/>
  <c r="AU78" i="15"/>
  <c r="AX39" i="15"/>
  <c r="AU39" i="15"/>
  <c r="AV39" i="15" s="1"/>
  <c r="AU103" i="15"/>
  <c r="AX103" i="15"/>
  <c r="AR151" i="15"/>
  <c r="AX151" i="15"/>
  <c r="AV73" i="15"/>
  <c r="AV217" i="15"/>
  <c r="AV232" i="15"/>
  <c r="AV40" i="15"/>
  <c r="AV209" i="15"/>
  <c r="AY149" i="15"/>
  <c r="AZ149" i="15"/>
  <c r="BD149" i="15" s="1"/>
  <c r="BE149" i="15" s="1"/>
  <c r="AY110" i="15"/>
  <c r="AZ110" i="15"/>
  <c r="BD110" i="15" s="1"/>
  <c r="BE110" i="15" s="1"/>
  <c r="BD140" i="15"/>
  <c r="BE140" i="15" s="1"/>
  <c r="AZ138" i="15"/>
  <c r="BD138" i="15" s="1"/>
  <c r="BE138" i="15" s="1"/>
  <c r="AY138" i="15"/>
  <c r="AY194" i="15"/>
  <c r="AZ194" i="15"/>
  <c r="BD194" i="15" s="1"/>
  <c r="BE194" i="15" s="1"/>
  <c r="AV124" i="15"/>
  <c r="AY172" i="15"/>
  <c r="AZ172" i="15"/>
  <c r="BD172" i="15" s="1"/>
  <c r="BE172" i="15" s="1"/>
  <c r="AZ86" i="15"/>
  <c r="BD86" i="15" s="1"/>
  <c r="BE86" i="15" s="1"/>
  <c r="AY86" i="15"/>
  <c r="AY114" i="15"/>
  <c r="AZ114" i="15"/>
  <c r="BD114" i="15" s="1"/>
  <c r="BE114" i="15" s="1"/>
  <c r="AY154" i="15"/>
  <c r="AZ154" i="15"/>
  <c r="BD154" i="15" s="1"/>
  <c r="BE154" i="15" s="1"/>
  <c r="AZ52" i="15"/>
  <c r="BD52" i="15" s="1"/>
  <c r="BE52" i="15" s="1"/>
  <c r="AY52" i="15"/>
  <c r="AY60" i="15"/>
  <c r="AZ60" i="15"/>
  <c r="BD60" i="15" s="1"/>
  <c r="BE60" i="15" s="1"/>
  <c r="AV60" i="15"/>
  <c r="AY84" i="15"/>
  <c r="AZ84" i="15"/>
  <c r="BD84" i="15" s="1"/>
  <c r="BE84" i="15" s="1"/>
  <c r="AZ100" i="15"/>
  <c r="BD100" i="15" s="1"/>
  <c r="BE100" i="15" s="1"/>
  <c r="AY100" i="15"/>
  <c r="AZ108" i="15"/>
  <c r="BD108" i="15" s="1"/>
  <c r="BE108" i="15" s="1"/>
  <c r="AY108" i="15"/>
  <c r="AZ164" i="15"/>
  <c r="BD164" i="15" s="1"/>
  <c r="BE164" i="15" s="1"/>
  <c r="AY164" i="15"/>
  <c r="AY180" i="15"/>
  <c r="AZ180" i="15"/>
  <c r="BD180" i="15" s="1"/>
  <c r="BE180" i="15" s="1"/>
  <c r="AV220" i="15"/>
  <c r="AY94" i="15"/>
  <c r="AZ94" i="15"/>
  <c r="BD94" i="15" s="1"/>
  <c r="BE94" i="15" s="1"/>
  <c r="AY258" i="15"/>
  <c r="AZ258" i="15"/>
  <c r="BD258" i="15" s="1"/>
  <c r="BE258" i="15" s="1"/>
  <c r="AV188" i="15"/>
  <c r="AV102" i="15"/>
  <c r="AV88" i="15"/>
  <c r="AV36" i="15"/>
  <c r="AV93" i="15"/>
  <c r="AV166" i="15"/>
  <c r="AY43" i="15"/>
  <c r="AZ43" i="15"/>
  <c r="BD43" i="15" s="1"/>
  <c r="BE43" i="15" s="1"/>
  <c r="AY166" i="15"/>
  <c r="AZ166" i="15"/>
  <c r="BD166" i="15" s="1"/>
  <c r="BE166" i="15" s="1"/>
  <c r="AY262" i="15"/>
  <c r="AZ262" i="15"/>
  <c r="BD262" i="15" s="1"/>
  <c r="BE262" i="15" s="1"/>
  <c r="AY4" i="15"/>
  <c r="AZ4" i="15"/>
  <c r="BD4" i="15" s="1"/>
  <c r="BE4" i="15" s="1"/>
  <c r="AY64" i="15"/>
  <c r="AZ64" i="15"/>
  <c r="BD64" i="15" s="1"/>
  <c r="BE64" i="15" s="1"/>
  <c r="AY127" i="15"/>
  <c r="AZ127" i="15"/>
  <c r="BD127" i="15" s="1"/>
  <c r="BE127" i="15" s="1"/>
  <c r="AZ219" i="15"/>
  <c r="BD219" i="15" s="1"/>
  <c r="BE219" i="15" s="1"/>
  <c r="AY219" i="15"/>
  <c r="AV74" i="15"/>
  <c r="AV229" i="15"/>
  <c r="AV194" i="15"/>
  <c r="AZ115" i="15"/>
  <c r="BD115" i="15" s="1"/>
  <c r="BE115" i="15" s="1"/>
  <c r="AY115" i="15"/>
  <c r="AV55" i="15"/>
  <c r="AV132" i="15"/>
  <c r="AV266" i="15"/>
  <c r="AY27" i="15"/>
  <c r="AZ27" i="15"/>
  <c r="BD27" i="15" s="1"/>
  <c r="BE27" i="15" s="1"/>
  <c r="AY170" i="15"/>
  <c r="AZ170" i="15"/>
  <c r="BD170" i="15" s="1"/>
  <c r="BE170" i="15" s="1"/>
  <c r="AY190" i="15"/>
  <c r="AZ190" i="15"/>
  <c r="BD190" i="15" s="1"/>
  <c r="BE190" i="15" s="1"/>
  <c r="AY218" i="15"/>
  <c r="AZ218" i="15"/>
  <c r="BD218" i="15" s="1"/>
  <c r="BE218" i="15" s="1"/>
  <c r="AV260" i="15"/>
  <c r="AV44" i="15"/>
  <c r="AV35" i="15"/>
  <c r="AV111" i="15"/>
  <c r="AY239" i="15"/>
  <c r="AZ239" i="15"/>
  <c r="AZ11" i="15"/>
  <c r="AY11" i="15"/>
  <c r="AZ179" i="15"/>
  <c r="BD179" i="15" s="1"/>
  <c r="BE179" i="15" s="1"/>
  <c r="AV203" i="15"/>
  <c r="AY223" i="15"/>
  <c r="AZ223" i="15"/>
  <c r="BD223" i="15" s="1"/>
  <c r="BE223" i="15" s="1"/>
  <c r="AV231" i="15"/>
  <c r="AZ243" i="15"/>
  <c r="BD243" i="15" s="1"/>
  <c r="BE243" i="15" s="1"/>
  <c r="AY243" i="15"/>
  <c r="AY263" i="15"/>
  <c r="AZ263" i="15"/>
  <c r="AY85" i="15"/>
  <c r="AZ85" i="15"/>
  <c r="BD85" i="15" s="1"/>
  <c r="BE85" i="15" s="1"/>
  <c r="BD63" i="15"/>
  <c r="BE63" i="15" s="1"/>
  <c r="BD95" i="15"/>
  <c r="BE95" i="15" s="1"/>
  <c r="BD143" i="15"/>
  <c r="BE143" i="15" s="1"/>
  <c r="BD239" i="15"/>
  <c r="BE239" i="15" s="1"/>
  <c r="AV56" i="15"/>
  <c r="AY249" i="15"/>
  <c r="AZ249" i="15"/>
  <c r="BD249" i="15" s="1"/>
  <c r="BE249" i="15" s="1"/>
  <c r="AZ259" i="15"/>
  <c r="BD259" i="15" s="1"/>
  <c r="BE259" i="15" s="1"/>
  <c r="AY259" i="15"/>
  <c r="AZ255" i="15"/>
  <c r="BD255" i="15" s="1"/>
  <c r="BE255" i="15" s="1"/>
  <c r="AY255" i="15"/>
  <c r="AV94" i="15"/>
  <c r="AV125" i="15"/>
  <c r="AV48" i="15"/>
  <c r="AV61" i="15"/>
  <c r="AV261" i="15"/>
  <c r="AV118" i="15"/>
  <c r="AV130" i="15"/>
  <c r="AV162" i="15"/>
  <c r="AV170" i="15"/>
  <c r="AV186" i="15"/>
  <c r="AV198" i="15"/>
  <c r="AV230" i="15"/>
  <c r="AV238" i="15"/>
  <c r="AV75" i="15"/>
  <c r="AV135" i="15"/>
  <c r="AY120" i="15"/>
  <c r="AZ120" i="15"/>
  <c r="BD120" i="15" s="1"/>
  <c r="BE120" i="15" s="1"/>
  <c r="AV149" i="15"/>
  <c r="AY59" i="15"/>
  <c r="AZ59" i="15"/>
  <c r="AY19" i="15"/>
  <c r="AZ19" i="15"/>
  <c r="BD19" i="15" s="1"/>
  <c r="BE19" i="15" s="1"/>
  <c r="AZ159" i="15"/>
  <c r="BD159" i="15" s="1"/>
  <c r="BE159" i="15" s="1"/>
  <c r="AY159" i="15"/>
  <c r="AV43" i="15"/>
  <c r="AY152" i="15"/>
  <c r="AZ152" i="15"/>
  <c r="BD152" i="15" s="1"/>
  <c r="BE152" i="15" s="1"/>
  <c r="AY186" i="15"/>
  <c r="AZ186" i="15"/>
  <c r="BD186" i="15" s="1"/>
  <c r="BE186" i="15" s="1"/>
  <c r="AZ214" i="15"/>
  <c r="BD214" i="15" s="1"/>
  <c r="BE214" i="15" s="1"/>
  <c r="AY214" i="15"/>
  <c r="AV23" i="15"/>
  <c r="AV155" i="15"/>
  <c r="AV251" i="15"/>
  <c r="AY183" i="15"/>
  <c r="AZ183" i="15"/>
  <c r="AZ191" i="15"/>
  <c r="BD191" i="15" s="1"/>
  <c r="BE191" i="15" s="1"/>
  <c r="AY191" i="15"/>
  <c r="AZ195" i="15"/>
  <c r="AY195" i="15"/>
  <c r="AY199" i="15"/>
  <c r="AZ199" i="15"/>
  <c r="BD199" i="15" s="1"/>
  <c r="BE199" i="15" s="1"/>
  <c r="AY215" i="15"/>
  <c r="AZ215" i="15"/>
  <c r="BD215" i="15" s="1"/>
  <c r="BE215" i="15" s="1"/>
  <c r="AV243" i="15"/>
  <c r="AV181" i="15"/>
  <c r="AV78" i="15"/>
  <c r="AV86" i="15"/>
  <c r="AV106" i="15"/>
  <c r="AV104" i="15"/>
  <c r="AV212" i="15"/>
  <c r="AV122" i="15"/>
  <c r="AV138" i="15"/>
  <c r="AV146" i="15"/>
  <c r="AV158" i="15"/>
  <c r="AV178" i="15"/>
  <c r="AV202" i="15"/>
  <c r="AV210" i="15"/>
  <c r="AV234" i="15"/>
  <c r="AV258" i="15"/>
  <c r="AV201" i="15"/>
  <c r="AV27" i="15"/>
  <c r="AV119" i="15"/>
  <c r="AV101" i="15"/>
  <c r="AV244" i="15"/>
  <c r="AZ256" i="15"/>
  <c r="BD256" i="15" s="1"/>
  <c r="BE256" i="15" s="1"/>
  <c r="AY256" i="15"/>
  <c r="AZ131" i="15"/>
  <c r="AY131" i="15"/>
  <c r="AV250" i="15"/>
  <c r="AZ171" i="15"/>
  <c r="BD171" i="15" s="1"/>
  <c r="BE171" i="15" s="1"/>
  <c r="AY171" i="15"/>
  <c r="AV19" i="15"/>
  <c r="AV67" i="15"/>
  <c r="AV95" i="15"/>
  <c r="AV12" i="15"/>
  <c r="AV90" i="15"/>
  <c r="AV96" i="15"/>
  <c r="AV29" i="15"/>
  <c r="AV176" i="15"/>
  <c r="AV108" i="15"/>
  <c r="AV164" i="15"/>
  <c r="AV114" i="15"/>
  <c r="AV150" i="15"/>
  <c r="AV182" i="15"/>
  <c r="AV190" i="15"/>
  <c r="AV214" i="15"/>
  <c r="AV262" i="15"/>
  <c r="AY23" i="15"/>
  <c r="AZ23" i="15"/>
  <c r="BD23" i="15" s="1"/>
  <c r="BE23" i="15" s="1"/>
  <c r="AY119" i="15"/>
  <c r="AZ119" i="15"/>
  <c r="BD119" i="15" s="1"/>
  <c r="BE119" i="15" s="1"/>
  <c r="AV91" i="15"/>
  <c r="AV151" i="15"/>
  <c r="AV237" i="15"/>
  <c r="AV34" i="15"/>
  <c r="AV45" i="15"/>
  <c r="AV112" i="15"/>
  <c r="AV141" i="15"/>
  <c r="AY242" i="15"/>
  <c r="AZ242" i="15"/>
  <c r="BD242" i="15" s="1"/>
  <c r="BE242" i="15" s="1"/>
  <c r="AY35" i="15"/>
  <c r="AZ35" i="15"/>
  <c r="BD35" i="15" s="1"/>
  <c r="BE35" i="15" s="1"/>
  <c r="AV103" i="15"/>
  <c r="AV167" i="15"/>
  <c r="AV187" i="15"/>
  <c r="AV197" i="15"/>
  <c r="AY51" i="15"/>
  <c r="AZ51" i="15"/>
  <c r="BD51" i="15" s="1"/>
  <c r="BE51" i="15" s="1"/>
  <c r="AY174" i="15"/>
  <c r="AZ174" i="15"/>
  <c r="BD174" i="15" s="1"/>
  <c r="BE174" i="15" s="1"/>
  <c r="AY198" i="15"/>
  <c r="AZ198" i="15"/>
  <c r="BD198" i="15" s="1"/>
  <c r="BE198" i="15" s="1"/>
  <c r="AY230" i="15"/>
  <c r="AZ230" i="15"/>
  <c r="BD230" i="15" s="1"/>
  <c r="BE230" i="15" s="1"/>
  <c r="AZ175" i="15"/>
  <c r="BD175" i="15" s="1"/>
  <c r="BE175" i="15" s="1"/>
  <c r="AY175" i="15"/>
  <c r="AV71" i="15"/>
  <c r="AV99" i="15"/>
  <c r="AV171" i="15"/>
  <c r="AZ251" i="15"/>
  <c r="AY251" i="15"/>
  <c r="AV259" i="15"/>
  <c r="AY7" i="15"/>
  <c r="AZ7" i="15"/>
  <c r="AV199" i="15"/>
  <c r="AY207" i="15"/>
  <c r="AZ207" i="15"/>
  <c r="BD207" i="15" s="1"/>
  <c r="BE207" i="15" s="1"/>
  <c r="AY211" i="15"/>
  <c r="AV223" i="15"/>
  <c r="AY231" i="15"/>
  <c r="AZ231" i="15"/>
  <c r="BD231" i="15" s="1"/>
  <c r="BE231" i="15" s="1"/>
  <c r="AZ235" i="15"/>
  <c r="AY235" i="15"/>
  <c r="AY247" i="15"/>
  <c r="AZ247" i="15"/>
  <c r="BD247" i="15" s="1"/>
  <c r="BE247" i="15" s="1"/>
  <c r="AV128" i="15"/>
  <c r="AY165" i="15"/>
  <c r="AZ165" i="15"/>
  <c r="BD165" i="15" s="1"/>
  <c r="BE165" i="15" s="1"/>
  <c r="AY185" i="15"/>
  <c r="AZ185" i="15"/>
  <c r="BD185" i="15" s="1"/>
  <c r="BE185" i="15" s="1"/>
  <c r="BD3" i="15"/>
  <c r="BE3" i="15" s="1"/>
  <c r="BD67" i="15"/>
  <c r="BE67" i="15" s="1"/>
  <c r="BD99" i="15"/>
  <c r="BE99" i="15" s="1"/>
  <c r="BD131" i="15"/>
  <c r="BE131" i="15" s="1"/>
  <c r="BD147" i="15"/>
  <c r="BE147" i="15" s="1"/>
  <c r="BD163" i="15"/>
  <c r="BE163" i="15" s="1"/>
  <c r="BD195" i="15"/>
  <c r="BE195" i="15" s="1"/>
  <c r="AV255" i="15"/>
  <c r="AY31" i="15"/>
  <c r="AZ31" i="15"/>
  <c r="BD31" i="15" s="1"/>
  <c r="BE31" i="15" s="1"/>
  <c r="AY167" i="15"/>
  <c r="AZ167" i="15"/>
  <c r="AV63" i="15"/>
  <c r="AV107" i="15"/>
  <c r="AY132" i="15"/>
  <c r="AZ132" i="15"/>
  <c r="BD132" i="15" s="1"/>
  <c r="BE132" i="15" s="1"/>
  <c r="AZ112" i="15"/>
  <c r="BD112" i="15" s="1"/>
  <c r="BE112" i="15" s="1"/>
  <c r="AY112" i="15"/>
  <c r="AV120" i="15"/>
  <c r="AY244" i="15"/>
  <c r="AZ244" i="15"/>
  <c r="BD244" i="15" s="1"/>
  <c r="BE244" i="15" s="1"/>
  <c r="AV256" i="15"/>
  <c r="AY15" i="15"/>
  <c r="AZ15" i="15"/>
  <c r="BD15" i="15" s="1"/>
  <c r="BE15" i="15" s="1"/>
  <c r="AZ155" i="15"/>
  <c r="BD155" i="15" s="1"/>
  <c r="BE155" i="15" s="1"/>
  <c r="AY155" i="15"/>
  <c r="AV15" i="15"/>
  <c r="AV31" i="15"/>
  <c r="AV47" i="15"/>
  <c r="AV59" i="15"/>
  <c r="AV87" i="15"/>
  <c r="AV123" i="15"/>
  <c r="AV143" i="15"/>
  <c r="AV175" i="15"/>
  <c r="AV152" i="15"/>
  <c r="AV221" i="15"/>
  <c r="AV213" i="15"/>
  <c r="AY158" i="15"/>
  <c r="AZ158" i="15"/>
  <c r="BD158" i="15" s="1"/>
  <c r="BE158" i="15" s="1"/>
  <c r="AY182" i="15"/>
  <c r="AZ182" i="15"/>
  <c r="BD182" i="15" s="1"/>
  <c r="BE182" i="15" s="1"/>
  <c r="AY202" i="15"/>
  <c r="AZ202" i="15"/>
  <c r="BD202" i="15" s="1"/>
  <c r="BE202" i="15" s="1"/>
  <c r="AY234" i="15"/>
  <c r="AZ234" i="15"/>
  <c r="BD234" i="15" s="1"/>
  <c r="BE234" i="15" s="1"/>
  <c r="AY260" i="15"/>
  <c r="AZ260" i="15"/>
  <c r="BD260" i="15" s="1"/>
  <c r="BE260" i="15" s="1"/>
  <c r="AY44" i="15"/>
  <c r="AZ44" i="15"/>
  <c r="BD44" i="15" s="1"/>
  <c r="BE44" i="15" s="1"/>
  <c r="AZ267" i="15"/>
  <c r="BD267" i="15" s="1"/>
  <c r="BE267" i="15" s="1"/>
  <c r="AY267" i="15"/>
  <c r="AV11" i="15"/>
  <c r="AV127" i="15"/>
  <c r="AV179" i="15"/>
  <c r="AV183" i="15"/>
  <c r="AV191" i="15"/>
  <c r="AZ203" i="15"/>
  <c r="BD203" i="15" s="1"/>
  <c r="BE203" i="15" s="1"/>
  <c r="AY203" i="15"/>
  <c r="AV211" i="15"/>
  <c r="AV215" i="15"/>
  <c r="AZ227" i="15"/>
  <c r="BD227" i="15" s="1"/>
  <c r="BE227" i="15" s="1"/>
  <c r="AY227" i="15"/>
  <c r="AY77" i="15"/>
  <c r="AZ77" i="15"/>
  <c r="BD77" i="15" s="1"/>
  <c r="BE77" i="15" s="1"/>
  <c r="AV85" i="15"/>
  <c r="AV240" i="15"/>
  <c r="AY265" i="15"/>
  <c r="AZ265" i="15"/>
  <c r="BD265" i="15" s="1"/>
  <c r="BE265" i="15" s="1"/>
  <c r="BD7" i="15"/>
  <c r="BE7" i="15" s="1"/>
  <c r="BD55" i="15"/>
  <c r="BE55" i="15" s="1"/>
  <c r="BD87" i="15"/>
  <c r="BE87" i="15" s="1"/>
  <c r="BD167" i="15"/>
  <c r="BE167" i="15" s="1"/>
  <c r="BD183" i="15"/>
  <c r="BE183" i="15" s="1"/>
  <c r="BD263" i="15"/>
  <c r="BE263" i="15" s="1"/>
  <c r="AY56" i="15"/>
  <c r="AZ56" i="15"/>
  <c r="BD56" i="15" s="1"/>
  <c r="BE56" i="15" s="1"/>
  <c r="AV185" i="15"/>
  <c r="AZ128" i="15"/>
  <c r="BD128" i="15" s="1"/>
  <c r="BE128" i="15" s="1"/>
  <c r="AY128" i="15"/>
  <c r="AY157" i="15"/>
  <c r="AZ157" i="15"/>
  <c r="BD157" i="15" s="1"/>
  <c r="BE157" i="15" s="1"/>
  <c r="AV165" i="15"/>
  <c r="AZ240" i="15"/>
  <c r="BD240" i="15" s="1"/>
  <c r="BE240" i="15" s="1"/>
  <c r="AY240" i="15"/>
  <c r="BD11" i="15"/>
  <c r="BE11" i="15" s="1"/>
  <c r="BD59" i="15"/>
  <c r="BE59" i="15" s="1"/>
  <c r="BD235" i="15"/>
  <c r="BE235" i="15" s="1"/>
  <c r="BD251" i="15"/>
  <c r="BE251" i="15" s="1"/>
  <c r="AV249" i="15"/>
  <c r="H16" i="46"/>
  <c r="I18" i="46"/>
  <c r="K17" i="46"/>
  <c r="J16" i="46"/>
  <c r="H18" i="46"/>
  <c r="L16" i="46"/>
  <c r="J18" i="46"/>
  <c r="I17" i="46"/>
  <c r="L18" i="46"/>
  <c r="I16" i="46"/>
  <c r="H17" i="46"/>
  <c r="L17" i="46"/>
  <c r="K18" i="46"/>
  <c r="K16" i="46"/>
  <c r="J17" i="46"/>
  <c r="H18" i="9"/>
  <c r="G18" i="9"/>
  <c r="F18" i="9"/>
  <c r="E18" i="9"/>
  <c r="D18" i="9"/>
  <c r="C18" i="9"/>
  <c r="AY264" i="15" l="1"/>
  <c r="AZ264" i="15"/>
  <c r="BD264" i="15" s="1"/>
  <c r="BE264" i="15" s="1"/>
  <c r="AV66" i="15"/>
  <c r="AV227" i="15"/>
  <c r="AV131" i="15"/>
  <c r="AV41" i="15"/>
  <c r="AV208" i="15"/>
  <c r="AV70" i="15"/>
  <c r="AV6" i="15"/>
  <c r="AV139" i="15"/>
  <c r="AV147" i="15"/>
  <c r="AV233" i="15"/>
  <c r="AZ48" i="15"/>
  <c r="BD48" i="15" s="1"/>
  <c r="BE48" i="15" s="1"/>
  <c r="AY48" i="15"/>
  <c r="AV137" i="15"/>
  <c r="AY73" i="15"/>
  <c r="AZ73" i="15"/>
  <c r="BD73" i="15" s="1"/>
  <c r="BE73" i="15" s="1"/>
  <c r="AY41" i="15"/>
  <c r="AZ41" i="15"/>
  <c r="BD41" i="15" s="1"/>
  <c r="BE41" i="15" s="1"/>
  <c r="AV264" i="15"/>
  <c r="AZ192" i="15"/>
  <c r="BD192" i="15" s="1"/>
  <c r="BE192" i="15" s="1"/>
  <c r="AY192" i="15"/>
  <c r="AZ160" i="15"/>
  <c r="BD160" i="15" s="1"/>
  <c r="BE160" i="15" s="1"/>
  <c r="AY160" i="15"/>
  <c r="AY241" i="15"/>
  <c r="AZ241" i="15"/>
  <c r="BD241" i="15" s="1"/>
  <c r="BE241" i="15" s="1"/>
  <c r="AY144" i="15"/>
  <c r="AZ144" i="15"/>
  <c r="BD144" i="15" s="1"/>
  <c r="BE144" i="15" s="1"/>
  <c r="AV58" i="15"/>
  <c r="AZ208" i="15"/>
  <c r="BD208" i="15" s="1"/>
  <c r="BE208" i="15" s="1"/>
  <c r="AY208" i="15"/>
  <c r="AY246" i="15"/>
  <c r="AZ246" i="15"/>
  <c r="BD246" i="15" s="1"/>
  <c r="BE246" i="15" s="1"/>
  <c r="AV54" i="15"/>
  <c r="AV163" i="15"/>
  <c r="AV51" i="15"/>
  <c r="AY212" i="15"/>
  <c r="AZ212" i="15"/>
  <c r="BD212" i="15" s="1"/>
  <c r="BE212" i="15" s="1"/>
  <c r="AZ224" i="15"/>
  <c r="BD224" i="15" s="1"/>
  <c r="BE224" i="15" s="1"/>
  <c r="AY224" i="15"/>
  <c r="AV144" i="15"/>
  <c r="AZ176" i="15"/>
  <c r="BD176" i="15" s="1"/>
  <c r="BE176" i="15" s="1"/>
  <c r="AY176" i="15"/>
  <c r="AY233" i="15"/>
  <c r="AZ233" i="15"/>
  <c r="BD233" i="15" s="1"/>
  <c r="BE233" i="15" s="1"/>
  <c r="AY137" i="15"/>
  <c r="AZ137" i="15"/>
  <c r="BD137" i="15" s="1"/>
  <c r="BE137" i="15" s="1"/>
  <c r="AY151" i="15"/>
  <c r="AZ151" i="15"/>
  <c r="BD151" i="15" s="1"/>
  <c r="BE151" i="15" s="1"/>
  <c r="AV14" i="15"/>
  <c r="AZ38" i="15"/>
  <c r="BD38" i="15" s="1"/>
  <c r="BE38" i="15" s="1"/>
  <c r="AY38" i="15"/>
  <c r="AZ42" i="15"/>
  <c r="BD42" i="15" s="1"/>
  <c r="BE42" i="15" s="1"/>
  <c r="AY42" i="15"/>
  <c r="AY75" i="15"/>
  <c r="AZ75" i="15"/>
  <c r="BD75" i="15" s="1"/>
  <c r="BE75" i="15" s="1"/>
  <c r="AZ34" i="15"/>
  <c r="BD34" i="15" s="1"/>
  <c r="BE34" i="15" s="1"/>
  <c r="AY34" i="15"/>
  <c r="AZ18" i="15"/>
  <c r="BD18" i="15" s="1"/>
  <c r="BE18" i="15" s="1"/>
  <c r="AY18" i="15"/>
  <c r="AZ62" i="15"/>
  <c r="BD62" i="15" s="1"/>
  <c r="BE62" i="15" s="1"/>
  <c r="AY103" i="15"/>
  <c r="AZ103" i="15"/>
  <c r="BD103" i="15" s="1"/>
  <c r="BE103" i="15" s="1"/>
  <c r="AZ46" i="15"/>
  <c r="BD46" i="15" s="1"/>
  <c r="BE46" i="15" s="1"/>
  <c r="AY46" i="15"/>
  <c r="AZ30" i="15"/>
  <c r="BD30" i="15" s="1"/>
  <c r="BE30" i="15" s="1"/>
  <c r="AY30" i="15"/>
  <c r="AV30" i="15"/>
  <c r="AZ14" i="15"/>
  <c r="BD14" i="15" s="1"/>
  <c r="BE14" i="15" s="1"/>
  <c r="AY14" i="15"/>
  <c r="AZ74" i="15"/>
  <c r="BD74" i="15" s="1"/>
  <c r="BE74" i="15" s="1"/>
  <c r="AY74" i="15"/>
  <c r="AV26" i="15"/>
  <c r="AZ70" i="15"/>
  <c r="BD70" i="15" s="1"/>
  <c r="BE70" i="15" s="1"/>
  <c r="AY70" i="15"/>
  <c r="AZ54" i="15"/>
  <c r="BD54" i="15" s="1"/>
  <c r="BE54" i="15" s="1"/>
  <c r="AY54" i="15"/>
  <c r="AV22" i="15"/>
  <c r="AZ6" i="15"/>
  <c r="BD6" i="15" s="1"/>
  <c r="BE6" i="15" s="1"/>
  <c r="AY6" i="15"/>
  <c r="AV10" i="15"/>
  <c r="AZ91" i="15"/>
  <c r="BD91" i="15" s="1"/>
  <c r="BE91" i="15" s="1"/>
  <c r="AY91" i="15"/>
  <c r="AZ50" i="15"/>
  <c r="BD50" i="15" s="1"/>
  <c r="BE50" i="15" s="1"/>
  <c r="AY50" i="15"/>
  <c r="AZ78" i="15"/>
  <c r="BD78" i="15" s="1"/>
  <c r="BE78" i="15" s="1"/>
  <c r="AY78" i="15"/>
  <c r="AZ26" i="15"/>
  <c r="BD26" i="15" s="1"/>
  <c r="BE26" i="15" s="1"/>
  <c r="AY26" i="15"/>
  <c r="AV38" i="15"/>
  <c r="AZ22" i="15"/>
  <c r="BD22" i="15" s="1"/>
  <c r="BE22" i="15" s="1"/>
  <c r="AY22" i="15"/>
  <c r="AZ10" i="15"/>
  <c r="BD10" i="15" s="1"/>
  <c r="BE10" i="15" s="1"/>
  <c r="AY10" i="15"/>
  <c r="AZ107" i="15"/>
  <c r="BD107" i="15" s="1"/>
  <c r="BE107" i="15" s="1"/>
  <c r="AY107" i="15"/>
  <c r="AZ66" i="15"/>
  <c r="BD66" i="15" s="1"/>
  <c r="BE66" i="15" s="1"/>
  <c r="AY66" i="15"/>
  <c r="AV18" i="15"/>
  <c r="AY83" i="15"/>
  <c r="AZ83" i="15"/>
  <c r="BD83" i="15" s="1"/>
  <c r="BE83" i="15" s="1"/>
  <c r="AZ39" i="15"/>
  <c r="BD39" i="15" s="1"/>
  <c r="BE39" i="15" s="1"/>
  <c r="AY39" i="15"/>
  <c r="AV42" i="15"/>
  <c r="AZ58" i="15"/>
  <c r="BD58" i="15" s="1"/>
  <c r="BE58" i="15" s="1"/>
  <c r="AY58" i="15"/>
  <c r="J13" i="46"/>
  <c r="J15" i="46" s="1"/>
  <c r="H13" i="46"/>
  <c r="H15" i="46" s="1"/>
  <c r="I13" i="46"/>
  <c r="I14" i="46" s="1"/>
  <c r="C15" i="9"/>
  <c r="M18" i="46"/>
  <c r="K13" i="46"/>
  <c r="K15" i="46" s="1"/>
  <c r="L13" i="46"/>
  <c r="L14" i="46" s="1"/>
  <c r="M17" i="46"/>
  <c r="M16" i="46"/>
  <c r="K15" i="9"/>
  <c r="N15" i="9" s="1"/>
  <c r="J14" i="46" l="1"/>
  <c r="H14" i="46"/>
  <c r="I15" i="46"/>
  <c r="L9" i="46"/>
  <c r="I9" i="46"/>
  <c r="K9" i="46"/>
  <c r="L15" i="46"/>
  <c r="M13" i="46"/>
  <c r="K14" i="46"/>
  <c r="H10" i="46"/>
  <c r="J9" i="46"/>
  <c r="J10" i="46"/>
  <c r="L11" i="46"/>
  <c r="I11" i="46"/>
  <c r="H9" i="46"/>
  <c r="K11" i="46"/>
  <c r="K10" i="46"/>
  <c r="J11" i="46"/>
  <c r="L10" i="46"/>
  <c r="I10" i="46"/>
  <c r="H11" i="46"/>
  <c r="H5" i="46"/>
  <c r="P15" i="9"/>
  <c r="L15" i="9"/>
  <c r="Q15" i="9"/>
  <c r="O15" i="9"/>
  <c r="M15" i="9"/>
  <c r="M15" i="46" l="1"/>
  <c r="M14" i="46"/>
  <c r="M9" i="46"/>
  <c r="H6" i="46"/>
  <c r="L5" i="46"/>
  <c r="L8" i="46"/>
  <c r="I7" i="46"/>
  <c r="J8" i="46"/>
  <c r="I5" i="46"/>
  <c r="H7" i="46"/>
  <c r="I8" i="46"/>
  <c r="J5" i="46"/>
  <c r="I6" i="46"/>
  <c r="K7" i="46"/>
  <c r="J7" i="46"/>
  <c r="J6" i="46"/>
  <c r="L6" i="46"/>
  <c r="K5" i="46"/>
  <c r="L7" i="46"/>
  <c r="K8" i="46"/>
  <c r="H8" i="46"/>
  <c r="K6" i="46"/>
  <c r="M10" i="46"/>
  <c r="M11" i="46"/>
  <c r="L6" i="42"/>
  <c r="K8" i="42"/>
  <c r="J5" i="42"/>
  <c r="H5" i="42"/>
  <c r="H6" i="42"/>
  <c r="I8" i="42"/>
  <c r="H8" i="42"/>
  <c r="J6" i="42"/>
  <c r="L8" i="42"/>
  <c r="I6" i="42"/>
  <c r="I5" i="42"/>
  <c r="K5" i="42"/>
  <c r="L5" i="42"/>
  <c r="K7" i="42"/>
  <c r="J8" i="42"/>
  <c r="K6" i="42"/>
  <c r="L7" i="42"/>
  <c r="J7" i="42"/>
  <c r="I7" i="42"/>
  <c r="H9" i="42"/>
  <c r="M8" i="46" l="1"/>
  <c r="D13" i="46"/>
  <c r="M7" i="46"/>
  <c r="M5" i="46"/>
  <c r="B10" i="46"/>
  <c r="C5" i="46"/>
  <c r="B7" i="46"/>
  <c r="C10" i="46"/>
  <c r="C13" i="46"/>
  <c r="B5" i="46"/>
  <c r="B13" i="46"/>
  <c r="M6" i="46"/>
  <c r="C7" i="46"/>
  <c r="D10" i="46"/>
  <c r="M5" i="42"/>
  <c r="B5" i="42" s="1"/>
  <c r="M8" i="42"/>
  <c r="M6" i="42"/>
  <c r="C5" i="42" s="1"/>
  <c r="H7" i="42"/>
  <c r="M7" i="42" s="1"/>
  <c r="D7" i="46" l="1"/>
  <c r="B15" i="46"/>
  <c r="M12" i="46" s="1"/>
  <c r="BJ38" i="44"/>
  <c r="BH38" i="44"/>
  <c r="BJ36" i="44"/>
  <c r="BL3" i="44"/>
  <c r="O28" i="44" l="1"/>
  <c r="E10" i="46"/>
  <c r="E7" i="46"/>
  <c r="K18" i="42"/>
  <c r="I16" i="42"/>
  <c r="J13" i="42"/>
  <c r="J15" i="42" s="1"/>
  <c r="J17" i="42"/>
  <c r="I13" i="42"/>
  <c r="I15" i="42" s="1"/>
  <c r="H11" i="42"/>
  <c r="H16" i="42"/>
  <c r="I17" i="42"/>
  <c r="J18" i="42"/>
  <c r="L16" i="42"/>
  <c r="K13" i="42"/>
  <c r="J11" i="42"/>
  <c r="H18" i="42"/>
  <c r="I18" i="42"/>
  <c r="K16" i="42"/>
  <c r="L17" i="42"/>
  <c r="H13" i="42"/>
  <c r="L13" i="42"/>
  <c r="L15" i="42" s="1"/>
  <c r="K10" i="42"/>
  <c r="H17" i="42"/>
  <c r="J16" i="42"/>
  <c r="K17" i="42"/>
  <c r="L18" i="42"/>
  <c r="I9" i="42" l="1"/>
  <c r="J10" i="42"/>
  <c r="I11" i="42"/>
  <c r="J9" i="42"/>
  <c r="I10" i="42"/>
  <c r="K11" i="42"/>
  <c r="K9" i="42"/>
  <c r="L9" i="42"/>
  <c r="H15" i="42"/>
  <c r="H10" i="42"/>
  <c r="L10" i="42"/>
  <c r="L11" i="42"/>
  <c r="K14" i="42"/>
  <c r="J14" i="42"/>
  <c r="L14" i="42"/>
  <c r="M17" i="42"/>
  <c r="H14" i="42"/>
  <c r="I14" i="42"/>
  <c r="M13" i="42"/>
  <c r="K15" i="42"/>
  <c r="M16" i="42"/>
  <c r="M18" i="42"/>
  <c r="M15" i="42" l="1"/>
  <c r="D10" i="42" s="1"/>
  <c r="M11" i="42"/>
  <c r="M9" i="42"/>
  <c r="B7" i="42" s="1"/>
  <c r="D13" i="42"/>
  <c r="B10" i="42"/>
  <c r="C13" i="42"/>
  <c r="B13" i="42"/>
  <c r="M10" i="42"/>
  <c r="C7" i="42" s="1"/>
  <c r="M14" i="42"/>
  <c r="C10" i="42" s="1"/>
  <c r="D7" i="42" l="1"/>
  <c r="B15" i="42"/>
  <c r="BL27" i="36"/>
  <c r="BL25" i="36"/>
  <c r="BK18" i="36"/>
  <c r="AM17" i="36"/>
  <c r="H40" i="9"/>
  <c r="V3" i="44" l="1"/>
  <c r="E7" i="42"/>
  <c r="E10" i="42"/>
  <c r="M12" i="42"/>
  <c r="AH26" i="36"/>
  <c r="AK23" i="36"/>
  <c r="AM20" i="36"/>
  <c r="AK11" i="36"/>
  <c r="AM14" i="36"/>
  <c r="AH8" i="36"/>
  <c r="H37" i="9"/>
  <c r="H38" i="9"/>
  <c r="H39" i="9"/>
  <c r="H41" i="9"/>
  <c r="H42" i="9"/>
  <c r="H43" i="9"/>
  <c r="H44" i="9"/>
  <c r="H45" i="9"/>
  <c r="H36" i="9"/>
  <c r="H47" i="9" l="1"/>
  <c r="BL3" i="36"/>
  <c r="H11" i="9" l="1"/>
  <c r="I11" i="9" s="1"/>
  <c r="G11" i="9" s="1"/>
  <c r="F11" i="9"/>
  <c r="J1" i="9"/>
  <c r="J2" i="9" s="1"/>
  <c r="G10" i="9"/>
  <c r="J3" i="9" l="1"/>
  <c r="C31" i="9"/>
  <c r="C30" i="9"/>
  <c r="D40" i="9" l="1"/>
  <c r="E40" i="9"/>
  <c r="C40" i="9"/>
  <c r="F40" i="9"/>
  <c r="G40" i="9"/>
  <c r="G41" i="9"/>
  <c r="E37" i="9"/>
  <c r="G36" i="9"/>
  <c r="F37" i="9"/>
  <c r="F38" i="9"/>
  <c r="C38" i="9"/>
  <c r="AJ14" i="36" s="1"/>
  <c r="G39" i="9"/>
  <c r="F43" i="9"/>
  <c r="E42" i="9"/>
  <c r="C42" i="9"/>
  <c r="E45" i="9"/>
  <c r="F36" i="9"/>
  <c r="C41" i="9"/>
  <c r="E39" i="9"/>
  <c r="G42" i="9"/>
  <c r="D36" i="9"/>
  <c r="C43" i="9"/>
  <c r="C37" i="9"/>
  <c r="G45" i="9"/>
  <c r="F42" i="9"/>
  <c r="C39" i="9"/>
  <c r="E41" i="9"/>
  <c r="G43" i="9"/>
  <c r="D43" i="9"/>
  <c r="F44" i="9"/>
  <c r="G37" i="9"/>
  <c r="D37" i="9"/>
  <c r="E36" i="9"/>
  <c r="E38" i="9"/>
  <c r="D45" i="9"/>
  <c r="D42" i="9"/>
  <c r="C44" i="9"/>
  <c r="G44" i="9"/>
  <c r="D44" i="9"/>
  <c r="F45" i="9"/>
  <c r="G38" i="9"/>
  <c r="D38" i="9"/>
  <c r="F39" i="9"/>
  <c r="E43" i="9"/>
  <c r="D41" i="9"/>
  <c r="C36" i="9"/>
  <c r="D39" i="9"/>
  <c r="F41" i="9"/>
  <c r="C45" i="9"/>
  <c r="E44" i="9"/>
  <c r="G30" i="9"/>
  <c r="G31" i="9"/>
  <c r="F32" i="9"/>
  <c r="E31" i="9"/>
  <c r="D29" i="9"/>
  <c r="D7" i="9"/>
  <c r="D32" i="9"/>
  <c r="E30" i="9"/>
  <c r="F31" i="9"/>
  <c r="C29" i="9"/>
  <c r="D4" i="9"/>
  <c r="G32" i="9"/>
  <c r="G16" i="9"/>
  <c r="F15" i="9"/>
  <c r="E16" i="9"/>
  <c r="G15" i="9"/>
  <c r="H16" i="9"/>
  <c r="D15" i="9"/>
  <c r="F29" i="9"/>
  <c r="D5" i="9"/>
  <c r="G29" i="9"/>
  <c r="E29" i="9"/>
  <c r="C16" i="9"/>
  <c r="E32" i="9"/>
  <c r="D6" i="9"/>
  <c r="D31" i="9"/>
  <c r="C32" i="9"/>
  <c r="D30" i="9"/>
  <c r="F30" i="9"/>
  <c r="BJ25" i="36" l="1"/>
  <c r="BJ27" i="36"/>
  <c r="AE26" i="36"/>
  <c r="AH23" i="36"/>
  <c r="BI18" i="36"/>
  <c r="AJ17" i="36"/>
  <c r="AJ20" i="36"/>
  <c r="AH11" i="36"/>
  <c r="AE8" i="36"/>
  <c r="I40" i="9"/>
  <c r="I37" i="9"/>
  <c r="I38" i="9"/>
  <c r="G47" i="9"/>
  <c r="C47" i="9"/>
  <c r="C48" i="9" s="1"/>
  <c r="E47" i="9"/>
  <c r="I36" i="9"/>
  <c r="F47" i="9"/>
  <c r="I45" i="9"/>
  <c r="I43" i="9"/>
  <c r="E15" i="9"/>
  <c r="E17" i="9" s="1"/>
  <c r="H15" i="9"/>
  <c r="H17" i="9" s="1"/>
  <c r="D26" i="9"/>
  <c r="G17" i="9"/>
  <c r="D16" i="9"/>
  <c r="D17" i="9" s="1"/>
  <c r="G4" i="9"/>
  <c r="F16" i="9"/>
  <c r="F17" i="9" s="1"/>
  <c r="D8" i="9"/>
  <c r="G8" i="9"/>
  <c r="I44" i="9"/>
  <c r="G5" i="9"/>
  <c r="C17" i="9"/>
  <c r="D3" i="9"/>
  <c r="K14" i="9" l="1"/>
  <c r="O14" i="9" s="1"/>
  <c r="V3" i="36"/>
  <c r="D23" i="9"/>
  <c r="G6" i="9"/>
  <c r="D22" i="9"/>
  <c r="L14" i="9" l="1"/>
  <c r="N14" i="9"/>
  <c r="Q14" i="9"/>
  <c r="M14" i="9"/>
  <c r="P14" i="9"/>
  <c r="D47" i="9"/>
  <c r="I39" i="9"/>
  <c r="D24" i="9"/>
  <c r="H48" i="9" l="1"/>
  <c r="N22" i="36" s="1"/>
  <c r="D48" i="9"/>
  <c r="N20" i="36" s="1"/>
  <c r="I41" i="9"/>
  <c r="E48" i="9" l="1"/>
  <c r="N18" i="36" s="1"/>
  <c r="G48" i="9"/>
  <c r="N14" i="36" s="1"/>
  <c r="F48" i="9"/>
  <c r="N16" i="36" s="1"/>
  <c r="I42"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interval="10" name="Query - 01towers (2)" description="Connection to the '01towers (2)' query in the workbook." type="5" refreshedVersion="6" background="1">
    <dbPr connection="Provider=Microsoft.Mashup.OleDb.1;Data Source=$Workbook$;Location=01towers (2);Extended Properties=&quot;&quot;" command="SELECT * FROM [01towers (2)]"/>
    <extLst>
      <ext xmlns:x15="http://schemas.microsoft.com/office/spreadsheetml/2010/11/main" uri="{DE250136-89BD-433C-8126-D09CA5730AF9}">
        <x15:connection id="" excludeFromRefreshAll="1"/>
      </ext>
    </extLst>
  </connection>
  <connection id="2" xr16:uid="{D7A1D964-4F7A-4328-AC9E-3FD40AB9DCC7}" keepAlive="1" name="Query - 20work_order" description="Connection to the '20work_order' query in the workbook." type="5" refreshedVersion="6" background="1" saveData="1">
    <dbPr connection="Provider=Microsoft.Mashup.OleDb.1;Data Source=$Workbook$;Location=20work_order;Extended Properties=&quot;&quot;" command="SELECT * FROM [20work_order]"/>
  </connection>
</connections>
</file>

<file path=xl/sharedStrings.xml><?xml version="1.0" encoding="utf-8"?>
<sst xmlns="http://schemas.openxmlformats.org/spreadsheetml/2006/main" count="4162" uniqueCount="672">
  <si>
    <t>AT Site ID</t>
  </si>
  <si>
    <t>Regional_Manager</t>
  </si>
  <si>
    <t>Tower Type</t>
  </si>
  <si>
    <t>Actual Tower Height</t>
  </si>
  <si>
    <t>Region</t>
  </si>
  <si>
    <t>Actual Long</t>
  </si>
  <si>
    <t>Actual Lat</t>
  </si>
  <si>
    <t>Tenants_on_Site</t>
  </si>
  <si>
    <t>05_id</t>
  </si>
  <si>
    <t>New_Colo_ID</t>
  </si>
  <si>
    <t>Operator</t>
  </si>
  <si>
    <t>Prevalidation Status</t>
  </si>
  <si>
    <t>SAQ_Result</t>
  </si>
  <si>
    <t>RF_Result</t>
  </si>
  <si>
    <t>Structural_Result</t>
  </si>
  <si>
    <t>Power_Result</t>
  </si>
  <si>
    <t>CW_Result</t>
  </si>
  <si>
    <t>Community_Result</t>
  </si>
  <si>
    <t>02tss.02tss_id</t>
  </si>
  <si>
    <t>02tss.Rev</t>
  </si>
  <si>
    <t>02tss.Plan_Date</t>
  </si>
  <si>
    <t>02tss.TSS_Actual_Date</t>
  </si>
  <si>
    <t>02tss.TSSR_From_Engineer</t>
  </si>
  <si>
    <t>02tss.TSSR_Approved_Operator</t>
  </si>
  <si>
    <t>02tss.Plan_RFI_Date</t>
  </si>
  <si>
    <t>02tss.TSS_Result</t>
  </si>
  <si>
    <t>10colo_app.10coloapp_id</t>
  </si>
  <si>
    <t>10colo_app.Rev</t>
  </si>
  <si>
    <t>10colo_app.Colo_App_Date</t>
  </si>
  <si>
    <t>10colo_app.Colo_App_Result</t>
  </si>
  <si>
    <t>Count Rev TSS</t>
  </si>
  <si>
    <t>Test Rev TSS</t>
  </si>
  <si>
    <t>Count Rev Colo App</t>
  </si>
  <si>
    <t>Test Rev Colo</t>
  </si>
  <si>
    <t>Test Active</t>
  </si>
  <si>
    <t>Active Prevalidation Status</t>
  </si>
  <si>
    <t>SAQ_Result2</t>
  </si>
  <si>
    <t>RF_Result3</t>
  </si>
  <si>
    <t>Structural_Result4</t>
  </si>
  <si>
    <t>Power_Result5</t>
  </si>
  <si>
    <t>CW_Result6</t>
  </si>
  <si>
    <t>Community_Result2</t>
  </si>
  <si>
    <t>Count Ok</t>
  </si>
  <si>
    <t>Active TSS Submitted</t>
  </si>
  <si>
    <t>Active TSS Result</t>
  </si>
  <si>
    <t>Active Colo in Process</t>
  </si>
  <si>
    <t>Active Colo Application Result</t>
  </si>
  <si>
    <t>Final Colo Status full</t>
  </si>
  <si>
    <t>Final Colo Status Summarized</t>
  </si>
  <si>
    <t>ACRK_0023</t>
  </si>
  <si>
    <t>Adriaan Coetzee</t>
  </si>
  <si>
    <t>GBT</t>
  </si>
  <si>
    <t>Rakhine</t>
  </si>
  <si>
    <t>Telenor</t>
  </si>
  <si>
    <t>RKE0090</t>
  </si>
  <si>
    <t>Mytel</t>
  </si>
  <si>
    <t>Commercial Approval Requested</t>
  </si>
  <si>
    <t>OK</t>
  </si>
  <si>
    <t>Review</t>
  </si>
  <si>
    <t>Approved</t>
  </si>
  <si>
    <t>ANKC_0015</t>
  </si>
  <si>
    <t>Kachin</t>
  </si>
  <si>
    <t>Telenor-MPT</t>
  </si>
  <si>
    <t>KCN0160</t>
  </si>
  <si>
    <t>Prevalidated</t>
  </si>
  <si>
    <t>ANMD_0065</t>
  </si>
  <si>
    <t>Mandalay</t>
  </si>
  <si>
    <t>MDY0723</t>
  </si>
  <si>
    <t>ANMD_0119</t>
  </si>
  <si>
    <t>Telenor-Ooredoo</t>
  </si>
  <si>
    <t>MDY0093</t>
  </si>
  <si>
    <t>ANMD_0148</t>
  </si>
  <si>
    <t>GMT</t>
  </si>
  <si>
    <t>MDY0915</t>
  </si>
  <si>
    <t>Prevalidation Rejected</t>
  </si>
  <si>
    <t>Rejected</t>
  </si>
  <si>
    <t>ANMD_0174</t>
  </si>
  <si>
    <t>MDY0004</t>
  </si>
  <si>
    <t>ANSG_0344</t>
  </si>
  <si>
    <t>Sagaing</t>
  </si>
  <si>
    <t>SGG0260</t>
  </si>
  <si>
    <t>ANSG_0363</t>
  </si>
  <si>
    <t>RTP</t>
  </si>
  <si>
    <t>SGG0028</t>
  </si>
  <si>
    <t>ANSH_0006</t>
  </si>
  <si>
    <t>Chris Thomson</t>
  </si>
  <si>
    <t>Shan</t>
  </si>
  <si>
    <t>Telenor-Ooredoo-Mytel</t>
  </si>
  <si>
    <t>SHN0876</t>
  </si>
  <si>
    <t>ASKA_0150</t>
  </si>
  <si>
    <t>Robert Lemonnier</t>
  </si>
  <si>
    <t>Kayin</t>
  </si>
  <si>
    <t>KYN0014</t>
  </si>
  <si>
    <t>ASMO_0275</t>
  </si>
  <si>
    <t>Mon</t>
  </si>
  <si>
    <t>MON0306</t>
  </si>
  <si>
    <t>AYYN_0095</t>
  </si>
  <si>
    <t>Slim Tower</t>
  </si>
  <si>
    <t>Yangon</t>
  </si>
  <si>
    <t>Telenor-Amara</t>
  </si>
  <si>
    <t>YGN0408</t>
  </si>
  <si>
    <t>AYYN_0121</t>
  </si>
  <si>
    <t>Telenor-Ooredoo-MPT-Amara</t>
  </si>
  <si>
    <t>YGN1319</t>
  </si>
  <si>
    <t>AYYN_0148</t>
  </si>
  <si>
    <t>YGN1354</t>
  </si>
  <si>
    <t>AYYN_0153</t>
  </si>
  <si>
    <t>YGN0038</t>
  </si>
  <si>
    <t>AYYN_0363</t>
  </si>
  <si>
    <t>YGN1489</t>
  </si>
  <si>
    <t>AYYN_0389</t>
  </si>
  <si>
    <t>YGN0167</t>
  </si>
  <si>
    <t>AYYN_0396</t>
  </si>
  <si>
    <t>YGN0171</t>
  </si>
  <si>
    <t>AYYN_0583</t>
  </si>
  <si>
    <t>Telenor-Ooredoo-Amara</t>
  </si>
  <si>
    <t>YGN1201</t>
  </si>
  <si>
    <t>ANMD_0273</t>
  </si>
  <si>
    <t>MDY0760</t>
  </si>
  <si>
    <t>AYYN_0269</t>
  </si>
  <si>
    <t>YGNINSN052</t>
  </si>
  <si>
    <t>Amara</t>
  </si>
  <si>
    <t>AYYN_0171</t>
  </si>
  <si>
    <t>YGN01927</t>
  </si>
  <si>
    <t>MPT</t>
  </si>
  <si>
    <t>ANSG_0355</t>
  </si>
  <si>
    <t>SGG01165</t>
  </si>
  <si>
    <t>AYYN_0099</t>
  </si>
  <si>
    <t>Telenor-Amara-Mytel-Ooredoo</t>
  </si>
  <si>
    <t>YGN02508</t>
  </si>
  <si>
    <t>AYYN_0251</t>
  </si>
  <si>
    <t>Telenor-Mytel-Amara</t>
  </si>
  <si>
    <t>YGN01769</t>
  </si>
  <si>
    <t>YGN02364</t>
  </si>
  <si>
    <t>ANMD_0224</t>
  </si>
  <si>
    <t>MAW2259</t>
  </si>
  <si>
    <t>OML</t>
  </si>
  <si>
    <t>ASMO_0163</t>
  </si>
  <si>
    <t>MOW6065</t>
  </si>
  <si>
    <t>AYYN_0338</t>
  </si>
  <si>
    <t>Telenor-MPT-Mytel-Amara</t>
  </si>
  <si>
    <t>YAW4265</t>
  </si>
  <si>
    <t>AYYN_0611</t>
  </si>
  <si>
    <t>Telenor-MPT-Mytel</t>
  </si>
  <si>
    <t>YAW4436</t>
  </si>
  <si>
    <t>Under Prevalidation</t>
  </si>
  <si>
    <t>AYYN_0529</t>
  </si>
  <si>
    <t>YAW4447</t>
  </si>
  <si>
    <t>Dropped by Operator</t>
  </si>
  <si>
    <t>ANSG_0380</t>
  </si>
  <si>
    <t>Telenor-Mytel</t>
  </si>
  <si>
    <t>SAW0729</t>
  </si>
  <si>
    <t>ANSG_0343</t>
  </si>
  <si>
    <t>SAW0697</t>
  </si>
  <si>
    <t>ANNP_0252</t>
  </si>
  <si>
    <t>Naypyitaw</t>
  </si>
  <si>
    <t>NPW0260</t>
  </si>
  <si>
    <t>AYYN_0135</t>
  </si>
  <si>
    <t>YGN02071</t>
  </si>
  <si>
    <t>ANKC_0017</t>
  </si>
  <si>
    <t>KCN0349</t>
  </si>
  <si>
    <t>Ok</t>
  </si>
  <si>
    <t>ANMD_0073</t>
  </si>
  <si>
    <t>MDY0002</t>
  </si>
  <si>
    <t>ANMD_0088</t>
  </si>
  <si>
    <t>MDY0023</t>
  </si>
  <si>
    <t>ANMG_0024</t>
  </si>
  <si>
    <t>Magway</t>
  </si>
  <si>
    <t>MGY0153</t>
  </si>
  <si>
    <t>ANMG_0187</t>
  </si>
  <si>
    <t>RFTE</t>
  </si>
  <si>
    <t>MGY0444</t>
  </si>
  <si>
    <t>ANSH_0034</t>
  </si>
  <si>
    <t>SHN1065</t>
  </si>
  <si>
    <t>ACBA_0052</t>
  </si>
  <si>
    <t>Bago</t>
  </si>
  <si>
    <t>BGO0947</t>
  </si>
  <si>
    <t>ACBA_0118</t>
  </si>
  <si>
    <t>BGO0948</t>
  </si>
  <si>
    <t>ACBA_0075</t>
  </si>
  <si>
    <t>BGO0949</t>
  </si>
  <si>
    <t>ACBA_0073</t>
  </si>
  <si>
    <t>BGO0950</t>
  </si>
  <si>
    <t>ACBA_0067</t>
  </si>
  <si>
    <t>BGO0965</t>
  </si>
  <si>
    <t>ACBA_0124</t>
  </si>
  <si>
    <t>BGO0970</t>
  </si>
  <si>
    <t>ANNP_0243</t>
  </si>
  <si>
    <t>NPW0263</t>
  </si>
  <si>
    <t>ANNP_0241</t>
  </si>
  <si>
    <t>Telenor-Ooredoo-MPT</t>
  </si>
  <si>
    <t>NPW0264</t>
  </si>
  <si>
    <t>ASMO_0202</t>
  </si>
  <si>
    <t>MOW6163</t>
  </si>
  <si>
    <t>ANSH_0016</t>
  </si>
  <si>
    <t>SHW1189</t>
  </si>
  <si>
    <t>ANMD_0122</t>
  </si>
  <si>
    <t>MDY0080</t>
  </si>
  <si>
    <t>ANMD_0166</t>
  </si>
  <si>
    <t>MDY0188</t>
  </si>
  <si>
    <t>ANMD_0080</t>
  </si>
  <si>
    <t>MDY0299</t>
  </si>
  <si>
    <t>ANMD_0004</t>
  </si>
  <si>
    <t>MDY0338</t>
  </si>
  <si>
    <t>AYYN_0527</t>
  </si>
  <si>
    <t>YAW7098</t>
  </si>
  <si>
    <t>ASKA_0137</t>
  </si>
  <si>
    <t>KNW6140</t>
  </si>
  <si>
    <t>AYYN_0335</t>
  </si>
  <si>
    <t>YAW7777</t>
  </si>
  <si>
    <t>AYYN_0357</t>
  </si>
  <si>
    <t>No ID Yet</t>
  </si>
  <si>
    <t>ANSG_0417</t>
  </si>
  <si>
    <t>AYYN_0318</t>
  </si>
  <si>
    <t>YAW7776</t>
  </si>
  <si>
    <t>ANSG_0418</t>
  </si>
  <si>
    <t>ACBA_0096</t>
  </si>
  <si>
    <t>AYYN_0538</t>
  </si>
  <si>
    <t>YAW7775</t>
  </si>
  <si>
    <t>ASMO_0109</t>
  </si>
  <si>
    <t>ACAY_0015</t>
  </si>
  <si>
    <t>Ayeyarwady</t>
  </si>
  <si>
    <t>ASMO_0313</t>
  </si>
  <si>
    <t>ASMO_0201</t>
  </si>
  <si>
    <t>ACBA_0255</t>
  </si>
  <si>
    <t>BAW5557</t>
  </si>
  <si>
    <t>ACBA_0259</t>
  </si>
  <si>
    <t>AYYN_0485</t>
  </si>
  <si>
    <t>YAW7772</t>
  </si>
  <si>
    <t>AYYN_0244</t>
  </si>
  <si>
    <t>YAW7770</t>
  </si>
  <si>
    <t>AYYN_0380</t>
  </si>
  <si>
    <t>YAW7769</t>
  </si>
  <si>
    <t>AYYN_0146</t>
  </si>
  <si>
    <t>AYYN_0449</t>
  </si>
  <si>
    <t>YAW7833</t>
  </si>
  <si>
    <t>ACBA_0094</t>
  </si>
  <si>
    <t>AYYN_0417</t>
  </si>
  <si>
    <t>YAW7767</t>
  </si>
  <si>
    <t>AYYN_0413</t>
  </si>
  <si>
    <t>ACBA_0056</t>
  </si>
  <si>
    <t>BAW5560</t>
  </si>
  <si>
    <t>AYYN_0411</t>
  </si>
  <si>
    <t>Telenor-MPT-Amara</t>
  </si>
  <si>
    <t>YAW7765</t>
  </si>
  <si>
    <t>ASMO_0267</t>
  </si>
  <si>
    <t>AYYN_0578</t>
  </si>
  <si>
    <t>YAW7764</t>
  </si>
  <si>
    <t>AYYN_0306</t>
  </si>
  <si>
    <t>RTT</t>
  </si>
  <si>
    <t>YAW7763</t>
  </si>
  <si>
    <t>AYYN_0532</t>
  </si>
  <si>
    <t>YAW7762</t>
  </si>
  <si>
    <t>AYYN_0533</t>
  </si>
  <si>
    <t>YAW7827</t>
  </si>
  <si>
    <t>ASMO_0263</t>
  </si>
  <si>
    <t>MOW6303</t>
  </si>
  <si>
    <t>ASMO_0181</t>
  </si>
  <si>
    <t>AYYN_0127</t>
  </si>
  <si>
    <t>Telenor-MPT-Amara-Mytel</t>
  </si>
  <si>
    <t>YAW7761</t>
  </si>
  <si>
    <t>AYYN_0534</t>
  </si>
  <si>
    <t>YAW7825</t>
  </si>
  <si>
    <t>AYYN_9991</t>
  </si>
  <si>
    <t>COW</t>
  </si>
  <si>
    <t>Telenor_COW Site</t>
  </si>
  <si>
    <t>AYYN_0119</t>
  </si>
  <si>
    <t>YAW7500</t>
  </si>
  <si>
    <t>AYYN_0128</t>
  </si>
  <si>
    <t>Telenor-Amara-Mytel</t>
  </si>
  <si>
    <t>YAW7818</t>
  </si>
  <si>
    <t>AYYN_0456</t>
  </si>
  <si>
    <t>AYYN_0104</t>
  </si>
  <si>
    <t>YAW7816</t>
  </si>
  <si>
    <t>AYYN_0580</t>
  </si>
  <si>
    <t>YAW7405</t>
  </si>
  <si>
    <t>ACAY_0059</t>
  </si>
  <si>
    <t>AYYN_0081</t>
  </si>
  <si>
    <t>ASMO_0183</t>
  </si>
  <si>
    <t>AYYN_0576</t>
  </si>
  <si>
    <t>YAW7812</t>
  </si>
  <si>
    <t>AYYN_0574</t>
  </si>
  <si>
    <t>AYYN_0331</t>
  </si>
  <si>
    <t>YAW7807</t>
  </si>
  <si>
    <t>AYYN_0122</t>
  </si>
  <si>
    <t>ACBA_0108</t>
  </si>
  <si>
    <t>BAW5569</t>
  </si>
  <si>
    <t>ASMO_0305</t>
  </si>
  <si>
    <t>MOW6308</t>
  </si>
  <si>
    <t>AYYN_0321</t>
  </si>
  <si>
    <t>YAW4951</t>
  </si>
  <si>
    <t>ACBA_0187</t>
  </si>
  <si>
    <t>AYYN_0405</t>
  </si>
  <si>
    <t>AYYN_0552</t>
  </si>
  <si>
    <t>YAW7803</t>
  </si>
  <si>
    <t>ASMO_0180</t>
  </si>
  <si>
    <t>AYYN_0536</t>
  </si>
  <si>
    <t>AYYN_0508</t>
  </si>
  <si>
    <t>YAW7800</t>
  </si>
  <si>
    <t>ASMO_0150</t>
  </si>
  <si>
    <t>AYYN_0518</t>
  </si>
  <si>
    <t>YAW4931</t>
  </si>
  <si>
    <t>AYYN_0474</t>
  </si>
  <si>
    <t>AYYN_0520</t>
  </si>
  <si>
    <t>ACBA_0051</t>
  </si>
  <si>
    <t>BAW5574</t>
  </si>
  <si>
    <t>AYYN_0488</t>
  </si>
  <si>
    <t>YAW7795</t>
  </si>
  <si>
    <t>AYYN_0544</t>
  </si>
  <si>
    <t>AYYN_0504</t>
  </si>
  <si>
    <t>YAW4769</t>
  </si>
  <si>
    <t>AYYN_0309</t>
  </si>
  <si>
    <t>YAW7787</t>
  </si>
  <si>
    <t>ACAY_0142</t>
  </si>
  <si>
    <t>ACBA_0089</t>
  </si>
  <si>
    <t>AYYN_0088</t>
  </si>
  <si>
    <t>Telenor-Mytel-MPT</t>
  </si>
  <si>
    <t>YAW4651</t>
  </si>
  <si>
    <t>ACAY_0123</t>
  </si>
  <si>
    <t>AYW5569</t>
  </si>
  <si>
    <t>ACBA_0032</t>
  </si>
  <si>
    <t>ASMO_0162</t>
  </si>
  <si>
    <t>ASMO_0164</t>
  </si>
  <si>
    <t>MOT6240</t>
  </si>
  <si>
    <t>ASMO_0166</t>
  </si>
  <si>
    <t>MOW6237</t>
  </si>
  <si>
    <t>ASMO_0165</t>
  </si>
  <si>
    <t>ASMO_0171</t>
  </si>
  <si>
    <t>MOW6290</t>
  </si>
  <si>
    <t>ACBA_0230</t>
  </si>
  <si>
    <t>ASMO_0172</t>
  </si>
  <si>
    <t>MOW6220</t>
  </si>
  <si>
    <t>ACBA_0196</t>
  </si>
  <si>
    <t>BAW5585</t>
  </si>
  <si>
    <t>ACBA_0038</t>
  </si>
  <si>
    <t>ACBA_0030</t>
  </si>
  <si>
    <t>ACBA_0042</t>
  </si>
  <si>
    <t>BAW5255</t>
  </si>
  <si>
    <t>ACBA_0028</t>
  </si>
  <si>
    <t>BAW5251</t>
  </si>
  <si>
    <t>ACBA_0035</t>
  </si>
  <si>
    <t>ACBA_0033</t>
  </si>
  <si>
    <t>ACBA_0185</t>
  </si>
  <si>
    <t>BAW5590</t>
  </si>
  <si>
    <t>ACAY_0022</t>
  </si>
  <si>
    <t>AYW5540</t>
  </si>
  <si>
    <t>ACAY_0026</t>
  </si>
  <si>
    <t>ACAY_0017</t>
  </si>
  <si>
    <t>AYW5537</t>
  </si>
  <si>
    <t>ASMO_0261</t>
  </si>
  <si>
    <t>ASMO_0176</t>
  </si>
  <si>
    <t>ANMD_0015</t>
  </si>
  <si>
    <t>MAW2998</t>
  </si>
  <si>
    <t>ANSG_0351</t>
  </si>
  <si>
    <t>ANSG_0358</t>
  </si>
  <si>
    <t>SAW0716</t>
  </si>
  <si>
    <t>ANMD_0012</t>
  </si>
  <si>
    <t>MAW2977</t>
  </si>
  <si>
    <t>ANMD_0090</t>
  </si>
  <si>
    <t>ANSG_0349</t>
  </si>
  <si>
    <t>SAW0714</t>
  </si>
  <si>
    <t>ANMD_0163</t>
  </si>
  <si>
    <t>MAW2983</t>
  </si>
  <si>
    <t>ANSG_0377</t>
  </si>
  <si>
    <t>ANSG_0378</t>
  </si>
  <si>
    <t>ACAY_0146</t>
  </si>
  <si>
    <t>ANSG_0382</t>
  </si>
  <si>
    <t>ANSG_0383</t>
  </si>
  <si>
    <t>ANMD_0018</t>
  </si>
  <si>
    <t>MAW2217</t>
  </si>
  <si>
    <t>ANMD_0089</t>
  </si>
  <si>
    <t>ANMD_0095</t>
  </si>
  <si>
    <t>MAW2996</t>
  </si>
  <si>
    <t>ANMD_0171</t>
  </si>
  <si>
    <t>MAW2992</t>
  </si>
  <si>
    <t>ANMD_0172</t>
  </si>
  <si>
    <t>ACAY_0163</t>
  </si>
  <si>
    <t>AYW5526</t>
  </si>
  <si>
    <t>ANMG_0052</t>
  </si>
  <si>
    <t>MWW3498</t>
  </si>
  <si>
    <t>ANMG_0006</t>
  </si>
  <si>
    <t>ANMG_0026</t>
  </si>
  <si>
    <t>MWW3500</t>
  </si>
  <si>
    <t>ANSG_0381</t>
  </si>
  <si>
    <t>ANMG_0167</t>
  </si>
  <si>
    <t>MWW3502</t>
  </si>
  <si>
    <t>ANSG_0361</t>
  </si>
  <si>
    <t>SAW0719</t>
  </si>
  <si>
    <t>ANMD_0118</t>
  </si>
  <si>
    <t>ANMD_0170</t>
  </si>
  <si>
    <t>MAW2986</t>
  </si>
  <si>
    <t>ANMD_0266</t>
  </si>
  <si>
    <t>MAW2985</t>
  </si>
  <si>
    <t>ANMD_0167</t>
  </si>
  <si>
    <t>ANMG_0172</t>
  </si>
  <si>
    <t>MWW3507</t>
  </si>
  <si>
    <t>ANMG_0173</t>
  </si>
  <si>
    <t>MWW3508</t>
  </si>
  <si>
    <t>ANSH_0086</t>
  </si>
  <si>
    <t>ANSG_0379</t>
  </si>
  <si>
    <t>ANMD_0098</t>
  </si>
  <si>
    <t>MAW2979</t>
  </si>
  <si>
    <t>ANSG_0347</t>
  </si>
  <si>
    <t>SAW0717</t>
  </si>
  <si>
    <t>ANMD_0117</t>
  </si>
  <si>
    <t>MAW2999</t>
  </si>
  <si>
    <t>ANMD_0005</t>
  </si>
  <si>
    <t>MAW2976</t>
  </si>
  <si>
    <t>ANMD_0092</t>
  </si>
  <si>
    <t>ANMD_0164</t>
  </si>
  <si>
    <t>ANMD_0165</t>
  </si>
  <si>
    <t>ANMD_0168</t>
  </si>
  <si>
    <t>MAW2993</t>
  </si>
  <si>
    <t>ANMG_0017</t>
  </si>
  <si>
    <t>MWW3484</t>
  </si>
  <si>
    <t>ANNP_0276</t>
  </si>
  <si>
    <t>ANNP_0203</t>
  </si>
  <si>
    <t>ANMD_0079</t>
  </si>
  <si>
    <t>MAW2908</t>
  </si>
  <si>
    <t>ASKH_0019</t>
  </si>
  <si>
    <t>Kayah</t>
  </si>
  <si>
    <t>MPT-Telenor</t>
  </si>
  <si>
    <t>KYW6082</t>
  </si>
  <si>
    <t>ASTN_0045</t>
  </si>
  <si>
    <t>Tanintharyi</t>
  </si>
  <si>
    <t>TAW6250</t>
  </si>
  <si>
    <t>ASTN_0035</t>
  </si>
  <si>
    <t>ASMO_0295</t>
  </si>
  <si>
    <t>MOW6295</t>
  </si>
  <si>
    <t>ASKA_0196</t>
  </si>
  <si>
    <t>ACBA_0245</t>
  </si>
  <si>
    <t>BAW5555</t>
  </si>
  <si>
    <t>ANMD_0133</t>
  </si>
  <si>
    <t>ACAY_0171</t>
  </si>
  <si>
    <t>AYW5539</t>
  </si>
  <si>
    <t>ANMG_0183</t>
  </si>
  <si>
    <t>MWW3494</t>
  </si>
  <si>
    <t>ANMG_0185</t>
  </si>
  <si>
    <t>ANSG_0464</t>
  </si>
  <si>
    <t>AYYN_0166</t>
  </si>
  <si>
    <t>AYYN_0562</t>
  </si>
  <si>
    <t>AYYN_0599</t>
  </si>
  <si>
    <t>AYYN_0218</t>
  </si>
  <si>
    <t>AYYN_0223</t>
  </si>
  <si>
    <t>AYYN_0206</t>
  </si>
  <si>
    <t>YAW7848</t>
  </si>
  <si>
    <t>AYYN_0144</t>
  </si>
  <si>
    <t>AYYN_0066</t>
  </si>
  <si>
    <t>YAW7843</t>
  </si>
  <si>
    <t>ACRK_0028</t>
  </si>
  <si>
    <t>RKE00512</t>
  </si>
  <si>
    <t>ANMG_0019</t>
  </si>
  <si>
    <t>MGY0017</t>
  </si>
  <si>
    <t>ANMG_0058</t>
  </si>
  <si>
    <t>MGY0063</t>
  </si>
  <si>
    <t>ANMG_0122</t>
  </si>
  <si>
    <t>MGY0103</t>
  </si>
  <si>
    <t>ANNP_0391</t>
  </si>
  <si>
    <t>NPW0266</t>
  </si>
  <si>
    <t>ANNP_0226</t>
  </si>
  <si>
    <t>NPW0268</t>
  </si>
  <si>
    <t>ANNP_0210</t>
  </si>
  <si>
    <t>NPW0269</t>
  </si>
  <si>
    <t>ANSG_0373</t>
  </si>
  <si>
    <t>SGG0992</t>
  </si>
  <si>
    <t>ANMD_0091</t>
  </si>
  <si>
    <t>MDYCMTN004</t>
  </si>
  <si>
    <t>ANMD_0093</t>
  </si>
  <si>
    <t>MDYCMTN035</t>
  </si>
  <si>
    <t>ANMD_0105</t>
  </si>
  <si>
    <t>MDYCMTZ023</t>
  </si>
  <si>
    <t>AYYN_0110</t>
  </si>
  <si>
    <t>YAW7657</t>
  </si>
  <si>
    <t>ANSG_0446</t>
  </si>
  <si>
    <t>NPW2259</t>
  </si>
  <si>
    <t>AYYN_0441</t>
  </si>
  <si>
    <t>YAW4463</t>
  </si>
  <si>
    <t>ANSG_0364</t>
  </si>
  <si>
    <t>ACAY_0102</t>
  </si>
  <si>
    <t>AYW5275</t>
  </si>
  <si>
    <t>ASKH_3000</t>
  </si>
  <si>
    <t>KYW6046</t>
  </si>
  <si>
    <t>ANSG_0348</t>
  </si>
  <si>
    <t>ANMD_0154</t>
  </si>
  <si>
    <t>MAW2956</t>
  </si>
  <si>
    <t>ANMG_0011</t>
  </si>
  <si>
    <t>ANMG_0113</t>
  </si>
  <si>
    <t>MWW3516</t>
  </si>
  <si>
    <t>AYYN_0517</t>
  </si>
  <si>
    <t>MDYCMTN019_2</t>
  </si>
  <si>
    <t>MDYMHAM042</t>
  </si>
  <si>
    <t>ACAY_3003</t>
  </si>
  <si>
    <t>ASMO_0253</t>
  </si>
  <si>
    <t>MOW6291</t>
  </si>
  <si>
    <t>ANMG_0027</t>
  </si>
  <si>
    <t>MWW3486</t>
  </si>
  <si>
    <t>ANSH_0013</t>
  </si>
  <si>
    <t>AYYN_0419</t>
  </si>
  <si>
    <t>YGNKTDA015</t>
  </si>
  <si>
    <t>AYYN_0100</t>
  </si>
  <si>
    <t>YGN0496</t>
  </si>
  <si>
    <t>AYYN_0141</t>
  </si>
  <si>
    <t>YGNLTHA011</t>
  </si>
  <si>
    <t>ANMD_0175</t>
  </si>
  <si>
    <t>No ID yet</t>
  </si>
  <si>
    <t>AYYN_0339</t>
  </si>
  <si>
    <t>YGNMYGE008</t>
  </si>
  <si>
    <t>ANMD_0078</t>
  </si>
  <si>
    <t>MDYAMTZ006</t>
  </si>
  <si>
    <t>MDYAMTZ023</t>
  </si>
  <si>
    <t>AYYN_0416</t>
  </si>
  <si>
    <t>YGNDWBN001</t>
  </si>
  <si>
    <t>YGNTKTA008</t>
  </si>
  <si>
    <t>Graph Prevalidation</t>
  </si>
  <si>
    <t>TSSR</t>
  </si>
  <si>
    <t>In Process</t>
  </si>
  <si>
    <t>Need to add submitted ?</t>
  </si>
  <si>
    <t>Total</t>
  </si>
  <si>
    <t>Submitted Today</t>
  </si>
  <si>
    <t>Week</t>
  </si>
  <si>
    <t>SAQ</t>
  </si>
  <si>
    <t>RF</t>
  </si>
  <si>
    <t>Structural</t>
  </si>
  <si>
    <t>Power</t>
  </si>
  <si>
    <t>CW</t>
  </si>
  <si>
    <t>Community</t>
  </si>
  <si>
    <t>Pending</t>
  </si>
  <si>
    <t>Colo Application</t>
  </si>
  <si>
    <t>TN</t>
  </si>
  <si>
    <t>Colocation Overview</t>
  </si>
  <si>
    <t>Test Total</t>
  </si>
  <si>
    <t>Colo Application Approved</t>
  </si>
  <si>
    <t>Prevalidated - TSSR Done</t>
  </si>
  <si>
    <t>Prevalidated - TSSR in Process</t>
  </si>
  <si>
    <t>Colocation Dashboard</t>
  </si>
  <si>
    <t>Row Labels</t>
  </si>
  <si>
    <t>Count of AT Site ID</t>
  </si>
  <si>
    <t>Grand Total</t>
  </si>
  <si>
    <t>(All)</t>
  </si>
  <si>
    <t>Column Labels</t>
  </si>
  <si>
    <t>10colo_app.RFI_Forecast_Date</t>
  </si>
  <si>
    <t>10colo_app.RFI_Submission_Date</t>
  </si>
  <si>
    <t>10colo_app.RFI_Approval_Date</t>
  </si>
  <si>
    <t>10colo_app.RFI_Status</t>
  </si>
  <si>
    <t>20work_order_id</t>
  </si>
  <si>
    <t>Work_Category</t>
  </si>
  <si>
    <t>Vendor_Name</t>
  </si>
  <si>
    <t>PR</t>
  </si>
  <si>
    <t>PR_Date</t>
  </si>
  <si>
    <t>PO</t>
  </si>
  <si>
    <t>PO_Date</t>
  </si>
  <si>
    <t>Plan_Delivery</t>
  </si>
  <si>
    <t>Plan_Start</t>
  </si>
  <si>
    <t>Plan_End</t>
  </si>
  <si>
    <t>Actual_Delivery</t>
  </si>
  <si>
    <t>Actual_Start</t>
  </si>
  <si>
    <t>Actual_End</t>
  </si>
  <si>
    <t>Remarks</t>
  </si>
  <si>
    <t>Bracket Installation</t>
  </si>
  <si>
    <t>PR1-100A-1803-00097</t>
  </si>
  <si>
    <t>PR1-100A-1803-00095</t>
  </si>
  <si>
    <t>PR1-100A-1803-00031</t>
  </si>
  <si>
    <t>PO1-100A-1803-00058</t>
  </si>
  <si>
    <t>Power Upgrade</t>
  </si>
  <si>
    <t>Count Work Orders</t>
  </si>
  <si>
    <t>Completed Work Orders</t>
  </si>
  <si>
    <t>WIP Readiness</t>
  </si>
  <si>
    <t>RFI</t>
  </si>
  <si>
    <t>Work Completed</t>
  </si>
  <si>
    <t>Work in Progress</t>
  </si>
  <si>
    <t>NTP Received</t>
  </si>
  <si>
    <t>BAW5556</t>
  </si>
  <si>
    <t>AYW5549</t>
  </si>
  <si>
    <t>MOW6300</t>
  </si>
  <si>
    <t>MOW6311</t>
  </si>
  <si>
    <t>AYW5596</t>
  </si>
  <si>
    <t>YAW7860</t>
  </si>
  <si>
    <t>YAW7853</t>
  </si>
  <si>
    <t>MAW2969</t>
  </si>
  <si>
    <t>ANMD_0181</t>
  </si>
  <si>
    <t>MAW2836</t>
  </si>
  <si>
    <t>ANSH_0044</t>
  </si>
  <si>
    <t>MAW2380</t>
  </si>
  <si>
    <t>AYYN_0021</t>
  </si>
  <si>
    <t>YGN0821</t>
  </si>
  <si>
    <t>AYYN_0530</t>
  </si>
  <si>
    <t>YGN1353</t>
  </si>
  <si>
    <t>ANSG_0482</t>
  </si>
  <si>
    <t>SGG0351</t>
  </si>
  <si>
    <t>AYYN_0323</t>
  </si>
  <si>
    <t>YGN1545</t>
  </si>
  <si>
    <t>ANMG_0076</t>
  </si>
  <si>
    <t>MGY0061</t>
  </si>
  <si>
    <t>AYYN_0499</t>
  </si>
  <si>
    <t>YGN1337</t>
  </si>
  <si>
    <t>ASMO_0254</t>
  </si>
  <si>
    <t>MON0014</t>
  </si>
  <si>
    <t>ANNP_0329</t>
  </si>
  <si>
    <t>NPW0281</t>
  </si>
  <si>
    <t>Test Bar Completion View</t>
  </si>
  <si>
    <t>MOW6298</t>
  </si>
  <si>
    <t>MOW6299</t>
  </si>
  <si>
    <t>YAW7768</t>
  </si>
  <si>
    <t>AYW5560</t>
  </si>
  <si>
    <t>YAW7814</t>
  </si>
  <si>
    <t>YAW4977</t>
  </si>
  <si>
    <t>YAW7804</t>
  </si>
  <si>
    <t>YAW7758</t>
  </si>
  <si>
    <t>MOW6312</t>
  </si>
  <si>
    <t>YAW4930</t>
  </si>
  <si>
    <t>YAM7610</t>
  </si>
  <si>
    <t>YAW4790</t>
  </si>
  <si>
    <t>AYW5565</t>
  </si>
  <si>
    <t>BAW5581</t>
  </si>
  <si>
    <t>BAW5234</t>
  </si>
  <si>
    <t>MOW6294</t>
  </si>
  <si>
    <t>MOW6176</t>
  </si>
  <si>
    <t>BAW5584</t>
  </si>
  <si>
    <t>BAW5548</t>
  </si>
  <si>
    <t>BAW5260</t>
  </si>
  <si>
    <t>BAW5248</t>
  </si>
  <si>
    <t>BAW5224</t>
  </si>
  <si>
    <t>AYW5130</t>
  </si>
  <si>
    <t>MOW6219</t>
  </si>
  <si>
    <t>SAW0721</t>
  </si>
  <si>
    <t>SAW0728</t>
  </si>
  <si>
    <t>SAW0727</t>
  </si>
  <si>
    <t>MWW3499</t>
  </si>
  <si>
    <t>SAW0731</t>
  </si>
  <si>
    <t>MAW2441</t>
  </si>
  <si>
    <t>MAW2984</t>
  </si>
  <si>
    <t>SHW1908</t>
  </si>
  <si>
    <t>SAW0726</t>
  </si>
  <si>
    <t>MAW2383</t>
  </si>
  <si>
    <t>MAW2196</t>
  </si>
  <si>
    <t>MAW2764</t>
  </si>
  <si>
    <t>MAW2959</t>
  </si>
  <si>
    <t>Replacement_43</t>
  </si>
  <si>
    <t>Replacement_45</t>
  </si>
  <si>
    <t>TAW6249</t>
  </si>
  <si>
    <t>KNW6222</t>
  </si>
  <si>
    <t>SAW0732</t>
  </si>
  <si>
    <t>YAW7859</t>
  </si>
  <si>
    <t>YAW7846</t>
  </si>
  <si>
    <t>SAW0353</t>
  </si>
  <si>
    <t>SAW0705</t>
  </si>
  <si>
    <t>SAW0704</t>
  </si>
  <si>
    <t>MWW3525</t>
  </si>
  <si>
    <t>AYW5573</t>
  </si>
  <si>
    <t>SHW1978</t>
  </si>
  <si>
    <t>SHW1986</t>
  </si>
  <si>
    <t>AYYN_0229</t>
  </si>
  <si>
    <t>Beeline</t>
  </si>
  <si>
    <t>proposed 50-55 but in actual 49-54</t>
  </si>
  <si>
    <t>Tianbo</t>
  </si>
  <si>
    <t>OML will use existing free MW bracket</t>
  </si>
  <si>
    <t>Sites in Process</t>
  </si>
  <si>
    <t>TSSR Done - Under Prevalidation</t>
  </si>
  <si>
    <t>Prevalidation</t>
  </si>
  <si>
    <t>TSSR Stage</t>
  </si>
  <si>
    <t>Other</t>
  </si>
  <si>
    <t>Filter</t>
  </si>
  <si>
    <t>TOTAL Sites</t>
  </si>
  <si>
    <t>WIP</t>
  </si>
  <si>
    <t>On Air</t>
  </si>
  <si>
    <t>10colo_app.On_Air_Date</t>
  </si>
  <si>
    <t>Commercial Requested</t>
  </si>
  <si>
    <t>Max</t>
  </si>
  <si>
    <t>Actual Slide</t>
  </si>
  <si>
    <t>TSSR Done - Prevalidated</t>
  </si>
  <si>
    <t>Commercial Approval Pending</t>
  </si>
  <si>
    <t>BAW5558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</si>
</sst>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 &quot;Sites&quot;"/>
  </numFmts>
  <fonts count="50" x14ac:knownFonts="1">
    <font>
      <sz val="11"/>
      <color theme="1"/>
      <name val="Calibri"/>
      <family val="2"/>
      <scheme val="minor"/>
    </font>
    <font>
      <sz val="9"/>
      <color theme="1"/>
      <name val="Calibri"/>
      <family val="2"/>
    </font>
    <font>
      <b/>
      <sz val="18"/>
      <color theme="1"/>
      <name val="Calibri"/>
      <family val="2"/>
      <scheme val="minor"/>
    </font>
    <font>
      <b/>
      <sz val="36"/>
      <color theme="1"/>
      <name val="Calibri"/>
      <family val="2"/>
      <scheme val="minor"/>
    </font>
    <font>
      <sz val="18"/>
      <color theme="1"/>
      <name val="Calibri"/>
      <family val="2"/>
      <scheme val="minor"/>
    </font>
    <font>
      <b/>
      <sz val="22"/>
      <color theme="4"/>
      <name val="Calibri"/>
      <family val="2"/>
      <scheme val="minor"/>
    </font>
    <font>
      <b/>
      <sz val="18"/>
      <color theme="9"/>
      <name val="Calibri"/>
      <family val="2"/>
      <scheme val="minor"/>
    </font>
    <font>
      <b/>
      <sz val="11.5"/>
      <color rgb="FF212121"/>
      <name val="Segoe UI"/>
      <family val="2"/>
    </font>
    <font>
      <b/>
      <sz val="16"/>
      <color theme="4"/>
      <name val="Calibri"/>
      <family val="2"/>
      <scheme val="minor"/>
    </font>
    <font>
      <b/>
      <sz val="24"/>
      <color theme="9"/>
      <name val="Calibri"/>
      <family val="2"/>
      <scheme val="minor"/>
    </font>
    <font>
      <b/>
      <sz val="18"/>
      <color theme="8"/>
      <name val="Calibri"/>
      <family val="2"/>
      <scheme val="minor"/>
    </font>
    <font>
      <b/>
      <sz val="24"/>
      <color theme="8"/>
      <name val="Calibri"/>
      <family val="2"/>
      <scheme val="minor"/>
    </font>
    <font>
      <b/>
      <sz val="18"/>
      <color theme="8" tint="0.39997558519241921"/>
      <name val="Calibri"/>
      <family val="2"/>
      <scheme val="minor"/>
    </font>
    <font>
      <b/>
      <sz val="24"/>
      <color theme="8" tint="0.39997558519241921"/>
      <name val="Calibri"/>
      <family val="2"/>
      <scheme val="minor"/>
    </font>
    <font>
      <b/>
      <sz val="18"/>
      <color theme="7"/>
      <name val="Calibri"/>
      <family val="2"/>
      <scheme val="minor"/>
    </font>
    <font>
      <b/>
      <sz val="24"/>
      <color theme="7"/>
      <name val="Calibri"/>
      <family val="2"/>
      <scheme val="minor"/>
    </font>
    <font>
      <b/>
      <sz val="16"/>
      <color theme="5"/>
      <name val="Calibri"/>
      <family val="2"/>
      <scheme val="minor"/>
    </font>
    <font>
      <b/>
      <sz val="16"/>
      <color theme="6"/>
      <name val="Calibri"/>
      <family val="2"/>
      <scheme val="minor"/>
    </font>
    <font>
      <b/>
      <sz val="18"/>
      <color theme="2" tint="-0.499984740745262"/>
      <name val="Calibri"/>
      <family val="2"/>
      <scheme val="minor"/>
    </font>
    <font>
      <b/>
      <sz val="36"/>
      <color theme="2" tint="-0.499984740745262"/>
      <name val="Calibri"/>
      <family val="2"/>
      <scheme val="minor"/>
    </font>
    <font>
      <b/>
      <sz val="28"/>
      <color theme="1"/>
      <name val="Calibri"/>
      <family val="2"/>
      <scheme val="minor"/>
    </font>
    <font>
      <b/>
      <sz val="18"/>
      <color theme="9" tint="0.39997558519241921"/>
      <name val="Calibri"/>
      <family val="2"/>
      <scheme val="minor"/>
    </font>
    <font>
      <b/>
      <sz val="24"/>
      <color theme="9" tint="0.39997558519241921"/>
      <name val="Calibri"/>
      <family val="2"/>
      <scheme val="minor"/>
    </font>
    <font>
      <b/>
      <sz val="18"/>
      <color rgb="FFC00000"/>
      <name val="Calibri"/>
      <family val="2"/>
      <scheme val="minor"/>
    </font>
    <font>
      <b/>
      <sz val="24"/>
      <color rgb="FFC00000"/>
      <name val="Calibri"/>
      <family val="2"/>
      <scheme val="minor"/>
    </font>
    <font>
      <b/>
      <sz val="18"/>
      <color theme="8" tint="0.59999389629810485"/>
      <name val="Calibri"/>
      <family val="2"/>
      <scheme val="minor"/>
    </font>
    <font>
      <b/>
      <sz val="24"/>
      <color theme="8" tint="0.59999389629810485"/>
      <name val="Calibri"/>
      <family val="2"/>
      <scheme val="minor"/>
    </font>
    <font>
      <b/>
      <sz val="16"/>
      <color theme="4" tint="-0.499984740745262"/>
      <name val="Calibri"/>
      <family val="2"/>
      <scheme val="minor"/>
    </font>
    <font>
      <b/>
      <sz val="12"/>
      <color theme="1"/>
      <name val="Calibri"/>
      <family val="2"/>
      <scheme val="minor"/>
    </font>
    <font>
      <b/>
      <sz val="11"/>
      <color theme="8"/>
      <name val="Calibri"/>
      <family val="2"/>
      <scheme val="minor"/>
    </font>
    <font>
      <b/>
      <sz val="11"/>
      <color theme="4"/>
      <name val="Calibri"/>
      <family val="2"/>
      <scheme val="minor"/>
    </font>
    <font>
      <b/>
      <sz val="11"/>
      <color theme="7"/>
      <name val="Calibri"/>
      <family val="2"/>
      <scheme val="minor"/>
    </font>
    <font>
      <b/>
      <sz val="11"/>
      <color theme="9"/>
      <name val="Calibri"/>
      <family val="2"/>
      <scheme val="minor"/>
    </font>
    <font>
      <b/>
      <sz val="11"/>
      <color theme="5" tint="0.39997558519241921"/>
      <name val="Calibri"/>
      <family val="2"/>
      <scheme val="minor"/>
    </font>
    <font>
      <b/>
      <sz val="11"/>
      <color theme="1"/>
      <name val="Calibri"/>
      <family val="2"/>
      <scheme val="minor"/>
    </font>
    <font>
      <b/>
      <sz val="18"/>
      <color theme="6" tint="-0.249977111117893"/>
      <name val="Calibri"/>
      <family val="2"/>
      <scheme val="minor"/>
    </font>
    <font>
      <b/>
      <sz val="12"/>
      <color theme="8"/>
      <name val="Calibri"/>
      <family val="2"/>
      <scheme val="minor"/>
    </font>
    <font>
      <b/>
      <sz val="14"/>
      <color theme="9"/>
      <name val="Calibri"/>
      <family val="2"/>
      <scheme val="minor"/>
    </font>
    <font>
      <b/>
      <sz val="14"/>
      <color theme="9" tint="0.39997558519241921"/>
      <name val="Calibri"/>
      <family val="2"/>
      <scheme val="minor"/>
    </font>
    <font>
      <sz val="16"/>
      <color theme="1"/>
      <name val="Calibri"/>
      <family val="2"/>
      <scheme val="minor"/>
    </font>
    <font>
      <b/>
      <sz val="16"/>
      <color theme="9"/>
      <name val="Calibri"/>
      <family val="2"/>
      <scheme val="minor"/>
    </font>
    <font>
      <b/>
      <sz val="16"/>
      <color theme="9" tint="0.39997558519241921"/>
      <name val="Calibri"/>
      <family val="2"/>
      <scheme val="minor"/>
    </font>
    <font>
      <b/>
      <sz val="16"/>
      <color theme="8"/>
      <name val="Calibri"/>
      <family val="2"/>
      <scheme val="minor"/>
    </font>
    <font>
      <b/>
      <sz val="16"/>
      <color theme="8" tint="0.39997558519241921"/>
      <name val="Calibri"/>
      <family val="2"/>
      <scheme val="minor"/>
    </font>
    <font>
      <b/>
      <sz val="16"/>
      <color theme="8" tint="0.59999389629810485"/>
      <name val="Calibri"/>
      <family val="2"/>
      <scheme val="minor"/>
    </font>
    <font>
      <b/>
      <sz val="12"/>
      <color theme="5"/>
      <name val="Calibri"/>
      <family val="2"/>
      <scheme val="minor"/>
    </font>
    <font>
      <b/>
      <sz val="12"/>
      <color theme="6"/>
      <name val="Calibri"/>
      <family val="2"/>
      <scheme val="minor"/>
    </font>
    <font>
      <b/>
      <sz val="14"/>
      <color theme="5" tint="0.39997558519241921"/>
      <name val="Calibri"/>
      <family val="2"/>
      <scheme val="minor"/>
    </font>
    <font>
      <b/>
      <sz val="14"/>
      <color theme="7"/>
      <name val="Calibri"/>
      <family val="2"/>
      <scheme val="minor"/>
    </font>
    <font>
      <b/>
      <sz val="14"/>
      <color theme="8" tint="0.39997558519241921"/>
      <name val="Calibri"/>
      <family val="2"/>
      <scheme val="minor"/>
    </font>
  </fonts>
  <fills count="12">
    <fill>
      <patternFill patternType="none"/>
    </fill>
    <fill>
      <patternFill patternType="gray125"/>
    </fill>
    <fill>
      <patternFill patternType="solid">
        <fgColor theme="8"/>
        <bgColor indexed="64"/>
      </patternFill>
    </fill>
    <fill>
      <patternFill patternType="solid">
        <fgColor theme="7"/>
        <bgColor indexed="64"/>
      </patternFill>
    </fill>
    <fill>
      <patternFill patternType="solid">
        <fgColor theme="9"/>
        <bgColor indexed="64"/>
      </patternFill>
    </fill>
    <fill>
      <patternFill patternType="solid">
        <fgColor theme="6"/>
        <bgColor indexed="64"/>
      </patternFill>
    </fill>
    <fill>
      <patternFill patternType="solid">
        <fgColor rgb="FFFFFF00"/>
        <bgColor indexed="64"/>
      </patternFill>
    </fill>
    <fill>
      <patternFill patternType="solid">
        <fgColor theme="5"/>
        <bgColor indexed="64"/>
      </patternFill>
    </fill>
    <fill>
      <patternFill patternType="solid">
        <fgColor theme="5" tint="0.3999450666829432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39997558519241921"/>
        <bgColor indexed="64"/>
      </patternFill>
    </fill>
  </fills>
  <borders count="17">
    <border>
      <left/>
      <right/>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s>
  <cellStyleXfs count="2">
    <xf numFmtId="0" fontId="0" fillId="0" borderId="0"/>
    <xf numFmtId="0" fontId="1" fillId="0" borderId="0"/>
  </cellStyleXfs>
  <cellXfs count="154">
    <xf numFmtId="0" fontId="0" fillId="0" borderId="0" xfId="0"/>
    <xf numFmtId="14" fontId="0" fillId="0" borderId="0" xfId="0" applyNumberFormat="1"/>
    <xf numFmtId="22" fontId="0" fillId="0" borderId="0" xfId="0" applyNumberFormat="1"/>
    <xf numFmtId="0" fontId="0" fillId="0" borderId="2" xfId="0" applyBorder="1"/>
    <xf numFmtId="0" fontId="0" fillId="4" borderId="2" xfId="0" applyFill="1" applyBorder="1"/>
    <xf numFmtId="0" fontId="0" fillId="6" borderId="2" xfId="0" applyFill="1" applyBorder="1"/>
    <xf numFmtId="0" fontId="0" fillId="5" borderId="0" xfId="0" applyFill="1"/>
    <xf numFmtId="0" fontId="0" fillId="0" borderId="1" xfId="0" applyBorder="1"/>
    <xf numFmtId="0" fontId="0" fillId="7" borderId="2" xfId="0" applyFill="1" applyBorder="1"/>
    <xf numFmtId="164" fontId="2" fillId="0" borderId="0" xfId="0" applyNumberFormat="1" applyFont="1" applyAlignment="1">
      <alignment vertical="center"/>
    </xf>
    <xf numFmtId="0" fontId="3" fillId="0" borderId="0" xfId="0" applyFont="1" applyAlignment="1">
      <alignment vertical="center"/>
    </xf>
    <xf numFmtId="0" fontId="0" fillId="0" borderId="3" xfId="0" applyBorder="1"/>
    <xf numFmtId="0" fontId="4" fillId="0" borderId="0" xfId="0" applyFont="1" applyAlignment="1">
      <alignment horizontal="left" vertical="center"/>
    </xf>
    <xf numFmtId="0" fontId="4" fillId="0" borderId="0" xfId="0" applyFont="1" applyAlignment="1">
      <alignment vertical="center"/>
    </xf>
    <xf numFmtId="0" fontId="7" fillId="0" borderId="0" xfId="0" applyFont="1" applyAlignment="1">
      <alignment horizontal="left" vertical="center" indent="1"/>
    </xf>
    <xf numFmtId="0" fontId="0" fillId="8" borderId="0" xfId="0" applyFill="1"/>
    <xf numFmtId="0" fontId="0" fillId="9" borderId="0" xfId="0" applyFill="1"/>
    <xf numFmtId="0" fontId="0" fillId="7" borderId="0" xfId="0" applyFill="1"/>
    <xf numFmtId="0" fontId="0" fillId="3" borderId="0" xfId="0" applyFill="1"/>
    <xf numFmtId="0" fontId="0" fillId="10" borderId="0" xfId="0" applyFill="1"/>
    <xf numFmtId="0" fontId="0" fillId="2" borderId="0" xfId="0" applyFill="1"/>
    <xf numFmtId="22" fontId="2" fillId="0" borderId="0" xfId="0" applyNumberFormat="1" applyFont="1" applyAlignment="1">
      <alignment vertical="center"/>
    </xf>
    <xf numFmtId="0" fontId="5" fillId="0" borderId="0" xfId="0" applyFont="1" applyAlignment="1">
      <alignment vertical="center"/>
    </xf>
    <xf numFmtId="0" fontId="8" fillId="0" borderId="0" xfId="0" applyFont="1" applyAlignment="1">
      <alignment vertical="top" wrapText="1"/>
    </xf>
    <xf numFmtId="0" fontId="15" fillId="0" borderId="0" xfId="0" applyFont="1" applyAlignment="1">
      <alignment vertical="center"/>
    </xf>
    <xf numFmtId="0" fontId="14"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0" fillId="0" borderId="4" xfId="0" applyBorder="1"/>
    <xf numFmtId="0" fontId="0" fillId="3" borderId="2" xfId="0" applyFill="1" applyBorder="1"/>
    <xf numFmtId="0" fontId="10" fillId="0" borderId="0" xfId="0" applyFont="1" applyAlignment="1">
      <alignment vertical="center"/>
    </xf>
    <xf numFmtId="0" fontId="12" fillId="0" borderId="0" xfId="0" applyFont="1" applyAlignment="1">
      <alignment vertical="center"/>
    </xf>
    <xf numFmtId="0" fontId="11" fillId="0" borderId="0" xfId="0" applyFont="1" applyAlignment="1">
      <alignment vertical="center"/>
    </xf>
    <xf numFmtId="0" fontId="13" fillId="0" borderId="0" xfId="0" applyFont="1" applyAlignment="1">
      <alignment vertical="center"/>
    </xf>
    <xf numFmtId="0" fontId="9" fillId="0" borderId="0" xfId="0" applyFont="1" applyAlignment="1">
      <alignment vertical="center"/>
    </xf>
    <xf numFmtId="0" fontId="0" fillId="0" borderId="0" xfId="0" applyAlignment="1">
      <alignment horizontal="left"/>
    </xf>
    <xf numFmtId="0" fontId="0" fillId="0" borderId="0" xfId="0" pivotButton="1"/>
    <xf numFmtId="0" fontId="2" fillId="0" borderId="0" xfId="0" applyFont="1" applyAlignment="1">
      <alignment vertical="center"/>
    </xf>
    <xf numFmtId="0" fontId="9" fillId="0" borderId="0" xfId="0" applyFont="1" applyAlignment="1">
      <alignment horizontal="left" vertical="center"/>
    </xf>
    <xf numFmtId="0" fontId="11" fillId="0" borderId="0" xfId="0" applyFont="1" applyAlignment="1">
      <alignment horizontal="left" vertical="center"/>
    </xf>
    <xf numFmtId="0" fontId="0" fillId="0" borderId="0" xfId="0" applyNumberFormat="1"/>
    <xf numFmtId="0" fontId="0" fillId="0" borderId="2" xfId="0" applyFill="1" applyBorder="1"/>
    <xf numFmtId="0" fontId="15" fillId="5" borderId="0" xfId="0" applyFont="1" applyFill="1" applyAlignment="1">
      <alignment vertical="center"/>
    </xf>
    <xf numFmtId="0" fontId="9" fillId="5" borderId="0" xfId="0" applyFont="1" applyFill="1" applyAlignment="1">
      <alignment vertical="center"/>
    </xf>
    <xf numFmtId="0" fontId="11" fillId="5" borderId="0" xfId="0" applyFont="1" applyFill="1" applyAlignment="1">
      <alignment vertical="center"/>
    </xf>
    <xf numFmtId="0" fontId="13" fillId="5" borderId="0" xfId="0" applyFont="1" applyFill="1" applyAlignment="1">
      <alignment vertical="center"/>
    </xf>
    <xf numFmtId="0" fontId="14" fillId="0" borderId="0" xfId="0" applyFont="1" applyFill="1" applyAlignment="1">
      <alignment vertical="center"/>
    </xf>
    <xf numFmtId="0" fontId="11" fillId="0" borderId="0" xfId="0" applyFont="1" applyFill="1" applyAlignment="1">
      <alignment vertical="center"/>
    </xf>
    <xf numFmtId="0" fontId="12" fillId="0" borderId="0" xfId="0" applyFont="1" applyFill="1" applyAlignment="1">
      <alignment vertical="center"/>
    </xf>
    <xf numFmtId="0" fontId="13" fillId="0" borderId="0" xfId="0" applyFont="1" applyFill="1" applyAlignment="1">
      <alignment vertical="center"/>
    </xf>
    <xf numFmtId="0" fontId="0" fillId="0" borderId="0" xfId="0" applyFill="1"/>
    <xf numFmtId="0" fontId="15" fillId="0" borderId="0" xfId="0" applyFont="1" applyFill="1" applyAlignment="1">
      <alignment vertical="center"/>
    </xf>
    <xf numFmtId="0" fontId="17" fillId="0" borderId="0" xfId="0" applyFont="1" applyFill="1" applyAlignment="1">
      <alignment vertical="center"/>
    </xf>
    <xf numFmtId="22" fontId="2" fillId="5" borderId="0" xfId="0" applyNumberFormat="1" applyFont="1" applyFill="1" applyAlignment="1">
      <alignment vertical="center"/>
    </xf>
    <xf numFmtId="22" fontId="2" fillId="5" borderId="0" xfId="0" applyNumberFormat="1" applyFont="1" applyFill="1" applyAlignment="1">
      <alignment horizontal="center" vertical="center"/>
    </xf>
    <xf numFmtId="0" fontId="0" fillId="5" borderId="0" xfId="0" applyFill="1" applyAlignment="1">
      <alignment horizontal="left"/>
    </xf>
    <xf numFmtId="164" fontId="18" fillId="0" borderId="0" xfId="0" applyNumberFormat="1" applyFont="1" applyAlignment="1">
      <alignment vertical="center"/>
    </xf>
    <xf numFmtId="0" fontId="25" fillId="0" borderId="0" xfId="0" applyFont="1" applyFill="1" applyAlignment="1">
      <alignment vertical="center"/>
    </xf>
    <xf numFmtId="0" fontId="26" fillId="0" borderId="0" xfId="0" applyFont="1" applyFill="1" applyAlignment="1">
      <alignment vertical="center"/>
    </xf>
    <xf numFmtId="0" fontId="23" fillId="0" borderId="0" xfId="0" applyFont="1" applyAlignment="1">
      <alignment vertical="center"/>
    </xf>
    <xf numFmtId="0" fontId="24" fillId="0" borderId="0" xfId="0" applyFont="1" applyAlignment="1">
      <alignment vertical="center"/>
    </xf>
    <xf numFmtId="0" fontId="21" fillId="0" borderId="0" xfId="0" applyFont="1" applyAlignment="1">
      <alignment vertical="center"/>
    </xf>
    <xf numFmtId="0" fontId="22" fillId="0" borderId="0" xfId="0" applyFont="1" applyAlignment="1">
      <alignment vertical="center"/>
    </xf>
    <xf numFmtId="0" fontId="0" fillId="0" borderId="0" xfId="0" applyAlignment="1">
      <alignment vertical="center"/>
    </xf>
    <xf numFmtId="0" fontId="29" fillId="0" borderId="0" xfId="0" applyFont="1" applyAlignment="1">
      <alignment vertical="center" wrapText="1"/>
    </xf>
    <xf numFmtId="0" fontId="29" fillId="0" borderId="0" xfId="0" applyFont="1" applyAlignment="1">
      <alignment vertical="center"/>
    </xf>
    <xf numFmtId="0" fontId="0" fillId="3" borderId="4" xfId="0" applyFill="1" applyBorder="1"/>
    <xf numFmtId="0" fontId="0" fillId="11" borderId="2" xfId="0" applyFill="1" applyBorder="1"/>
    <xf numFmtId="0" fontId="0" fillId="10" borderId="2" xfId="0" applyFill="1" applyBorder="1"/>
    <xf numFmtId="0" fontId="34" fillId="3" borderId="2" xfId="0" applyFont="1" applyFill="1" applyBorder="1"/>
    <xf numFmtId="0" fontId="15" fillId="0" borderId="6" xfId="0" applyFont="1" applyFill="1" applyBorder="1" applyAlignment="1">
      <alignment vertical="center"/>
    </xf>
    <xf numFmtId="0" fontId="15" fillId="0" borderId="7" xfId="0" applyFont="1" applyFill="1" applyBorder="1" applyAlignment="1">
      <alignment vertical="center"/>
    </xf>
    <xf numFmtId="0" fontId="0" fillId="0" borderId="8" xfId="0" applyBorder="1"/>
    <xf numFmtId="0" fontId="0" fillId="0" borderId="0" xfId="0" applyBorder="1"/>
    <xf numFmtId="0" fontId="0" fillId="0" borderId="0" xfId="0" applyFill="1" applyBorder="1"/>
    <xf numFmtId="0" fontId="0" fillId="0" borderId="9" xfId="0" applyFill="1" applyBorder="1"/>
    <xf numFmtId="0" fontId="7" fillId="0" borderId="0" xfId="0" applyFont="1" applyBorder="1" applyAlignment="1">
      <alignment horizontal="left" vertical="center" indent="1"/>
    </xf>
    <xf numFmtId="0" fontId="0" fillId="0" borderId="9" xfId="0" applyBorder="1"/>
    <xf numFmtId="0" fontId="0" fillId="0" borderId="10" xfId="0" applyBorder="1"/>
    <xf numFmtId="0" fontId="0" fillId="0" borderId="11" xfId="0" applyBorder="1"/>
    <xf numFmtId="0" fontId="7" fillId="0" borderId="11" xfId="0" applyFont="1" applyBorder="1" applyAlignment="1">
      <alignment horizontal="left" vertical="center" indent="1"/>
    </xf>
    <xf numFmtId="0" fontId="0" fillId="0" borderId="12" xfId="0" applyBorder="1"/>
    <xf numFmtId="0" fontId="3" fillId="0" borderId="0" xfId="0" applyFont="1" applyFill="1" applyAlignment="1">
      <alignment vertical="center"/>
    </xf>
    <xf numFmtId="0" fontId="9" fillId="0" borderId="0" xfId="0" applyFont="1" applyFill="1" applyAlignment="1">
      <alignment vertical="center"/>
    </xf>
    <xf numFmtId="0" fontId="6" fillId="0" borderId="0" xfId="0" applyFont="1" applyFill="1" applyAlignment="1">
      <alignment vertical="center"/>
    </xf>
    <xf numFmtId="0" fontId="4" fillId="0" borderId="0" xfId="0" applyFont="1" applyFill="1" applyAlignment="1">
      <alignment vertical="center"/>
    </xf>
    <xf numFmtId="0" fontId="0" fillId="0" borderId="15" xfId="0" applyBorder="1"/>
    <xf numFmtId="0" fontId="0" fillId="0" borderId="16" xfId="0" applyBorder="1"/>
    <xf numFmtId="0" fontId="0" fillId="10" borderId="16" xfId="0" applyFill="1" applyBorder="1"/>
    <xf numFmtId="0" fontId="30" fillId="0" borderId="0" xfId="0" applyFont="1" applyAlignment="1">
      <alignment vertical="center"/>
    </xf>
    <xf numFmtId="0" fontId="31" fillId="0" borderId="0" xfId="0" applyFont="1" applyAlignment="1">
      <alignment vertical="center" wrapText="1"/>
    </xf>
    <xf numFmtId="0" fontId="31" fillId="0" borderId="0" xfId="0" applyFont="1" applyAlignment="1">
      <alignment vertical="center"/>
    </xf>
    <xf numFmtId="0" fontId="9" fillId="0" borderId="0" xfId="0" applyFont="1" applyFill="1" applyAlignment="1">
      <alignment horizontal="left" vertical="center"/>
    </xf>
    <xf numFmtId="0" fontId="0" fillId="0" borderId="0" xfId="0" applyFill="1" applyAlignment="1">
      <alignment horizontal="left"/>
    </xf>
    <xf numFmtId="0" fontId="22" fillId="0" borderId="0" xfId="0" applyFont="1" applyFill="1" applyAlignment="1">
      <alignment vertical="center"/>
    </xf>
    <xf numFmtId="0" fontId="39" fillId="0" borderId="0" xfId="0" applyFont="1" applyFill="1"/>
    <xf numFmtId="0" fontId="40" fillId="0" borderId="0" xfId="0" applyFont="1" applyFill="1" applyAlignment="1">
      <alignment vertical="center"/>
    </xf>
    <xf numFmtId="0" fontId="42" fillId="0" borderId="0" xfId="0" applyFont="1" applyFill="1" applyAlignment="1">
      <alignment vertical="center"/>
    </xf>
    <xf numFmtId="0" fontId="43" fillId="0" borderId="0" xfId="0" applyFont="1" applyFill="1" applyAlignment="1">
      <alignment vertical="center"/>
    </xf>
    <xf numFmtId="0" fontId="44" fillId="0" borderId="0" xfId="0" applyFont="1" applyFill="1" applyAlignment="1">
      <alignment vertical="center"/>
    </xf>
    <xf numFmtId="0" fontId="32" fillId="0" borderId="0" xfId="0" applyFont="1" applyAlignment="1">
      <alignment vertical="center" wrapText="1"/>
    </xf>
    <xf numFmtId="0" fontId="32" fillId="0" borderId="0" xfId="0" applyFont="1" applyAlignment="1">
      <alignment vertical="center"/>
    </xf>
    <xf numFmtId="0" fontId="33" fillId="0" borderId="0" xfId="0" applyFont="1" applyAlignment="1">
      <alignment vertical="center" wrapText="1"/>
    </xf>
    <xf numFmtId="0" fontId="33" fillId="0" borderId="0" xfId="0" applyFont="1" applyAlignment="1">
      <alignment vertical="center"/>
    </xf>
    <xf numFmtId="0" fontId="41" fillId="0" borderId="0" xfId="0" applyFont="1" applyFill="1" applyAlignment="1">
      <alignment vertical="center"/>
    </xf>
    <xf numFmtId="0" fontId="28" fillId="0" borderId="0" xfId="0" applyFont="1" applyFill="1" applyAlignment="1">
      <alignment horizontal="center" vertical="center"/>
    </xf>
    <xf numFmtId="0" fontId="16" fillId="0" borderId="0" xfId="0" applyFont="1" applyAlignment="1">
      <alignment horizontal="center" vertical="center"/>
    </xf>
    <xf numFmtId="0" fontId="16" fillId="0" borderId="0" xfId="0" applyFont="1" applyAlignment="1">
      <alignment horizontal="left" vertical="center"/>
    </xf>
    <xf numFmtId="0" fontId="17" fillId="0" borderId="0" xfId="0" applyFont="1" applyAlignment="1">
      <alignment horizontal="left" vertical="center"/>
    </xf>
    <xf numFmtId="0" fontId="17" fillId="0" borderId="0" xfId="0" applyFont="1" applyAlignment="1">
      <alignment horizontal="center" vertical="center"/>
    </xf>
    <xf numFmtId="0" fontId="24" fillId="0" borderId="0" xfId="0" applyFont="1" applyAlignment="1">
      <alignment horizontal="left" vertical="center"/>
    </xf>
    <xf numFmtId="0" fontId="10" fillId="0" borderId="0" xfId="0" applyFont="1" applyAlignment="1">
      <alignment horizontal="center" vertical="center"/>
    </xf>
    <xf numFmtId="0" fontId="11" fillId="0" borderId="0" xfId="0" applyFont="1" applyAlignment="1">
      <alignment horizontal="left" vertical="center"/>
    </xf>
    <xf numFmtId="0" fontId="19" fillId="0" borderId="0" xfId="0" applyFont="1" applyAlignment="1">
      <alignment horizontal="center" vertical="center"/>
    </xf>
    <xf numFmtId="22" fontId="18" fillId="0" borderId="0" xfId="0" applyNumberFormat="1" applyFont="1" applyAlignment="1">
      <alignment horizontal="center" vertical="center"/>
    </xf>
    <xf numFmtId="0" fontId="6" fillId="0" borderId="0" xfId="0" applyFont="1" applyAlignment="1">
      <alignment horizontal="center" vertical="center"/>
    </xf>
    <xf numFmtId="0" fontId="21" fillId="0" borderId="0" xfId="0" applyFont="1" applyAlignment="1">
      <alignment horizontal="center" vertical="center"/>
    </xf>
    <xf numFmtId="0" fontId="9" fillId="0" borderId="0" xfId="0" applyFont="1" applyAlignment="1">
      <alignment horizontal="left" vertical="center"/>
    </xf>
    <xf numFmtId="0" fontId="22" fillId="0" borderId="0" xfId="0" applyFont="1" applyAlignment="1">
      <alignment horizontal="left" vertical="center"/>
    </xf>
    <xf numFmtId="164" fontId="18" fillId="0" borderId="0" xfId="0" applyNumberFormat="1" applyFont="1" applyAlignment="1">
      <alignment horizontal="center" vertical="center"/>
    </xf>
    <xf numFmtId="0" fontId="23" fillId="0" borderId="0" xfId="0" applyFont="1" applyAlignment="1">
      <alignment horizontal="center" vertical="center"/>
    </xf>
    <xf numFmtId="0" fontId="27" fillId="0" borderId="0" xfId="0" applyFont="1" applyAlignment="1">
      <alignment horizontal="center" vertical="center"/>
    </xf>
    <xf numFmtId="0" fontId="27" fillId="0" borderId="0" xfId="0" applyFont="1" applyAlignment="1">
      <alignment horizontal="left" vertical="center" wrapText="1"/>
    </xf>
    <xf numFmtId="0" fontId="14" fillId="0" borderId="0" xfId="0" applyFont="1" applyAlignment="1">
      <alignment horizontal="center" vertical="center"/>
    </xf>
    <xf numFmtId="0" fontId="25" fillId="0" borderId="0" xfId="0" applyFont="1" applyFill="1" applyAlignment="1">
      <alignment horizontal="center" vertical="center"/>
    </xf>
    <xf numFmtId="0" fontId="26" fillId="0" borderId="0" xfId="0" applyFont="1" applyFill="1" applyAlignment="1">
      <alignment horizontal="left" vertical="center"/>
    </xf>
    <xf numFmtId="0" fontId="12" fillId="0" borderId="0" xfId="0" applyFont="1" applyFill="1" applyAlignment="1">
      <alignment horizontal="center" vertical="center"/>
    </xf>
    <xf numFmtId="0" fontId="13" fillId="0" borderId="0" xfId="0" applyFont="1" applyFill="1" applyAlignment="1">
      <alignment horizontal="left" vertical="center"/>
    </xf>
    <xf numFmtId="0" fontId="15" fillId="0" borderId="0" xfId="0" applyFont="1" applyFill="1" applyAlignment="1">
      <alignment horizontal="center" vertical="center"/>
    </xf>
    <xf numFmtId="0" fontId="28" fillId="0" borderId="0" xfId="0" applyFont="1" applyAlignment="1">
      <alignment horizontal="center" vertical="center"/>
    </xf>
    <xf numFmtId="0" fontId="45" fillId="0" borderId="0" xfId="0" applyFont="1" applyAlignment="1">
      <alignment horizontal="left" vertical="center"/>
    </xf>
    <xf numFmtId="0" fontId="46" fillId="0" borderId="0" xfId="0" applyFont="1" applyAlignment="1">
      <alignment horizontal="center" vertical="center"/>
    </xf>
    <xf numFmtId="0" fontId="46" fillId="0" borderId="0" xfId="0" applyFont="1" applyAlignment="1">
      <alignment horizontal="left" vertical="center"/>
    </xf>
    <xf numFmtId="0" fontId="45" fillId="0" borderId="0" xfId="0" applyFont="1" applyAlignment="1">
      <alignment horizontal="center" vertical="center"/>
    </xf>
    <xf numFmtId="0" fontId="28" fillId="0" borderId="0" xfId="0" applyFont="1" applyFill="1" applyAlignment="1">
      <alignment horizontal="center" vertical="center"/>
    </xf>
    <xf numFmtId="0" fontId="35" fillId="0" borderId="5" xfId="0" applyFont="1" applyBorder="1" applyAlignment="1">
      <alignment horizontal="right" vertical="center"/>
    </xf>
    <xf numFmtId="0" fontId="35" fillId="0" borderId="6" xfId="0" applyFont="1" applyBorder="1" applyAlignment="1">
      <alignment horizontal="right" vertical="center"/>
    </xf>
    <xf numFmtId="0" fontId="35" fillId="0" borderId="8" xfId="0" applyFont="1" applyBorder="1" applyAlignment="1">
      <alignment horizontal="right" vertical="center"/>
    </xf>
    <xf numFmtId="0" fontId="35" fillId="0" borderId="0" xfId="0" applyFont="1" applyBorder="1" applyAlignment="1">
      <alignment horizontal="right" vertical="center"/>
    </xf>
    <xf numFmtId="0" fontId="35" fillId="0" borderId="6" xfId="0" applyFont="1" applyBorder="1" applyAlignment="1">
      <alignment horizontal="left" vertical="center"/>
    </xf>
    <xf numFmtId="0" fontId="35" fillId="0" borderId="0" xfId="0" applyFont="1" applyBorder="1" applyAlignment="1">
      <alignment horizontal="left" vertical="center"/>
    </xf>
    <xf numFmtId="0" fontId="48" fillId="0" borderId="0" xfId="0" applyFont="1" applyAlignment="1">
      <alignment horizontal="left" vertical="top" wrapText="1"/>
    </xf>
    <xf numFmtId="0" fontId="48" fillId="0" borderId="0" xfId="0" applyFont="1" applyAlignment="1">
      <alignment horizontal="left" vertical="top"/>
    </xf>
    <xf numFmtId="0" fontId="37" fillId="0" borderId="0" xfId="0" applyFont="1" applyFill="1" applyAlignment="1">
      <alignment horizontal="left"/>
    </xf>
    <xf numFmtId="0" fontId="38" fillId="0" borderId="0" xfId="0" applyFont="1" applyFill="1" applyAlignment="1">
      <alignment horizontal="left" vertical="top"/>
    </xf>
    <xf numFmtId="0" fontId="36" fillId="0" borderId="0" xfId="0" applyFont="1" applyFill="1" applyAlignment="1">
      <alignment horizontal="left"/>
    </xf>
    <xf numFmtId="0" fontId="49" fillId="0" borderId="0" xfId="0" applyFont="1" applyFill="1" applyAlignment="1">
      <alignment horizontal="left" vertical="center"/>
    </xf>
    <xf numFmtId="0" fontId="47" fillId="0" borderId="0" xfId="0" applyFont="1" applyFill="1" applyAlignment="1">
      <alignment horizontal="left"/>
    </xf>
    <xf numFmtId="0" fontId="20" fillId="0" borderId="0" xfId="0" applyFont="1" applyAlignment="1">
      <alignment horizontal="center" vertical="center"/>
    </xf>
    <xf numFmtId="0" fontId="0" fillId="0" borderId="4"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xf>
  </cellXfs>
  <cellStyles count="2">
    <cellStyle name="Normal" xfId="0" builtinId="0"/>
    <cellStyle name="Normal 6" xfId="1" xr:uid="{00000000-0005-0000-0000-000001000000}"/>
  </cellStyles>
  <dxfs count="66">
    <dxf>
      <numFmt numFmtId="0" formatCode="General"/>
    </dxf>
    <dxf>
      <numFmt numFmtId="19" formatCode="yyyy/mm/dd"/>
    </dxf>
    <dxf>
      <numFmt numFmtId="19" formatCode="yyyy/mm/dd"/>
    </dxf>
    <dxf>
      <numFmt numFmtId="19" formatCode="yyyy/mm/dd"/>
    </dxf>
    <dxf>
      <numFmt numFmtId="19" formatCode="yyyy/mm/dd"/>
    </dxf>
    <dxf>
      <numFmt numFmtId="19" formatCode="yyyy/mm/dd"/>
    </dxf>
    <dxf>
      <numFmt numFmtId="19" formatCode="yyyy/mm/dd"/>
    </dxf>
    <dxf>
      <numFmt numFmtId="19" formatCode="yyyy/mm/dd"/>
    </dxf>
    <dxf>
      <numFmt numFmtId="0" formatCode="General"/>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yyyy/mm/dd"/>
    </dxf>
    <dxf>
      <numFmt numFmtId="0" formatCode="General"/>
    </dxf>
    <dxf>
      <numFmt numFmtId="19" formatCode="yyyy/mm/dd"/>
    </dxf>
    <dxf>
      <numFmt numFmtId="19" formatCode="yyyy/mm/dd"/>
    </dxf>
    <dxf>
      <numFmt numFmtId="19" formatCode="yyyy/mm/dd"/>
    </dxf>
    <dxf>
      <numFmt numFmtId="0" formatCode="General"/>
    </dxf>
    <dxf>
      <numFmt numFmtId="19" formatCode="yyyy/mm/dd"/>
    </dxf>
    <dxf>
      <numFmt numFmtId="0" formatCode="General"/>
    </dxf>
    <dxf>
      <numFmt numFmtId="19" formatCode="yyyy/mm/dd"/>
    </dxf>
    <dxf>
      <numFmt numFmtId="19" formatCode="yyyy/mm/dd"/>
    </dxf>
    <dxf>
      <numFmt numFmtId="19" formatCode="yyyy/mm/dd"/>
    </dxf>
    <dxf>
      <numFmt numFmtId="19" formatCode="yyyy/mm/dd"/>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5"/>
      <tableStyleElement type="headerRow" dxfId="64"/>
    </tableStyle>
  </tableStyles>
  <colors>
    <mruColors>
      <color rgb="FFED7D31"/>
      <color rgb="FFFFC000"/>
      <color rgb="FFFF6600"/>
      <color rgb="FFFF97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9" Type="http://schemas.microsoft.com/office/2006/relationships/vbaProject" Target="vbaProject.bin"/><Relationship Id="rId21" Type="http://schemas.microsoft.com/office/2007/relationships/slicerCache" Target="slicerCaches/slicerCache4.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8.xml"/><Relationship Id="rId33" Type="http://schemas.openxmlformats.org/officeDocument/2006/relationships/customXml" Target="../customXml/item1.xml"/><Relationship Id="rId38"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microsoft.com/office/2007/relationships/slicerCache" Target="slicerCaches/slicerCache3.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calcChain" Target="calcChain.xml"/><Relationship Id="rId37"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openxmlformats.org/officeDocument/2006/relationships/theme" Target="theme/theme1.xml"/><Relationship Id="rId36" Type="http://schemas.openxmlformats.org/officeDocument/2006/relationships/customXml" Target="../customXml/item4.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7/relationships/slicerCache" Target="slicerCaches/slicerCache10.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3.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4.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5.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2019-01-07.xlsm]Chart Donut!PivotTable1</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5"/>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lumMod val="60000"/>
              <a:lumOff val="40000"/>
            </a:schemeClr>
          </a:solidFill>
          <a:ln w="19050">
            <a:solidFill>
              <a:schemeClr val="lt1"/>
            </a:solidFill>
          </a:ln>
          <a:effectLst/>
        </c:spPr>
      </c:pivotFmt>
      <c:pivotFmt>
        <c:idx val="19"/>
        <c:spPr>
          <a:solidFill>
            <a:schemeClr val="accent5">
              <a:lumMod val="40000"/>
              <a:lumOff val="6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6">
              <a:lumMod val="60000"/>
              <a:lumOff val="40000"/>
            </a:schemeClr>
          </a:solidFill>
          <a:ln w="19050">
            <a:solidFill>
              <a:schemeClr val="lt1"/>
            </a:solidFill>
          </a:ln>
          <a:effectLst/>
        </c:spPr>
      </c:pivotFmt>
      <c:pivotFmt>
        <c:idx val="22"/>
        <c:spPr>
          <a:solidFill>
            <a:schemeClr val="accent6"/>
          </a:solidFill>
          <a:ln w="19050">
            <a:solidFill>
              <a:schemeClr val="lt1"/>
            </a:solidFill>
          </a:ln>
          <a:effectLst/>
        </c:spPr>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5"/>
          </a:solidFill>
          <a:ln w="19050">
            <a:solidFill>
              <a:schemeClr val="lt1"/>
            </a:solidFill>
          </a:ln>
          <a:effectLst/>
        </c:spPr>
      </c:pivotFmt>
      <c:pivotFmt>
        <c:idx val="25"/>
        <c:spPr>
          <a:solidFill>
            <a:schemeClr val="accent5">
              <a:lumMod val="60000"/>
              <a:lumOff val="40000"/>
            </a:schemeClr>
          </a:solidFill>
          <a:ln w="19050">
            <a:solidFill>
              <a:schemeClr val="lt1"/>
            </a:solidFill>
          </a:ln>
          <a:effectLst/>
        </c:spPr>
      </c:pivotFmt>
      <c:pivotFmt>
        <c:idx val="26"/>
        <c:spPr>
          <a:solidFill>
            <a:schemeClr val="accent5">
              <a:lumMod val="40000"/>
              <a:lumOff val="60000"/>
            </a:schemeClr>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6"/>
          </a:solidFill>
          <a:ln w="19050">
            <a:solidFill>
              <a:schemeClr val="lt1"/>
            </a:solidFill>
          </a:ln>
          <a:effectLst/>
        </c:spPr>
      </c:pivotFmt>
      <c:pivotFmt>
        <c:idx val="29"/>
        <c:spPr>
          <a:solidFill>
            <a:schemeClr val="accent6">
              <a:lumMod val="60000"/>
              <a:lumOff val="40000"/>
            </a:schemeClr>
          </a:solidFill>
          <a:ln w="19050">
            <a:solidFill>
              <a:schemeClr val="lt1"/>
            </a:solid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5"/>
          </a:solidFill>
          <a:ln w="19050">
            <a:solidFill>
              <a:schemeClr val="lt1"/>
            </a:solidFill>
          </a:ln>
          <a:effectLst/>
        </c:spPr>
      </c:pivotFmt>
      <c:pivotFmt>
        <c:idx val="32"/>
        <c:spPr>
          <a:solidFill>
            <a:schemeClr val="accent5">
              <a:lumMod val="60000"/>
              <a:lumOff val="40000"/>
            </a:schemeClr>
          </a:solidFill>
          <a:ln w="19050">
            <a:solidFill>
              <a:schemeClr val="lt1"/>
            </a:solidFill>
          </a:ln>
          <a:effectLst/>
        </c:spPr>
      </c:pivotFmt>
      <c:pivotFmt>
        <c:idx val="33"/>
        <c:spPr>
          <a:solidFill>
            <a:schemeClr val="accent5">
              <a:lumMod val="40000"/>
              <a:lumOff val="60000"/>
            </a:schemeClr>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6"/>
          </a:solidFill>
          <a:ln w="19050">
            <a:solidFill>
              <a:schemeClr val="lt1"/>
            </a:solidFill>
          </a:ln>
          <a:effectLst/>
        </c:spPr>
      </c:pivotFmt>
      <c:pivotFmt>
        <c:idx val="36"/>
        <c:spPr>
          <a:solidFill>
            <a:schemeClr val="accent6">
              <a:lumMod val="60000"/>
              <a:lumOff val="40000"/>
            </a:schemeClr>
          </a:solidFill>
          <a:ln w="19050">
            <a:solidFill>
              <a:schemeClr val="lt1"/>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5"/>
          </a:solidFill>
          <a:ln w="19050">
            <a:solidFill>
              <a:schemeClr val="lt1"/>
            </a:solidFill>
          </a:ln>
          <a:effectLst/>
        </c:spPr>
      </c:pivotFmt>
      <c:pivotFmt>
        <c:idx val="39"/>
        <c:spPr>
          <a:solidFill>
            <a:schemeClr val="accent5">
              <a:lumMod val="60000"/>
              <a:lumOff val="40000"/>
            </a:schemeClr>
          </a:solidFill>
          <a:ln w="19050">
            <a:solidFill>
              <a:schemeClr val="lt1"/>
            </a:solidFill>
          </a:ln>
          <a:effectLst/>
        </c:spPr>
      </c:pivotFmt>
      <c:pivotFmt>
        <c:idx val="40"/>
        <c:spPr>
          <a:solidFill>
            <a:schemeClr val="accent5">
              <a:lumMod val="40000"/>
              <a:lumOff val="60000"/>
            </a:schemeClr>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6"/>
          </a:solidFill>
          <a:ln w="19050">
            <a:solidFill>
              <a:schemeClr val="lt1"/>
            </a:solidFill>
          </a:ln>
          <a:effectLst/>
        </c:spPr>
      </c:pivotFmt>
      <c:pivotFmt>
        <c:idx val="43"/>
        <c:spPr>
          <a:solidFill>
            <a:schemeClr val="accent6">
              <a:lumMod val="60000"/>
              <a:lumOff val="40000"/>
            </a:schemeClr>
          </a:solidFill>
          <a:ln w="19050">
            <a:solidFill>
              <a:schemeClr val="lt1"/>
            </a:solidFill>
          </a:ln>
          <a:effectLst/>
        </c:spPr>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5"/>
          </a:solidFill>
          <a:ln w="19050">
            <a:solidFill>
              <a:schemeClr val="lt1"/>
            </a:solidFill>
          </a:ln>
          <a:effectLst/>
        </c:spPr>
      </c:pivotFmt>
      <c:pivotFmt>
        <c:idx val="46"/>
        <c:spPr>
          <a:solidFill>
            <a:schemeClr val="accent5">
              <a:lumMod val="60000"/>
              <a:lumOff val="40000"/>
            </a:schemeClr>
          </a:solidFill>
          <a:ln w="19050">
            <a:solidFill>
              <a:schemeClr val="lt1"/>
            </a:solidFill>
          </a:ln>
          <a:effectLst/>
        </c:spPr>
      </c:pivotFmt>
      <c:pivotFmt>
        <c:idx val="47"/>
        <c:spPr>
          <a:solidFill>
            <a:schemeClr val="accent5">
              <a:lumMod val="40000"/>
              <a:lumOff val="60000"/>
            </a:schemeClr>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6"/>
          </a:solidFill>
          <a:ln w="19050">
            <a:solidFill>
              <a:schemeClr val="lt1"/>
            </a:solidFill>
          </a:ln>
          <a:effectLst/>
        </c:spPr>
      </c:pivotFmt>
      <c:pivotFmt>
        <c:idx val="50"/>
        <c:spPr>
          <a:solidFill>
            <a:schemeClr val="accent6">
              <a:lumMod val="60000"/>
              <a:lumOff val="40000"/>
            </a:schemeClr>
          </a:solidFill>
          <a:ln w="19050">
            <a:solidFill>
              <a:schemeClr val="lt1"/>
            </a:solidFill>
          </a:ln>
          <a:effectLst/>
        </c:spPr>
      </c:pivotFmt>
      <c:pivotFmt>
        <c:idx val="5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1"/>
          <c:extLst>
            <c:ext xmlns:c15="http://schemas.microsoft.com/office/drawing/2012/chart" uri="{CE6537A1-D6FC-4f65-9D91-7224C49458BB}"/>
          </c:extLst>
        </c:dLbl>
      </c:pivotFmt>
    </c:pivotFmts>
    <c:plotArea>
      <c:layout>
        <c:manualLayout>
          <c:layoutTarget val="inner"/>
          <c:xMode val="edge"/>
          <c:yMode val="edge"/>
          <c:x val="2.1392425904635973E-2"/>
          <c:y val="0"/>
          <c:w val="0.72782558232386996"/>
          <c:h val="1"/>
        </c:manualLayout>
      </c:layout>
      <c:doughnutChart>
        <c:varyColors val="1"/>
        <c:ser>
          <c:idx val="0"/>
          <c:order val="0"/>
          <c:tx>
            <c:strRef>
              <c:f>'Chart Donut'!$B$3</c:f>
              <c:strCache>
                <c:ptCount val="1"/>
                <c:pt idx="0">
                  <c:v>Total</c:v>
                </c:pt>
              </c:strCache>
            </c:strRef>
          </c:tx>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54B4-4629-8025-CC9A1BDE5E5A}"/>
              </c:ext>
            </c:extLst>
          </c:dPt>
          <c:dPt>
            <c:idx val="1"/>
            <c:bubble3D val="0"/>
            <c:spPr>
              <a:solidFill>
                <a:schemeClr val="accent5">
                  <a:lumMod val="40000"/>
                  <a:lumOff val="60000"/>
                </a:schemeClr>
              </a:solidFill>
              <a:ln w="19050">
                <a:solidFill>
                  <a:schemeClr val="lt1"/>
                </a:solidFill>
              </a:ln>
              <a:effectLst/>
            </c:spPr>
            <c:extLst>
              <c:ext xmlns:c16="http://schemas.microsoft.com/office/drawing/2014/chart" uri="{C3380CC4-5D6E-409C-BE32-E72D297353CC}">
                <c16:uniqueId val="{00000003-54B4-4629-8025-CC9A1BDE5E5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4B4-4629-8025-CC9A1BDE5E5A}"/>
              </c:ext>
            </c:extLst>
          </c:dPt>
          <c:dPt>
            <c:idx val="3"/>
            <c:bubble3D val="0"/>
            <c:spPr>
              <a:solidFill>
                <a:schemeClr val="accent6"/>
              </a:solidFill>
              <a:ln w="19050">
                <a:solidFill>
                  <a:schemeClr val="lt1"/>
                </a:solidFill>
              </a:ln>
              <a:effectLst/>
            </c:spPr>
            <c:extLst>
              <c:ext xmlns:c16="http://schemas.microsoft.com/office/drawing/2014/chart" uri="{C3380CC4-5D6E-409C-BE32-E72D297353CC}">
                <c16:uniqueId val="{00000007-54B4-4629-8025-CC9A1BDE5E5A}"/>
              </c:ext>
            </c:extLst>
          </c:dPt>
          <c:dPt>
            <c:idx val="4"/>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9-54B4-4629-8025-CC9A1BDE5E5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4B4-4629-8025-CC9A1BDE5E5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1-DF74-449C-9824-87C2D5324D8B}"/>
              </c:ext>
            </c:extLst>
          </c:dPt>
          <c:dLbls>
            <c:dLbl>
              <c:idx val="5"/>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54B4-4629-8025-CC9A1BDE5E5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 Donut'!$A$4:$A$10</c:f>
              <c:strCache>
                <c:ptCount val="6"/>
                <c:pt idx="0">
                  <c:v>Prevalidated - TSSR Done</c:v>
                </c:pt>
                <c:pt idx="1">
                  <c:v>Prevalidated - TSSR in Process</c:v>
                </c:pt>
                <c:pt idx="2">
                  <c:v>Under Prevalidation</c:v>
                </c:pt>
                <c:pt idx="3">
                  <c:v>RFI</c:v>
                </c:pt>
                <c:pt idx="4">
                  <c:v>Work Completed</c:v>
                </c:pt>
                <c:pt idx="5">
                  <c:v>NTP Received</c:v>
                </c:pt>
              </c:strCache>
            </c:strRef>
          </c:cat>
          <c:val>
            <c:numRef>
              <c:f>'Chart Donut'!$B$4:$B$10</c:f>
              <c:numCache>
                <c:formatCode>General</c:formatCode>
                <c:ptCount val="6"/>
                <c:pt idx="0">
                  <c:v>4</c:v>
                </c:pt>
                <c:pt idx="1">
                  <c:v>56</c:v>
                </c:pt>
                <c:pt idx="2">
                  <c:v>49</c:v>
                </c:pt>
                <c:pt idx="3">
                  <c:v>1</c:v>
                </c:pt>
                <c:pt idx="4">
                  <c:v>9</c:v>
                </c:pt>
                <c:pt idx="5">
                  <c:v>13</c:v>
                </c:pt>
              </c:numCache>
            </c:numRef>
          </c:val>
          <c:extLst>
            <c:ext xmlns:c16="http://schemas.microsoft.com/office/drawing/2014/chart" uri="{C3380CC4-5D6E-409C-BE32-E72D297353CC}">
              <c16:uniqueId val="{0000000C-54B4-4629-8025-CC9A1BDE5E5A}"/>
            </c:ext>
          </c:extLst>
        </c:ser>
        <c:dLbls>
          <c:showLegendKey val="0"/>
          <c:showVal val="1"/>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108728577828536E-4"/>
          <c:y val="1.4140318998586716E-2"/>
          <c:w val="0.99945891271422171"/>
          <c:h val="0.95621744397334951"/>
        </c:manualLayout>
      </c:layout>
      <c:doughnutChart>
        <c:varyColors val="1"/>
        <c:dLbls>
          <c:showLegendKey val="0"/>
          <c:showVal val="0"/>
          <c:showCatName val="0"/>
          <c:showSerName val="0"/>
          <c:showPercent val="1"/>
          <c:showBubbleSize val="0"/>
          <c:showLeaderLines val="0"/>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7726796862767"/>
          <c:y val="6.0606060606060608E-2"/>
          <c:w val="0.81573729341767465"/>
          <c:h val="0.8666666666666667"/>
        </c:manualLayout>
      </c:layout>
      <c:barChart>
        <c:barDir val="bar"/>
        <c:grouping val="percentStacked"/>
        <c:varyColors val="0"/>
        <c:ser>
          <c:idx val="0"/>
          <c:order val="0"/>
          <c:tx>
            <c:strRef>
              <c:f>'Graph Infos'!$B$36</c:f>
              <c:strCache>
                <c:ptCount val="1"/>
                <c:pt idx="0">
                  <c:v>RFI</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 Infos'!$C$35:$H$35</c15:sqref>
                  </c15:fullRef>
                </c:ext>
              </c:extLst>
              <c:f>'Graph Infos'!$D$35:$G$35</c:f>
              <c:strCache>
                <c:ptCount val="4"/>
                <c:pt idx="0">
                  <c:v>Amara</c:v>
                </c:pt>
                <c:pt idx="1">
                  <c:v>MPT</c:v>
                </c:pt>
                <c:pt idx="2">
                  <c:v>OML</c:v>
                </c:pt>
                <c:pt idx="3">
                  <c:v>Mytel</c:v>
                </c:pt>
              </c:strCache>
            </c:strRef>
          </c:cat>
          <c:val>
            <c:numRef>
              <c:extLst>
                <c:ext xmlns:c15="http://schemas.microsoft.com/office/drawing/2012/chart" uri="{02D57815-91ED-43cb-92C2-25804820EDAC}">
                  <c15:fullRef>
                    <c15:sqref>'Graph Infos'!$C$36:$H$36</c15:sqref>
                  </c15:fullRef>
                </c:ext>
              </c:extLst>
              <c:f>'Graph Infos'!$D$36:$G$36</c:f>
              <c:numCache>
                <c:formatCode>General</c:formatCode>
                <c:ptCount val="4"/>
                <c:pt idx="0">
                  <c:v>0</c:v>
                </c:pt>
                <c:pt idx="1">
                  <c:v>0</c:v>
                </c:pt>
                <c:pt idx="2">
                  <c:v>1</c:v>
                </c:pt>
                <c:pt idx="3">
                  <c:v>0</c:v>
                </c:pt>
              </c:numCache>
            </c:numRef>
          </c:val>
          <c:extLst>
            <c:ext xmlns:c16="http://schemas.microsoft.com/office/drawing/2014/chart" uri="{C3380CC4-5D6E-409C-BE32-E72D297353CC}">
              <c16:uniqueId val="{00000004-50D9-4DB1-92BA-73347B4E11FF}"/>
            </c:ext>
          </c:extLst>
        </c:ser>
        <c:ser>
          <c:idx val="1"/>
          <c:order val="1"/>
          <c:tx>
            <c:strRef>
              <c:f>'Graph Infos'!$B$37</c:f>
              <c:strCache>
                <c:ptCount val="1"/>
                <c:pt idx="0">
                  <c:v>Work Completed</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 Infos'!$C$35:$H$35</c15:sqref>
                  </c15:fullRef>
                </c:ext>
              </c:extLst>
              <c:f>'Graph Infos'!$D$35:$G$35</c:f>
              <c:strCache>
                <c:ptCount val="4"/>
                <c:pt idx="0">
                  <c:v>Amara</c:v>
                </c:pt>
                <c:pt idx="1">
                  <c:v>MPT</c:v>
                </c:pt>
                <c:pt idx="2">
                  <c:v>OML</c:v>
                </c:pt>
                <c:pt idx="3">
                  <c:v>Mytel</c:v>
                </c:pt>
              </c:strCache>
            </c:strRef>
          </c:cat>
          <c:val>
            <c:numRef>
              <c:extLst>
                <c:ext xmlns:c15="http://schemas.microsoft.com/office/drawing/2012/chart" uri="{02D57815-91ED-43cb-92C2-25804820EDAC}">
                  <c15:fullRef>
                    <c15:sqref>'Graph Infos'!$C$37:$H$37</c15:sqref>
                  </c15:fullRef>
                </c:ext>
              </c:extLst>
              <c:f>'Graph Infos'!$D$37:$G$37</c:f>
              <c:numCache>
                <c:formatCode>General</c:formatCode>
                <c:ptCount val="4"/>
                <c:pt idx="0">
                  <c:v>0</c:v>
                </c:pt>
                <c:pt idx="1">
                  <c:v>6</c:v>
                </c:pt>
                <c:pt idx="2">
                  <c:v>9</c:v>
                </c:pt>
                <c:pt idx="3">
                  <c:v>6</c:v>
                </c:pt>
              </c:numCache>
            </c:numRef>
          </c:val>
          <c:extLst>
            <c:ext xmlns:c16="http://schemas.microsoft.com/office/drawing/2014/chart" uri="{C3380CC4-5D6E-409C-BE32-E72D297353CC}">
              <c16:uniqueId val="{00000005-50D9-4DB1-92BA-73347B4E11FF}"/>
            </c:ext>
          </c:extLst>
        </c:ser>
        <c:ser>
          <c:idx val="3"/>
          <c:order val="2"/>
          <c:tx>
            <c:strRef>
              <c:f>'Graph Infos'!$B$38</c:f>
              <c:strCache>
                <c:ptCount val="1"/>
                <c:pt idx="0">
                  <c:v>Work in Progress</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 Infos'!$C$35:$H$35</c15:sqref>
                  </c15:fullRef>
                </c:ext>
              </c:extLst>
              <c:f>'Graph Infos'!$D$35:$G$35</c:f>
              <c:strCache>
                <c:ptCount val="4"/>
                <c:pt idx="0">
                  <c:v>Amara</c:v>
                </c:pt>
                <c:pt idx="1">
                  <c:v>MPT</c:v>
                </c:pt>
                <c:pt idx="2">
                  <c:v>OML</c:v>
                </c:pt>
                <c:pt idx="3">
                  <c:v>Mytel</c:v>
                </c:pt>
              </c:strCache>
            </c:strRef>
          </c:cat>
          <c:val>
            <c:numRef>
              <c:extLst>
                <c:ext xmlns:c15="http://schemas.microsoft.com/office/drawing/2012/chart" uri="{02D57815-91ED-43cb-92C2-25804820EDAC}">
                  <c15:fullRef>
                    <c15:sqref>'Graph Infos'!$C$38:$H$38</c15:sqref>
                  </c15:fullRef>
                </c:ext>
              </c:extLst>
              <c:f>'Graph Infos'!$D$38:$G$38</c:f>
              <c:numCache>
                <c:formatCode>General</c:formatCode>
                <c:ptCount val="4"/>
                <c:pt idx="0">
                  <c:v>0</c:v>
                </c:pt>
                <c:pt idx="1">
                  <c:v>0</c:v>
                </c:pt>
                <c:pt idx="2">
                  <c:v>1</c:v>
                </c:pt>
                <c:pt idx="3">
                  <c:v>0</c:v>
                </c:pt>
              </c:numCache>
            </c:numRef>
          </c:val>
          <c:extLst>
            <c:ext xmlns:c16="http://schemas.microsoft.com/office/drawing/2014/chart" uri="{C3380CC4-5D6E-409C-BE32-E72D297353CC}">
              <c16:uniqueId val="{00000006-50D9-4DB1-92BA-73347B4E11FF}"/>
            </c:ext>
          </c:extLst>
        </c:ser>
        <c:ser>
          <c:idx val="2"/>
          <c:order val="3"/>
          <c:tx>
            <c:strRef>
              <c:f>'Graph Infos'!$B$39</c:f>
              <c:strCache>
                <c:ptCount val="1"/>
                <c:pt idx="0">
                  <c:v>Colo Application Approved</c:v>
                </c:pt>
              </c:strCache>
            </c:strRef>
          </c:tx>
          <c:spPr>
            <a:solidFill>
              <a:schemeClr val="accent2"/>
            </a:solidFill>
            <a:ln>
              <a:noFill/>
            </a:ln>
            <a:effectLst/>
          </c:spPr>
          <c:invertIfNegative val="0"/>
          <c:dPt>
            <c:idx val="3"/>
            <c:invertIfNegative val="0"/>
            <c:bubble3D val="0"/>
            <c:spPr>
              <a:solidFill>
                <a:schemeClr val="accent5"/>
              </a:solidFill>
              <a:ln>
                <a:noFill/>
              </a:ln>
              <a:effectLst/>
            </c:spPr>
            <c:extLst>
              <c:ext xmlns:c16="http://schemas.microsoft.com/office/drawing/2014/chart" uri="{C3380CC4-5D6E-409C-BE32-E72D297353CC}">
                <c16:uniqueId val="{00000010-92EA-43E6-BA3E-230D36D72A2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 Infos'!$C$35:$H$35</c15:sqref>
                  </c15:fullRef>
                </c:ext>
              </c:extLst>
              <c:f>'Graph Infos'!$D$35:$G$35</c:f>
              <c:strCache>
                <c:ptCount val="4"/>
                <c:pt idx="0">
                  <c:v>Amara</c:v>
                </c:pt>
                <c:pt idx="1">
                  <c:v>MPT</c:v>
                </c:pt>
                <c:pt idx="2">
                  <c:v>OML</c:v>
                </c:pt>
                <c:pt idx="3">
                  <c:v>Mytel</c:v>
                </c:pt>
              </c:strCache>
            </c:strRef>
          </c:cat>
          <c:val>
            <c:numRef>
              <c:extLst>
                <c:ext xmlns:c15="http://schemas.microsoft.com/office/drawing/2012/chart" uri="{02D57815-91ED-43cb-92C2-25804820EDAC}">
                  <c15:fullRef>
                    <c15:sqref>'Graph Infos'!$C$39:$H$39</c15:sqref>
                  </c15:fullRef>
                </c:ext>
              </c:extLst>
              <c:f>'Graph Infos'!$D$39:$G$39</c:f>
              <c:numCache>
                <c:formatCode>General</c:formatCode>
                <c:ptCount val="4"/>
                <c:pt idx="0">
                  <c:v>0</c:v>
                </c:pt>
                <c:pt idx="1">
                  <c:v>0</c:v>
                </c:pt>
                <c:pt idx="2">
                  <c:v>0</c:v>
                </c:pt>
                <c:pt idx="3">
                  <c:v>18</c:v>
                </c:pt>
              </c:numCache>
            </c:numRef>
          </c:val>
          <c:extLst xmlns:c15="http://schemas.microsoft.com/office/drawing/2012/chart">
            <c:ext xmlns:c16="http://schemas.microsoft.com/office/drawing/2014/chart" uri="{C3380CC4-5D6E-409C-BE32-E72D297353CC}">
              <c16:uniqueId val="{00000008-50D9-4DB1-92BA-73347B4E11FF}"/>
            </c:ext>
          </c:extLst>
        </c:ser>
        <c:ser>
          <c:idx val="4"/>
          <c:order val="4"/>
          <c:tx>
            <c:strRef>
              <c:f>'Graph Infos'!$B$40</c:f>
              <c:strCache>
                <c:ptCount val="1"/>
                <c:pt idx="0">
                  <c:v>NTP Received</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 Infos'!$C$35:$H$35</c15:sqref>
                  </c15:fullRef>
                </c:ext>
              </c:extLst>
              <c:f>'Graph Infos'!$D$35:$G$35</c:f>
              <c:strCache>
                <c:ptCount val="4"/>
                <c:pt idx="0">
                  <c:v>Amara</c:v>
                </c:pt>
                <c:pt idx="1">
                  <c:v>MPT</c:v>
                </c:pt>
                <c:pt idx="2">
                  <c:v>OML</c:v>
                </c:pt>
                <c:pt idx="3">
                  <c:v>Mytel</c:v>
                </c:pt>
              </c:strCache>
            </c:strRef>
          </c:cat>
          <c:val>
            <c:numRef>
              <c:extLst>
                <c:ext xmlns:c15="http://schemas.microsoft.com/office/drawing/2012/chart" uri="{02D57815-91ED-43cb-92C2-25804820EDAC}">
                  <c15:fullRef>
                    <c15:sqref>'Graph Infos'!$C$40:$H$40</c15:sqref>
                  </c15:fullRef>
                </c:ext>
              </c:extLst>
              <c:f>'Graph Infos'!$D$40:$G$40</c:f>
              <c:numCache>
                <c:formatCode>General</c:formatCode>
                <c:ptCount val="4"/>
                <c:pt idx="0">
                  <c:v>0</c:v>
                </c:pt>
                <c:pt idx="1">
                  <c:v>0</c:v>
                </c:pt>
                <c:pt idx="2">
                  <c:v>13</c:v>
                </c:pt>
                <c:pt idx="3">
                  <c:v>0</c:v>
                </c:pt>
              </c:numCache>
            </c:numRef>
          </c:val>
          <c:extLst xmlns:c15="http://schemas.microsoft.com/office/drawing/2012/chart">
            <c:ext xmlns:c16="http://schemas.microsoft.com/office/drawing/2014/chart" uri="{C3380CC4-5D6E-409C-BE32-E72D297353CC}">
              <c16:uniqueId val="{00000009-50D9-4DB1-92BA-73347B4E11FF}"/>
            </c:ext>
          </c:extLst>
        </c:ser>
        <c:ser>
          <c:idx val="5"/>
          <c:order val="5"/>
          <c:tx>
            <c:strRef>
              <c:f>'Graph Infos'!$B$41</c:f>
              <c:strCache>
                <c:ptCount val="1"/>
                <c:pt idx="0">
                  <c:v>Prevalidated - TSSR Done</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 Infos'!$C$35:$H$35</c15:sqref>
                  </c15:fullRef>
                </c:ext>
              </c:extLst>
              <c:f>'Graph Infos'!$D$35:$G$35</c:f>
              <c:strCache>
                <c:ptCount val="4"/>
                <c:pt idx="0">
                  <c:v>Amara</c:v>
                </c:pt>
                <c:pt idx="1">
                  <c:v>MPT</c:v>
                </c:pt>
                <c:pt idx="2">
                  <c:v>OML</c:v>
                </c:pt>
                <c:pt idx="3">
                  <c:v>Mytel</c:v>
                </c:pt>
              </c:strCache>
            </c:strRef>
          </c:cat>
          <c:val>
            <c:numRef>
              <c:extLst>
                <c:ext xmlns:c15="http://schemas.microsoft.com/office/drawing/2012/chart" uri="{02D57815-91ED-43cb-92C2-25804820EDAC}">
                  <c15:fullRef>
                    <c15:sqref>'Graph Infos'!$C$41:$H$41</c15:sqref>
                  </c15:fullRef>
                </c:ext>
              </c:extLst>
              <c:f>'Graph Infos'!$D$41:$G$41</c:f>
              <c:numCache>
                <c:formatCode>General</c:formatCode>
                <c:ptCount val="4"/>
                <c:pt idx="0">
                  <c:v>4</c:v>
                </c:pt>
                <c:pt idx="1">
                  <c:v>0</c:v>
                </c:pt>
                <c:pt idx="2">
                  <c:v>4</c:v>
                </c:pt>
                <c:pt idx="3">
                  <c:v>5</c:v>
                </c:pt>
              </c:numCache>
            </c:numRef>
          </c:val>
          <c:extLst>
            <c:ext xmlns:c16="http://schemas.microsoft.com/office/drawing/2014/chart" uri="{C3380CC4-5D6E-409C-BE32-E72D297353CC}">
              <c16:uniqueId val="{00000007-50D9-4DB1-92BA-73347B4E11FF}"/>
            </c:ext>
          </c:extLst>
        </c:ser>
        <c:ser>
          <c:idx val="6"/>
          <c:order val="6"/>
          <c:tx>
            <c:strRef>
              <c:f>'Graph Infos'!$B$42</c:f>
              <c:strCache>
                <c:ptCount val="1"/>
                <c:pt idx="0">
                  <c:v>Prevalidated - TSSR in Process</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 Infos'!$C$35:$H$35</c15:sqref>
                  </c15:fullRef>
                </c:ext>
              </c:extLst>
              <c:f>'Graph Infos'!$D$35:$G$35</c:f>
              <c:strCache>
                <c:ptCount val="4"/>
                <c:pt idx="0">
                  <c:v>Amara</c:v>
                </c:pt>
                <c:pt idx="1">
                  <c:v>MPT</c:v>
                </c:pt>
                <c:pt idx="2">
                  <c:v>OML</c:v>
                </c:pt>
                <c:pt idx="3">
                  <c:v>Mytel</c:v>
                </c:pt>
              </c:strCache>
            </c:strRef>
          </c:cat>
          <c:val>
            <c:numRef>
              <c:extLst>
                <c:ext xmlns:c15="http://schemas.microsoft.com/office/drawing/2012/chart" uri="{02D57815-91ED-43cb-92C2-25804820EDAC}">
                  <c15:fullRef>
                    <c15:sqref>'Graph Infos'!$C$42:$H$42</c15:sqref>
                  </c15:fullRef>
                </c:ext>
              </c:extLst>
              <c:f>'Graph Infos'!$D$42:$G$42</c:f>
              <c:numCache>
                <c:formatCode>General</c:formatCode>
                <c:ptCount val="4"/>
                <c:pt idx="0">
                  <c:v>5</c:v>
                </c:pt>
                <c:pt idx="1">
                  <c:v>1</c:v>
                </c:pt>
                <c:pt idx="2">
                  <c:v>56</c:v>
                </c:pt>
                <c:pt idx="3">
                  <c:v>4</c:v>
                </c:pt>
              </c:numCache>
            </c:numRef>
          </c:val>
          <c:extLst xmlns:c15="http://schemas.microsoft.com/office/drawing/2012/chart">
            <c:ext xmlns:c16="http://schemas.microsoft.com/office/drawing/2014/chart" uri="{C3380CC4-5D6E-409C-BE32-E72D297353CC}">
              <c16:uniqueId val="{00000000-92EA-43E6-BA3E-230D36D72A23}"/>
            </c:ext>
          </c:extLst>
        </c:ser>
        <c:ser>
          <c:idx val="9"/>
          <c:order val="9"/>
          <c:tx>
            <c:strRef>
              <c:f>'Graph Infos'!$B$45</c:f>
              <c:strCache>
                <c:ptCount val="1"/>
                <c:pt idx="0">
                  <c:v>Under Prevalidation</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 Infos'!$C$35:$H$35</c15:sqref>
                  </c15:fullRef>
                </c:ext>
              </c:extLst>
              <c:f>'Graph Infos'!$D$35:$G$35</c:f>
              <c:strCache>
                <c:ptCount val="4"/>
                <c:pt idx="0">
                  <c:v>Amara</c:v>
                </c:pt>
                <c:pt idx="1">
                  <c:v>MPT</c:v>
                </c:pt>
                <c:pt idx="2">
                  <c:v>OML</c:v>
                </c:pt>
                <c:pt idx="3">
                  <c:v>Mytel</c:v>
                </c:pt>
              </c:strCache>
            </c:strRef>
          </c:cat>
          <c:val>
            <c:numRef>
              <c:extLst>
                <c:ext xmlns:c15="http://schemas.microsoft.com/office/drawing/2012/chart" uri="{02D57815-91ED-43cb-92C2-25804820EDAC}">
                  <c15:fullRef>
                    <c15:sqref>'Graph Infos'!$C$45:$H$45</c15:sqref>
                  </c15:fullRef>
                </c:ext>
              </c:extLst>
              <c:f>'Graph Infos'!$D$45:$G$45</c:f>
              <c:numCache>
                <c:formatCode>General</c:formatCode>
                <c:ptCount val="4"/>
                <c:pt idx="0">
                  <c:v>1</c:v>
                </c:pt>
                <c:pt idx="1">
                  <c:v>0</c:v>
                </c:pt>
                <c:pt idx="2">
                  <c:v>49</c:v>
                </c:pt>
                <c:pt idx="3">
                  <c:v>0</c:v>
                </c:pt>
              </c:numCache>
            </c:numRef>
          </c:val>
          <c:extLst>
            <c:ext xmlns:c16="http://schemas.microsoft.com/office/drawing/2014/chart" uri="{C3380CC4-5D6E-409C-BE32-E72D297353CC}">
              <c16:uniqueId val="{00000002-FFC9-4E41-A8C2-F73E07463795}"/>
            </c:ext>
          </c:extLst>
        </c:ser>
        <c:dLbls>
          <c:dLblPos val="ctr"/>
          <c:showLegendKey val="0"/>
          <c:showVal val="1"/>
          <c:showCatName val="0"/>
          <c:showSerName val="0"/>
          <c:showPercent val="0"/>
          <c:showBubbleSize val="0"/>
        </c:dLbls>
        <c:gapWidth val="150"/>
        <c:overlap val="100"/>
        <c:axId val="1494384960"/>
        <c:axId val="1470521408"/>
        <c:extLst>
          <c:ext xmlns:c15="http://schemas.microsoft.com/office/drawing/2012/chart" uri="{02D57815-91ED-43cb-92C2-25804820EDAC}">
            <c15:filteredBarSeries>
              <c15:ser>
                <c:idx val="7"/>
                <c:order val="7"/>
                <c:tx>
                  <c:strRef>
                    <c:extLst>
                      <c:ext uri="{02D57815-91ED-43cb-92C2-25804820EDAC}">
                        <c15:formulaRef>
                          <c15:sqref>'Graph Infos'!$B$43</c15:sqref>
                        </c15:formulaRef>
                      </c:ext>
                    </c:extLst>
                    <c:strCache>
                      <c:ptCount val="1"/>
                      <c:pt idx="0">
                        <c:v>Prevalidation Rejected</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'Graph Infos'!$C$35:$H$35</c15:sqref>
                        </c15:fullRef>
                        <c15:formulaRef>
                          <c15:sqref>'Graph Infos'!$D$35:$G$35</c15:sqref>
                        </c15:formulaRef>
                      </c:ext>
                    </c:extLst>
                    <c:strCache>
                      <c:ptCount val="4"/>
                      <c:pt idx="0">
                        <c:v>Amara</c:v>
                      </c:pt>
                      <c:pt idx="1">
                        <c:v>MPT</c:v>
                      </c:pt>
                      <c:pt idx="2">
                        <c:v>OML</c:v>
                      </c:pt>
                      <c:pt idx="3">
                        <c:v>Mytel</c:v>
                      </c:pt>
                    </c:strCache>
                  </c:strRef>
                </c:cat>
                <c:val>
                  <c:numRef>
                    <c:extLst>
                      <c:ext uri="{02D57815-91ED-43cb-92C2-25804820EDAC}">
                        <c15:fullRef>
                          <c15:sqref>'Graph Infos'!$C$43:$H$43</c15:sqref>
                        </c15:fullRef>
                        <c15:formulaRef>
                          <c15:sqref>'Graph Infos'!$D$43:$G$43</c15:sqref>
                        </c15:formulaRef>
                      </c:ext>
                    </c:extLst>
                    <c:numCache>
                      <c:formatCode>General</c:formatCode>
                      <c:ptCount val="4"/>
                      <c:pt idx="0">
                        <c:v>3</c:v>
                      </c:pt>
                      <c:pt idx="1">
                        <c:v>0</c:v>
                      </c:pt>
                      <c:pt idx="2">
                        <c:v>51</c:v>
                      </c:pt>
                      <c:pt idx="3">
                        <c:v>15</c:v>
                      </c:pt>
                    </c:numCache>
                  </c:numRef>
                </c:val>
                <c:extLst>
                  <c:ext xmlns:c16="http://schemas.microsoft.com/office/drawing/2014/chart" uri="{C3380CC4-5D6E-409C-BE32-E72D297353CC}">
                    <c16:uniqueId val="{00000001-92EA-43E6-BA3E-230D36D72A23}"/>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'Graph Infos'!$B$44</c15:sqref>
                        </c15:formulaRef>
                      </c:ext>
                    </c:extLst>
                    <c:strCache>
                      <c:ptCount val="1"/>
                      <c:pt idx="0">
                        <c:v>Dropped by Operator</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 Infos'!$C$35:$H$35</c15:sqref>
                        </c15:fullRef>
                        <c15:formulaRef>
                          <c15:sqref>'Graph Infos'!$D$35:$G$35</c15:sqref>
                        </c15:formulaRef>
                      </c:ext>
                    </c:extLst>
                    <c:strCache>
                      <c:ptCount val="4"/>
                      <c:pt idx="0">
                        <c:v>Amara</c:v>
                      </c:pt>
                      <c:pt idx="1">
                        <c:v>MPT</c:v>
                      </c:pt>
                      <c:pt idx="2">
                        <c:v>OML</c:v>
                      </c:pt>
                      <c:pt idx="3">
                        <c:v>Mytel</c:v>
                      </c:pt>
                    </c:strCache>
                  </c:strRef>
                </c:cat>
                <c:val>
                  <c:numRef>
                    <c:extLst>
                      <c:ext xmlns:c15="http://schemas.microsoft.com/office/drawing/2012/chart" uri="{02D57815-91ED-43cb-92C2-25804820EDAC}">
                        <c15:fullRef>
                          <c15:sqref>'Graph Infos'!$C$44:$H$44</c15:sqref>
                        </c15:fullRef>
                        <c15:formulaRef>
                          <c15:sqref>'Graph Infos'!$D$44:$G$44</c15:sqref>
                        </c15:formulaRef>
                      </c:ext>
                    </c:extLst>
                    <c:numCache>
                      <c:formatCode>General</c:formatCode>
                      <c:ptCount val="4"/>
                      <c:pt idx="0">
                        <c:v>0</c:v>
                      </c:pt>
                      <c:pt idx="1">
                        <c:v>0</c:v>
                      </c:pt>
                      <c:pt idx="2">
                        <c:v>2</c:v>
                      </c:pt>
                      <c:pt idx="3">
                        <c:v>6</c:v>
                      </c:pt>
                    </c:numCache>
                  </c:numRef>
                </c:val>
                <c:extLst xmlns:c15="http://schemas.microsoft.com/office/drawing/2012/chart">
                  <c:ext xmlns:c16="http://schemas.microsoft.com/office/drawing/2014/chart" uri="{C3380CC4-5D6E-409C-BE32-E72D297353CC}">
                    <c16:uniqueId val="{00000002-92EA-43E6-BA3E-230D36D72A23}"/>
                  </c:ext>
                </c:extLst>
              </c15:ser>
            </c15:filteredBarSeries>
          </c:ext>
        </c:extLst>
      </c:barChart>
      <c:catAx>
        <c:axId val="1494384960"/>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70521408"/>
        <c:crosses val="autoZero"/>
        <c:auto val="1"/>
        <c:lblAlgn val="ctr"/>
        <c:lblOffset val="100"/>
        <c:noMultiLvlLbl val="0"/>
      </c:catAx>
      <c:valAx>
        <c:axId val="1470521408"/>
        <c:scaling>
          <c:orientation val="minMax"/>
        </c:scaling>
        <c:delete val="1"/>
        <c:axPos val="b"/>
        <c:numFmt formatCode="0%" sourceLinked="1"/>
        <c:majorTickMark val="out"/>
        <c:minorTickMark val="none"/>
        <c:tickLblPos val="nextTo"/>
        <c:crossAx val="149438496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889383945888264"/>
          <c:y val="0.17934027983344186"/>
          <c:w val="0.45124528044813911"/>
          <c:h val="0.77907662857932236"/>
        </c:manualLayout>
      </c:layout>
      <c:radarChart>
        <c:radarStyle val="filled"/>
        <c:varyColors val="0"/>
        <c:ser>
          <c:idx val="1"/>
          <c:order val="1"/>
          <c:tx>
            <c:strRef>
              <c:f>'Graph Infos'!$B$16</c:f>
              <c:strCache>
                <c:ptCount val="1"/>
                <c:pt idx="0">
                  <c:v>Rejected</c:v>
                </c:pt>
              </c:strCache>
            </c:strRef>
          </c:tx>
          <c:spPr>
            <a:solidFill>
              <a:schemeClr val="accent2"/>
            </a:solidFill>
            <a:ln>
              <a:noFill/>
            </a:ln>
            <a:effectLst/>
          </c:spPr>
          <c:cat>
            <c:strRef>
              <c:f>'Graph Infos'!$C$14:$H$14</c:f>
              <c:strCache>
                <c:ptCount val="6"/>
                <c:pt idx="0">
                  <c:v>SAQ</c:v>
                </c:pt>
                <c:pt idx="1">
                  <c:v>RF</c:v>
                </c:pt>
                <c:pt idx="2">
                  <c:v>Structural</c:v>
                </c:pt>
                <c:pt idx="3">
                  <c:v>Power</c:v>
                </c:pt>
                <c:pt idx="4">
                  <c:v>CW</c:v>
                </c:pt>
                <c:pt idx="5">
                  <c:v>Community</c:v>
                </c:pt>
              </c:strCache>
            </c:strRef>
          </c:cat>
          <c:val>
            <c:numRef>
              <c:f>'Graph Infos'!$C$16:$H$16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B516-47CA-8F20-75912F4CFB63}"/>
            </c:ext>
          </c:extLst>
        </c:ser>
        <c:ser>
          <c:idx val="2"/>
          <c:order val="2"/>
          <c:tx>
            <c:strRef>
              <c:f>'Graph Infos'!$B$17</c:f>
              <c:strCache>
                <c:ptCount val="1"/>
                <c:pt idx="0">
                  <c:v>Pending</c:v>
                </c:pt>
              </c:strCache>
            </c:strRef>
          </c:tx>
          <c:spPr>
            <a:solidFill>
              <a:srgbClr val="FFC000">
                <a:alpha val="27843"/>
              </a:srgbClr>
            </a:solidFill>
            <a:ln>
              <a:solidFill>
                <a:schemeClr val="accent4"/>
              </a:solidFill>
            </a:ln>
            <a:effectLst/>
          </c:spPr>
          <c:cat>
            <c:strRef>
              <c:f>'Graph Infos'!$C$14:$H$14</c:f>
              <c:strCache>
                <c:ptCount val="6"/>
                <c:pt idx="0">
                  <c:v>SAQ</c:v>
                </c:pt>
                <c:pt idx="1">
                  <c:v>RF</c:v>
                </c:pt>
                <c:pt idx="2">
                  <c:v>Structural</c:v>
                </c:pt>
                <c:pt idx="3">
                  <c:v>Power</c:v>
                </c:pt>
                <c:pt idx="4">
                  <c:v>CW</c:v>
                </c:pt>
                <c:pt idx="5">
                  <c:v>Community</c:v>
                </c:pt>
              </c:strCache>
            </c:strRef>
          </c:cat>
          <c:val>
            <c:numRef>
              <c:f>'Graph Infos'!$C$17:$H$17</c:f>
              <c:numCache>
                <c:formatCode>General</c:formatCode>
                <c:ptCount val="6"/>
                <c:pt idx="0">
                  <c:v>0</c:v>
                </c:pt>
                <c:pt idx="1">
                  <c:v>0</c:v>
                </c:pt>
                <c:pt idx="2">
                  <c:v>2</c:v>
                </c:pt>
                <c:pt idx="3">
                  <c:v>2</c:v>
                </c:pt>
                <c:pt idx="4">
                  <c:v>1</c:v>
                </c:pt>
                <c:pt idx="5">
                  <c:v>1</c:v>
                </c:pt>
              </c:numCache>
            </c:numRef>
          </c:val>
          <c:extLst>
            <c:ext xmlns:c16="http://schemas.microsoft.com/office/drawing/2014/chart" uri="{C3380CC4-5D6E-409C-BE32-E72D297353CC}">
              <c16:uniqueId val="{00000001-B516-47CA-8F20-75912F4CFB63}"/>
            </c:ext>
          </c:extLst>
        </c:ser>
        <c:dLbls>
          <c:showLegendKey val="0"/>
          <c:showVal val="0"/>
          <c:showCatName val="0"/>
          <c:showSerName val="0"/>
          <c:showPercent val="0"/>
          <c:showBubbleSize val="0"/>
        </c:dLbls>
        <c:axId val="1401301472"/>
        <c:axId val="144879280"/>
        <c:extLst>
          <c:ext xmlns:c15="http://schemas.microsoft.com/office/drawing/2012/chart" uri="{02D57815-91ED-43cb-92C2-25804820EDAC}">
            <c15:filteredRadarSeries>
              <c15:ser>
                <c:idx val="0"/>
                <c:order val="0"/>
                <c:tx>
                  <c:strRef>
                    <c:extLst>
                      <c:ext uri="{02D57815-91ED-43cb-92C2-25804820EDAC}">
                        <c15:formulaRef>
                          <c15:sqref>'Graph Infos'!$B$15</c15:sqref>
                        </c15:formulaRef>
                      </c:ext>
                    </c:extLst>
                    <c:strCache>
                      <c:ptCount val="1"/>
                      <c:pt idx="0">
                        <c:v>Ok</c:v>
                      </c:pt>
                    </c:strCache>
                  </c:strRef>
                </c:tx>
                <c:spPr>
                  <a:solidFill>
                    <a:schemeClr val="accent6"/>
                  </a:solidFill>
                  <a:ln>
                    <a:noFill/>
                  </a:ln>
                  <a:effectLst/>
                </c:spPr>
                <c:cat>
                  <c:strRef>
                    <c:extLst>
                      <c:ext uri="{02D57815-91ED-43cb-92C2-25804820EDAC}">
                        <c15:formulaRef>
                          <c15:sqref>'Graph Infos'!$C$14:$H$14</c15:sqref>
                        </c15:formulaRef>
                      </c:ext>
                    </c:extLst>
                    <c:strCache>
                      <c:ptCount val="6"/>
                      <c:pt idx="0">
                        <c:v>SAQ</c:v>
                      </c:pt>
                      <c:pt idx="1">
                        <c:v>RF</c:v>
                      </c:pt>
                      <c:pt idx="2">
                        <c:v>Structural</c:v>
                      </c:pt>
                      <c:pt idx="3">
                        <c:v>Power</c:v>
                      </c:pt>
                      <c:pt idx="4">
                        <c:v>CW</c:v>
                      </c:pt>
                      <c:pt idx="5">
                        <c:v>Community</c:v>
                      </c:pt>
                    </c:strCache>
                  </c:strRef>
                </c:cat>
                <c:val>
                  <c:numRef>
                    <c:extLst>
                      <c:ext uri="{02D57815-91ED-43cb-92C2-25804820EDAC}">
                        <c15:formulaRef>
                          <c15:sqref>'Graph Infos'!$C$15:$H$15</c15:sqref>
                        </c15:formulaRef>
                      </c:ext>
                    </c:extLst>
                    <c:numCache>
                      <c:formatCode>General</c:formatCode>
                      <c:ptCount val="6"/>
                      <c:pt idx="0">
                        <c:v>4</c:v>
                      </c:pt>
                      <c:pt idx="1">
                        <c:v>4</c:v>
                      </c:pt>
                      <c:pt idx="2">
                        <c:v>2</c:v>
                      </c:pt>
                      <c:pt idx="3">
                        <c:v>2</c:v>
                      </c:pt>
                      <c:pt idx="4">
                        <c:v>3</c:v>
                      </c:pt>
                      <c:pt idx="5">
                        <c:v>3</c:v>
                      </c:pt>
                    </c:numCache>
                  </c:numRef>
                </c:val>
                <c:extLst>
                  <c:ext xmlns:c16="http://schemas.microsoft.com/office/drawing/2014/chart" uri="{C3380CC4-5D6E-409C-BE32-E72D297353CC}">
                    <c16:uniqueId val="{00000002-B516-47CA-8F20-75912F4CFB63}"/>
                  </c:ext>
                </c:extLst>
              </c15:ser>
            </c15:filteredRadarSeries>
          </c:ext>
        </c:extLst>
      </c:radarChart>
      <c:catAx>
        <c:axId val="140130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a:outerShdw blurRad="50800" dist="50800" dir="5400000" sx="5000" sy="5000" algn="ctr" rotWithShape="0">
              <a:srgbClr val="000000">
                <a:alpha val="43137"/>
              </a:srgbClr>
            </a:outerShdw>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144879280"/>
        <c:crosses val="autoZero"/>
        <c:auto val="1"/>
        <c:lblAlgn val="ctr"/>
        <c:lblOffset val="100"/>
        <c:noMultiLvlLbl val="0"/>
      </c:catAx>
      <c:valAx>
        <c:axId val="14487928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4013014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'Bar Completion Operator'!$B$12</c:f>
              <c:strCache>
                <c:ptCount val="1"/>
                <c:pt idx="0">
                  <c:v>Prevalidated</c:v>
                </c:pt>
              </c:strCache>
            </c:strRef>
          </c:tx>
          <c:spPr>
            <a:solidFill>
              <a:schemeClr val="accent1"/>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7DF6-4AD6-B8E7-2D1F00F42DE8}"/>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'Bar Completion Operator'!$B$13</c:f>
              <c:numCache>
                <c:formatCode>General</c:formatCode>
                <c:ptCount val="1"/>
                <c:pt idx="0">
                  <c:v>9</c:v>
                </c:pt>
              </c:numCache>
            </c:numRef>
          </c:val>
          <c:extLst>
            <c:ext xmlns:c16="http://schemas.microsoft.com/office/drawing/2014/chart" uri="{C3380CC4-5D6E-409C-BE32-E72D297353CC}">
              <c16:uniqueId val="{00000002-7DF6-4AD6-B8E7-2D1F00F42DE8}"/>
            </c:ext>
          </c:extLst>
        </c:ser>
        <c:ser>
          <c:idx val="1"/>
          <c:order val="1"/>
          <c:tx>
            <c:strRef>
              <c:f>'Bar Completion Operator'!$C$12</c:f>
              <c:strCache>
                <c:ptCount val="1"/>
                <c:pt idx="0">
                  <c:v>Commercial Approval Requested</c:v>
                </c:pt>
              </c:strCache>
            </c:strRef>
          </c:tx>
          <c:spPr>
            <a:solidFill>
              <a:schemeClr val="accent2"/>
            </a:solidFill>
            <a:ln>
              <a:noFill/>
            </a:ln>
            <a:effectLst/>
          </c:spPr>
          <c:invertIfNegative val="0"/>
          <c:dPt>
            <c:idx val="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4-7DF6-4AD6-B8E7-2D1F00F42DE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'Bar Completion Operator'!$C$13</c:f>
              <c:numCache>
                <c:formatCode>General</c:formatCode>
                <c:ptCount val="1"/>
                <c:pt idx="0">
                  <c:v>0</c:v>
                </c:pt>
              </c:numCache>
            </c:numRef>
          </c:val>
          <c:extLst>
            <c:ext xmlns:c16="http://schemas.microsoft.com/office/drawing/2014/chart" uri="{C3380CC4-5D6E-409C-BE32-E72D297353CC}">
              <c16:uniqueId val="{00000005-7DF6-4AD6-B8E7-2D1F00F42DE8}"/>
            </c:ext>
          </c:extLst>
        </c:ser>
        <c:ser>
          <c:idx val="2"/>
          <c:order val="2"/>
          <c:tx>
            <c:strRef>
              <c:f>'Bar Completion Operator'!$D$12</c:f>
              <c:strCache>
                <c:ptCount val="1"/>
                <c:pt idx="0">
                  <c:v>Under Prevalidation</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'Bar Completion Operator'!$D$13</c:f>
              <c:numCache>
                <c:formatCode>General</c:formatCode>
                <c:ptCount val="1"/>
                <c:pt idx="0">
                  <c:v>1</c:v>
                </c:pt>
              </c:numCache>
            </c:numRef>
          </c:val>
          <c:extLst>
            <c:ext xmlns:c16="http://schemas.microsoft.com/office/drawing/2014/chart" uri="{C3380CC4-5D6E-409C-BE32-E72D297353CC}">
              <c16:uniqueId val="{00000006-7DF6-4AD6-B8E7-2D1F00F42DE8}"/>
            </c:ext>
          </c:extLst>
        </c:ser>
        <c:dLbls>
          <c:dLblPos val="ctr"/>
          <c:showLegendKey val="0"/>
          <c:showVal val="1"/>
          <c:showCatName val="0"/>
          <c:showSerName val="0"/>
          <c:showPercent val="0"/>
          <c:showBubbleSize val="0"/>
        </c:dLbls>
        <c:gapWidth val="182"/>
        <c:overlap val="100"/>
        <c:axId val="1634028576"/>
        <c:axId val="1345991040"/>
      </c:barChart>
      <c:catAx>
        <c:axId val="1634028576"/>
        <c:scaling>
          <c:orientation val="minMax"/>
        </c:scaling>
        <c:delete val="1"/>
        <c:axPos val="l"/>
        <c:numFmt formatCode="General" sourceLinked="1"/>
        <c:majorTickMark val="out"/>
        <c:minorTickMark val="none"/>
        <c:tickLblPos val="nextTo"/>
        <c:crossAx val="1345991040"/>
        <c:crosses val="autoZero"/>
        <c:auto val="1"/>
        <c:lblAlgn val="ctr"/>
        <c:lblOffset val="100"/>
        <c:noMultiLvlLbl val="0"/>
      </c:catAx>
      <c:valAx>
        <c:axId val="1345991040"/>
        <c:scaling>
          <c:orientation val="minMax"/>
          <c:min val="0"/>
        </c:scaling>
        <c:delete val="1"/>
        <c:axPos val="b"/>
        <c:majorGridlines>
          <c:spPr>
            <a:ln w="9525" cap="flat" cmpd="sng" algn="ctr">
              <a:noFill/>
              <a:round/>
            </a:ln>
            <a:effectLst/>
          </c:spPr>
        </c:majorGridlines>
        <c:numFmt formatCode="0%" sourceLinked="1"/>
        <c:majorTickMark val="out"/>
        <c:minorTickMark val="none"/>
        <c:tickLblPos val="nextTo"/>
        <c:crossAx val="16340285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b="1"/>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'Bar Completion'!$B$12</c:f>
              <c:strCache>
                <c:ptCount val="1"/>
                <c:pt idx="0">
                  <c:v>Prevalidated</c:v>
                </c:pt>
              </c:strCache>
            </c:strRef>
          </c:tx>
          <c:spPr>
            <a:solidFill>
              <a:schemeClr val="accent6"/>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5E9C-4049-B565-CAC36C10DD48}"/>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'Bar Completion'!$B$13</c:f>
              <c:numCache>
                <c:formatCode>General</c:formatCode>
                <c:ptCount val="1"/>
                <c:pt idx="0">
                  <c:v>133</c:v>
                </c:pt>
              </c:numCache>
            </c:numRef>
          </c:val>
          <c:extLst>
            <c:ext xmlns:c16="http://schemas.microsoft.com/office/drawing/2014/chart" uri="{C3380CC4-5D6E-409C-BE32-E72D297353CC}">
              <c16:uniqueId val="{00000002-5E9C-4049-B565-CAC36C10DD48}"/>
            </c:ext>
          </c:extLst>
        </c:ser>
        <c:ser>
          <c:idx val="1"/>
          <c:order val="1"/>
          <c:tx>
            <c:strRef>
              <c:f>'Bar Completion'!$C$12</c:f>
              <c:strCache>
                <c:ptCount val="1"/>
                <c:pt idx="0">
                  <c:v>Commercial Approval Requested</c:v>
                </c:pt>
              </c:strCache>
            </c:strRef>
          </c:tx>
          <c:spPr>
            <a:solidFill>
              <a:schemeClr val="accent2">
                <a:lumMod val="60000"/>
                <a:lumOff val="40000"/>
              </a:schemeClr>
            </a:solidFill>
            <a:ln>
              <a:noFill/>
            </a:ln>
            <a:effectLst/>
          </c:spPr>
          <c:invertIfNegative val="0"/>
          <c:dPt>
            <c:idx val="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3-7008-46AF-BD9B-FD344A1E8F2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'Bar Completion'!$C$13</c:f>
              <c:numCache>
                <c:formatCode>General</c:formatCode>
                <c:ptCount val="1"/>
                <c:pt idx="0">
                  <c:v>46</c:v>
                </c:pt>
              </c:numCache>
            </c:numRef>
          </c:val>
          <c:extLst>
            <c:ext xmlns:c16="http://schemas.microsoft.com/office/drawing/2014/chart" uri="{C3380CC4-5D6E-409C-BE32-E72D297353CC}">
              <c16:uniqueId val="{00000007-5E9C-4049-B565-CAC36C10DD48}"/>
            </c:ext>
          </c:extLst>
        </c:ser>
        <c:ser>
          <c:idx val="2"/>
          <c:order val="2"/>
          <c:tx>
            <c:strRef>
              <c:f>'Bar Completion'!$D$12</c:f>
              <c:strCache>
                <c:ptCount val="1"/>
                <c:pt idx="0">
                  <c:v>Under Prevalidation</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'Bar Completion'!$D$13</c:f>
              <c:numCache>
                <c:formatCode>General</c:formatCode>
                <c:ptCount val="1"/>
                <c:pt idx="0">
                  <c:v>4</c:v>
                </c:pt>
              </c:numCache>
            </c:numRef>
          </c:val>
          <c:extLst>
            <c:ext xmlns:c16="http://schemas.microsoft.com/office/drawing/2014/chart" uri="{C3380CC4-5D6E-409C-BE32-E72D297353CC}">
              <c16:uniqueId val="{00000008-5E9C-4049-B565-CAC36C10DD48}"/>
            </c:ext>
          </c:extLst>
        </c:ser>
        <c:dLbls>
          <c:dLblPos val="ctr"/>
          <c:showLegendKey val="0"/>
          <c:showVal val="1"/>
          <c:showCatName val="0"/>
          <c:showSerName val="0"/>
          <c:showPercent val="0"/>
          <c:showBubbleSize val="0"/>
        </c:dLbls>
        <c:gapWidth val="182"/>
        <c:overlap val="100"/>
        <c:axId val="1634028576"/>
        <c:axId val="1345991040"/>
      </c:barChart>
      <c:catAx>
        <c:axId val="1634028576"/>
        <c:scaling>
          <c:orientation val="minMax"/>
        </c:scaling>
        <c:delete val="1"/>
        <c:axPos val="l"/>
        <c:numFmt formatCode="General" sourceLinked="1"/>
        <c:majorTickMark val="out"/>
        <c:minorTickMark val="none"/>
        <c:tickLblPos val="nextTo"/>
        <c:crossAx val="1345991040"/>
        <c:crosses val="autoZero"/>
        <c:auto val="1"/>
        <c:lblAlgn val="ctr"/>
        <c:lblOffset val="100"/>
        <c:noMultiLvlLbl val="0"/>
      </c:catAx>
      <c:valAx>
        <c:axId val="1345991040"/>
        <c:scaling>
          <c:orientation val="minMax"/>
          <c:max val="1"/>
          <c:min val="0"/>
        </c:scaling>
        <c:delete val="1"/>
        <c:axPos val="b"/>
        <c:majorGridlines>
          <c:spPr>
            <a:ln w="9525" cap="flat" cmpd="sng" algn="ctr">
              <a:noFill/>
              <a:round/>
            </a:ln>
            <a:effectLst/>
          </c:spPr>
        </c:majorGridlines>
        <c:numFmt formatCode="0%" sourceLinked="1"/>
        <c:majorTickMark val="out"/>
        <c:minorTickMark val="none"/>
        <c:tickLblPos val="nextTo"/>
        <c:crossAx val="16340285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b="1"/>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tx>
            <c:strRef>
              <c:f>'Bar Completion'!$B$9</c:f>
              <c:strCache>
                <c:ptCount val="1"/>
                <c:pt idx="0">
                  <c:v>Prevalidated - TSSR Done</c:v>
                </c:pt>
              </c:strCache>
            </c:strRef>
          </c:tx>
          <c:spPr>
            <a:solidFill>
              <a:schemeClr val="accent1"/>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1-4154-403B-B356-0AF9C819BA48}"/>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Completion'!$A$10</c:f>
              <c:strCache>
                <c:ptCount val="1"/>
                <c:pt idx="0">
                  <c:v>TSSR Stage</c:v>
                </c:pt>
              </c:strCache>
            </c:strRef>
          </c:cat>
          <c:val>
            <c:numRef>
              <c:f>'Bar Completion'!$B$10</c:f>
              <c:numCache>
                <c:formatCode>General</c:formatCode>
                <c:ptCount val="1"/>
                <c:pt idx="0">
                  <c:v>66</c:v>
                </c:pt>
              </c:numCache>
            </c:numRef>
          </c:val>
          <c:extLst>
            <c:ext xmlns:c16="http://schemas.microsoft.com/office/drawing/2014/chart" uri="{C3380CC4-5D6E-409C-BE32-E72D297353CC}">
              <c16:uniqueId val="{00000002-4154-403B-B356-0AF9C819BA48}"/>
            </c:ext>
          </c:extLst>
        </c:ser>
        <c:ser>
          <c:idx val="1"/>
          <c:order val="1"/>
          <c:tx>
            <c:strRef>
              <c:f>'Bar Completion'!$C$9</c:f>
              <c:strCache>
                <c:ptCount val="1"/>
                <c:pt idx="0">
                  <c:v>Prevalidated - TSSR in Process</c:v>
                </c:pt>
              </c:strCache>
            </c:strRef>
          </c:tx>
          <c:spPr>
            <a:solidFill>
              <a:schemeClr val="accent4">
                <a:lumMod val="60000"/>
                <a:lumOff val="40000"/>
              </a:schemeClr>
            </a:solidFill>
            <a:ln>
              <a:noFill/>
            </a:ln>
            <a:effectLst/>
          </c:spPr>
          <c:invertIfNegative val="0"/>
          <c:dPt>
            <c:idx val="0"/>
            <c:invertIfNegative val="0"/>
            <c:bubble3D val="0"/>
            <c:spPr>
              <a:solidFill>
                <a:schemeClr val="accent3"/>
              </a:solidFill>
              <a:ln>
                <a:noFill/>
              </a:ln>
              <a:effectLst/>
            </c:spPr>
            <c:extLst>
              <c:ext xmlns:c16="http://schemas.microsoft.com/office/drawing/2014/chart" uri="{C3380CC4-5D6E-409C-BE32-E72D297353CC}">
                <c16:uniqueId val="{00000004-242F-4EE6-8590-4FD6E065C3BF}"/>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Completion'!$A$10</c:f>
              <c:strCache>
                <c:ptCount val="1"/>
                <c:pt idx="0">
                  <c:v>TSSR Stage</c:v>
                </c:pt>
              </c:strCache>
            </c:strRef>
          </c:cat>
          <c:val>
            <c:numRef>
              <c:f>'Bar Completion'!$C$10</c:f>
              <c:numCache>
                <c:formatCode>General</c:formatCode>
                <c:ptCount val="1"/>
                <c:pt idx="0">
                  <c:v>67</c:v>
                </c:pt>
              </c:numCache>
            </c:numRef>
          </c:val>
          <c:extLst>
            <c:ext xmlns:c16="http://schemas.microsoft.com/office/drawing/2014/chart" uri="{C3380CC4-5D6E-409C-BE32-E72D297353CC}">
              <c16:uniqueId val="{00000003-4154-403B-B356-0AF9C819BA48}"/>
            </c:ext>
          </c:extLst>
        </c:ser>
        <c:ser>
          <c:idx val="2"/>
          <c:order val="2"/>
          <c:tx>
            <c:strRef>
              <c:f>'Bar Completion'!$D$9</c:f>
              <c:strCache>
                <c:ptCount val="1"/>
                <c:pt idx="0">
                  <c:v>TSSR Done - Under Prevalidation</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Completion'!$A$10</c:f>
              <c:strCache>
                <c:ptCount val="1"/>
                <c:pt idx="0">
                  <c:v>TSSR Stage</c:v>
                </c:pt>
              </c:strCache>
            </c:strRef>
          </c:cat>
          <c:val>
            <c:numRef>
              <c:f>'Bar Completion'!$D$10</c:f>
              <c:numCache>
                <c:formatCode>General</c:formatCode>
                <c:ptCount val="1"/>
                <c:pt idx="0">
                  <c:v>2</c:v>
                </c:pt>
              </c:numCache>
            </c:numRef>
          </c:val>
          <c:extLst>
            <c:ext xmlns:c16="http://schemas.microsoft.com/office/drawing/2014/chart" uri="{C3380CC4-5D6E-409C-BE32-E72D297353CC}">
              <c16:uniqueId val="{00000004-4154-403B-B356-0AF9C819BA48}"/>
            </c:ext>
          </c:extLst>
        </c:ser>
        <c:ser>
          <c:idx val="3"/>
          <c:order val="3"/>
          <c:tx>
            <c:strRef>
              <c:f>'Bar Completion'!$E$9</c:f>
              <c:strCache>
                <c:ptCount val="1"/>
                <c:pt idx="0">
                  <c:v>Other</c:v>
                </c:pt>
              </c:strCache>
            </c:strRef>
          </c:tx>
          <c:spPr>
            <a:solidFill>
              <a:schemeClr val="accent2">
                <a:lumMod val="60000"/>
                <a:lumOff val="40000"/>
              </a:schemeClr>
            </a:solidFill>
            <a:ln>
              <a:noFill/>
            </a:ln>
            <a:effectLst/>
          </c:spPr>
          <c:invertIfNegative val="0"/>
          <c:dPt>
            <c:idx val="0"/>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6-4154-403B-B356-0AF9C819BA48}"/>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Completion'!$A$10</c:f>
              <c:strCache>
                <c:ptCount val="1"/>
                <c:pt idx="0">
                  <c:v>TSSR Stage</c:v>
                </c:pt>
              </c:strCache>
            </c:strRef>
          </c:cat>
          <c:val>
            <c:numRef>
              <c:f>'Bar Completion'!$E$10</c:f>
              <c:numCache>
                <c:formatCode>General</c:formatCode>
                <c:ptCount val="1"/>
                <c:pt idx="0">
                  <c:v>48</c:v>
                </c:pt>
              </c:numCache>
            </c:numRef>
          </c:val>
          <c:extLst>
            <c:ext xmlns:c16="http://schemas.microsoft.com/office/drawing/2014/chart" uri="{C3380CC4-5D6E-409C-BE32-E72D297353CC}">
              <c16:uniqueId val="{00000007-4154-403B-B356-0AF9C819BA48}"/>
            </c:ext>
          </c:extLst>
        </c:ser>
        <c:dLbls>
          <c:dLblPos val="ctr"/>
          <c:showLegendKey val="0"/>
          <c:showVal val="1"/>
          <c:showCatName val="0"/>
          <c:showSerName val="0"/>
          <c:showPercent val="0"/>
          <c:showBubbleSize val="0"/>
        </c:dLbls>
        <c:gapWidth val="182"/>
        <c:overlap val="100"/>
        <c:axId val="1393495168"/>
        <c:axId val="144883440"/>
      </c:barChart>
      <c:catAx>
        <c:axId val="1393495168"/>
        <c:scaling>
          <c:orientation val="minMax"/>
        </c:scaling>
        <c:delete val="1"/>
        <c:axPos val="l"/>
        <c:numFmt formatCode="General" sourceLinked="1"/>
        <c:majorTickMark val="out"/>
        <c:minorTickMark val="none"/>
        <c:tickLblPos val="nextTo"/>
        <c:crossAx val="144883440"/>
        <c:crosses val="autoZero"/>
        <c:auto val="1"/>
        <c:lblAlgn val="ctr"/>
        <c:lblOffset val="100"/>
        <c:noMultiLvlLbl val="0"/>
      </c:catAx>
      <c:valAx>
        <c:axId val="144883440"/>
        <c:scaling>
          <c:orientation val="minMax"/>
          <c:max val="1"/>
          <c:min val="0"/>
        </c:scaling>
        <c:delete val="1"/>
        <c:axPos val="b"/>
        <c:majorGridlines>
          <c:spPr>
            <a:ln w="9525" cap="flat" cmpd="sng" algn="ctr">
              <a:noFill/>
              <a:round/>
            </a:ln>
            <a:effectLst/>
          </c:spPr>
        </c:majorGridlines>
        <c:numFmt formatCode="0%" sourceLinked="1"/>
        <c:majorTickMark val="out"/>
        <c:minorTickMark val="none"/>
        <c:tickLblPos val="nextTo"/>
        <c:crossAx val="139349516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b="1"/>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tx>
            <c:strRef>
              <c:f>'Bar Completion'!$B$6</c:f>
              <c:strCache>
                <c:ptCount val="1"/>
                <c:pt idx="0">
                  <c:v>Approved</c:v>
                </c:pt>
              </c:strCache>
            </c:strRef>
          </c:tx>
          <c:spPr>
            <a:solidFill>
              <a:schemeClr val="accent6"/>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B3AB-4C70-A24E-37246AC888EA}"/>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Completion'!$A$7</c:f>
              <c:strCache>
                <c:ptCount val="1"/>
                <c:pt idx="0">
                  <c:v>Colo Application</c:v>
                </c:pt>
              </c:strCache>
            </c:strRef>
          </c:cat>
          <c:val>
            <c:numRef>
              <c:f>'Bar Completion'!$B$7</c:f>
              <c:numCache>
                <c:formatCode>General</c:formatCode>
                <c:ptCount val="1"/>
                <c:pt idx="0">
                  <c:v>30</c:v>
                </c:pt>
              </c:numCache>
            </c:numRef>
          </c:val>
          <c:extLst>
            <c:ext xmlns:c16="http://schemas.microsoft.com/office/drawing/2014/chart" uri="{C3380CC4-5D6E-409C-BE32-E72D297353CC}">
              <c16:uniqueId val="{00000002-B3AB-4C70-A24E-37246AC888EA}"/>
            </c:ext>
          </c:extLst>
        </c:ser>
        <c:ser>
          <c:idx val="1"/>
          <c:order val="1"/>
          <c:tx>
            <c:strRef>
              <c:f>'Bar Completion'!$C$6</c:f>
              <c:strCache>
                <c:ptCount val="1"/>
                <c:pt idx="0">
                  <c:v>NTP Received</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Completion'!$A$7</c:f>
              <c:strCache>
                <c:ptCount val="1"/>
                <c:pt idx="0">
                  <c:v>Colo Application</c:v>
                </c:pt>
              </c:strCache>
            </c:strRef>
          </c:cat>
          <c:val>
            <c:numRef>
              <c:f>'Bar Completion'!$C$7</c:f>
              <c:numCache>
                <c:formatCode>General</c:formatCode>
                <c:ptCount val="1"/>
                <c:pt idx="0">
                  <c:v>23</c:v>
                </c:pt>
              </c:numCache>
            </c:numRef>
          </c:val>
          <c:extLst>
            <c:ext xmlns:c16="http://schemas.microsoft.com/office/drawing/2014/chart" uri="{C3380CC4-5D6E-409C-BE32-E72D297353CC}">
              <c16:uniqueId val="{00000003-B3AB-4C70-A24E-37246AC888EA}"/>
            </c:ext>
          </c:extLst>
        </c:ser>
        <c:ser>
          <c:idx val="2"/>
          <c:order val="2"/>
          <c:tx>
            <c:strRef>
              <c:f>'Bar Completion'!$D$6</c:f>
              <c:strCache>
                <c:ptCount val="1"/>
                <c:pt idx="0">
                  <c:v>In Process</c:v>
                </c:pt>
              </c:strCache>
            </c:strRef>
          </c:tx>
          <c:spPr>
            <a:solidFill>
              <a:schemeClr val="accent3"/>
            </a:solidFill>
            <a:ln>
              <a:noFill/>
            </a:ln>
            <a:effectLst/>
          </c:spPr>
          <c:invertIfNegative val="0"/>
          <c:dPt>
            <c:idx val="0"/>
            <c:invertIfNegative val="0"/>
            <c:bubble3D val="0"/>
            <c:spPr>
              <a:solidFill>
                <a:schemeClr val="accent3"/>
              </a:solidFill>
              <a:ln>
                <a:noFill/>
              </a:ln>
              <a:effectLst/>
            </c:spPr>
            <c:extLst>
              <c:ext xmlns:c16="http://schemas.microsoft.com/office/drawing/2014/chart" uri="{C3380CC4-5D6E-409C-BE32-E72D297353CC}">
                <c16:uniqueId val="{00000005-B3AB-4C70-A24E-37246AC888EA}"/>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Completion'!$A$7</c:f>
              <c:strCache>
                <c:ptCount val="1"/>
                <c:pt idx="0">
                  <c:v>Colo Application</c:v>
                </c:pt>
              </c:strCache>
            </c:strRef>
          </c:cat>
          <c:val>
            <c:numRef>
              <c:f>'Bar Completion'!$D$7</c:f>
              <c:numCache>
                <c:formatCode>General</c:formatCode>
                <c:ptCount val="1"/>
                <c:pt idx="0">
                  <c:v>13</c:v>
                </c:pt>
              </c:numCache>
            </c:numRef>
          </c:val>
          <c:extLst>
            <c:ext xmlns:c16="http://schemas.microsoft.com/office/drawing/2014/chart" uri="{C3380CC4-5D6E-409C-BE32-E72D297353CC}">
              <c16:uniqueId val="{00000006-B3AB-4C70-A24E-37246AC888EA}"/>
            </c:ext>
          </c:extLst>
        </c:ser>
        <c:ser>
          <c:idx val="3"/>
          <c:order val="3"/>
          <c:tx>
            <c:strRef>
              <c:f>'Bar Completion'!$E$6</c:f>
              <c:strCache>
                <c:ptCount val="1"/>
                <c:pt idx="0">
                  <c:v>Other</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Completion'!$A$7</c:f>
              <c:strCache>
                <c:ptCount val="1"/>
                <c:pt idx="0">
                  <c:v>Colo Application</c:v>
                </c:pt>
              </c:strCache>
            </c:strRef>
          </c:cat>
          <c:val>
            <c:numRef>
              <c:f>'Bar Completion'!$E$7</c:f>
              <c:numCache>
                <c:formatCode>General</c:formatCode>
                <c:ptCount val="1"/>
                <c:pt idx="0">
                  <c:v>117</c:v>
                </c:pt>
              </c:numCache>
            </c:numRef>
          </c:val>
          <c:extLst>
            <c:ext xmlns:c16="http://schemas.microsoft.com/office/drawing/2014/chart" uri="{C3380CC4-5D6E-409C-BE32-E72D297353CC}">
              <c16:uniqueId val="{00000016-B3AB-4C70-A24E-37246AC888EA}"/>
            </c:ext>
          </c:extLst>
        </c:ser>
        <c:dLbls>
          <c:dLblPos val="ctr"/>
          <c:showLegendKey val="0"/>
          <c:showVal val="1"/>
          <c:showCatName val="0"/>
          <c:showSerName val="0"/>
          <c:showPercent val="0"/>
          <c:showBubbleSize val="0"/>
        </c:dLbls>
        <c:gapWidth val="182"/>
        <c:overlap val="100"/>
        <c:axId val="193241024"/>
        <c:axId val="144885520"/>
      </c:barChart>
      <c:catAx>
        <c:axId val="193241024"/>
        <c:scaling>
          <c:orientation val="minMax"/>
        </c:scaling>
        <c:delete val="1"/>
        <c:axPos val="l"/>
        <c:numFmt formatCode="General" sourceLinked="1"/>
        <c:majorTickMark val="out"/>
        <c:minorTickMark val="none"/>
        <c:tickLblPos val="nextTo"/>
        <c:crossAx val="144885520"/>
        <c:crosses val="autoZero"/>
        <c:auto val="1"/>
        <c:lblAlgn val="ctr"/>
        <c:lblOffset val="100"/>
        <c:noMultiLvlLbl val="0"/>
      </c:catAx>
      <c:valAx>
        <c:axId val="144885520"/>
        <c:scaling>
          <c:orientation val="minMax"/>
          <c:max val="1"/>
          <c:min val="0"/>
        </c:scaling>
        <c:delete val="1"/>
        <c:axPos val="b"/>
        <c:majorGridlines>
          <c:spPr>
            <a:ln w="9525" cap="flat" cmpd="sng" algn="ctr">
              <a:noFill/>
              <a:round/>
            </a:ln>
            <a:effectLst/>
          </c:spPr>
        </c:majorGridlines>
        <c:numFmt formatCode="0%" sourceLinked="1"/>
        <c:majorTickMark val="out"/>
        <c:minorTickMark val="none"/>
        <c:tickLblPos val="nextTo"/>
        <c:crossAx val="19324102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b="1"/>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baseline="0">
                <a:solidFill>
                  <a:schemeClr val="tx1">
                    <a:lumMod val="65000"/>
                    <a:lumOff val="35000"/>
                  </a:schemeClr>
                </a:solidFill>
                <a:latin typeface="+mn-lt"/>
                <a:ea typeface="+mn-ea"/>
                <a:cs typeface="+mn-cs"/>
              </a:defRPr>
            </a:pPr>
            <a:r>
              <a:rPr lang="en-US" b="1"/>
              <a:t>Prevalidation</a:t>
            </a:r>
            <a:r>
              <a:rPr lang="en-US" b="1" baseline="0"/>
              <a:t> Pending Indicator</a:t>
            </a:r>
            <a:endParaRPr lang="en-US" b="1"/>
          </a:p>
        </c:rich>
      </c:tx>
      <c:overlay val="0"/>
      <c:spPr>
        <a:noFill/>
        <a:ln>
          <a:noFill/>
        </a:ln>
        <a:effectLst/>
      </c:spPr>
      <c:txPr>
        <a:bodyPr rot="0" spcFirstLastPara="1" vertOverflow="ellipsis" vert="horz" wrap="square" anchor="ctr" anchorCtr="1"/>
        <a:lstStyle/>
        <a:p>
          <a:pPr>
            <a:defRPr sz="1400" b="1" i="0" u="none" strike="noStrike"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'Graph Infos'!$J$14</c:f>
              <c:strCache>
                <c:ptCount val="1"/>
                <c:pt idx="0">
                  <c:v>Under Prevalidation</c:v>
                </c:pt>
              </c:strCache>
            </c:strRef>
          </c:tx>
          <c:spPr>
            <a:solidFill>
              <a:srgbClr val="FFC000">
                <a:alpha val="50196"/>
              </a:srgbClr>
            </a:solidFill>
            <a:ln w="19050">
              <a:solidFill>
                <a:schemeClr val="accent4"/>
              </a:solidFill>
            </a:ln>
            <a:effectLst/>
          </c:spPr>
          <c:cat>
            <c:strRef>
              <c:extLst>
                <c:ext xmlns:c15="http://schemas.microsoft.com/office/drawing/2012/chart" uri="{02D57815-91ED-43cb-92C2-25804820EDAC}">
                  <c15:fullRef>
                    <c15:sqref>'Graph Infos'!$K$13:$Q$13</c15:sqref>
                  </c15:fullRef>
                </c:ext>
              </c:extLst>
              <c:f>'Graph Infos'!$L$13:$Q$13</c:f>
              <c:strCache>
                <c:ptCount val="6"/>
                <c:pt idx="0">
                  <c:v>SAQ</c:v>
                </c:pt>
                <c:pt idx="1">
                  <c:v>RF</c:v>
                </c:pt>
                <c:pt idx="2">
                  <c:v>Structural</c:v>
                </c:pt>
                <c:pt idx="3">
                  <c:v>Power</c:v>
                </c:pt>
                <c:pt idx="4">
                  <c:v>CW</c:v>
                </c:pt>
                <c:pt idx="5">
                  <c:v>Community</c:v>
                </c:pt>
              </c:strCache>
            </c:strRef>
          </c:cat>
          <c:val>
            <c:numRef>
              <c:extLst>
                <c:ext xmlns:c15="http://schemas.microsoft.com/office/drawing/2012/chart" uri="{02D57815-91ED-43cb-92C2-25804820EDAC}">
                  <c15:fullRef>
                    <c15:sqref>'Graph Infos'!$K$14:$Q$14</c15:sqref>
                  </c15:fullRef>
                </c:ext>
              </c:extLst>
              <c:f>'Graph Infos'!$L$14:$Q$14</c:f>
              <c:numCache>
                <c:formatCode>General</c:formatCode>
                <c:ptCount val="6"/>
                <c:pt idx="0">
                  <c:v>0</c:v>
                </c:pt>
                <c:pt idx="1">
                  <c:v>0</c:v>
                </c:pt>
                <c:pt idx="2">
                  <c:v>10</c:v>
                </c:pt>
                <c:pt idx="3">
                  <c:v>10</c:v>
                </c:pt>
                <c:pt idx="4">
                  <c:v>5</c:v>
                </c:pt>
                <c:pt idx="5">
                  <c:v>5</c:v>
                </c:pt>
              </c:numCache>
            </c:numRef>
          </c:val>
          <c:extLst>
            <c:ext xmlns:c16="http://schemas.microsoft.com/office/drawing/2014/chart" uri="{C3380CC4-5D6E-409C-BE32-E72D297353CC}">
              <c16:uniqueId val="{00000000-7F59-4214-87D7-CDB4FC4FCE6F}"/>
            </c:ext>
          </c:extLst>
        </c:ser>
        <c:ser>
          <c:idx val="1"/>
          <c:order val="1"/>
          <c:tx>
            <c:strRef>
              <c:f>'Graph Infos'!$J$15</c:f>
              <c:strCache>
                <c:ptCount val="1"/>
                <c:pt idx="0">
                  <c:v>Commercial Requested</c:v>
                </c:pt>
              </c:strCache>
            </c:strRef>
          </c:tx>
          <c:spPr>
            <a:solidFill>
              <a:srgbClr val="ED7D31">
                <a:alpha val="50196"/>
              </a:srgbClr>
            </a:solidFill>
            <a:ln w="19050">
              <a:solidFill>
                <a:schemeClr val="accent2"/>
              </a:solidFill>
            </a:ln>
            <a:effectLst/>
          </c:spPr>
          <c:cat>
            <c:strRef>
              <c:extLst>
                <c:ext xmlns:c15="http://schemas.microsoft.com/office/drawing/2012/chart" uri="{02D57815-91ED-43cb-92C2-25804820EDAC}">
                  <c15:fullRef>
                    <c15:sqref>'Graph Infos'!$K$13:$Q$13</c15:sqref>
                  </c15:fullRef>
                </c:ext>
              </c:extLst>
              <c:f>'Graph Infos'!$L$13:$Q$13</c:f>
              <c:strCache>
                <c:ptCount val="6"/>
                <c:pt idx="0">
                  <c:v>SAQ</c:v>
                </c:pt>
                <c:pt idx="1">
                  <c:v>RF</c:v>
                </c:pt>
                <c:pt idx="2">
                  <c:v>Structural</c:v>
                </c:pt>
                <c:pt idx="3">
                  <c:v>Power</c:v>
                </c:pt>
                <c:pt idx="4">
                  <c:v>CW</c:v>
                </c:pt>
                <c:pt idx="5">
                  <c:v>Community</c:v>
                </c:pt>
              </c:strCache>
            </c:strRef>
          </c:cat>
          <c:val>
            <c:numRef>
              <c:extLst>
                <c:ext xmlns:c15="http://schemas.microsoft.com/office/drawing/2012/chart" uri="{02D57815-91ED-43cb-92C2-25804820EDAC}">
                  <c15:fullRef>
                    <c15:sqref>'Graph Infos'!$K$15:$Q$15</c15:sqref>
                  </c15:fullRef>
                </c:ext>
              </c:extLst>
              <c:f>'Graph Infos'!$L$15:$Q$15</c:f>
              <c:numCache>
                <c:formatCode>General</c:formatCode>
                <c:ptCount val="6"/>
                <c:pt idx="0">
                  <c:v>0</c:v>
                </c:pt>
                <c:pt idx="1">
                  <c:v>0</c:v>
                </c:pt>
                <c:pt idx="2">
                  <c:v>5.75</c:v>
                </c:pt>
                <c:pt idx="3">
                  <c:v>10</c:v>
                </c:pt>
                <c:pt idx="4">
                  <c:v>0</c:v>
                </c:pt>
                <c:pt idx="5">
                  <c:v>1.75</c:v>
                </c:pt>
              </c:numCache>
            </c:numRef>
          </c:val>
          <c:extLst>
            <c:ext xmlns:c16="http://schemas.microsoft.com/office/drawing/2014/chart" uri="{C3380CC4-5D6E-409C-BE32-E72D297353CC}">
              <c16:uniqueId val="{00000001-7F59-4214-87D7-CDB4FC4FCE6F}"/>
            </c:ext>
          </c:extLst>
        </c:ser>
        <c:dLbls>
          <c:showLegendKey val="0"/>
          <c:showVal val="0"/>
          <c:showCatName val="0"/>
          <c:showSerName val="0"/>
          <c:showPercent val="0"/>
          <c:showBubbleSize val="0"/>
        </c:dLbls>
        <c:axId val="1870073903"/>
        <c:axId val="1544592463"/>
      </c:radarChart>
      <c:catAx>
        <c:axId val="1870073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baseline="0">
                <a:solidFill>
                  <a:schemeClr val="tx1">
                    <a:lumMod val="65000"/>
                    <a:lumOff val="35000"/>
                  </a:schemeClr>
                </a:solidFill>
                <a:latin typeface="+mn-lt"/>
                <a:ea typeface="+mn-ea"/>
                <a:cs typeface="+mn-cs"/>
              </a:defRPr>
            </a:pPr>
            <a:endParaRPr lang="en-US"/>
          </a:p>
        </c:txPr>
        <c:crossAx val="1544592463"/>
        <c:crosses val="autoZero"/>
        <c:auto val="1"/>
        <c:lblAlgn val="ctr"/>
        <c:lblOffset val="100"/>
        <c:noMultiLvlLbl val="0"/>
      </c:catAx>
      <c:valAx>
        <c:axId val="1544592463"/>
        <c:scaling>
          <c:orientation val="minMax"/>
          <c:max val="10"/>
        </c:scaling>
        <c:delete val="1"/>
        <c:axPos val="l"/>
        <c:majorGridlines>
          <c:spPr>
            <a:ln w="9525" cap="flat" cmpd="sng" algn="ctr">
              <a:solidFill>
                <a:schemeClr val="tx1">
                  <a:lumMod val="15000"/>
                  <a:lumOff val="85000"/>
                </a:schemeClr>
              </a:solidFill>
              <a:round/>
            </a:ln>
            <a:effectLst/>
          </c:spPr>
        </c:majorGridlines>
        <c:numFmt formatCode="General" sourceLinked="1"/>
        <c:majorTickMark val="cross"/>
        <c:minorTickMark val="none"/>
        <c:tickLblPos val="nextTo"/>
        <c:crossAx val="1870073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tx>
            <c:strRef>
              <c:f>'Bar Completion Operator'!$B$9</c:f>
              <c:strCache>
                <c:ptCount val="1"/>
                <c:pt idx="0">
                  <c:v>Prevalidated - TSSR Done</c:v>
                </c:pt>
              </c:strCache>
            </c:strRef>
          </c:tx>
          <c:spPr>
            <a:solidFill>
              <a:schemeClr val="accent1"/>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1-442D-4E9C-8BD1-1561F484353F}"/>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Operator'!$A$10</c:f>
              <c:strCache>
                <c:ptCount val="1"/>
                <c:pt idx="0">
                  <c:v>TSSR Stage</c:v>
                </c:pt>
              </c:strCache>
            </c:strRef>
          </c:cat>
          <c:val>
            <c:numRef>
              <c:f>'Bar Completion Operator'!$B$10</c:f>
              <c:numCache>
                <c:formatCode>General</c:formatCode>
                <c:ptCount val="1"/>
                <c:pt idx="0">
                  <c:v>4</c:v>
                </c:pt>
              </c:numCache>
            </c:numRef>
          </c:val>
          <c:extLst>
            <c:ext xmlns:c16="http://schemas.microsoft.com/office/drawing/2014/chart" uri="{C3380CC4-5D6E-409C-BE32-E72D297353CC}">
              <c16:uniqueId val="{00000002-442D-4E9C-8BD1-1561F484353F}"/>
            </c:ext>
          </c:extLst>
        </c:ser>
        <c:ser>
          <c:idx val="1"/>
          <c:order val="1"/>
          <c:tx>
            <c:strRef>
              <c:f>'Bar Completion Operator'!$C$9</c:f>
              <c:strCache>
                <c:ptCount val="1"/>
                <c:pt idx="0">
                  <c:v>Prevalidated - TSSR in Process</c:v>
                </c:pt>
              </c:strCache>
            </c:strRef>
          </c:tx>
          <c:spPr>
            <a:solidFill>
              <a:schemeClr val="accent4">
                <a:lumMod val="60000"/>
                <a:lumOff val="40000"/>
              </a:schemeClr>
            </a:solidFill>
            <a:ln>
              <a:noFill/>
            </a:ln>
            <a:effectLst/>
          </c:spPr>
          <c:invertIfNegative val="0"/>
          <c:dPt>
            <c:idx val="0"/>
            <c:invertIfNegative val="0"/>
            <c:bubble3D val="0"/>
            <c:spPr>
              <a:solidFill>
                <a:schemeClr val="accent3"/>
              </a:solidFill>
              <a:ln>
                <a:noFill/>
              </a:ln>
              <a:effectLst/>
            </c:spPr>
            <c:extLst>
              <c:ext xmlns:c16="http://schemas.microsoft.com/office/drawing/2014/chart" uri="{C3380CC4-5D6E-409C-BE32-E72D297353CC}">
                <c16:uniqueId val="{00000004-442D-4E9C-8BD1-1561F484353F}"/>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Operator'!$A$10</c:f>
              <c:strCache>
                <c:ptCount val="1"/>
                <c:pt idx="0">
                  <c:v>TSSR Stage</c:v>
                </c:pt>
              </c:strCache>
            </c:strRef>
          </c:cat>
          <c:val>
            <c:numRef>
              <c:f>'Bar Completion Operator'!$C$10</c:f>
              <c:numCache>
                <c:formatCode>General</c:formatCode>
                <c:ptCount val="1"/>
                <c:pt idx="0">
                  <c:v>5</c:v>
                </c:pt>
              </c:numCache>
            </c:numRef>
          </c:val>
          <c:extLst>
            <c:ext xmlns:c16="http://schemas.microsoft.com/office/drawing/2014/chart" uri="{C3380CC4-5D6E-409C-BE32-E72D297353CC}">
              <c16:uniqueId val="{00000005-442D-4E9C-8BD1-1561F484353F}"/>
            </c:ext>
          </c:extLst>
        </c:ser>
        <c:ser>
          <c:idx val="2"/>
          <c:order val="2"/>
          <c:tx>
            <c:strRef>
              <c:f>'Bar Completion Operator'!$D$9</c:f>
              <c:strCache>
                <c:ptCount val="1"/>
                <c:pt idx="0">
                  <c:v>TSSR Done - Under Prevalidation</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Operator'!$A$10</c:f>
              <c:strCache>
                <c:ptCount val="1"/>
                <c:pt idx="0">
                  <c:v>TSSR Stage</c:v>
                </c:pt>
              </c:strCache>
            </c:strRef>
          </c:cat>
          <c:val>
            <c:numRef>
              <c:f>'Bar Completion Operator'!$D$10</c:f>
              <c:numCache>
                <c:formatCode>General</c:formatCode>
                <c:ptCount val="1"/>
                <c:pt idx="0">
                  <c:v>0</c:v>
                </c:pt>
              </c:numCache>
            </c:numRef>
          </c:val>
          <c:extLst>
            <c:ext xmlns:c16="http://schemas.microsoft.com/office/drawing/2014/chart" uri="{C3380CC4-5D6E-409C-BE32-E72D297353CC}">
              <c16:uniqueId val="{00000006-442D-4E9C-8BD1-1561F484353F}"/>
            </c:ext>
          </c:extLst>
        </c:ser>
        <c:ser>
          <c:idx val="3"/>
          <c:order val="3"/>
          <c:tx>
            <c:strRef>
              <c:f>'Bar Completion Operator'!$E$9</c:f>
              <c:strCache>
                <c:ptCount val="1"/>
                <c:pt idx="0">
                  <c:v>Other</c:v>
                </c:pt>
              </c:strCache>
            </c:strRef>
          </c:tx>
          <c:spPr>
            <a:solidFill>
              <a:schemeClr val="accent2">
                <a:lumMod val="60000"/>
                <a:lumOff val="40000"/>
              </a:schemeClr>
            </a:solidFill>
            <a:ln>
              <a:noFill/>
            </a:ln>
            <a:effectLst/>
          </c:spPr>
          <c:invertIfNegative val="0"/>
          <c:dPt>
            <c:idx val="0"/>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8-442D-4E9C-8BD1-1561F484353F}"/>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Operator'!$A$10</c:f>
              <c:strCache>
                <c:ptCount val="1"/>
                <c:pt idx="0">
                  <c:v>TSSR Stage</c:v>
                </c:pt>
              </c:strCache>
            </c:strRef>
          </c:cat>
          <c:val>
            <c:numRef>
              <c:f>'Bar Completion Operator'!$E$10</c:f>
              <c:numCache>
                <c:formatCode>General</c:formatCode>
                <c:ptCount val="1"/>
                <c:pt idx="0">
                  <c:v>1</c:v>
                </c:pt>
              </c:numCache>
            </c:numRef>
          </c:val>
          <c:extLst>
            <c:ext xmlns:c16="http://schemas.microsoft.com/office/drawing/2014/chart" uri="{C3380CC4-5D6E-409C-BE32-E72D297353CC}">
              <c16:uniqueId val="{00000009-442D-4E9C-8BD1-1561F484353F}"/>
            </c:ext>
          </c:extLst>
        </c:ser>
        <c:dLbls>
          <c:dLblPos val="ctr"/>
          <c:showLegendKey val="0"/>
          <c:showVal val="1"/>
          <c:showCatName val="0"/>
          <c:showSerName val="0"/>
          <c:showPercent val="0"/>
          <c:showBubbleSize val="0"/>
        </c:dLbls>
        <c:gapWidth val="182"/>
        <c:overlap val="100"/>
        <c:axId val="1393495168"/>
        <c:axId val="144883440"/>
      </c:barChart>
      <c:catAx>
        <c:axId val="1393495168"/>
        <c:scaling>
          <c:orientation val="minMax"/>
        </c:scaling>
        <c:delete val="1"/>
        <c:axPos val="l"/>
        <c:numFmt formatCode="General" sourceLinked="1"/>
        <c:majorTickMark val="out"/>
        <c:minorTickMark val="none"/>
        <c:tickLblPos val="nextTo"/>
        <c:crossAx val="144883440"/>
        <c:crosses val="autoZero"/>
        <c:auto val="1"/>
        <c:lblAlgn val="ctr"/>
        <c:lblOffset val="100"/>
        <c:noMultiLvlLbl val="0"/>
      </c:catAx>
      <c:valAx>
        <c:axId val="144883440"/>
        <c:scaling>
          <c:orientation val="minMax"/>
          <c:max val="1"/>
          <c:min val="0"/>
        </c:scaling>
        <c:delete val="1"/>
        <c:axPos val="b"/>
        <c:majorGridlines>
          <c:spPr>
            <a:ln w="9525" cap="flat" cmpd="sng" algn="ctr">
              <a:noFill/>
              <a:round/>
            </a:ln>
            <a:effectLst/>
          </c:spPr>
        </c:majorGridlines>
        <c:numFmt formatCode="0%" sourceLinked="1"/>
        <c:majorTickMark val="out"/>
        <c:minorTickMark val="none"/>
        <c:tickLblPos val="nextTo"/>
        <c:crossAx val="139349516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b="1"/>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tx>
            <c:strRef>
              <c:f>'Bar Completion Operator'!$B$6</c:f>
              <c:strCache>
                <c:ptCount val="1"/>
                <c:pt idx="0">
                  <c:v>Approved</c:v>
                </c:pt>
              </c:strCache>
            </c:strRef>
          </c:tx>
          <c:spPr>
            <a:solidFill>
              <a:schemeClr val="accent6"/>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91CF-4BA6-BCFA-9B90A2EFA4C9}"/>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Operator'!$A$7</c:f>
              <c:strCache>
                <c:ptCount val="1"/>
                <c:pt idx="0">
                  <c:v>Colo Application</c:v>
                </c:pt>
              </c:strCache>
            </c:strRef>
          </c:cat>
          <c:val>
            <c:numRef>
              <c:f>'Bar Completion Operator'!$B$7</c:f>
              <c:numCache>
                <c:formatCode>General</c:formatCode>
                <c:ptCount val="1"/>
                <c:pt idx="0">
                  <c:v>0</c:v>
                </c:pt>
              </c:numCache>
            </c:numRef>
          </c:val>
          <c:extLst>
            <c:ext xmlns:c16="http://schemas.microsoft.com/office/drawing/2014/chart" uri="{C3380CC4-5D6E-409C-BE32-E72D297353CC}">
              <c16:uniqueId val="{00000002-91CF-4BA6-BCFA-9B90A2EFA4C9}"/>
            </c:ext>
          </c:extLst>
        </c:ser>
        <c:ser>
          <c:idx val="1"/>
          <c:order val="1"/>
          <c:tx>
            <c:strRef>
              <c:f>'Bar Completion Operator'!$C$6</c:f>
              <c:strCache>
                <c:ptCount val="1"/>
                <c:pt idx="0">
                  <c:v>NTP Received</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Operator'!$A$7</c:f>
              <c:strCache>
                <c:ptCount val="1"/>
                <c:pt idx="0">
                  <c:v>Colo Application</c:v>
                </c:pt>
              </c:strCache>
            </c:strRef>
          </c:cat>
          <c:val>
            <c:numRef>
              <c:f>'Bar Completion Operator'!$C$7</c:f>
              <c:numCache>
                <c:formatCode>General</c:formatCode>
                <c:ptCount val="1"/>
                <c:pt idx="0">
                  <c:v>0</c:v>
                </c:pt>
              </c:numCache>
            </c:numRef>
          </c:val>
          <c:extLst>
            <c:ext xmlns:c16="http://schemas.microsoft.com/office/drawing/2014/chart" uri="{C3380CC4-5D6E-409C-BE32-E72D297353CC}">
              <c16:uniqueId val="{00000003-91CF-4BA6-BCFA-9B90A2EFA4C9}"/>
            </c:ext>
          </c:extLst>
        </c:ser>
        <c:ser>
          <c:idx val="2"/>
          <c:order val="2"/>
          <c:tx>
            <c:strRef>
              <c:f>'Bar Completion Operator'!$D$6</c:f>
              <c:strCache>
                <c:ptCount val="1"/>
                <c:pt idx="0">
                  <c:v>In Process</c:v>
                </c:pt>
              </c:strCache>
            </c:strRef>
          </c:tx>
          <c:spPr>
            <a:solidFill>
              <a:schemeClr val="accent3"/>
            </a:solidFill>
            <a:ln>
              <a:noFill/>
            </a:ln>
            <a:effectLst/>
          </c:spPr>
          <c:invertIfNegative val="0"/>
          <c:dPt>
            <c:idx val="0"/>
            <c:invertIfNegative val="0"/>
            <c:bubble3D val="0"/>
            <c:spPr>
              <a:solidFill>
                <a:schemeClr val="accent3"/>
              </a:solidFill>
              <a:ln>
                <a:noFill/>
              </a:ln>
              <a:effectLst/>
            </c:spPr>
            <c:extLst>
              <c:ext xmlns:c16="http://schemas.microsoft.com/office/drawing/2014/chart" uri="{C3380CC4-5D6E-409C-BE32-E72D297353CC}">
                <c16:uniqueId val="{00000005-91CF-4BA6-BCFA-9B90A2EFA4C9}"/>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Operator'!$A$7</c:f>
              <c:strCache>
                <c:ptCount val="1"/>
                <c:pt idx="0">
                  <c:v>Colo Application</c:v>
                </c:pt>
              </c:strCache>
            </c:strRef>
          </c:cat>
          <c:val>
            <c:numRef>
              <c:f>'Bar Completion Operator'!$D$7</c:f>
              <c:numCache>
                <c:formatCode>General</c:formatCode>
                <c:ptCount val="1"/>
                <c:pt idx="0">
                  <c:v>4</c:v>
                </c:pt>
              </c:numCache>
            </c:numRef>
          </c:val>
          <c:extLst>
            <c:ext xmlns:c16="http://schemas.microsoft.com/office/drawing/2014/chart" uri="{C3380CC4-5D6E-409C-BE32-E72D297353CC}">
              <c16:uniqueId val="{00000006-91CF-4BA6-BCFA-9B90A2EFA4C9}"/>
            </c:ext>
          </c:extLst>
        </c:ser>
        <c:ser>
          <c:idx val="3"/>
          <c:order val="3"/>
          <c:tx>
            <c:strRef>
              <c:f>'Bar Completion Operator'!$E$6</c:f>
              <c:strCache>
                <c:ptCount val="1"/>
                <c:pt idx="0">
                  <c:v>Other</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Operator'!$A$7</c:f>
              <c:strCache>
                <c:ptCount val="1"/>
                <c:pt idx="0">
                  <c:v>Colo Application</c:v>
                </c:pt>
              </c:strCache>
            </c:strRef>
          </c:cat>
          <c:val>
            <c:numRef>
              <c:f>'Bar Completion Operator'!$E$7</c:f>
              <c:numCache>
                <c:formatCode>General</c:formatCode>
                <c:ptCount val="1"/>
                <c:pt idx="0">
                  <c:v>6</c:v>
                </c:pt>
              </c:numCache>
            </c:numRef>
          </c:val>
          <c:extLst>
            <c:ext xmlns:c16="http://schemas.microsoft.com/office/drawing/2014/chart" uri="{C3380CC4-5D6E-409C-BE32-E72D297353CC}">
              <c16:uniqueId val="{00000007-91CF-4BA6-BCFA-9B90A2EFA4C9}"/>
            </c:ext>
          </c:extLst>
        </c:ser>
        <c:dLbls>
          <c:dLblPos val="ctr"/>
          <c:showLegendKey val="0"/>
          <c:showVal val="1"/>
          <c:showCatName val="0"/>
          <c:showSerName val="0"/>
          <c:showPercent val="0"/>
          <c:showBubbleSize val="0"/>
        </c:dLbls>
        <c:gapWidth val="182"/>
        <c:overlap val="100"/>
        <c:axId val="193241024"/>
        <c:axId val="144885520"/>
      </c:barChart>
      <c:catAx>
        <c:axId val="193241024"/>
        <c:scaling>
          <c:orientation val="minMax"/>
        </c:scaling>
        <c:delete val="1"/>
        <c:axPos val="l"/>
        <c:numFmt formatCode="General" sourceLinked="1"/>
        <c:majorTickMark val="out"/>
        <c:minorTickMark val="none"/>
        <c:tickLblPos val="nextTo"/>
        <c:crossAx val="144885520"/>
        <c:crosses val="autoZero"/>
        <c:auto val="1"/>
        <c:lblAlgn val="ctr"/>
        <c:lblOffset val="100"/>
        <c:noMultiLvlLbl val="0"/>
      </c:catAx>
      <c:valAx>
        <c:axId val="144885520"/>
        <c:scaling>
          <c:orientation val="minMax"/>
          <c:max val="1"/>
          <c:min val="0"/>
        </c:scaling>
        <c:delete val="1"/>
        <c:axPos val="b"/>
        <c:majorGridlines>
          <c:spPr>
            <a:ln w="9525" cap="flat" cmpd="sng" algn="ctr">
              <a:noFill/>
              <a:round/>
            </a:ln>
            <a:effectLst/>
          </c:spPr>
        </c:majorGridlines>
        <c:numFmt formatCode="0%" sourceLinked="1"/>
        <c:majorTickMark val="out"/>
        <c:minorTickMark val="none"/>
        <c:tickLblPos val="nextTo"/>
        <c:crossAx val="19324102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b="1"/>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2019-01-07.xlsm]Chart Donut!PivotTable1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lumMod val="60000"/>
              <a:lumOff val="40000"/>
            </a:schemeClr>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solidFill>
          <a:ln w="19050">
            <a:solidFill>
              <a:schemeClr val="lt1"/>
            </a:solidFill>
          </a:ln>
          <a:effectLst/>
        </c:spPr>
      </c:pivotFmt>
      <c:pivotFmt>
        <c:idx val="28"/>
        <c:spPr>
          <a:solidFill>
            <a:schemeClr val="accent5"/>
          </a:solidFill>
          <a:ln w="19050">
            <a:solidFill>
              <a:schemeClr val="lt1"/>
            </a:solidFill>
          </a:ln>
          <a:effectLst/>
        </c:spPr>
      </c:pivotFmt>
      <c:pivotFmt>
        <c:idx val="29"/>
        <c:spPr>
          <a:solidFill>
            <a:schemeClr val="accent5">
              <a:lumMod val="60000"/>
              <a:lumOff val="40000"/>
            </a:schemeClr>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s>
    <c:plotArea>
      <c:layout>
        <c:manualLayout>
          <c:layoutTarget val="inner"/>
          <c:xMode val="edge"/>
          <c:yMode val="edge"/>
          <c:x val="9.4261214507277535E-2"/>
          <c:y val="3.615588268857698E-2"/>
          <c:w val="0.73183556675877559"/>
          <c:h val="0.83493028967709315"/>
        </c:manualLayout>
      </c:layout>
      <c:doughnutChart>
        <c:varyColors val="1"/>
        <c:ser>
          <c:idx val="0"/>
          <c:order val="0"/>
          <c:tx>
            <c:strRef>
              <c:f>'Chart Donut'!$B$3</c:f>
              <c:strCache>
                <c:ptCount val="1"/>
                <c:pt idx="0">
                  <c:v>Total</c:v>
                </c:pt>
              </c:strCache>
            </c:strRef>
          </c:tx>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F09-4C06-B1AD-9157A562B513}"/>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3-1F09-4C06-B1AD-9157A562B51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F09-4C06-B1AD-9157A562B51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F09-4C06-B1AD-9157A562B51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201-4149-B059-ADA24F6DA40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201-4149-B059-ADA24F6DA40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283-44BB-B009-921140B4BFD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 Donut'!$A$4:$A$10</c:f>
              <c:strCache>
                <c:ptCount val="6"/>
                <c:pt idx="0">
                  <c:v>Prevalidated - TSSR Done</c:v>
                </c:pt>
                <c:pt idx="1">
                  <c:v>Prevalidated - TSSR in Process</c:v>
                </c:pt>
                <c:pt idx="2">
                  <c:v>Under Prevalidation</c:v>
                </c:pt>
                <c:pt idx="3">
                  <c:v>RFI</c:v>
                </c:pt>
                <c:pt idx="4">
                  <c:v>Work Completed</c:v>
                </c:pt>
                <c:pt idx="5">
                  <c:v>NTP Received</c:v>
                </c:pt>
              </c:strCache>
            </c:strRef>
          </c:cat>
          <c:val>
            <c:numRef>
              <c:f>'Chart Donut'!$B$4:$B$10</c:f>
              <c:numCache>
                <c:formatCode>General</c:formatCode>
                <c:ptCount val="6"/>
                <c:pt idx="0">
                  <c:v>4</c:v>
                </c:pt>
                <c:pt idx="1">
                  <c:v>56</c:v>
                </c:pt>
                <c:pt idx="2">
                  <c:v>49</c:v>
                </c:pt>
                <c:pt idx="3">
                  <c:v>1</c:v>
                </c:pt>
                <c:pt idx="4">
                  <c:v>9</c:v>
                </c:pt>
                <c:pt idx="5">
                  <c:v>13</c:v>
                </c:pt>
              </c:numCache>
            </c:numRef>
          </c:val>
          <c:extLst>
            <c:ext xmlns:c16="http://schemas.microsoft.com/office/drawing/2014/chart" uri="{C3380CC4-5D6E-409C-BE32-E72D297353CC}">
              <c16:uniqueId val="{00000008-1F09-4C06-B1AD-9157A562B51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29711118191135044"/>
          <c:y val="0.32612329372806892"/>
          <c:w val="0.31181567922866876"/>
          <c:h val="0.23282858873410053"/>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CW</a:t>
            </a:r>
          </a:p>
        </c:rich>
      </c:tx>
      <c:overlay val="0"/>
    </c:title>
    <c:autoTitleDeleted val="0"/>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lumMod val="60000"/>
              <a:lumOff val="40000"/>
            </a:schemeClr>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pivotFmt>
      <c:pivotFmt>
        <c:idx val="41"/>
        <c:marker>
          <c:symbol val="none"/>
        </c:marker>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6"/>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7"/>
        <c:marker>
          <c:symbol val="none"/>
        </c:marker>
      </c:pivotFmt>
      <c:pivotFmt>
        <c:idx val="58"/>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elete val="1"/>
          <c:extLst>
            <c:ext xmlns:c15="http://schemas.microsoft.com/office/drawing/2012/chart" uri="{CE6537A1-D6FC-4f65-9D91-7224C49458BB}"/>
          </c:extLst>
        </c:dLbl>
      </c:pivotFmt>
      <c:pivotFmt>
        <c:idx val="61"/>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elete val="1"/>
          <c:extLst>
            <c:ext xmlns:c15="http://schemas.microsoft.com/office/drawing/2012/chart" uri="{CE6537A1-D6FC-4f65-9D91-7224C49458BB}"/>
          </c:extLst>
        </c:dLbl>
      </c:pivotFmt>
      <c:pivotFmt>
        <c:idx val="63"/>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pivotFmt>
      <c:pivotFmt>
        <c:idx val="6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marker>
          <c:symbol val="none"/>
        </c:marker>
      </c:pivotFmt>
      <c:pivotFmt>
        <c:idx val="7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8"/>
        <c:marker>
          <c:symbol val="none"/>
        </c:marker>
      </c:pivotFmt>
      <c:pivotFmt>
        <c:idx val="7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3"/>
        <c:marker>
          <c:symbol val="none"/>
        </c:marker>
      </c:pivotFmt>
      <c:pivotFmt>
        <c:idx val="8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6"/>
        <c:marker>
          <c:symbol val="none"/>
        </c:marker>
      </c:pivotFmt>
      <c:pivotFmt>
        <c:idx val="8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6"/>
          </a:solidFill>
        </c:spPr>
        <c:marker>
          <c:symbol val="none"/>
        </c:marker>
      </c:pivotFmt>
      <c:pivotFmt>
        <c:idx val="9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marker>
          <c:symbol val="none"/>
        </c:marker>
      </c:pivotFmt>
      <c:pivotFmt>
        <c:idx val="9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284852583178879E-3"/>
          <c:y val="0.15565133305705206"/>
          <c:w val="0.98655264033980095"/>
          <c:h val="0.83493028967709315"/>
        </c:manualLayout>
      </c:layout>
      <c:barChart>
        <c:barDir val="bar"/>
        <c:grouping val="percentStacked"/>
        <c:varyColors val="0"/>
        <c:ser>
          <c:idx val="0"/>
          <c:order val="0"/>
          <c:tx>
            <c:v>Series1</c:v>
          </c:tx>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1"/>
              <c:pt idx="0">
                <c:v>Total</c:v>
              </c:pt>
            </c:strLit>
          </c:cat>
          <c:val>
            <c:numLit>
              <c:formatCode>General</c:formatCode>
              <c:ptCount val="1"/>
              <c:pt idx="0">
                <c:v>66</c:v>
              </c:pt>
            </c:numLit>
          </c:val>
          <c:extLst>
            <c:ext xmlns:c16="http://schemas.microsoft.com/office/drawing/2014/chart" uri="{C3380CC4-5D6E-409C-BE32-E72D297353CC}">
              <c16:uniqueId val="{00000000-9244-41A6-B2F3-9CA5A30BF846}"/>
            </c:ext>
          </c:extLst>
        </c:ser>
        <c:ser>
          <c:idx val="1"/>
          <c:order val="1"/>
          <c:tx>
            <c:v>Series2</c:v>
          </c:tx>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1"/>
              <c:pt idx="0">
                <c:v>Total</c:v>
              </c:pt>
            </c:strLit>
          </c:cat>
          <c:val>
            <c:numLit>
              <c:formatCode>General</c:formatCode>
              <c:ptCount val="1"/>
              <c:pt idx="0">
                <c:v>2</c:v>
              </c:pt>
            </c:numLit>
          </c:val>
          <c:extLst>
            <c:ext xmlns:c16="http://schemas.microsoft.com/office/drawing/2014/chart" uri="{C3380CC4-5D6E-409C-BE32-E72D297353CC}">
              <c16:uniqueId val="{00000002-3F67-4C5A-AE3E-2F512D13F80E}"/>
            </c:ext>
          </c:extLst>
        </c:ser>
        <c:ser>
          <c:idx val="2"/>
          <c:order val="2"/>
          <c:tx>
            <c:v>Series3</c:v>
          </c:tx>
          <c:invertIfNegative val="0"/>
          <c:dLbls>
            <c:delete val="1"/>
          </c:dLbls>
          <c:cat>
            <c:strLit>
              <c:ptCount val="1"/>
              <c:pt idx="0">
                <c:v>Total</c:v>
              </c:pt>
            </c:strLit>
          </c:cat>
          <c:val>
            <c:numLit>
              <c:formatCode>General</c:formatCode>
              <c:ptCount val="1"/>
              <c:pt idx="0">
                <c:v>7</c:v>
              </c:pt>
            </c:numLit>
          </c:val>
          <c:extLst>
            <c:ext xmlns:c16="http://schemas.microsoft.com/office/drawing/2014/chart" uri="{C3380CC4-5D6E-409C-BE32-E72D297353CC}">
              <c16:uniqueId val="{00000003-3F67-4C5A-AE3E-2F512D13F80E}"/>
            </c:ext>
          </c:extLst>
        </c:ser>
        <c:dLbls>
          <c:dLblPos val="ctr"/>
          <c:showLegendKey val="0"/>
          <c:showVal val="1"/>
          <c:showCatName val="0"/>
          <c:showSerName val="0"/>
          <c:showPercent val="0"/>
          <c:showBubbleSize val="0"/>
        </c:dLbls>
        <c:gapWidth val="100"/>
        <c:overlap val="100"/>
        <c:axId val="1467663951"/>
        <c:axId val="888983039"/>
      </c:barChart>
      <c:valAx>
        <c:axId val="888983039"/>
        <c:scaling>
          <c:orientation val="minMax"/>
        </c:scaling>
        <c:delete val="1"/>
        <c:axPos val="b"/>
        <c:numFmt formatCode="0%" sourceLinked="1"/>
        <c:majorTickMark val="out"/>
        <c:minorTickMark val="none"/>
        <c:tickLblPos val="nextTo"/>
        <c:crossAx val="1467663951"/>
        <c:crosses val="autoZero"/>
        <c:crossBetween val="between"/>
      </c:valAx>
      <c:catAx>
        <c:axId val="1467663951"/>
        <c:scaling>
          <c:orientation val="minMax"/>
        </c:scaling>
        <c:delete val="1"/>
        <c:axPos val="l"/>
        <c:numFmt formatCode="General" sourceLinked="1"/>
        <c:majorTickMark val="out"/>
        <c:minorTickMark val="none"/>
        <c:tickLblPos val="nextTo"/>
        <c:crossAx val="888983039"/>
        <c:crosses val="autoZero"/>
        <c:auto val="1"/>
        <c:lblAlgn val="ctr"/>
        <c:lblOffset val="100"/>
        <c:noMultiLvlLbl val="0"/>
      </c:catAx>
      <c:spPr>
        <a:ln>
          <a:noFill/>
        </a:ln>
      </c:spPr>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Power</a:t>
            </a:r>
          </a:p>
        </c:rich>
      </c:tx>
      <c:overlay val="0"/>
    </c:title>
    <c:autoTitleDeleted val="0"/>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lumMod val="60000"/>
              <a:lumOff val="40000"/>
            </a:schemeClr>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pivotFmt>
      <c:pivotFmt>
        <c:idx val="41"/>
        <c:marker>
          <c:symbol val="none"/>
        </c:marker>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6"/>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7"/>
        <c:marker>
          <c:symbol val="none"/>
        </c:marker>
      </c:pivotFmt>
      <c:pivotFmt>
        <c:idx val="58"/>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elete val="1"/>
          <c:extLst>
            <c:ext xmlns:c15="http://schemas.microsoft.com/office/drawing/2012/chart" uri="{CE6537A1-D6FC-4f65-9D91-7224C49458BB}"/>
          </c:extLst>
        </c:dLbl>
      </c:pivotFmt>
      <c:pivotFmt>
        <c:idx val="61"/>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elete val="1"/>
          <c:extLst>
            <c:ext xmlns:c15="http://schemas.microsoft.com/office/drawing/2012/chart" uri="{CE6537A1-D6FC-4f65-9D91-7224C49458BB}"/>
          </c:extLst>
        </c:dLbl>
      </c:pivotFmt>
      <c:pivotFmt>
        <c:idx val="63"/>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pivotFmt>
      <c:pivotFmt>
        <c:idx val="6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marker>
          <c:symbol val="none"/>
        </c:marker>
      </c:pivotFmt>
      <c:pivotFmt>
        <c:idx val="7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spPr>
          <a:solidFill>
            <a:schemeClr val="accent6"/>
          </a:solidFill>
        </c:spPr>
        <c:marker>
          <c:symbol val="none"/>
        </c:marker>
      </c:pivotFmt>
      <c:pivotFmt>
        <c:idx val="84"/>
        <c:spPr>
          <a:solidFill>
            <a:schemeClr val="accent4"/>
          </a:solidFill>
        </c:spPr>
        <c:marker>
          <c:symbol val="none"/>
        </c:marker>
      </c:pivotFmt>
      <c:pivotFmt>
        <c:idx val="85"/>
        <c:marker>
          <c:symbol val="none"/>
        </c:marker>
      </c:pivotFmt>
    </c:pivotFmts>
    <c:plotArea>
      <c:layout>
        <c:manualLayout>
          <c:layoutTarget val="inner"/>
          <c:xMode val="edge"/>
          <c:yMode val="edge"/>
          <c:x val="1.1284852583178879E-3"/>
          <c:y val="0.15565133305705206"/>
          <c:w val="0.98655264033980095"/>
          <c:h val="0.83493028967709315"/>
        </c:manualLayout>
      </c:layout>
      <c:barChart>
        <c:barDir val="bar"/>
        <c:grouping val="percentStacked"/>
        <c:varyColors val="0"/>
        <c:ser>
          <c:idx val="0"/>
          <c:order val="0"/>
          <c:tx>
            <c:v>Series1</c:v>
          </c:tx>
          <c:spPr>
            <a:solidFill>
              <a:schemeClr val="accent6"/>
            </a:solidFill>
          </c:spPr>
          <c:invertIfNegative val="0"/>
          <c:cat>
            <c:strLit>
              <c:ptCount val="1"/>
              <c:pt idx="0">
                <c:v>Total</c:v>
              </c:pt>
            </c:strLit>
          </c:cat>
          <c:val>
            <c:numLit>
              <c:formatCode>General</c:formatCode>
              <c:ptCount val="1"/>
              <c:pt idx="0">
                <c:v>26</c:v>
              </c:pt>
            </c:numLit>
          </c:val>
          <c:extLst>
            <c:ext xmlns:c16="http://schemas.microsoft.com/office/drawing/2014/chart" uri="{C3380CC4-5D6E-409C-BE32-E72D297353CC}">
              <c16:uniqueId val="{00000000-FD0F-459F-8C50-FC599B54C34E}"/>
            </c:ext>
          </c:extLst>
        </c:ser>
        <c:ser>
          <c:idx val="1"/>
          <c:order val="1"/>
          <c:tx>
            <c:v>Series2</c:v>
          </c:tx>
          <c:spPr>
            <a:solidFill>
              <a:schemeClr val="accent4"/>
            </a:solidFill>
          </c:spPr>
          <c:invertIfNegative val="0"/>
          <c:cat>
            <c:strLit>
              <c:ptCount val="1"/>
              <c:pt idx="0">
                <c:v>Total</c:v>
              </c:pt>
            </c:strLit>
          </c:cat>
          <c:val>
            <c:numLit>
              <c:formatCode>General</c:formatCode>
              <c:ptCount val="1"/>
              <c:pt idx="0">
                <c:v>51</c:v>
              </c:pt>
            </c:numLit>
          </c:val>
          <c:extLst>
            <c:ext xmlns:c16="http://schemas.microsoft.com/office/drawing/2014/chart" uri="{C3380CC4-5D6E-409C-BE32-E72D297353CC}">
              <c16:uniqueId val="{0000000B-0053-4E65-9E0D-4787EEA63DF3}"/>
            </c:ext>
          </c:extLst>
        </c:ser>
        <c:dLbls>
          <c:showLegendKey val="0"/>
          <c:showVal val="0"/>
          <c:showCatName val="0"/>
          <c:showSerName val="0"/>
          <c:showPercent val="0"/>
          <c:showBubbleSize val="0"/>
        </c:dLbls>
        <c:gapWidth val="100"/>
        <c:overlap val="100"/>
        <c:axId val="1467663951"/>
        <c:axId val="888983039"/>
      </c:barChart>
      <c:valAx>
        <c:axId val="888983039"/>
        <c:scaling>
          <c:orientation val="minMax"/>
        </c:scaling>
        <c:delete val="1"/>
        <c:axPos val="b"/>
        <c:numFmt formatCode="0%" sourceLinked="1"/>
        <c:majorTickMark val="out"/>
        <c:minorTickMark val="none"/>
        <c:tickLblPos val="nextTo"/>
        <c:crossAx val="1467663951"/>
        <c:crosses val="autoZero"/>
        <c:crossBetween val="between"/>
      </c:valAx>
      <c:catAx>
        <c:axId val="1467663951"/>
        <c:scaling>
          <c:orientation val="minMax"/>
        </c:scaling>
        <c:delete val="1"/>
        <c:axPos val="l"/>
        <c:numFmt formatCode="General" sourceLinked="1"/>
        <c:majorTickMark val="out"/>
        <c:minorTickMark val="none"/>
        <c:tickLblPos val="nextTo"/>
        <c:crossAx val="888983039"/>
        <c:crosses val="autoZero"/>
        <c:auto val="1"/>
        <c:lblAlgn val="ctr"/>
        <c:lblOffset val="100"/>
        <c:noMultiLvlLbl val="0"/>
      </c:catAx>
      <c:spPr>
        <a:ln>
          <a:noFill/>
        </a:ln>
      </c:spPr>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Structural</a:t>
            </a:r>
          </a:p>
        </c:rich>
      </c:tx>
      <c:overlay val="0"/>
    </c:title>
    <c:autoTitleDeleted val="0"/>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lumMod val="60000"/>
              <a:lumOff val="40000"/>
            </a:schemeClr>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pivotFmt>
      <c:pivotFmt>
        <c:idx val="41"/>
        <c:marker>
          <c:symbol val="none"/>
        </c:marker>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6"/>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7"/>
        <c:marker>
          <c:symbol val="none"/>
        </c:marker>
      </c:pivotFmt>
      <c:pivotFmt>
        <c:idx val="58"/>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elete val="1"/>
          <c:extLst>
            <c:ext xmlns:c15="http://schemas.microsoft.com/office/drawing/2012/chart" uri="{CE6537A1-D6FC-4f65-9D91-7224C49458BB}"/>
          </c:extLst>
        </c:dLbl>
      </c:pivotFmt>
      <c:pivotFmt>
        <c:idx val="61"/>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elete val="1"/>
          <c:extLst>
            <c:ext xmlns:c15="http://schemas.microsoft.com/office/drawing/2012/chart" uri="{CE6537A1-D6FC-4f65-9D91-7224C49458BB}"/>
          </c:extLst>
        </c:dLbl>
      </c:pivotFmt>
      <c:pivotFmt>
        <c:idx val="63"/>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pivotFmt>
      <c:pivotFmt>
        <c:idx val="6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marker>
          <c:symbol val="none"/>
        </c:marker>
      </c:pivotFmt>
      <c:pivotFmt>
        <c:idx val="7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6"/>
          </a:solidFill>
        </c:spPr>
      </c:pivotFmt>
      <c:pivotFmt>
        <c:idx val="82"/>
        <c:marker>
          <c:symbol val="none"/>
        </c:marker>
      </c:pivotFmt>
    </c:pivotFmts>
    <c:plotArea>
      <c:layout>
        <c:manualLayout>
          <c:layoutTarget val="inner"/>
          <c:xMode val="edge"/>
          <c:yMode val="edge"/>
          <c:x val="1.1284852583178879E-3"/>
          <c:y val="0.15565133305705206"/>
          <c:w val="0.98655264033980095"/>
          <c:h val="0.83493028967709315"/>
        </c:manualLayout>
      </c:layout>
      <c:barChart>
        <c:barDir val="bar"/>
        <c:grouping val="percentStacked"/>
        <c:varyColors val="0"/>
        <c:ser>
          <c:idx val="0"/>
          <c:order val="0"/>
          <c:tx>
            <c:v>Series1</c:v>
          </c:tx>
          <c:invertIfNegative val="0"/>
          <c:dPt>
            <c:idx val="0"/>
            <c:invertIfNegative val="0"/>
            <c:bubble3D val="0"/>
            <c:spPr>
              <a:solidFill>
                <a:schemeClr val="accent6"/>
              </a:solidFill>
            </c:spPr>
            <c:extLst>
              <c:ext xmlns:c16="http://schemas.microsoft.com/office/drawing/2014/chart" uri="{C3380CC4-5D6E-409C-BE32-E72D297353CC}">
                <c16:uniqueId val="{0000000E-2691-439A-A6C5-AC192545AFA7}"/>
              </c:ext>
            </c:extLst>
          </c:dPt>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1"/>
              <c:pt idx="0">
                <c:v>Total</c:v>
              </c:pt>
            </c:strLit>
          </c:cat>
          <c:val>
            <c:numLit>
              <c:formatCode>General</c:formatCode>
              <c:ptCount val="1"/>
              <c:pt idx="0">
                <c:v>39</c:v>
              </c:pt>
            </c:numLit>
          </c:val>
          <c:extLst>
            <c:ext xmlns:c16="http://schemas.microsoft.com/office/drawing/2014/chart" uri="{C3380CC4-5D6E-409C-BE32-E72D297353CC}">
              <c16:uniqueId val="{00000000-2691-439A-A6C5-AC192545AFA7}"/>
            </c:ext>
          </c:extLst>
        </c:ser>
        <c:ser>
          <c:idx val="1"/>
          <c:order val="1"/>
          <c:tx>
            <c:v>Series2</c:v>
          </c:tx>
          <c:spPr>
            <a:solidFill>
              <a:schemeClr val="accent4"/>
            </a:solidFill>
          </c:spPr>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1"/>
              <c:pt idx="0">
                <c:v>Total</c:v>
              </c:pt>
            </c:strLit>
          </c:cat>
          <c:val>
            <c:numLit>
              <c:formatCode>General</c:formatCode>
              <c:ptCount val="1"/>
              <c:pt idx="0">
                <c:v>37</c:v>
              </c:pt>
            </c:numLit>
          </c:val>
          <c:extLst>
            <c:ext xmlns:c16="http://schemas.microsoft.com/office/drawing/2014/chart" uri="{C3380CC4-5D6E-409C-BE32-E72D297353CC}">
              <c16:uniqueId val="{00000012-A856-448C-84AB-376111B1CB07}"/>
            </c:ext>
          </c:extLst>
        </c:ser>
        <c:ser>
          <c:idx val="2"/>
          <c:order val="2"/>
          <c:tx>
            <c:v>Series3</c:v>
          </c:tx>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3-D1E9-48C0-AF0A-AD9AB8DCB156}"/>
            </c:ext>
          </c:extLst>
        </c:ser>
        <c:dLbls>
          <c:dLblPos val="ctr"/>
          <c:showLegendKey val="0"/>
          <c:showVal val="1"/>
          <c:showCatName val="0"/>
          <c:showSerName val="0"/>
          <c:showPercent val="0"/>
          <c:showBubbleSize val="0"/>
        </c:dLbls>
        <c:gapWidth val="100"/>
        <c:overlap val="100"/>
        <c:axId val="1467663951"/>
        <c:axId val="888983039"/>
      </c:barChart>
      <c:valAx>
        <c:axId val="888983039"/>
        <c:scaling>
          <c:orientation val="minMax"/>
        </c:scaling>
        <c:delete val="1"/>
        <c:axPos val="b"/>
        <c:numFmt formatCode="0%" sourceLinked="1"/>
        <c:majorTickMark val="out"/>
        <c:minorTickMark val="none"/>
        <c:tickLblPos val="nextTo"/>
        <c:crossAx val="1467663951"/>
        <c:crosses val="autoZero"/>
        <c:crossBetween val="between"/>
      </c:valAx>
      <c:catAx>
        <c:axId val="1467663951"/>
        <c:scaling>
          <c:orientation val="minMax"/>
        </c:scaling>
        <c:delete val="1"/>
        <c:axPos val="l"/>
        <c:numFmt formatCode="General" sourceLinked="1"/>
        <c:majorTickMark val="out"/>
        <c:minorTickMark val="none"/>
        <c:tickLblPos val="nextTo"/>
        <c:crossAx val="888983039"/>
        <c:crosses val="autoZero"/>
        <c:auto val="1"/>
        <c:lblAlgn val="ctr"/>
        <c:lblOffset val="100"/>
        <c:noMultiLvlLbl val="0"/>
      </c:catAx>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RF</a:t>
            </a:r>
          </a:p>
        </c:rich>
      </c:tx>
      <c:overlay val="0"/>
    </c:title>
    <c:autoTitleDeleted val="0"/>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lumMod val="60000"/>
              <a:lumOff val="40000"/>
            </a:schemeClr>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pivotFmt>
      <c:pivotFmt>
        <c:idx val="41"/>
        <c:marker>
          <c:symbol val="none"/>
        </c:marker>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6"/>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7"/>
        <c:marker>
          <c:symbol val="none"/>
        </c:marker>
      </c:pivotFmt>
      <c:pivotFmt>
        <c:idx val="58"/>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elete val="1"/>
          <c:extLst>
            <c:ext xmlns:c15="http://schemas.microsoft.com/office/drawing/2012/chart" uri="{CE6537A1-D6FC-4f65-9D91-7224C49458BB}"/>
          </c:extLst>
        </c:dLbl>
      </c:pivotFmt>
      <c:pivotFmt>
        <c:idx val="61"/>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elete val="1"/>
          <c:extLst>
            <c:ext xmlns:c15="http://schemas.microsoft.com/office/drawing/2012/chart" uri="{CE6537A1-D6FC-4f65-9D91-7224C49458BB}"/>
          </c:extLst>
        </c:dLbl>
      </c:pivotFmt>
      <c:pivotFmt>
        <c:idx val="63"/>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pivotFmt>
      <c:pivotFmt>
        <c:idx val="6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pivotFmt>
    </c:pivotFmts>
    <c:plotArea>
      <c:layout>
        <c:manualLayout>
          <c:layoutTarget val="inner"/>
          <c:xMode val="edge"/>
          <c:yMode val="edge"/>
          <c:x val="1.1284852583178879E-3"/>
          <c:y val="0.15565133305705206"/>
          <c:w val="0.98655264033980095"/>
          <c:h val="0.83493028967709315"/>
        </c:manualLayout>
      </c:layout>
      <c:barChart>
        <c:barDir val="bar"/>
        <c:grouping val="percentStacked"/>
        <c:varyColors val="0"/>
        <c:ser>
          <c:idx val="0"/>
          <c:order val="0"/>
          <c:tx>
            <c:v>Series1</c:v>
          </c:tx>
          <c:spPr>
            <a:solidFill>
              <a:schemeClr val="accent6"/>
            </a:solidFill>
          </c:spPr>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1"/>
              <c:pt idx="0">
                <c:v>Total</c:v>
              </c:pt>
            </c:strLit>
          </c:cat>
          <c:val>
            <c:numLit>
              <c:formatCode>General</c:formatCode>
              <c:ptCount val="1"/>
              <c:pt idx="0">
                <c:v>42</c:v>
              </c:pt>
            </c:numLit>
          </c:val>
          <c:extLst>
            <c:ext xmlns:c16="http://schemas.microsoft.com/office/drawing/2014/chart" uri="{C3380CC4-5D6E-409C-BE32-E72D297353CC}">
              <c16:uniqueId val="{00000000-EF08-4460-ACBD-0284643089D2}"/>
            </c:ext>
          </c:extLst>
        </c:ser>
        <c:ser>
          <c:idx val="1"/>
          <c:order val="1"/>
          <c:tx>
            <c:v>Series2</c:v>
          </c:tx>
          <c:spPr>
            <a:solidFill>
              <a:schemeClr val="accent4"/>
            </a:solidFill>
          </c:spPr>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1"/>
              <c:pt idx="0">
                <c:v>Total</c:v>
              </c:pt>
            </c:strLit>
          </c:cat>
          <c:val>
            <c:numLit>
              <c:formatCode>General</c:formatCode>
              <c:ptCount val="1"/>
              <c:pt idx="0">
                <c:v>35</c:v>
              </c:pt>
            </c:numLit>
          </c:val>
          <c:extLst>
            <c:ext xmlns:c16="http://schemas.microsoft.com/office/drawing/2014/chart" uri="{C3380CC4-5D6E-409C-BE32-E72D297353CC}">
              <c16:uniqueId val="{00000000-154E-49DA-87F4-3290CA6311CE}"/>
            </c:ext>
          </c:extLst>
        </c:ser>
        <c:dLbls>
          <c:dLblPos val="ctr"/>
          <c:showLegendKey val="0"/>
          <c:showVal val="1"/>
          <c:showCatName val="0"/>
          <c:showSerName val="0"/>
          <c:showPercent val="0"/>
          <c:showBubbleSize val="0"/>
        </c:dLbls>
        <c:gapWidth val="100"/>
        <c:overlap val="100"/>
        <c:axId val="1467663951"/>
        <c:axId val="888983039"/>
      </c:barChart>
      <c:valAx>
        <c:axId val="888983039"/>
        <c:scaling>
          <c:orientation val="minMax"/>
        </c:scaling>
        <c:delete val="1"/>
        <c:axPos val="b"/>
        <c:numFmt formatCode="0%" sourceLinked="1"/>
        <c:majorTickMark val="out"/>
        <c:minorTickMark val="none"/>
        <c:tickLblPos val="nextTo"/>
        <c:crossAx val="1467663951"/>
        <c:crosses val="autoZero"/>
        <c:crossBetween val="between"/>
      </c:valAx>
      <c:catAx>
        <c:axId val="1467663951"/>
        <c:scaling>
          <c:orientation val="minMax"/>
        </c:scaling>
        <c:delete val="1"/>
        <c:axPos val="l"/>
        <c:numFmt formatCode="General" sourceLinked="1"/>
        <c:majorTickMark val="out"/>
        <c:minorTickMark val="none"/>
        <c:tickLblPos val="nextTo"/>
        <c:crossAx val="888983039"/>
        <c:crosses val="autoZero"/>
        <c:auto val="1"/>
        <c:lblAlgn val="ctr"/>
        <c:lblOffset val="100"/>
        <c:noMultiLvlLbl val="0"/>
      </c:catAx>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2019-01-07.xlsm]Community Chart!PivotTable1</c:name>
    <c:fmtId val="18"/>
  </c:pivotSource>
  <c:chart>
    <c:title>
      <c:tx>
        <c:rich>
          <a:bodyPr/>
          <a:lstStyle/>
          <a:p>
            <a:pPr>
              <a:defRPr/>
            </a:pPr>
            <a:r>
              <a:rPr lang="en-US"/>
              <a:t>Community</a:t>
            </a:r>
          </a:p>
        </c:rich>
      </c:tx>
      <c:overlay val="0"/>
    </c:title>
    <c:autoTitleDeleted val="0"/>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lumMod val="60000"/>
              <a:lumOff val="40000"/>
            </a:schemeClr>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pivotFmt>
      <c:pivotFmt>
        <c:idx val="41"/>
        <c:marker>
          <c:symbol val="none"/>
        </c:marker>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6"/>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7"/>
        <c:marker>
          <c:symbol val="none"/>
        </c:marker>
      </c:pivotFmt>
      <c:pivotFmt>
        <c:idx val="58"/>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elete val="1"/>
          <c:extLst>
            <c:ext xmlns:c15="http://schemas.microsoft.com/office/drawing/2012/chart" uri="{CE6537A1-D6FC-4f65-9D91-7224C49458BB}"/>
          </c:extLst>
        </c:dLbl>
      </c:pivotFmt>
      <c:pivotFmt>
        <c:idx val="61"/>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elete val="1"/>
          <c:extLst>
            <c:ext xmlns:c15="http://schemas.microsoft.com/office/drawing/2012/chart" uri="{CE6537A1-D6FC-4f65-9D91-7224C49458BB}"/>
          </c:extLst>
        </c:dLbl>
      </c:pivotFmt>
      <c:pivotFmt>
        <c:idx val="63"/>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pivotFmt>
      <c:pivotFmt>
        <c:idx val="6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marker>
          <c:symbol val="none"/>
        </c:marker>
      </c:pivotFmt>
      <c:pivotFmt>
        <c:idx val="7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8"/>
        <c:marker>
          <c:symbol val="none"/>
        </c:marker>
      </c:pivotFmt>
      <c:pivotFmt>
        <c:idx val="7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3"/>
        <c:marker>
          <c:symbol val="none"/>
        </c:marker>
      </c:pivotFmt>
      <c:pivotFmt>
        <c:idx val="8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6"/>
        <c:marker>
          <c:symbol val="none"/>
        </c:marker>
      </c:pivotFmt>
      <c:pivotFmt>
        <c:idx val="8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marker>
          <c:symbol val="none"/>
        </c:marker>
      </c:pivotFmt>
      <c:pivotFmt>
        <c:idx val="9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marker>
          <c:symbol val="none"/>
        </c:marker>
      </c:pivotFmt>
      <c:pivotFmt>
        <c:idx val="9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5"/>
        <c:marker>
          <c:symbol val="none"/>
        </c:marker>
      </c:pivotFmt>
      <c:pivotFmt>
        <c:idx val="9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6"/>
          </a:solidFill>
        </c:spPr>
      </c:pivotFmt>
      <c:pivotFmt>
        <c:idx val="99"/>
        <c:spPr>
          <a:solidFill>
            <a:schemeClr val="accent4"/>
          </a:solidFill>
        </c:spPr>
      </c:pivotFmt>
      <c:pivotFmt>
        <c:idx val="100"/>
        <c:marker>
          <c:symbol val="none"/>
        </c:marker>
      </c:pivotFmt>
      <c:pivotFmt>
        <c:idx val="10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284852583178879E-3"/>
          <c:y val="0.15565133305705206"/>
          <c:w val="0.98655264033980095"/>
          <c:h val="0.83493028967709315"/>
        </c:manualLayout>
      </c:layout>
      <c:barChart>
        <c:barDir val="bar"/>
        <c:grouping val="percentStacked"/>
        <c:varyColors val="0"/>
        <c:ser>
          <c:idx val="0"/>
          <c:order val="0"/>
          <c:tx>
            <c:strRef>
              <c:f>'Community Chart'!$B$5:$B$6</c:f>
              <c:strCache>
                <c:ptCount val="1"/>
                <c:pt idx="0">
                  <c:v>OK</c:v>
                </c:pt>
              </c:strCache>
            </c:strRef>
          </c:tx>
          <c:invertIfNegative val="0"/>
          <c:dPt>
            <c:idx val="0"/>
            <c:invertIfNegative val="0"/>
            <c:bubble3D val="0"/>
            <c:extLst>
              <c:ext xmlns:c16="http://schemas.microsoft.com/office/drawing/2014/chart" uri="{C3380CC4-5D6E-409C-BE32-E72D297353CC}">
                <c16:uniqueId val="{0000000A-6B35-4723-AF63-C34DFA728B89}"/>
              </c:ext>
            </c:extLst>
          </c:dPt>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'Community Chart'!$A$7</c:f>
              <c:strCache>
                <c:ptCount val="1"/>
                <c:pt idx="0">
                  <c:v>Total</c:v>
                </c:pt>
              </c:strCache>
            </c:strRef>
          </c:cat>
          <c:val>
            <c:numRef>
              <c:f>'Community Chart'!$B$7</c:f>
              <c:numCache>
                <c:formatCode>General</c:formatCode>
                <c:ptCount val="1"/>
                <c:pt idx="0">
                  <c:v>2</c:v>
                </c:pt>
              </c:numCache>
            </c:numRef>
          </c:val>
          <c:extLst>
            <c:ext xmlns:c16="http://schemas.microsoft.com/office/drawing/2014/chart" uri="{C3380CC4-5D6E-409C-BE32-E72D297353CC}">
              <c16:uniqueId val="{00000000-6B35-4723-AF63-C34DFA728B89}"/>
            </c:ext>
          </c:extLst>
        </c:ser>
        <c:ser>
          <c:idx val="1"/>
          <c:order val="1"/>
          <c:tx>
            <c:strRef>
              <c:f>'Community Chart'!$C$5:$C$6</c:f>
              <c:strCache>
                <c:ptCount val="1"/>
                <c:pt idx="0">
                  <c:v>Review</c:v>
                </c:pt>
              </c:strCache>
            </c:strRef>
          </c:tx>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'Community Chart'!$A$7</c:f>
              <c:strCache>
                <c:ptCount val="1"/>
                <c:pt idx="0">
                  <c:v>Total</c:v>
                </c:pt>
              </c:strCache>
            </c:strRef>
          </c:cat>
          <c:val>
            <c:numRef>
              <c:f>'Community Chart'!$C$7</c:f>
              <c:numCache>
                <c:formatCode>General</c:formatCode>
                <c:ptCount val="1"/>
                <c:pt idx="0">
                  <c:v>1</c:v>
                </c:pt>
              </c:numCache>
            </c:numRef>
          </c:val>
          <c:extLst>
            <c:ext xmlns:c16="http://schemas.microsoft.com/office/drawing/2014/chart" uri="{C3380CC4-5D6E-409C-BE32-E72D297353CC}">
              <c16:uniqueId val="{00000005-45C7-40D8-A54D-C354333F0193}"/>
            </c:ext>
          </c:extLst>
        </c:ser>
        <c:dLbls>
          <c:dLblPos val="ctr"/>
          <c:showLegendKey val="0"/>
          <c:showVal val="1"/>
          <c:showCatName val="0"/>
          <c:showSerName val="0"/>
          <c:showPercent val="0"/>
          <c:showBubbleSize val="0"/>
        </c:dLbls>
        <c:gapWidth val="100"/>
        <c:overlap val="100"/>
        <c:axId val="1467663951"/>
        <c:axId val="888983039"/>
      </c:barChart>
      <c:valAx>
        <c:axId val="888983039"/>
        <c:scaling>
          <c:orientation val="minMax"/>
        </c:scaling>
        <c:delete val="1"/>
        <c:axPos val="b"/>
        <c:numFmt formatCode="0%" sourceLinked="1"/>
        <c:majorTickMark val="out"/>
        <c:minorTickMark val="none"/>
        <c:tickLblPos val="nextTo"/>
        <c:crossAx val="1467663951"/>
        <c:crosses val="autoZero"/>
        <c:crossBetween val="between"/>
      </c:valAx>
      <c:catAx>
        <c:axId val="1467663951"/>
        <c:scaling>
          <c:orientation val="minMax"/>
        </c:scaling>
        <c:delete val="1"/>
        <c:axPos val="l"/>
        <c:numFmt formatCode="General" sourceLinked="1"/>
        <c:majorTickMark val="out"/>
        <c:minorTickMark val="none"/>
        <c:tickLblPos val="nextTo"/>
        <c:crossAx val="888983039"/>
        <c:crosses val="autoZero"/>
        <c:auto val="1"/>
        <c:lblAlgn val="ctr"/>
        <c:lblOffset val="100"/>
        <c:noMultiLvlLbl val="0"/>
      </c:catAx>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'Graph Infos'!$J$14</c:f>
              <c:strCache>
                <c:ptCount val="1"/>
                <c:pt idx="0">
                  <c:v>Under Prevalidation</c:v>
                </c:pt>
              </c:strCache>
            </c:strRef>
          </c:tx>
          <c:spPr>
            <a:solidFill>
              <a:srgbClr val="FFC000">
                <a:alpha val="50196"/>
              </a:srgbClr>
            </a:solidFill>
            <a:ln w="19050">
              <a:solidFill>
                <a:schemeClr val="accent4"/>
              </a:solidFill>
            </a:ln>
            <a:effectLst/>
          </c:spPr>
          <c:cat>
            <c:strRef>
              <c:extLst>
                <c:ext xmlns:c15="http://schemas.microsoft.com/office/drawing/2012/chart" uri="{02D57815-91ED-43cb-92C2-25804820EDAC}">
                  <c15:fullRef>
                    <c15:sqref>'Graph Infos'!$K$13:$Q$13</c15:sqref>
                  </c15:fullRef>
                </c:ext>
              </c:extLst>
              <c:f>'Graph Infos'!$L$13:$Q$13</c:f>
              <c:strCache>
                <c:ptCount val="6"/>
                <c:pt idx="0">
                  <c:v>SAQ</c:v>
                </c:pt>
                <c:pt idx="1">
                  <c:v>RF</c:v>
                </c:pt>
                <c:pt idx="2">
                  <c:v>Structural</c:v>
                </c:pt>
                <c:pt idx="3">
                  <c:v>Power</c:v>
                </c:pt>
                <c:pt idx="4">
                  <c:v>CW</c:v>
                </c:pt>
                <c:pt idx="5">
                  <c:v>Community</c:v>
                </c:pt>
              </c:strCache>
            </c:strRef>
          </c:cat>
          <c:val>
            <c:numRef>
              <c:extLst>
                <c:ext xmlns:c15="http://schemas.microsoft.com/office/drawing/2012/chart" uri="{02D57815-91ED-43cb-92C2-25804820EDAC}">
                  <c15:fullRef>
                    <c15:sqref>'Graph Infos'!$K$14:$Q$14</c15:sqref>
                  </c15:fullRef>
                </c:ext>
              </c:extLst>
              <c:f>'Graph Infos'!$L$14:$Q$14</c:f>
              <c:numCache>
                <c:formatCode>General</c:formatCode>
                <c:ptCount val="6"/>
                <c:pt idx="0">
                  <c:v>0</c:v>
                </c:pt>
                <c:pt idx="1">
                  <c:v>0</c:v>
                </c:pt>
                <c:pt idx="2">
                  <c:v>10</c:v>
                </c:pt>
                <c:pt idx="3">
                  <c:v>10</c:v>
                </c:pt>
                <c:pt idx="4">
                  <c:v>5</c:v>
                </c:pt>
                <c:pt idx="5">
                  <c:v>5</c:v>
                </c:pt>
              </c:numCache>
            </c:numRef>
          </c:val>
          <c:extLst>
            <c:ext xmlns:c16="http://schemas.microsoft.com/office/drawing/2014/chart" uri="{C3380CC4-5D6E-409C-BE32-E72D297353CC}">
              <c16:uniqueId val="{00000000-CAFB-4635-B3FA-5B384D34EA58}"/>
            </c:ext>
          </c:extLst>
        </c:ser>
        <c:ser>
          <c:idx val="1"/>
          <c:order val="1"/>
          <c:tx>
            <c:strRef>
              <c:f>'Graph Infos'!$J$15</c:f>
              <c:strCache>
                <c:ptCount val="1"/>
                <c:pt idx="0">
                  <c:v>Commercial Requested</c:v>
                </c:pt>
              </c:strCache>
            </c:strRef>
          </c:tx>
          <c:spPr>
            <a:solidFill>
              <a:srgbClr val="ED7D31">
                <a:alpha val="50196"/>
              </a:srgbClr>
            </a:solidFill>
            <a:ln w="19050">
              <a:solidFill>
                <a:schemeClr val="accent2"/>
              </a:solidFill>
            </a:ln>
            <a:effectLst/>
          </c:spPr>
          <c:cat>
            <c:strRef>
              <c:extLst>
                <c:ext xmlns:c15="http://schemas.microsoft.com/office/drawing/2012/chart" uri="{02D57815-91ED-43cb-92C2-25804820EDAC}">
                  <c15:fullRef>
                    <c15:sqref>'Graph Infos'!$K$13:$Q$13</c15:sqref>
                  </c15:fullRef>
                </c:ext>
              </c:extLst>
              <c:f>'Graph Infos'!$L$13:$Q$13</c:f>
              <c:strCache>
                <c:ptCount val="6"/>
                <c:pt idx="0">
                  <c:v>SAQ</c:v>
                </c:pt>
                <c:pt idx="1">
                  <c:v>RF</c:v>
                </c:pt>
                <c:pt idx="2">
                  <c:v>Structural</c:v>
                </c:pt>
                <c:pt idx="3">
                  <c:v>Power</c:v>
                </c:pt>
                <c:pt idx="4">
                  <c:v>CW</c:v>
                </c:pt>
                <c:pt idx="5">
                  <c:v>Community</c:v>
                </c:pt>
              </c:strCache>
            </c:strRef>
          </c:cat>
          <c:val>
            <c:numRef>
              <c:extLst>
                <c:ext xmlns:c15="http://schemas.microsoft.com/office/drawing/2012/chart" uri="{02D57815-91ED-43cb-92C2-25804820EDAC}">
                  <c15:fullRef>
                    <c15:sqref>'Graph Infos'!$K$15:$Q$15</c15:sqref>
                  </c15:fullRef>
                </c:ext>
              </c:extLst>
              <c:f>'Graph Infos'!$L$15:$Q$15</c:f>
              <c:numCache>
                <c:formatCode>General</c:formatCode>
                <c:ptCount val="6"/>
                <c:pt idx="0">
                  <c:v>0</c:v>
                </c:pt>
                <c:pt idx="1">
                  <c:v>0</c:v>
                </c:pt>
                <c:pt idx="2">
                  <c:v>5.75</c:v>
                </c:pt>
                <c:pt idx="3">
                  <c:v>10</c:v>
                </c:pt>
                <c:pt idx="4">
                  <c:v>0</c:v>
                </c:pt>
                <c:pt idx="5">
                  <c:v>1.75</c:v>
                </c:pt>
              </c:numCache>
            </c:numRef>
          </c:val>
          <c:extLst>
            <c:ext xmlns:c16="http://schemas.microsoft.com/office/drawing/2014/chart" uri="{C3380CC4-5D6E-409C-BE32-E72D297353CC}">
              <c16:uniqueId val="{00000001-CAFB-4635-B3FA-5B384D34EA58}"/>
            </c:ext>
          </c:extLst>
        </c:ser>
        <c:dLbls>
          <c:showLegendKey val="0"/>
          <c:showVal val="0"/>
          <c:showCatName val="0"/>
          <c:showSerName val="0"/>
          <c:showPercent val="0"/>
          <c:showBubbleSize val="0"/>
        </c:dLbls>
        <c:axId val="1870073903"/>
        <c:axId val="1544592463"/>
      </c:radarChart>
      <c:catAx>
        <c:axId val="1870073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544592463"/>
        <c:crosses val="autoZero"/>
        <c:auto val="1"/>
        <c:lblAlgn val="ctr"/>
        <c:lblOffset val="100"/>
        <c:noMultiLvlLbl val="0"/>
      </c:catAx>
      <c:valAx>
        <c:axId val="1544592463"/>
        <c:scaling>
          <c:orientation val="minMax"/>
          <c:max val="10"/>
        </c:scaling>
        <c:delete val="1"/>
        <c:axPos val="l"/>
        <c:majorGridlines>
          <c:spPr>
            <a:ln w="9525" cap="flat" cmpd="sng" algn="ctr">
              <a:solidFill>
                <a:schemeClr val="tx1">
                  <a:lumMod val="15000"/>
                  <a:lumOff val="85000"/>
                </a:schemeClr>
              </a:solidFill>
              <a:round/>
            </a:ln>
            <a:effectLst/>
          </c:spPr>
        </c:majorGridlines>
        <c:numFmt formatCode="General" sourceLinked="1"/>
        <c:majorTickMark val="cross"/>
        <c:minorTickMark val="none"/>
        <c:tickLblPos val="nextTo"/>
        <c:crossAx val="1870073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'Bar Completion'!$B$12</c:f>
              <c:strCache>
                <c:ptCount val="1"/>
                <c:pt idx="0">
                  <c:v>Prevalidated</c:v>
                </c:pt>
              </c:strCache>
            </c:strRef>
          </c:tx>
          <c:spPr>
            <a:solidFill>
              <a:schemeClr val="accent1"/>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4-E6CB-4EA8-A85E-B338316333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Completion'!$A$13</c:f>
              <c:strCache>
                <c:ptCount val="1"/>
                <c:pt idx="0">
                  <c:v>Prevalidation</c:v>
                </c:pt>
              </c:strCache>
            </c:strRef>
          </c:cat>
          <c:val>
            <c:numRef>
              <c:f>'Bar Completion'!$B$13</c:f>
              <c:numCache>
                <c:formatCode>General</c:formatCode>
                <c:ptCount val="1"/>
                <c:pt idx="0">
                  <c:v>133</c:v>
                </c:pt>
              </c:numCache>
            </c:numRef>
          </c:val>
          <c:extLst>
            <c:ext xmlns:c16="http://schemas.microsoft.com/office/drawing/2014/chart" uri="{C3380CC4-5D6E-409C-BE32-E72D297353CC}">
              <c16:uniqueId val="{00000000-E6CB-4EA8-A85E-B3383163333C}"/>
            </c:ext>
          </c:extLst>
        </c:ser>
        <c:ser>
          <c:idx val="1"/>
          <c:order val="1"/>
          <c:tx>
            <c:strRef>
              <c:f>'Bar Completion'!$C$12</c:f>
              <c:strCache>
                <c:ptCount val="1"/>
                <c:pt idx="0">
                  <c:v>Commercial Approval Requested</c:v>
                </c:pt>
              </c:strCache>
            </c:strRef>
          </c:tx>
          <c:spPr>
            <a:solidFill>
              <a:schemeClr val="accent2"/>
            </a:solidFill>
            <a:ln>
              <a:noFill/>
            </a:ln>
            <a:effectLst/>
          </c:spPr>
          <c:invertIfNegative val="0"/>
          <c:dPt>
            <c:idx val="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3-E6CB-4EA8-A85E-B338316333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Completion'!$A$13</c:f>
              <c:strCache>
                <c:ptCount val="1"/>
                <c:pt idx="0">
                  <c:v>Prevalidation</c:v>
                </c:pt>
              </c:strCache>
            </c:strRef>
          </c:cat>
          <c:val>
            <c:numRef>
              <c:f>'Bar Completion'!$C$13</c:f>
              <c:numCache>
                <c:formatCode>General</c:formatCode>
                <c:ptCount val="1"/>
                <c:pt idx="0">
                  <c:v>46</c:v>
                </c:pt>
              </c:numCache>
            </c:numRef>
          </c:val>
          <c:extLst>
            <c:ext xmlns:c16="http://schemas.microsoft.com/office/drawing/2014/chart" uri="{C3380CC4-5D6E-409C-BE32-E72D297353CC}">
              <c16:uniqueId val="{00000001-E6CB-4EA8-A85E-B3383163333C}"/>
            </c:ext>
          </c:extLst>
        </c:ser>
        <c:ser>
          <c:idx val="2"/>
          <c:order val="2"/>
          <c:tx>
            <c:strRef>
              <c:f>'Bar Completion'!$D$12</c:f>
              <c:strCache>
                <c:ptCount val="1"/>
                <c:pt idx="0">
                  <c:v>Under Prevalidation</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Completion'!$A$13</c:f>
              <c:strCache>
                <c:ptCount val="1"/>
                <c:pt idx="0">
                  <c:v>Prevalidation</c:v>
                </c:pt>
              </c:strCache>
            </c:strRef>
          </c:cat>
          <c:val>
            <c:numRef>
              <c:f>'Bar Completion'!$D$13</c:f>
              <c:numCache>
                <c:formatCode>General</c:formatCode>
                <c:ptCount val="1"/>
                <c:pt idx="0">
                  <c:v>4</c:v>
                </c:pt>
              </c:numCache>
            </c:numRef>
          </c:val>
          <c:extLst>
            <c:ext xmlns:c16="http://schemas.microsoft.com/office/drawing/2014/chart" uri="{C3380CC4-5D6E-409C-BE32-E72D297353CC}">
              <c16:uniqueId val="{00000002-E6CB-4EA8-A85E-B3383163333C}"/>
            </c:ext>
          </c:extLst>
        </c:ser>
        <c:dLbls>
          <c:dLblPos val="ctr"/>
          <c:showLegendKey val="0"/>
          <c:showVal val="1"/>
          <c:showCatName val="0"/>
          <c:showSerName val="0"/>
          <c:showPercent val="0"/>
          <c:showBubbleSize val="0"/>
        </c:dLbls>
        <c:gapWidth val="50"/>
        <c:overlap val="100"/>
        <c:axId val="1634028576"/>
        <c:axId val="1345991040"/>
      </c:barChart>
      <c:catAx>
        <c:axId val="1634028576"/>
        <c:scaling>
          <c:orientation val="minMax"/>
        </c:scaling>
        <c:delete val="1"/>
        <c:axPos val="l"/>
        <c:numFmt formatCode="General" sourceLinked="1"/>
        <c:majorTickMark val="out"/>
        <c:minorTickMark val="none"/>
        <c:tickLblPos val="nextTo"/>
        <c:crossAx val="1345991040"/>
        <c:crosses val="autoZero"/>
        <c:auto val="1"/>
        <c:lblAlgn val="ctr"/>
        <c:lblOffset val="100"/>
        <c:noMultiLvlLbl val="0"/>
      </c:catAx>
      <c:valAx>
        <c:axId val="1345991040"/>
        <c:scaling>
          <c:orientation val="minMax"/>
        </c:scaling>
        <c:delete val="1"/>
        <c:axPos val="b"/>
        <c:numFmt formatCode="General" sourceLinked="1"/>
        <c:majorTickMark val="out"/>
        <c:minorTickMark val="none"/>
        <c:tickLblPos val="nextTo"/>
        <c:crossAx val="1634028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'Bar Completion'!$B$9</c:f>
              <c:strCache>
                <c:ptCount val="1"/>
                <c:pt idx="0">
                  <c:v>Prevalidated - TSSR Done</c:v>
                </c:pt>
              </c:strCache>
            </c:strRef>
          </c:tx>
          <c:spPr>
            <a:solidFill>
              <a:schemeClr val="accent1"/>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4-F2D5-43C7-A4D7-BC615C3349C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Completion'!$A$10</c:f>
              <c:strCache>
                <c:ptCount val="1"/>
                <c:pt idx="0">
                  <c:v>TSSR Stage</c:v>
                </c:pt>
              </c:strCache>
            </c:strRef>
          </c:cat>
          <c:val>
            <c:numRef>
              <c:f>'Bar Completion'!$B$10</c:f>
              <c:numCache>
                <c:formatCode>General</c:formatCode>
                <c:ptCount val="1"/>
                <c:pt idx="0">
                  <c:v>66</c:v>
                </c:pt>
              </c:numCache>
            </c:numRef>
          </c:val>
          <c:extLst>
            <c:ext xmlns:c16="http://schemas.microsoft.com/office/drawing/2014/chart" uri="{C3380CC4-5D6E-409C-BE32-E72D297353CC}">
              <c16:uniqueId val="{00000000-F2D5-43C7-A4D7-BC615C3349CE}"/>
            </c:ext>
          </c:extLst>
        </c:ser>
        <c:ser>
          <c:idx val="1"/>
          <c:order val="1"/>
          <c:tx>
            <c:strRef>
              <c:f>'Bar Completion'!$C$9</c:f>
              <c:strCache>
                <c:ptCount val="1"/>
                <c:pt idx="0">
                  <c:v>Prevalidated - TSSR in Process</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Completion'!$A$10</c:f>
              <c:strCache>
                <c:ptCount val="1"/>
                <c:pt idx="0">
                  <c:v>TSSR Stage</c:v>
                </c:pt>
              </c:strCache>
            </c:strRef>
          </c:cat>
          <c:val>
            <c:numRef>
              <c:f>'Bar Completion'!$C$10</c:f>
              <c:numCache>
                <c:formatCode>General</c:formatCode>
                <c:ptCount val="1"/>
                <c:pt idx="0">
                  <c:v>67</c:v>
                </c:pt>
              </c:numCache>
            </c:numRef>
          </c:val>
          <c:extLst>
            <c:ext xmlns:c16="http://schemas.microsoft.com/office/drawing/2014/chart" uri="{C3380CC4-5D6E-409C-BE32-E72D297353CC}">
              <c16:uniqueId val="{00000001-F2D5-43C7-A4D7-BC615C3349CE}"/>
            </c:ext>
          </c:extLst>
        </c:ser>
        <c:ser>
          <c:idx val="2"/>
          <c:order val="2"/>
          <c:tx>
            <c:strRef>
              <c:f>'Bar Completion'!$D$9</c:f>
              <c:strCache>
                <c:ptCount val="1"/>
                <c:pt idx="0">
                  <c:v>TSSR Done - Under Prevalidation</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Completion'!$A$10</c:f>
              <c:strCache>
                <c:ptCount val="1"/>
                <c:pt idx="0">
                  <c:v>TSSR Stage</c:v>
                </c:pt>
              </c:strCache>
            </c:strRef>
          </c:cat>
          <c:val>
            <c:numRef>
              <c:f>'Bar Completion'!$D$10</c:f>
              <c:numCache>
                <c:formatCode>General</c:formatCode>
                <c:ptCount val="1"/>
                <c:pt idx="0">
                  <c:v>2</c:v>
                </c:pt>
              </c:numCache>
            </c:numRef>
          </c:val>
          <c:extLst>
            <c:ext xmlns:c16="http://schemas.microsoft.com/office/drawing/2014/chart" uri="{C3380CC4-5D6E-409C-BE32-E72D297353CC}">
              <c16:uniqueId val="{00000002-F2D5-43C7-A4D7-BC615C3349CE}"/>
            </c:ext>
          </c:extLst>
        </c:ser>
        <c:ser>
          <c:idx val="3"/>
          <c:order val="3"/>
          <c:tx>
            <c:strRef>
              <c:f>'Bar Completion'!$E$9</c:f>
              <c:strCache>
                <c:ptCount val="1"/>
                <c:pt idx="0">
                  <c:v>Other</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Completion'!$A$10</c:f>
              <c:strCache>
                <c:ptCount val="1"/>
                <c:pt idx="0">
                  <c:v>TSSR Stage</c:v>
                </c:pt>
              </c:strCache>
            </c:strRef>
          </c:cat>
          <c:val>
            <c:numRef>
              <c:f>'Bar Completion'!$E$10</c:f>
              <c:numCache>
                <c:formatCode>General</c:formatCode>
                <c:ptCount val="1"/>
                <c:pt idx="0">
                  <c:v>48</c:v>
                </c:pt>
              </c:numCache>
            </c:numRef>
          </c:val>
          <c:extLst>
            <c:ext xmlns:c16="http://schemas.microsoft.com/office/drawing/2014/chart" uri="{C3380CC4-5D6E-409C-BE32-E72D297353CC}">
              <c16:uniqueId val="{00000003-F2D5-43C7-A4D7-BC615C3349CE}"/>
            </c:ext>
          </c:extLst>
        </c:ser>
        <c:dLbls>
          <c:dLblPos val="ctr"/>
          <c:showLegendKey val="0"/>
          <c:showVal val="1"/>
          <c:showCatName val="0"/>
          <c:showSerName val="0"/>
          <c:showPercent val="0"/>
          <c:showBubbleSize val="0"/>
        </c:dLbls>
        <c:gapWidth val="50"/>
        <c:overlap val="100"/>
        <c:axId val="1393495168"/>
        <c:axId val="144883440"/>
      </c:barChart>
      <c:catAx>
        <c:axId val="1393495168"/>
        <c:scaling>
          <c:orientation val="minMax"/>
        </c:scaling>
        <c:delete val="1"/>
        <c:axPos val="l"/>
        <c:numFmt formatCode="General" sourceLinked="1"/>
        <c:majorTickMark val="none"/>
        <c:minorTickMark val="none"/>
        <c:tickLblPos val="nextTo"/>
        <c:crossAx val="144883440"/>
        <c:crosses val="autoZero"/>
        <c:auto val="1"/>
        <c:lblAlgn val="ctr"/>
        <c:lblOffset val="100"/>
        <c:noMultiLvlLbl val="0"/>
      </c:catAx>
      <c:valAx>
        <c:axId val="144883440"/>
        <c:scaling>
          <c:orientation val="minMax"/>
        </c:scaling>
        <c:delete val="1"/>
        <c:axPos val="b"/>
        <c:numFmt formatCode="General" sourceLinked="1"/>
        <c:majorTickMark val="none"/>
        <c:minorTickMark val="none"/>
        <c:tickLblPos val="nextTo"/>
        <c:crossAx val="1393495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'Bar Completion'!$B$6</c:f>
              <c:strCache>
                <c:ptCount val="1"/>
                <c:pt idx="0">
                  <c:v>Approved</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Completion'!$A$7</c:f>
              <c:strCache>
                <c:ptCount val="1"/>
                <c:pt idx="0">
                  <c:v>Colo Application</c:v>
                </c:pt>
              </c:strCache>
            </c:strRef>
          </c:cat>
          <c:val>
            <c:numRef>
              <c:f>'Bar Completion'!$B$7</c:f>
              <c:numCache>
                <c:formatCode>General</c:formatCode>
                <c:ptCount val="1"/>
                <c:pt idx="0">
                  <c:v>30</c:v>
                </c:pt>
              </c:numCache>
            </c:numRef>
          </c:val>
          <c:extLst>
            <c:ext xmlns:c16="http://schemas.microsoft.com/office/drawing/2014/chart" uri="{C3380CC4-5D6E-409C-BE32-E72D297353CC}">
              <c16:uniqueId val="{00000000-79CE-4FCD-A32F-2EDFD0233742}"/>
            </c:ext>
          </c:extLst>
        </c:ser>
        <c:ser>
          <c:idx val="1"/>
          <c:order val="1"/>
          <c:tx>
            <c:strRef>
              <c:f>'Bar Completion'!$C$6</c:f>
              <c:strCache>
                <c:ptCount val="1"/>
                <c:pt idx="0">
                  <c:v>NTP Received</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Completion'!$A$7</c:f>
              <c:strCache>
                <c:ptCount val="1"/>
                <c:pt idx="0">
                  <c:v>Colo Application</c:v>
                </c:pt>
              </c:strCache>
            </c:strRef>
          </c:cat>
          <c:val>
            <c:numRef>
              <c:f>'Bar Completion'!$C$7</c:f>
              <c:numCache>
                <c:formatCode>General</c:formatCode>
                <c:ptCount val="1"/>
                <c:pt idx="0">
                  <c:v>23</c:v>
                </c:pt>
              </c:numCache>
            </c:numRef>
          </c:val>
          <c:extLst>
            <c:ext xmlns:c16="http://schemas.microsoft.com/office/drawing/2014/chart" uri="{C3380CC4-5D6E-409C-BE32-E72D297353CC}">
              <c16:uniqueId val="{00000001-79CE-4FCD-A32F-2EDFD0233742}"/>
            </c:ext>
          </c:extLst>
        </c:ser>
        <c:ser>
          <c:idx val="2"/>
          <c:order val="2"/>
          <c:tx>
            <c:strRef>
              <c:f>'Bar Completion'!$D$6</c:f>
              <c:strCache>
                <c:ptCount val="1"/>
                <c:pt idx="0">
                  <c:v>In Process</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Completion'!$A$7</c:f>
              <c:strCache>
                <c:ptCount val="1"/>
                <c:pt idx="0">
                  <c:v>Colo Application</c:v>
                </c:pt>
              </c:strCache>
            </c:strRef>
          </c:cat>
          <c:val>
            <c:numRef>
              <c:f>'Bar Completion'!$D$7</c:f>
              <c:numCache>
                <c:formatCode>General</c:formatCode>
                <c:ptCount val="1"/>
                <c:pt idx="0">
                  <c:v>13</c:v>
                </c:pt>
              </c:numCache>
            </c:numRef>
          </c:val>
          <c:extLst>
            <c:ext xmlns:c16="http://schemas.microsoft.com/office/drawing/2014/chart" uri="{C3380CC4-5D6E-409C-BE32-E72D297353CC}">
              <c16:uniqueId val="{00000002-79CE-4FCD-A32F-2EDFD0233742}"/>
            </c:ext>
          </c:extLst>
        </c:ser>
        <c:ser>
          <c:idx val="3"/>
          <c:order val="3"/>
          <c:tx>
            <c:strRef>
              <c:f>'Bar Completion'!$E$6</c:f>
              <c:strCache>
                <c:ptCount val="1"/>
                <c:pt idx="0">
                  <c:v>Other</c:v>
                </c:pt>
              </c:strCache>
            </c:strRef>
          </c:tx>
          <c:spPr>
            <a:solidFill>
              <a:schemeClr val="accent4"/>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6-79CE-4FCD-A32F-2EDFD023374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Completion'!$A$7</c:f>
              <c:strCache>
                <c:ptCount val="1"/>
                <c:pt idx="0">
                  <c:v>Colo Application</c:v>
                </c:pt>
              </c:strCache>
            </c:strRef>
          </c:cat>
          <c:val>
            <c:numRef>
              <c:f>'Bar Completion'!$E$7</c:f>
              <c:numCache>
                <c:formatCode>General</c:formatCode>
                <c:ptCount val="1"/>
                <c:pt idx="0">
                  <c:v>117</c:v>
                </c:pt>
              </c:numCache>
            </c:numRef>
          </c:val>
          <c:extLst>
            <c:ext xmlns:c16="http://schemas.microsoft.com/office/drawing/2014/chart" uri="{C3380CC4-5D6E-409C-BE32-E72D297353CC}">
              <c16:uniqueId val="{00000005-79CE-4FCD-A32F-2EDFD0233742}"/>
            </c:ext>
          </c:extLst>
        </c:ser>
        <c:dLbls>
          <c:dLblPos val="ctr"/>
          <c:showLegendKey val="0"/>
          <c:showVal val="1"/>
          <c:showCatName val="0"/>
          <c:showSerName val="0"/>
          <c:showPercent val="0"/>
          <c:showBubbleSize val="0"/>
        </c:dLbls>
        <c:gapWidth val="50"/>
        <c:overlap val="100"/>
        <c:axId val="193241024"/>
        <c:axId val="144885520"/>
      </c:barChart>
      <c:catAx>
        <c:axId val="193241024"/>
        <c:scaling>
          <c:orientation val="minMax"/>
        </c:scaling>
        <c:delete val="1"/>
        <c:axPos val="l"/>
        <c:numFmt formatCode="General" sourceLinked="1"/>
        <c:majorTickMark val="none"/>
        <c:minorTickMark val="none"/>
        <c:tickLblPos val="nextTo"/>
        <c:crossAx val="144885520"/>
        <c:crosses val="autoZero"/>
        <c:auto val="1"/>
        <c:lblAlgn val="ctr"/>
        <c:lblOffset val="100"/>
        <c:noMultiLvlLbl val="0"/>
      </c:catAx>
      <c:valAx>
        <c:axId val="144885520"/>
        <c:scaling>
          <c:orientation val="minMax"/>
        </c:scaling>
        <c:delete val="1"/>
        <c:axPos val="b"/>
        <c:numFmt formatCode="General" sourceLinked="1"/>
        <c:majorTickMark val="none"/>
        <c:minorTickMark val="none"/>
        <c:tickLblPos val="nextTo"/>
        <c:crossAx val="193241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'Bar Completion Operator'!$B$12</c:f>
              <c:strCache>
                <c:ptCount val="1"/>
                <c:pt idx="0">
                  <c:v>Prevalidated</c:v>
                </c:pt>
              </c:strCache>
            </c:strRef>
          </c:tx>
          <c:spPr>
            <a:solidFill>
              <a:schemeClr val="accent1"/>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6815-4B91-966D-026D07D937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Operator'!$A$13</c:f>
              <c:strCache>
                <c:ptCount val="1"/>
                <c:pt idx="0">
                  <c:v>Prevalidation</c:v>
                </c:pt>
              </c:strCache>
            </c:strRef>
          </c:cat>
          <c:val>
            <c:numRef>
              <c:f>'Bar Completion Operator'!$B$13</c:f>
              <c:numCache>
                <c:formatCode>General</c:formatCode>
                <c:ptCount val="1"/>
                <c:pt idx="0">
                  <c:v>9</c:v>
                </c:pt>
              </c:numCache>
            </c:numRef>
          </c:val>
          <c:extLst>
            <c:ext xmlns:c16="http://schemas.microsoft.com/office/drawing/2014/chart" uri="{C3380CC4-5D6E-409C-BE32-E72D297353CC}">
              <c16:uniqueId val="{00000002-6815-4B91-966D-026D07D937DE}"/>
            </c:ext>
          </c:extLst>
        </c:ser>
        <c:ser>
          <c:idx val="1"/>
          <c:order val="1"/>
          <c:tx>
            <c:strRef>
              <c:f>'Bar Completion Operator'!$C$12</c:f>
              <c:strCache>
                <c:ptCount val="1"/>
                <c:pt idx="0">
                  <c:v>Commercial Approval Requested</c:v>
                </c:pt>
              </c:strCache>
            </c:strRef>
          </c:tx>
          <c:spPr>
            <a:solidFill>
              <a:schemeClr val="accent2"/>
            </a:solidFill>
            <a:ln>
              <a:noFill/>
            </a:ln>
            <a:effectLst/>
          </c:spPr>
          <c:invertIfNegative val="0"/>
          <c:dPt>
            <c:idx val="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4-6815-4B91-966D-026D07D937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Operator'!$A$13</c:f>
              <c:strCache>
                <c:ptCount val="1"/>
                <c:pt idx="0">
                  <c:v>Prevalidation</c:v>
                </c:pt>
              </c:strCache>
            </c:strRef>
          </c:cat>
          <c:val>
            <c:numRef>
              <c:f>'Bar Completion Operator'!$C$13</c:f>
              <c:numCache>
                <c:formatCode>General</c:formatCode>
                <c:ptCount val="1"/>
                <c:pt idx="0">
                  <c:v>0</c:v>
                </c:pt>
              </c:numCache>
            </c:numRef>
          </c:val>
          <c:extLst>
            <c:ext xmlns:c16="http://schemas.microsoft.com/office/drawing/2014/chart" uri="{C3380CC4-5D6E-409C-BE32-E72D297353CC}">
              <c16:uniqueId val="{00000005-6815-4B91-966D-026D07D937DE}"/>
            </c:ext>
          </c:extLst>
        </c:ser>
        <c:ser>
          <c:idx val="2"/>
          <c:order val="2"/>
          <c:tx>
            <c:strRef>
              <c:f>'Bar Completion Operator'!$D$12</c:f>
              <c:strCache>
                <c:ptCount val="1"/>
                <c:pt idx="0">
                  <c:v>Under Prevalidation</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Operator'!$A$13</c:f>
              <c:strCache>
                <c:ptCount val="1"/>
                <c:pt idx="0">
                  <c:v>Prevalidation</c:v>
                </c:pt>
              </c:strCache>
            </c:strRef>
          </c:cat>
          <c:val>
            <c:numRef>
              <c:f>'Bar Completion Operator'!$D$13</c:f>
              <c:numCache>
                <c:formatCode>General</c:formatCode>
                <c:ptCount val="1"/>
                <c:pt idx="0">
                  <c:v>1</c:v>
                </c:pt>
              </c:numCache>
            </c:numRef>
          </c:val>
          <c:extLst>
            <c:ext xmlns:c16="http://schemas.microsoft.com/office/drawing/2014/chart" uri="{C3380CC4-5D6E-409C-BE32-E72D297353CC}">
              <c16:uniqueId val="{00000006-6815-4B91-966D-026D07D937DE}"/>
            </c:ext>
          </c:extLst>
        </c:ser>
        <c:dLbls>
          <c:dLblPos val="ctr"/>
          <c:showLegendKey val="0"/>
          <c:showVal val="1"/>
          <c:showCatName val="0"/>
          <c:showSerName val="0"/>
          <c:showPercent val="0"/>
          <c:showBubbleSize val="0"/>
        </c:dLbls>
        <c:gapWidth val="50"/>
        <c:overlap val="100"/>
        <c:axId val="1634028576"/>
        <c:axId val="1345991040"/>
      </c:barChart>
      <c:catAx>
        <c:axId val="1634028576"/>
        <c:scaling>
          <c:orientation val="minMax"/>
        </c:scaling>
        <c:delete val="1"/>
        <c:axPos val="l"/>
        <c:numFmt formatCode="General" sourceLinked="1"/>
        <c:majorTickMark val="out"/>
        <c:minorTickMark val="none"/>
        <c:tickLblPos val="nextTo"/>
        <c:crossAx val="1345991040"/>
        <c:crosses val="autoZero"/>
        <c:auto val="1"/>
        <c:lblAlgn val="ctr"/>
        <c:lblOffset val="100"/>
        <c:noMultiLvlLbl val="0"/>
      </c:catAx>
      <c:valAx>
        <c:axId val="1345991040"/>
        <c:scaling>
          <c:orientation val="minMax"/>
        </c:scaling>
        <c:delete val="1"/>
        <c:axPos val="b"/>
        <c:numFmt formatCode="General" sourceLinked="1"/>
        <c:majorTickMark val="out"/>
        <c:minorTickMark val="none"/>
        <c:tickLblPos val="nextTo"/>
        <c:crossAx val="1634028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'Bar Completion Operator'!$B$9</c:f>
              <c:strCache>
                <c:ptCount val="1"/>
                <c:pt idx="0">
                  <c:v>Prevalidated - TSSR Done</c:v>
                </c:pt>
              </c:strCache>
            </c:strRef>
          </c:tx>
          <c:spPr>
            <a:solidFill>
              <a:schemeClr val="accent1"/>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1-72A5-41E2-8047-3E6800EDDBA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Operator'!$A$10</c:f>
              <c:strCache>
                <c:ptCount val="1"/>
                <c:pt idx="0">
                  <c:v>TSSR Stage</c:v>
                </c:pt>
              </c:strCache>
            </c:strRef>
          </c:cat>
          <c:val>
            <c:numRef>
              <c:f>'Bar Completion Operator'!$B$10</c:f>
              <c:numCache>
                <c:formatCode>General</c:formatCode>
                <c:ptCount val="1"/>
                <c:pt idx="0">
                  <c:v>4</c:v>
                </c:pt>
              </c:numCache>
            </c:numRef>
          </c:val>
          <c:extLst>
            <c:ext xmlns:c16="http://schemas.microsoft.com/office/drawing/2014/chart" uri="{C3380CC4-5D6E-409C-BE32-E72D297353CC}">
              <c16:uniqueId val="{00000002-72A5-41E2-8047-3E6800EDDBA7}"/>
            </c:ext>
          </c:extLst>
        </c:ser>
        <c:ser>
          <c:idx val="1"/>
          <c:order val="1"/>
          <c:tx>
            <c:strRef>
              <c:f>'Bar Completion Operator'!$C$9</c:f>
              <c:strCache>
                <c:ptCount val="1"/>
                <c:pt idx="0">
                  <c:v>Prevalidated - TSSR in Process</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Operator'!$A$10</c:f>
              <c:strCache>
                <c:ptCount val="1"/>
                <c:pt idx="0">
                  <c:v>TSSR Stage</c:v>
                </c:pt>
              </c:strCache>
            </c:strRef>
          </c:cat>
          <c:val>
            <c:numRef>
              <c:f>'Bar Completion Operator'!$C$10</c:f>
              <c:numCache>
                <c:formatCode>General</c:formatCode>
                <c:ptCount val="1"/>
                <c:pt idx="0">
                  <c:v>5</c:v>
                </c:pt>
              </c:numCache>
            </c:numRef>
          </c:val>
          <c:extLst>
            <c:ext xmlns:c16="http://schemas.microsoft.com/office/drawing/2014/chart" uri="{C3380CC4-5D6E-409C-BE32-E72D297353CC}">
              <c16:uniqueId val="{00000003-72A5-41E2-8047-3E6800EDDBA7}"/>
            </c:ext>
          </c:extLst>
        </c:ser>
        <c:ser>
          <c:idx val="2"/>
          <c:order val="2"/>
          <c:tx>
            <c:strRef>
              <c:f>'Bar Completion Operator'!$D$9</c:f>
              <c:strCache>
                <c:ptCount val="1"/>
                <c:pt idx="0">
                  <c:v>TSSR Done - Under Prevalidation</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Operator'!$A$10</c:f>
              <c:strCache>
                <c:ptCount val="1"/>
                <c:pt idx="0">
                  <c:v>TSSR Stage</c:v>
                </c:pt>
              </c:strCache>
            </c:strRef>
          </c:cat>
          <c:val>
            <c:numRef>
              <c:f>'Bar Completion Operator'!$D$10</c:f>
              <c:numCache>
                <c:formatCode>General</c:formatCode>
                <c:ptCount val="1"/>
                <c:pt idx="0">
                  <c:v>0</c:v>
                </c:pt>
              </c:numCache>
            </c:numRef>
          </c:val>
          <c:extLst>
            <c:ext xmlns:c16="http://schemas.microsoft.com/office/drawing/2014/chart" uri="{C3380CC4-5D6E-409C-BE32-E72D297353CC}">
              <c16:uniqueId val="{00000004-72A5-41E2-8047-3E6800EDDBA7}"/>
            </c:ext>
          </c:extLst>
        </c:ser>
        <c:ser>
          <c:idx val="3"/>
          <c:order val="3"/>
          <c:tx>
            <c:strRef>
              <c:f>'Bar Completion Operator'!$E$9</c:f>
              <c:strCache>
                <c:ptCount val="1"/>
                <c:pt idx="0">
                  <c:v>Other</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Operator'!$A$10</c:f>
              <c:strCache>
                <c:ptCount val="1"/>
                <c:pt idx="0">
                  <c:v>TSSR Stage</c:v>
                </c:pt>
              </c:strCache>
            </c:strRef>
          </c:cat>
          <c:val>
            <c:numRef>
              <c:f>'Bar Completion Operator'!$E$10</c:f>
              <c:numCache>
                <c:formatCode>General</c:formatCode>
                <c:ptCount val="1"/>
                <c:pt idx="0">
                  <c:v>1</c:v>
                </c:pt>
              </c:numCache>
            </c:numRef>
          </c:val>
          <c:extLst>
            <c:ext xmlns:c16="http://schemas.microsoft.com/office/drawing/2014/chart" uri="{C3380CC4-5D6E-409C-BE32-E72D297353CC}">
              <c16:uniqueId val="{00000005-72A5-41E2-8047-3E6800EDDBA7}"/>
            </c:ext>
          </c:extLst>
        </c:ser>
        <c:dLbls>
          <c:dLblPos val="ctr"/>
          <c:showLegendKey val="0"/>
          <c:showVal val="1"/>
          <c:showCatName val="0"/>
          <c:showSerName val="0"/>
          <c:showPercent val="0"/>
          <c:showBubbleSize val="0"/>
        </c:dLbls>
        <c:gapWidth val="50"/>
        <c:overlap val="100"/>
        <c:axId val="1393495168"/>
        <c:axId val="144883440"/>
      </c:barChart>
      <c:catAx>
        <c:axId val="1393495168"/>
        <c:scaling>
          <c:orientation val="minMax"/>
        </c:scaling>
        <c:delete val="1"/>
        <c:axPos val="l"/>
        <c:numFmt formatCode="General" sourceLinked="1"/>
        <c:majorTickMark val="none"/>
        <c:minorTickMark val="none"/>
        <c:tickLblPos val="nextTo"/>
        <c:crossAx val="144883440"/>
        <c:crosses val="autoZero"/>
        <c:auto val="1"/>
        <c:lblAlgn val="ctr"/>
        <c:lblOffset val="100"/>
        <c:noMultiLvlLbl val="0"/>
      </c:catAx>
      <c:valAx>
        <c:axId val="144883440"/>
        <c:scaling>
          <c:orientation val="minMax"/>
        </c:scaling>
        <c:delete val="1"/>
        <c:axPos val="b"/>
        <c:numFmt formatCode="General" sourceLinked="1"/>
        <c:majorTickMark val="none"/>
        <c:minorTickMark val="none"/>
        <c:tickLblPos val="nextTo"/>
        <c:crossAx val="1393495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'Bar Completion Operator'!$B$6</c:f>
              <c:strCache>
                <c:ptCount val="1"/>
                <c:pt idx="0">
                  <c:v>Approved</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Operator'!$A$7</c:f>
              <c:strCache>
                <c:ptCount val="1"/>
                <c:pt idx="0">
                  <c:v>Colo Application</c:v>
                </c:pt>
              </c:strCache>
            </c:strRef>
          </c:cat>
          <c:val>
            <c:numRef>
              <c:f>'Bar Completion Operator'!$B$7</c:f>
              <c:numCache>
                <c:formatCode>General</c:formatCode>
                <c:ptCount val="1"/>
                <c:pt idx="0">
                  <c:v>0</c:v>
                </c:pt>
              </c:numCache>
            </c:numRef>
          </c:val>
          <c:extLst>
            <c:ext xmlns:c16="http://schemas.microsoft.com/office/drawing/2014/chart" uri="{C3380CC4-5D6E-409C-BE32-E72D297353CC}">
              <c16:uniqueId val="{00000000-89E3-44B0-ABE5-D37FE59D2F94}"/>
            </c:ext>
          </c:extLst>
        </c:ser>
        <c:ser>
          <c:idx val="1"/>
          <c:order val="1"/>
          <c:tx>
            <c:strRef>
              <c:f>'Bar Completion Operator'!$C$6</c:f>
              <c:strCache>
                <c:ptCount val="1"/>
                <c:pt idx="0">
                  <c:v>NTP Received</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Operator'!$A$7</c:f>
              <c:strCache>
                <c:ptCount val="1"/>
                <c:pt idx="0">
                  <c:v>Colo Application</c:v>
                </c:pt>
              </c:strCache>
            </c:strRef>
          </c:cat>
          <c:val>
            <c:numRef>
              <c:f>'Bar Completion Operator'!$C$7</c:f>
              <c:numCache>
                <c:formatCode>General</c:formatCode>
                <c:ptCount val="1"/>
                <c:pt idx="0">
                  <c:v>0</c:v>
                </c:pt>
              </c:numCache>
            </c:numRef>
          </c:val>
          <c:extLst>
            <c:ext xmlns:c16="http://schemas.microsoft.com/office/drawing/2014/chart" uri="{C3380CC4-5D6E-409C-BE32-E72D297353CC}">
              <c16:uniqueId val="{00000001-89E3-44B0-ABE5-D37FE59D2F94}"/>
            </c:ext>
          </c:extLst>
        </c:ser>
        <c:ser>
          <c:idx val="2"/>
          <c:order val="2"/>
          <c:tx>
            <c:strRef>
              <c:f>'Bar Completion Operator'!$D$6</c:f>
              <c:strCache>
                <c:ptCount val="1"/>
                <c:pt idx="0">
                  <c:v>In Process</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Operator'!$A$7</c:f>
              <c:strCache>
                <c:ptCount val="1"/>
                <c:pt idx="0">
                  <c:v>Colo Application</c:v>
                </c:pt>
              </c:strCache>
            </c:strRef>
          </c:cat>
          <c:val>
            <c:numRef>
              <c:f>'Bar Completion Operator'!$D$7</c:f>
              <c:numCache>
                <c:formatCode>General</c:formatCode>
                <c:ptCount val="1"/>
                <c:pt idx="0">
                  <c:v>4</c:v>
                </c:pt>
              </c:numCache>
            </c:numRef>
          </c:val>
          <c:extLst>
            <c:ext xmlns:c16="http://schemas.microsoft.com/office/drawing/2014/chart" uri="{C3380CC4-5D6E-409C-BE32-E72D297353CC}">
              <c16:uniqueId val="{00000002-89E3-44B0-ABE5-D37FE59D2F94}"/>
            </c:ext>
          </c:extLst>
        </c:ser>
        <c:ser>
          <c:idx val="3"/>
          <c:order val="3"/>
          <c:tx>
            <c:strRef>
              <c:f>'Bar Completion Operator'!$E$6</c:f>
              <c:strCache>
                <c:ptCount val="1"/>
                <c:pt idx="0">
                  <c:v>Other</c:v>
                </c:pt>
              </c:strCache>
            </c:strRef>
          </c:tx>
          <c:spPr>
            <a:solidFill>
              <a:schemeClr val="accent4"/>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4-89E3-44B0-ABE5-D37FE59D2F9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 Completion Operator'!$A$7</c:f>
              <c:strCache>
                <c:ptCount val="1"/>
                <c:pt idx="0">
                  <c:v>Colo Application</c:v>
                </c:pt>
              </c:strCache>
            </c:strRef>
          </c:cat>
          <c:val>
            <c:numRef>
              <c:f>'Bar Completion Operator'!$E$7</c:f>
              <c:numCache>
                <c:formatCode>General</c:formatCode>
                <c:ptCount val="1"/>
                <c:pt idx="0">
                  <c:v>6</c:v>
                </c:pt>
              </c:numCache>
            </c:numRef>
          </c:val>
          <c:extLst>
            <c:ext xmlns:c16="http://schemas.microsoft.com/office/drawing/2014/chart" uri="{C3380CC4-5D6E-409C-BE32-E72D297353CC}">
              <c16:uniqueId val="{00000005-89E3-44B0-ABE5-D37FE59D2F94}"/>
            </c:ext>
          </c:extLst>
        </c:ser>
        <c:dLbls>
          <c:dLblPos val="ctr"/>
          <c:showLegendKey val="0"/>
          <c:showVal val="1"/>
          <c:showCatName val="0"/>
          <c:showSerName val="0"/>
          <c:showPercent val="0"/>
          <c:showBubbleSize val="0"/>
        </c:dLbls>
        <c:gapWidth val="50"/>
        <c:overlap val="100"/>
        <c:axId val="193241024"/>
        <c:axId val="144885520"/>
      </c:barChart>
      <c:catAx>
        <c:axId val="193241024"/>
        <c:scaling>
          <c:orientation val="minMax"/>
        </c:scaling>
        <c:delete val="1"/>
        <c:axPos val="l"/>
        <c:numFmt formatCode="General" sourceLinked="1"/>
        <c:majorTickMark val="none"/>
        <c:minorTickMark val="none"/>
        <c:tickLblPos val="nextTo"/>
        <c:crossAx val="144885520"/>
        <c:crosses val="autoZero"/>
        <c:auto val="1"/>
        <c:lblAlgn val="ctr"/>
        <c:lblOffset val="100"/>
        <c:noMultiLvlLbl val="0"/>
      </c:catAx>
      <c:valAx>
        <c:axId val="144885520"/>
        <c:scaling>
          <c:orientation val="minMax"/>
        </c:scaling>
        <c:delete val="1"/>
        <c:axPos val="b"/>
        <c:numFmt formatCode="General" sourceLinked="1"/>
        <c:majorTickMark val="none"/>
        <c:minorTickMark val="none"/>
        <c:tickLblPos val="nextTo"/>
        <c:crossAx val="193241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2019-01-07.xlsm]Chart Donut!PivotTable1</c:name>
    <c:fmtId val="0"/>
  </c:pivotSource>
  <c:chart>
    <c:title>
      <c:layout>
        <c:manualLayout>
          <c:xMode val="edge"/>
          <c:yMode val="edge"/>
          <c:x val="0.4642965147528027"/>
          <c:y val="2.00582725324472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5"/>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5">
              <a:lumMod val="60000"/>
              <a:lumOff val="40000"/>
            </a:schemeClr>
          </a:solidFill>
          <a:ln w="19050">
            <a:solidFill>
              <a:schemeClr val="lt1"/>
            </a:solidFill>
          </a:ln>
          <a:effectLst/>
        </c:spPr>
      </c:pivotFmt>
      <c:pivotFmt>
        <c:idx val="19"/>
        <c:spPr>
          <a:solidFill>
            <a:schemeClr val="accent5">
              <a:lumMod val="40000"/>
              <a:lumOff val="6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6">
              <a:lumMod val="60000"/>
              <a:lumOff val="40000"/>
            </a:schemeClr>
          </a:solidFill>
          <a:ln w="19050">
            <a:solidFill>
              <a:schemeClr val="lt1"/>
            </a:solidFill>
          </a:ln>
          <a:effectLst/>
        </c:spPr>
      </c:pivotFmt>
      <c:pivotFmt>
        <c:idx val="22"/>
        <c:spPr>
          <a:solidFill>
            <a:schemeClr val="accent6"/>
          </a:solidFill>
          <a:ln w="19050">
            <a:solidFill>
              <a:schemeClr val="lt1"/>
            </a:solidFill>
          </a:ln>
          <a:effectLst/>
        </c:spPr>
      </c:pivotFmt>
      <c:pivotFmt>
        <c:idx val="23"/>
        <c:spPr>
          <a:solidFill>
            <a:schemeClr val="accent1"/>
          </a:solidFill>
          <a:ln w="19050">
            <a:solidFill>
              <a:schemeClr val="lt1"/>
            </a:solidFill>
          </a:ln>
          <a:effectLst/>
        </c:spPr>
      </c:pivotFmt>
    </c:pivotFmts>
    <c:plotArea>
      <c:layout>
        <c:manualLayout>
          <c:layoutTarget val="inner"/>
          <c:xMode val="edge"/>
          <c:yMode val="edge"/>
          <c:x val="4.1846914350227672E-2"/>
          <c:y val="9.4126995593440732E-2"/>
          <c:w val="0.73183556675877559"/>
          <c:h val="0.83493028967709315"/>
        </c:manualLayout>
      </c:layout>
      <c:doughnutChart>
        <c:varyColors val="1"/>
        <c:ser>
          <c:idx val="0"/>
          <c:order val="0"/>
          <c:tx>
            <c:strRef>
              <c:f>'Chart Donut'!$B$3</c:f>
              <c:strCache>
                <c:ptCount val="1"/>
                <c:pt idx="0">
                  <c:v>Total</c:v>
                </c:pt>
              </c:strCache>
            </c:strRef>
          </c:tx>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4-5C6C-4A0B-BEC5-17FE2AD201EB}"/>
              </c:ext>
            </c:extLst>
          </c:dPt>
          <c:dPt>
            <c:idx val="1"/>
            <c:bubble3D val="0"/>
            <c:spPr>
              <a:solidFill>
                <a:schemeClr val="accent5">
                  <a:lumMod val="40000"/>
                  <a:lumOff val="60000"/>
                </a:schemeClr>
              </a:solidFill>
              <a:ln w="19050">
                <a:solidFill>
                  <a:schemeClr val="lt1"/>
                </a:solidFill>
              </a:ln>
              <a:effectLst/>
            </c:spPr>
            <c:extLst>
              <c:ext xmlns:c16="http://schemas.microsoft.com/office/drawing/2014/chart" uri="{C3380CC4-5D6E-409C-BE32-E72D297353CC}">
                <c16:uniqueId val="{00000005-5C6C-4A0B-BEC5-17FE2AD201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5C6C-4A0B-BEC5-17FE2AD201EB}"/>
              </c:ext>
            </c:extLst>
          </c:dPt>
          <c:dPt>
            <c:idx val="3"/>
            <c:bubble3D val="0"/>
            <c:spPr>
              <a:solidFill>
                <a:schemeClr val="accent6"/>
              </a:solidFill>
              <a:ln w="19050">
                <a:solidFill>
                  <a:schemeClr val="lt1"/>
                </a:solidFill>
              </a:ln>
              <a:effectLst/>
            </c:spPr>
            <c:extLst>
              <c:ext xmlns:c16="http://schemas.microsoft.com/office/drawing/2014/chart" uri="{C3380CC4-5D6E-409C-BE32-E72D297353CC}">
                <c16:uniqueId val="{00000009-5C6C-4A0B-BEC5-17FE2AD201EB}"/>
              </c:ext>
            </c:extLst>
          </c:dPt>
          <c:dPt>
            <c:idx val="4"/>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E-809F-4EF0-A103-ED256E81283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09F-4EF0-A103-ED256E81283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10-4E3A-B6DC-00AD574A32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 Donut'!$A$4:$A$10</c:f>
              <c:strCache>
                <c:ptCount val="6"/>
                <c:pt idx="0">
                  <c:v>Prevalidated - TSSR Done</c:v>
                </c:pt>
                <c:pt idx="1">
                  <c:v>Prevalidated - TSSR in Process</c:v>
                </c:pt>
                <c:pt idx="2">
                  <c:v>Under Prevalidation</c:v>
                </c:pt>
                <c:pt idx="3">
                  <c:v>RFI</c:v>
                </c:pt>
                <c:pt idx="4">
                  <c:v>Work Completed</c:v>
                </c:pt>
                <c:pt idx="5">
                  <c:v>NTP Received</c:v>
                </c:pt>
              </c:strCache>
            </c:strRef>
          </c:cat>
          <c:val>
            <c:numRef>
              <c:f>'Chart Donut'!$B$4:$B$10</c:f>
              <c:numCache>
                <c:formatCode>General</c:formatCode>
                <c:ptCount val="6"/>
                <c:pt idx="0">
                  <c:v>4</c:v>
                </c:pt>
                <c:pt idx="1">
                  <c:v>56</c:v>
                </c:pt>
                <c:pt idx="2">
                  <c:v>49</c:v>
                </c:pt>
                <c:pt idx="3">
                  <c:v>1</c:v>
                </c:pt>
                <c:pt idx="4">
                  <c:v>9</c:v>
                </c:pt>
                <c:pt idx="5">
                  <c:v>13</c:v>
                </c:pt>
              </c:numCache>
            </c:numRef>
          </c:val>
          <c:extLst>
            <c:ext xmlns:c16="http://schemas.microsoft.com/office/drawing/2014/chart" uri="{C3380CC4-5D6E-409C-BE32-E72D297353CC}">
              <c16:uniqueId val="{00000000-5C6C-4A0B-BEC5-17FE2AD201E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2019-01-07.xlsm]Community Chart!PivotTable1</c:name>
    <c:fmtId val="16"/>
  </c:pivotSource>
  <c:chart>
    <c:autoTitleDeleted val="1"/>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lumMod val="60000"/>
              <a:lumOff val="40000"/>
            </a:schemeClr>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pivotFmt>
      <c:pivotFmt>
        <c:idx val="41"/>
        <c:marker>
          <c:symbol val="none"/>
        </c:marker>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6"/>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7"/>
        <c:marker>
          <c:symbol val="none"/>
        </c:marker>
      </c:pivotFmt>
      <c:pivotFmt>
        <c:idx val="58"/>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elete val="1"/>
          <c:extLst>
            <c:ext xmlns:c15="http://schemas.microsoft.com/office/drawing/2012/chart" uri="{CE6537A1-D6FC-4f65-9D91-7224C49458BB}"/>
          </c:extLst>
        </c:dLbl>
      </c:pivotFmt>
      <c:pivotFmt>
        <c:idx val="61"/>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elete val="1"/>
          <c:extLst>
            <c:ext xmlns:c15="http://schemas.microsoft.com/office/drawing/2012/chart" uri="{CE6537A1-D6FC-4f65-9D91-7224C49458BB}"/>
          </c:extLst>
        </c:dLbl>
      </c:pivotFmt>
      <c:pivotFmt>
        <c:idx val="63"/>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pivotFmt>
      <c:pivotFmt>
        <c:idx val="6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marker>
          <c:symbol val="none"/>
        </c:marker>
      </c:pivotFmt>
      <c:pivotFmt>
        <c:idx val="7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8"/>
        <c:marker>
          <c:symbol val="none"/>
        </c:marker>
      </c:pivotFmt>
      <c:pivotFmt>
        <c:idx val="7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3"/>
        <c:marker>
          <c:symbol val="none"/>
        </c:marker>
      </c:pivotFmt>
      <c:pivotFmt>
        <c:idx val="8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6"/>
        <c:marker>
          <c:symbol val="none"/>
        </c:marker>
      </c:pivotFmt>
      <c:pivotFmt>
        <c:idx val="8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marker>
          <c:symbol val="none"/>
        </c:marker>
      </c:pivotFmt>
      <c:pivotFmt>
        <c:idx val="9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1"/>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284852583178879E-3"/>
          <c:y val="0.15565133305705206"/>
          <c:w val="0.98655264033980095"/>
          <c:h val="0.83493028967709315"/>
        </c:manualLayout>
      </c:layout>
      <c:barChart>
        <c:barDir val="bar"/>
        <c:grouping val="percentStacked"/>
        <c:varyColors val="0"/>
        <c:ser>
          <c:idx val="0"/>
          <c:order val="0"/>
          <c:tx>
            <c:strRef>
              <c:f>'Community Chart'!$B$5:$B$6</c:f>
              <c:strCache>
                <c:ptCount val="1"/>
                <c:pt idx="0">
                  <c:v>OK</c:v>
                </c:pt>
              </c:strCache>
            </c:strRef>
          </c:tx>
          <c:spPr>
            <a:solidFill>
              <a:schemeClr val="accent1"/>
            </a:solidFill>
          </c:spPr>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'Community Chart'!$A$7</c:f>
              <c:strCache>
                <c:ptCount val="1"/>
                <c:pt idx="0">
                  <c:v>Total</c:v>
                </c:pt>
              </c:strCache>
            </c:strRef>
          </c:cat>
          <c:val>
            <c:numRef>
              <c:f>'Community Chart'!$B$7</c:f>
              <c:numCache>
                <c:formatCode>General</c:formatCode>
                <c:ptCount val="1"/>
                <c:pt idx="0">
                  <c:v>2</c:v>
                </c:pt>
              </c:numCache>
            </c:numRef>
          </c:val>
          <c:extLst>
            <c:ext xmlns:c16="http://schemas.microsoft.com/office/drawing/2014/chart" uri="{C3380CC4-5D6E-409C-BE32-E72D297353CC}">
              <c16:uniqueId val="{00000000-D466-4538-AFC9-1A89DB2569FC}"/>
            </c:ext>
          </c:extLst>
        </c:ser>
        <c:ser>
          <c:idx val="1"/>
          <c:order val="1"/>
          <c:tx>
            <c:strRef>
              <c:f>'Community Chart'!$C$5:$C$6</c:f>
              <c:strCache>
                <c:ptCount val="1"/>
                <c:pt idx="0">
                  <c:v>Review</c:v>
                </c:pt>
              </c:strCache>
            </c:strRef>
          </c:tx>
          <c:spPr>
            <a:solidFill>
              <a:schemeClr val="accent4"/>
            </a:solidFill>
          </c:spPr>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'Community Chart'!$A$7</c:f>
              <c:strCache>
                <c:ptCount val="1"/>
                <c:pt idx="0">
                  <c:v>Total</c:v>
                </c:pt>
              </c:strCache>
            </c:strRef>
          </c:cat>
          <c:val>
            <c:numRef>
              <c:f>'Community Chart'!$C$7</c:f>
              <c:numCache>
                <c:formatCode>General</c:formatCode>
                <c:ptCount val="1"/>
                <c:pt idx="0">
                  <c:v>1</c:v>
                </c:pt>
              </c:numCache>
            </c:numRef>
          </c:val>
          <c:extLst>
            <c:ext xmlns:c16="http://schemas.microsoft.com/office/drawing/2014/chart" uri="{C3380CC4-5D6E-409C-BE32-E72D297353CC}">
              <c16:uniqueId val="{00000004-444A-47C0-8D26-093232067E4F}"/>
            </c:ext>
          </c:extLst>
        </c:ser>
        <c:dLbls>
          <c:dLblPos val="ctr"/>
          <c:showLegendKey val="0"/>
          <c:showVal val="1"/>
          <c:showCatName val="0"/>
          <c:showSerName val="0"/>
          <c:showPercent val="0"/>
          <c:showBubbleSize val="0"/>
        </c:dLbls>
        <c:gapWidth val="100"/>
        <c:overlap val="100"/>
        <c:axId val="1467663951"/>
        <c:axId val="888983039"/>
      </c:barChart>
      <c:valAx>
        <c:axId val="888983039"/>
        <c:scaling>
          <c:orientation val="minMax"/>
        </c:scaling>
        <c:delete val="1"/>
        <c:axPos val="b"/>
        <c:numFmt formatCode="0%" sourceLinked="1"/>
        <c:majorTickMark val="out"/>
        <c:minorTickMark val="none"/>
        <c:tickLblPos val="nextTo"/>
        <c:crossAx val="1467663951"/>
        <c:crosses val="autoZero"/>
        <c:crossBetween val="between"/>
      </c:valAx>
      <c:catAx>
        <c:axId val="1467663951"/>
        <c:scaling>
          <c:orientation val="minMax"/>
        </c:scaling>
        <c:delete val="1"/>
        <c:axPos val="l"/>
        <c:numFmt formatCode="General" sourceLinked="1"/>
        <c:majorTickMark val="out"/>
        <c:minorTickMark val="none"/>
        <c:tickLblPos val="nextTo"/>
        <c:crossAx val="888983039"/>
        <c:crosses val="autoZero"/>
        <c:auto val="1"/>
        <c:lblAlgn val="ctr"/>
        <c:lblOffset val="100"/>
        <c:noMultiLvlLbl val="0"/>
      </c:catAx>
    </c:plotArea>
    <c:legend>
      <c:legendPos val="r"/>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2019-01-07.xlsm]CW!PivotTable1</c:name>
    <c:fmtId val="39"/>
  </c:pivotSource>
  <c:chart>
    <c:autoTitleDeleted val="1"/>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lumMod val="60000"/>
              <a:lumOff val="40000"/>
            </a:schemeClr>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pivotFmt>
      <c:pivotFmt>
        <c:idx val="41"/>
        <c:marker>
          <c:symbol val="none"/>
        </c:marker>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6"/>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7"/>
        <c:marker>
          <c:symbol val="none"/>
        </c:marker>
      </c:pivotFmt>
      <c:pivotFmt>
        <c:idx val="58"/>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elete val="1"/>
          <c:extLst>
            <c:ext xmlns:c15="http://schemas.microsoft.com/office/drawing/2012/chart" uri="{CE6537A1-D6FC-4f65-9D91-7224C49458BB}"/>
          </c:extLst>
        </c:dLbl>
      </c:pivotFmt>
      <c:pivotFmt>
        <c:idx val="61"/>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elete val="1"/>
          <c:extLst>
            <c:ext xmlns:c15="http://schemas.microsoft.com/office/drawing/2012/chart" uri="{CE6537A1-D6FC-4f65-9D91-7224C49458BB}"/>
          </c:extLst>
        </c:dLbl>
      </c:pivotFmt>
      <c:pivotFmt>
        <c:idx val="63"/>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pivotFmt>
      <c:pivotFmt>
        <c:idx val="6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marker>
          <c:symbol val="none"/>
        </c:marker>
      </c:pivotFmt>
      <c:pivotFmt>
        <c:idx val="7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8"/>
        <c:marker>
          <c:symbol val="none"/>
        </c:marker>
      </c:pivotFmt>
      <c:pivotFmt>
        <c:idx val="7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3"/>
        <c:marker>
          <c:symbol val="none"/>
        </c:marker>
      </c:pivotFmt>
      <c:pivotFmt>
        <c:idx val="8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6"/>
        <c:marker>
          <c:symbol val="none"/>
        </c:marker>
      </c:pivotFmt>
      <c:pivotFmt>
        <c:idx val="8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marker>
          <c:symbol val="none"/>
        </c:marker>
      </c:pivotFmt>
      <c:pivotFmt>
        <c:idx val="9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8"/>
        <c:marker>
          <c:symbol val="none"/>
        </c:marker>
      </c:pivotFmt>
      <c:pivotFmt>
        <c:idx val="9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284852583178879E-3"/>
          <c:y val="0.15565133305705206"/>
          <c:w val="0.98655264033980095"/>
          <c:h val="0.83493028967709315"/>
        </c:manualLayout>
      </c:layout>
      <c:barChart>
        <c:barDir val="bar"/>
        <c:grouping val="percentStacked"/>
        <c:varyColors val="0"/>
        <c:ser>
          <c:idx val="0"/>
          <c:order val="0"/>
          <c:tx>
            <c:strRef>
              <c:f>CW!$B$5:$B$6</c:f>
              <c:strCache>
                <c:ptCount val="1"/>
                <c:pt idx="0">
                  <c:v>OK</c:v>
                </c:pt>
              </c:strCache>
            </c:strRef>
          </c:tx>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CW!$A$7</c:f>
              <c:strCache>
                <c:ptCount val="1"/>
                <c:pt idx="0">
                  <c:v>Total</c:v>
                </c:pt>
              </c:strCache>
            </c:strRef>
          </c:cat>
          <c:val>
            <c:numRef>
              <c:f>CW!$B$7</c:f>
              <c:numCache>
                <c:formatCode>General</c:formatCode>
                <c:ptCount val="1"/>
                <c:pt idx="0">
                  <c:v>3</c:v>
                </c:pt>
              </c:numCache>
            </c:numRef>
          </c:val>
          <c:extLst>
            <c:ext xmlns:c16="http://schemas.microsoft.com/office/drawing/2014/chart" uri="{C3380CC4-5D6E-409C-BE32-E72D297353CC}">
              <c16:uniqueId val="{00000000-8245-4327-8496-92E9ABEAB024}"/>
            </c:ext>
          </c:extLst>
        </c:ser>
        <c:ser>
          <c:idx val="1"/>
          <c:order val="1"/>
          <c:tx>
            <c:strRef>
              <c:f>CW!$C$5:$C$6</c:f>
              <c:strCache>
                <c:ptCount val="1"/>
                <c:pt idx="0">
                  <c:v>Review</c:v>
                </c:pt>
              </c:strCache>
            </c:strRef>
          </c:tx>
          <c:spPr>
            <a:solidFill>
              <a:schemeClr val="accent4"/>
            </a:solidFill>
          </c:spPr>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CW!$A$7</c:f>
              <c:strCache>
                <c:ptCount val="1"/>
                <c:pt idx="0">
                  <c:v>Total</c:v>
                </c:pt>
              </c:strCache>
            </c:strRef>
          </c:cat>
          <c:val>
            <c:numRef>
              <c:f>CW!$C$7</c:f>
              <c:numCache>
                <c:formatCode>General</c:formatCode>
                <c:ptCount val="1"/>
                <c:pt idx="0">
                  <c:v>1</c:v>
                </c:pt>
              </c:numCache>
            </c:numRef>
          </c:val>
          <c:extLst>
            <c:ext xmlns:c16="http://schemas.microsoft.com/office/drawing/2014/chart" uri="{C3380CC4-5D6E-409C-BE32-E72D297353CC}">
              <c16:uniqueId val="{00000003-8245-4327-8496-92E9ABEAB024}"/>
            </c:ext>
          </c:extLst>
        </c:ser>
        <c:dLbls>
          <c:dLblPos val="ctr"/>
          <c:showLegendKey val="0"/>
          <c:showVal val="1"/>
          <c:showCatName val="0"/>
          <c:showSerName val="0"/>
          <c:showPercent val="0"/>
          <c:showBubbleSize val="0"/>
        </c:dLbls>
        <c:gapWidth val="100"/>
        <c:overlap val="100"/>
        <c:axId val="1467663951"/>
        <c:axId val="888983039"/>
      </c:barChart>
      <c:valAx>
        <c:axId val="888983039"/>
        <c:scaling>
          <c:orientation val="minMax"/>
        </c:scaling>
        <c:delete val="1"/>
        <c:axPos val="b"/>
        <c:numFmt formatCode="0%" sourceLinked="1"/>
        <c:majorTickMark val="out"/>
        <c:minorTickMark val="none"/>
        <c:tickLblPos val="nextTo"/>
        <c:crossAx val="1467663951"/>
        <c:crosses val="autoZero"/>
        <c:crossBetween val="between"/>
      </c:valAx>
      <c:catAx>
        <c:axId val="1467663951"/>
        <c:scaling>
          <c:orientation val="minMax"/>
        </c:scaling>
        <c:delete val="1"/>
        <c:axPos val="l"/>
        <c:numFmt formatCode="General" sourceLinked="1"/>
        <c:majorTickMark val="out"/>
        <c:minorTickMark val="none"/>
        <c:tickLblPos val="nextTo"/>
        <c:crossAx val="888983039"/>
        <c:crosses val="autoZero"/>
        <c:auto val="1"/>
        <c:lblAlgn val="ctr"/>
        <c:lblOffset val="100"/>
        <c:noMultiLvlLbl val="0"/>
      </c:cat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2019-01-07.xlsm]Power!PivotTable1</c:name>
    <c:fmtId val="40"/>
  </c:pivotSource>
  <c:chart>
    <c:autoTitleDeleted val="1"/>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lumMod val="60000"/>
              <a:lumOff val="40000"/>
            </a:schemeClr>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pivotFmt>
      <c:pivotFmt>
        <c:idx val="41"/>
        <c:marker>
          <c:symbol val="none"/>
        </c:marker>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6"/>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7"/>
        <c:marker>
          <c:symbol val="none"/>
        </c:marker>
      </c:pivotFmt>
      <c:pivotFmt>
        <c:idx val="58"/>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elete val="1"/>
          <c:extLst>
            <c:ext xmlns:c15="http://schemas.microsoft.com/office/drawing/2012/chart" uri="{CE6537A1-D6FC-4f65-9D91-7224C49458BB}"/>
          </c:extLst>
        </c:dLbl>
      </c:pivotFmt>
      <c:pivotFmt>
        <c:idx val="61"/>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elete val="1"/>
          <c:extLst>
            <c:ext xmlns:c15="http://schemas.microsoft.com/office/drawing/2012/chart" uri="{CE6537A1-D6FC-4f65-9D91-7224C49458BB}"/>
          </c:extLst>
        </c:dLbl>
      </c:pivotFmt>
      <c:pivotFmt>
        <c:idx val="63"/>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pivotFmt>
      <c:pivotFmt>
        <c:idx val="6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marker>
          <c:symbol val="none"/>
        </c:marker>
      </c:pivotFmt>
      <c:pivotFmt>
        <c:idx val="7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8"/>
        <c:marker>
          <c:symbol val="none"/>
        </c:marker>
      </c:pivotFmt>
      <c:pivotFmt>
        <c:idx val="7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3"/>
        <c:marker>
          <c:symbol val="none"/>
        </c:marker>
      </c:pivotFmt>
      <c:pivotFmt>
        <c:idx val="8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6"/>
        <c:marker>
          <c:symbol val="none"/>
        </c:marker>
      </c:pivotFmt>
      <c:pivotFmt>
        <c:idx val="8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marker>
          <c:symbol val="none"/>
        </c:marker>
      </c:pivotFmt>
      <c:pivotFmt>
        <c:idx val="9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8"/>
        <c:marker>
          <c:symbol val="none"/>
        </c:marker>
      </c:pivotFmt>
      <c:pivotFmt>
        <c:idx val="9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5"/>
        <c:marker>
          <c:symbol val="none"/>
        </c:marker>
      </c:pivotFmt>
      <c:pivotFmt>
        <c:idx val="10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284852583178879E-3"/>
          <c:y val="0.15565133305705206"/>
          <c:w val="0.98655264033980095"/>
          <c:h val="0.83493028967709315"/>
        </c:manualLayout>
      </c:layout>
      <c:barChart>
        <c:barDir val="bar"/>
        <c:grouping val="percentStacked"/>
        <c:varyColors val="0"/>
        <c:ser>
          <c:idx val="0"/>
          <c:order val="0"/>
          <c:tx>
            <c:strRef>
              <c:f>Power!$B$5:$B$6</c:f>
              <c:strCache>
                <c:ptCount val="1"/>
                <c:pt idx="0">
                  <c:v>OK</c:v>
                </c:pt>
              </c:strCache>
            </c:strRef>
          </c:tx>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Power!$A$7</c:f>
              <c:strCache>
                <c:ptCount val="1"/>
                <c:pt idx="0">
                  <c:v>Total</c:v>
                </c:pt>
              </c:strCache>
            </c:strRef>
          </c:cat>
          <c:val>
            <c:numRef>
              <c:f>Power!$B$7</c:f>
              <c:numCache>
                <c:formatCode>General</c:formatCode>
                <c:ptCount val="1"/>
                <c:pt idx="0">
                  <c:v>2</c:v>
                </c:pt>
              </c:numCache>
            </c:numRef>
          </c:val>
          <c:extLst>
            <c:ext xmlns:c16="http://schemas.microsoft.com/office/drawing/2014/chart" uri="{C3380CC4-5D6E-409C-BE32-E72D297353CC}">
              <c16:uniqueId val="{00000000-5DAF-47D1-953B-C5BFD0B6AF29}"/>
            </c:ext>
          </c:extLst>
        </c:ser>
        <c:ser>
          <c:idx val="1"/>
          <c:order val="1"/>
          <c:tx>
            <c:strRef>
              <c:f>Power!$C$5:$C$6</c:f>
              <c:strCache>
                <c:ptCount val="1"/>
                <c:pt idx="0">
                  <c:v>Review</c:v>
                </c:pt>
              </c:strCache>
            </c:strRef>
          </c:tx>
          <c:spPr>
            <a:solidFill>
              <a:schemeClr val="accent4"/>
            </a:solidFill>
          </c:spPr>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Power!$A$7</c:f>
              <c:strCache>
                <c:ptCount val="1"/>
                <c:pt idx="0">
                  <c:v>Total</c:v>
                </c:pt>
              </c:strCache>
            </c:strRef>
          </c:cat>
          <c:val>
            <c:numRef>
              <c:f>Power!$C$7</c:f>
              <c:numCache>
                <c:formatCode>General</c:formatCode>
                <c:ptCount val="1"/>
                <c:pt idx="0">
                  <c:v>2</c:v>
                </c:pt>
              </c:numCache>
            </c:numRef>
          </c:val>
          <c:extLst>
            <c:ext xmlns:c16="http://schemas.microsoft.com/office/drawing/2014/chart" uri="{C3380CC4-5D6E-409C-BE32-E72D297353CC}">
              <c16:uniqueId val="{00000003-5DAF-47D1-953B-C5BFD0B6AF29}"/>
            </c:ext>
          </c:extLst>
        </c:ser>
        <c:dLbls>
          <c:dLblPos val="ctr"/>
          <c:showLegendKey val="0"/>
          <c:showVal val="1"/>
          <c:showCatName val="0"/>
          <c:showSerName val="0"/>
          <c:showPercent val="0"/>
          <c:showBubbleSize val="0"/>
        </c:dLbls>
        <c:gapWidth val="100"/>
        <c:overlap val="100"/>
        <c:axId val="1467663951"/>
        <c:axId val="888983039"/>
      </c:barChart>
      <c:valAx>
        <c:axId val="888983039"/>
        <c:scaling>
          <c:orientation val="minMax"/>
        </c:scaling>
        <c:delete val="1"/>
        <c:axPos val="b"/>
        <c:numFmt formatCode="0%" sourceLinked="1"/>
        <c:majorTickMark val="out"/>
        <c:minorTickMark val="none"/>
        <c:tickLblPos val="nextTo"/>
        <c:crossAx val="1467663951"/>
        <c:crosses val="autoZero"/>
        <c:crossBetween val="between"/>
      </c:valAx>
      <c:catAx>
        <c:axId val="1467663951"/>
        <c:scaling>
          <c:orientation val="minMax"/>
        </c:scaling>
        <c:delete val="1"/>
        <c:axPos val="l"/>
        <c:numFmt formatCode="General" sourceLinked="1"/>
        <c:majorTickMark val="out"/>
        <c:minorTickMark val="none"/>
        <c:tickLblPos val="nextTo"/>
        <c:crossAx val="888983039"/>
        <c:crosses val="autoZero"/>
        <c:auto val="1"/>
        <c:lblAlgn val="ctr"/>
        <c:lblOffset val="100"/>
        <c:noMultiLvlLbl val="0"/>
      </c:catAx>
    </c:plotArea>
    <c:legend>
      <c:legendPos val="r"/>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2019-01-07.xlsm]Structural!PivotTable1</c:name>
    <c:fmtId val="41"/>
  </c:pivotSource>
  <c:chart>
    <c:autoTitleDeleted val="1"/>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lumMod val="60000"/>
              <a:lumOff val="40000"/>
            </a:schemeClr>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pivotFmt>
      <c:pivotFmt>
        <c:idx val="41"/>
        <c:marker>
          <c:symbol val="none"/>
        </c:marker>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6"/>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7"/>
        <c:marker>
          <c:symbol val="none"/>
        </c:marker>
      </c:pivotFmt>
      <c:pivotFmt>
        <c:idx val="58"/>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elete val="1"/>
          <c:extLst>
            <c:ext xmlns:c15="http://schemas.microsoft.com/office/drawing/2012/chart" uri="{CE6537A1-D6FC-4f65-9D91-7224C49458BB}"/>
          </c:extLst>
        </c:dLbl>
      </c:pivotFmt>
      <c:pivotFmt>
        <c:idx val="61"/>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elete val="1"/>
          <c:extLst>
            <c:ext xmlns:c15="http://schemas.microsoft.com/office/drawing/2012/chart" uri="{CE6537A1-D6FC-4f65-9D91-7224C49458BB}"/>
          </c:extLst>
        </c:dLbl>
      </c:pivotFmt>
      <c:pivotFmt>
        <c:idx val="63"/>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pivotFmt>
      <c:pivotFmt>
        <c:idx val="6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marker>
          <c:symbol val="none"/>
        </c:marker>
      </c:pivotFmt>
      <c:pivotFmt>
        <c:idx val="7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8"/>
        <c:marker>
          <c:symbol val="none"/>
        </c:marker>
      </c:pivotFmt>
      <c:pivotFmt>
        <c:idx val="7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3"/>
        <c:marker>
          <c:symbol val="none"/>
        </c:marker>
      </c:pivotFmt>
      <c:pivotFmt>
        <c:idx val="8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6"/>
        <c:marker>
          <c:symbol val="none"/>
        </c:marker>
      </c:pivotFmt>
      <c:pivotFmt>
        <c:idx val="8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marker>
          <c:symbol val="none"/>
        </c:marker>
      </c:pivotFmt>
      <c:pivotFmt>
        <c:idx val="9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8"/>
        <c:marker>
          <c:symbol val="none"/>
        </c:marker>
      </c:pivotFmt>
      <c:pivotFmt>
        <c:idx val="9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5"/>
        <c:marker>
          <c:symbol val="none"/>
        </c:marker>
      </c:pivotFmt>
      <c:pivotFmt>
        <c:idx val="10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0"/>
        <c:marker>
          <c:symbol val="none"/>
        </c:marker>
      </c:pivotFmt>
      <c:pivotFmt>
        <c:idx val="11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284852583178879E-3"/>
          <c:y val="0.15565133305705206"/>
          <c:w val="0.98655264033980095"/>
          <c:h val="0.83493028967709315"/>
        </c:manualLayout>
      </c:layout>
      <c:barChart>
        <c:barDir val="bar"/>
        <c:grouping val="percentStacked"/>
        <c:varyColors val="0"/>
        <c:ser>
          <c:idx val="0"/>
          <c:order val="0"/>
          <c:tx>
            <c:strRef>
              <c:f>Structural!$B$5:$B$6</c:f>
              <c:strCache>
                <c:ptCount val="1"/>
                <c:pt idx="0">
                  <c:v>OK</c:v>
                </c:pt>
              </c:strCache>
            </c:strRef>
          </c:tx>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Structural!$A$7</c:f>
              <c:strCache>
                <c:ptCount val="1"/>
                <c:pt idx="0">
                  <c:v>Total</c:v>
                </c:pt>
              </c:strCache>
            </c:strRef>
          </c:cat>
          <c:val>
            <c:numRef>
              <c:f>Structural!$B$7</c:f>
              <c:numCache>
                <c:formatCode>General</c:formatCode>
                <c:ptCount val="1"/>
                <c:pt idx="0">
                  <c:v>2</c:v>
                </c:pt>
              </c:numCache>
            </c:numRef>
          </c:val>
          <c:extLst>
            <c:ext xmlns:c16="http://schemas.microsoft.com/office/drawing/2014/chart" uri="{C3380CC4-5D6E-409C-BE32-E72D297353CC}">
              <c16:uniqueId val="{00000000-840E-4F00-BBEB-AF3E1D2FBEBB}"/>
            </c:ext>
          </c:extLst>
        </c:ser>
        <c:ser>
          <c:idx val="1"/>
          <c:order val="1"/>
          <c:tx>
            <c:strRef>
              <c:f>Structural!$C$5:$C$6</c:f>
              <c:strCache>
                <c:ptCount val="1"/>
                <c:pt idx="0">
                  <c:v>Review</c:v>
                </c:pt>
              </c:strCache>
            </c:strRef>
          </c:tx>
          <c:spPr>
            <a:solidFill>
              <a:schemeClr val="accent4"/>
            </a:solidFill>
          </c:spPr>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Structural!$A$7</c:f>
              <c:strCache>
                <c:ptCount val="1"/>
                <c:pt idx="0">
                  <c:v>Total</c:v>
                </c:pt>
              </c:strCache>
            </c:strRef>
          </c:cat>
          <c:val>
            <c:numRef>
              <c:f>Structural!$C$7</c:f>
              <c:numCache>
                <c:formatCode>General</c:formatCode>
                <c:ptCount val="1"/>
                <c:pt idx="0">
                  <c:v>2</c:v>
                </c:pt>
              </c:numCache>
            </c:numRef>
          </c:val>
          <c:extLst>
            <c:ext xmlns:c16="http://schemas.microsoft.com/office/drawing/2014/chart" uri="{C3380CC4-5D6E-409C-BE32-E72D297353CC}">
              <c16:uniqueId val="{00000002-840E-4F00-BBEB-AF3E1D2FBEBB}"/>
            </c:ext>
          </c:extLst>
        </c:ser>
        <c:dLbls>
          <c:dLblPos val="ctr"/>
          <c:showLegendKey val="0"/>
          <c:showVal val="1"/>
          <c:showCatName val="0"/>
          <c:showSerName val="0"/>
          <c:showPercent val="0"/>
          <c:showBubbleSize val="0"/>
        </c:dLbls>
        <c:gapWidth val="100"/>
        <c:overlap val="100"/>
        <c:axId val="1467663951"/>
        <c:axId val="888983039"/>
      </c:barChart>
      <c:valAx>
        <c:axId val="888983039"/>
        <c:scaling>
          <c:orientation val="minMax"/>
        </c:scaling>
        <c:delete val="1"/>
        <c:axPos val="b"/>
        <c:numFmt formatCode="0%" sourceLinked="1"/>
        <c:majorTickMark val="out"/>
        <c:minorTickMark val="none"/>
        <c:tickLblPos val="nextTo"/>
        <c:crossAx val="1467663951"/>
        <c:crosses val="autoZero"/>
        <c:crossBetween val="between"/>
      </c:valAx>
      <c:catAx>
        <c:axId val="1467663951"/>
        <c:scaling>
          <c:orientation val="minMax"/>
        </c:scaling>
        <c:delete val="1"/>
        <c:axPos val="l"/>
        <c:numFmt formatCode="General" sourceLinked="1"/>
        <c:majorTickMark val="out"/>
        <c:minorTickMark val="none"/>
        <c:tickLblPos val="nextTo"/>
        <c:crossAx val="888983039"/>
        <c:crosses val="autoZero"/>
        <c:auto val="1"/>
        <c:lblAlgn val="ctr"/>
        <c:lblOffset val="100"/>
        <c:noMultiLvlLbl val="0"/>
      </c:catAx>
    </c:plotArea>
    <c:legend>
      <c:legendPos val="r"/>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2019-01-07.xlsm]RF!PivotTable1</c:name>
    <c:fmtId val="42"/>
  </c:pivotSource>
  <c:chart>
    <c:autoTitleDeleted val="1"/>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lumMod val="60000"/>
              <a:lumOff val="40000"/>
            </a:schemeClr>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pivotFmt>
      <c:pivotFmt>
        <c:idx val="41"/>
        <c:marker>
          <c:symbol val="none"/>
        </c:marker>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6"/>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7"/>
        <c:marker>
          <c:symbol val="none"/>
        </c:marker>
      </c:pivotFmt>
      <c:pivotFmt>
        <c:idx val="58"/>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elete val="1"/>
          <c:extLst>
            <c:ext xmlns:c15="http://schemas.microsoft.com/office/drawing/2012/chart" uri="{CE6537A1-D6FC-4f65-9D91-7224C49458BB}"/>
          </c:extLst>
        </c:dLbl>
      </c:pivotFmt>
      <c:pivotFmt>
        <c:idx val="61"/>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elete val="1"/>
          <c:extLst>
            <c:ext xmlns:c15="http://schemas.microsoft.com/office/drawing/2012/chart" uri="{CE6537A1-D6FC-4f65-9D91-7224C49458BB}"/>
          </c:extLst>
        </c:dLbl>
      </c:pivotFmt>
      <c:pivotFmt>
        <c:idx val="63"/>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pivotFmt>
      <c:pivotFmt>
        <c:idx val="6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marker>
          <c:symbol val="none"/>
        </c:marker>
      </c:pivotFmt>
      <c:pivotFmt>
        <c:idx val="7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8"/>
        <c:marker>
          <c:symbol val="none"/>
        </c:marker>
      </c:pivotFmt>
      <c:pivotFmt>
        <c:idx val="7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3"/>
        <c:marker>
          <c:symbol val="none"/>
        </c:marker>
      </c:pivotFmt>
      <c:pivotFmt>
        <c:idx val="8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6"/>
        <c:marker>
          <c:symbol val="none"/>
        </c:marker>
      </c:pivotFmt>
      <c:pivotFmt>
        <c:idx val="8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marker>
          <c:symbol val="none"/>
        </c:marker>
      </c:pivotFmt>
      <c:pivotFmt>
        <c:idx val="9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8"/>
        <c:marker>
          <c:symbol val="none"/>
        </c:marker>
      </c:pivotFmt>
      <c:pivotFmt>
        <c:idx val="9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5"/>
        <c:marker>
          <c:symbol val="none"/>
        </c:marker>
      </c:pivotFmt>
      <c:pivotFmt>
        <c:idx val="10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0"/>
        <c:marker>
          <c:symbol val="none"/>
        </c:marker>
      </c:pivotFmt>
      <c:pivotFmt>
        <c:idx val="11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4"/>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5"/>
        <c:marker>
          <c:symbol val="none"/>
        </c:marker>
      </c:pivotFmt>
      <c:pivotFmt>
        <c:idx val="116"/>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1"/>
          </a:solidFill>
        </c:spPr>
      </c:pivotFmt>
    </c:pivotFmts>
    <c:plotArea>
      <c:layout>
        <c:manualLayout>
          <c:layoutTarget val="inner"/>
          <c:xMode val="edge"/>
          <c:yMode val="edge"/>
          <c:x val="1.1284852583178879E-3"/>
          <c:y val="0.15565133305705206"/>
          <c:w val="0.98655264033980095"/>
          <c:h val="0.83493028967709315"/>
        </c:manualLayout>
      </c:layout>
      <c:barChart>
        <c:barDir val="bar"/>
        <c:grouping val="percentStacked"/>
        <c:varyColors val="0"/>
        <c:ser>
          <c:idx val="0"/>
          <c:order val="0"/>
          <c:tx>
            <c:strRef>
              <c:f>RF!$B$5:$B$6</c:f>
              <c:strCache>
                <c:ptCount val="1"/>
                <c:pt idx="0">
                  <c:v>OK</c:v>
                </c:pt>
              </c:strCache>
            </c:strRef>
          </c:tx>
          <c:spPr>
            <a:solidFill>
              <a:schemeClr val="accent6"/>
            </a:solidFill>
          </c:spPr>
          <c:invertIfNegative val="0"/>
          <c:dPt>
            <c:idx val="0"/>
            <c:invertIfNegative val="0"/>
            <c:bubble3D val="0"/>
            <c:spPr>
              <a:solidFill>
                <a:schemeClr val="accent1"/>
              </a:solidFill>
            </c:spPr>
            <c:extLst>
              <c:ext xmlns:c16="http://schemas.microsoft.com/office/drawing/2014/chart" uri="{C3380CC4-5D6E-409C-BE32-E72D297353CC}">
                <c16:uniqueId val="{00000009-A411-40AF-A33F-E2ADFD3B8A27}"/>
              </c:ext>
            </c:extLst>
          </c:dPt>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RF!$A$7</c:f>
              <c:strCache>
                <c:ptCount val="1"/>
                <c:pt idx="0">
                  <c:v>Total</c:v>
                </c:pt>
              </c:strCache>
            </c:strRef>
          </c:cat>
          <c:val>
            <c:numRef>
              <c:f>RF!$B$7</c:f>
              <c:numCache>
                <c:formatCode>General</c:formatCode>
                <c:ptCount val="1"/>
                <c:pt idx="0">
                  <c:v>4</c:v>
                </c:pt>
              </c:numCache>
            </c:numRef>
          </c:val>
          <c:extLst>
            <c:ext xmlns:c16="http://schemas.microsoft.com/office/drawing/2014/chart" uri="{C3380CC4-5D6E-409C-BE32-E72D297353CC}">
              <c16:uniqueId val="{00000000-A411-40AF-A33F-E2ADFD3B8A27}"/>
            </c:ext>
          </c:extLst>
        </c:ser>
        <c:dLbls>
          <c:dLblPos val="ctr"/>
          <c:showLegendKey val="0"/>
          <c:showVal val="1"/>
          <c:showCatName val="0"/>
          <c:showSerName val="0"/>
          <c:showPercent val="0"/>
          <c:showBubbleSize val="0"/>
        </c:dLbls>
        <c:gapWidth val="100"/>
        <c:overlap val="100"/>
        <c:axId val="1467663951"/>
        <c:axId val="888983039"/>
      </c:barChart>
      <c:valAx>
        <c:axId val="888983039"/>
        <c:scaling>
          <c:orientation val="minMax"/>
        </c:scaling>
        <c:delete val="1"/>
        <c:axPos val="b"/>
        <c:numFmt formatCode="0%" sourceLinked="1"/>
        <c:majorTickMark val="out"/>
        <c:minorTickMark val="none"/>
        <c:tickLblPos val="nextTo"/>
        <c:crossAx val="1467663951"/>
        <c:crosses val="autoZero"/>
        <c:crossBetween val="between"/>
      </c:valAx>
      <c:catAx>
        <c:axId val="1467663951"/>
        <c:scaling>
          <c:orientation val="minMax"/>
        </c:scaling>
        <c:delete val="1"/>
        <c:axPos val="l"/>
        <c:numFmt formatCode="General" sourceLinked="1"/>
        <c:majorTickMark val="out"/>
        <c:minorTickMark val="none"/>
        <c:tickLblPos val="nextTo"/>
        <c:crossAx val="888983039"/>
        <c:crosses val="autoZero"/>
        <c:auto val="1"/>
        <c:lblAlgn val="ctr"/>
        <c:lblOffset val="100"/>
        <c:noMultiLvlLbl val="0"/>
      </c:catAx>
    </c:plotArea>
    <c:legend>
      <c:legendPos val="r"/>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2019-01-07.xlsm]SAQ!PivotTable1</c:name>
    <c:fmtId val="43"/>
  </c:pivotSource>
  <c:chart>
    <c:autoTitleDeleted val="1"/>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lumMod val="60000"/>
              <a:lumOff val="40000"/>
            </a:schemeClr>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pivotFmt>
      <c:pivotFmt>
        <c:idx val="41"/>
        <c:marker>
          <c:symbol val="none"/>
        </c:marker>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6"/>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1"/>
          <c:showPercent val="0"/>
          <c:showBubbleSize val="0"/>
          <c:extLst>
            <c:ext xmlns:c15="http://schemas.microsoft.com/office/drawing/2012/chart" uri="{CE6537A1-D6FC-4f65-9D91-7224C49458BB}"/>
          </c:extLst>
        </c:dLbl>
      </c:pivotFmt>
      <c:pivotFmt>
        <c:idx val="57"/>
        <c:marker>
          <c:symbol val="none"/>
        </c:marker>
      </c:pivotFmt>
      <c:pivotFmt>
        <c:idx val="58"/>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elete val="1"/>
          <c:extLst>
            <c:ext xmlns:c15="http://schemas.microsoft.com/office/drawing/2012/chart" uri="{CE6537A1-D6FC-4f65-9D91-7224C49458BB}"/>
          </c:extLst>
        </c:dLbl>
      </c:pivotFmt>
      <c:pivotFmt>
        <c:idx val="61"/>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elete val="1"/>
          <c:extLst>
            <c:ext xmlns:c15="http://schemas.microsoft.com/office/drawing/2012/chart" uri="{CE6537A1-D6FC-4f65-9D91-7224C49458BB}"/>
          </c:extLst>
        </c:dLbl>
      </c:pivotFmt>
      <c:pivotFmt>
        <c:idx val="63"/>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spPr>
            <a:noFill/>
            <a:ln>
              <a:noFill/>
            </a:ln>
            <a:effectLst/>
          </c:spPr>
          <c:txPr>
            <a:bodyPr wrap="square" lIns="38100" tIns="19050" rIns="38100" bIns="19050" anchor="ctr">
              <a:spAutoFit/>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pivotFmt>
      <c:pivotFmt>
        <c:idx val="6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marker>
          <c:symbol val="none"/>
        </c:marker>
      </c:pivotFmt>
      <c:pivotFmt>
        <c:idx val="7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8"/>
        <c:marker>
          <c:symbol val="none"/>
        </c:marker>
      </c:pivotFmt>
      <c:pivotFmt>
        <c:idx val="7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3"/>
        <c:marker>
          <c:symbol val="none"/>
        </c:marker>
      </c:pivotFmt>
      <c:pivotFmt>
        <c:idx val="8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5"/>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6"/>
        <c:marker>
          <c:symbol val="none"/>
        </c:marker>
      </c:pivotFmt>
      <c:pivotFmt>
        <c:idx val="87"/>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marker>
          <c:symbol val="none"/>
        </c:marker>
      </c:pivotFmt>
      <c:pivotFmt>
        <c:idx val="9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8"/>
        <c:marker>
          <c:symbol val="none"/>
        </c:marker>
      </c:pivotFmt>
      <c:pivotFmt>
        <c:idx val="99"/>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0"/>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5"/>
        <c:marker>
          <c:symbol val="none"/>
        </c:marker>
      </c:pivotFmt>
      <c:pivotFmt>
        <c:idx val="106"/>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8"/>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0"/>
        <c:marker>
          <c:symbol val="none"/>
        </c:marker>
      </c:pivotFmt>
      <c:pivotFmt>
        <c:idx val="111"/>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4"/>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5"/>
        <c:marker>
          <c:symbol val="none"/>
        </c:marker>
      </c:pivotFmt>
      <c:pivotFmt>
        <c:idx val="116"/>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1"/>
          </a:solidFill>
        </c:spPr>
      </c:pivotFmt>
      <c:pivotFmt>
        <c:idx val="119"/>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0"/>
        <c:spPr>
          <a:solidFill>
            <a:schemeClr val="accent1"/>
          </a:solidFill>
        </c:spPr>
      </c:pivotFmt>
      <c:pivotFmt>
        <c:idx val="121"/>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2"/>
        <c:marker>
          <c:symbol val="none"/>
        </c:marker>
      </c:pivotFmt>
      <c:pivotFmt>
        <c:idx val="12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4"/>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5"/>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284852583178879E-3"/>
          <c:y val="0.15565133305705206"/>
          <c:w val="0.98655264033980095"/>
          <c:h val="0.83493028967709315"/>
        </c:manualLayout>
      </c:layout>
      <c:barChart>
        <c:barDir val="bar"/>
        <c:grouping val="percentStacked"/>
        <c:varyColors val="0"/>
        <c:ser>
          <c:idx val="0"/>
          <c:order val="0"/>
          <c:tx>
            <c:strRef>
              <c:f>SAQ!$B$5:$B$6</c:f>
              <c:strCache>
                <c:ptCount val="1"/>
              </c:strCache>
            </c:strRef>
          </c:tx>
          <c:invertIfNegative val="0"/>
          <c:dPt>
            <c:idx val="0"/>
            <c:invertIfNegative val="0"/>
            <c:bubble3D val="0"/>
            <c:extLst>
              <c:ext xmlns:c16="http://schemas.microsoft.com/office/drawing/2014/chart" uri="{C3380CC4-5D6E-409C-BE32-E72D297353CC}">
                <c16:uniqueId val="{00000001-A3C7-4339-A95F-3B5EC20B6D20}"/>
              </c:ext>
            </c:extLst>
          </c:dPt>
          <c:dLbls>
            <c:delete val="1"/>
          </c:dLbls>
          <c:cat>
            <c:strRef>
              <c:f>SAQ!$A$7</c:f>
              <c:strCache>
                <c:ptCount val="1"/>
                <c:pt idx="0">
                  <c:v>Total</c:v>
                </c:pt>
              </c:strCache>
            </c:strRef>
          </c:cat>
          <c:val>
            <c:numRef>
              <c:f>SAQ!$B$7</c:f>
              <c:numCache>
                <c:formatCode>General</c:formatCode>
                <c:ptCount val="1"/>
                <c:pt idx="0">
                  <c:v>46</c:v>
                </c:pt>
              </c:numCache>
            </c:numRef>
          </c:val>
          <c:extLst>
            <c:ext xmlns:c16="http://schemas.microsoft.com/office/drawing/2014/chart" uri="{C3380CC4-5D6E-409C-BE32-E72D297353CC}">
              <c16:uniqueId val="{00000002-A3C7-4339-A95F-3B5EC20B6D20}"/>
            </c:ext>
          </c:extLst>
        </c:ser>
        <c:ser>
          <c:idx val="1"/>
          <c:order val="1"/>
          <c:tx>
            <c:strRef>
              <c:f>SAQ!$C$5:$C$6</c:f>
              <c:strCache>
                <c:ptCount val="1"/>
                <c:pt idx="0">
                  <c:v>OK</c:v>
                </c:pt>
              </c:strCache>
            </c:strRef>
          </c:tx>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SAQ!$A$7</c:f>
              <c:strCache>
                <c:ptCount val="1"/>
                <c:pt idx="0">
                  <c:v>Total</c:v>
                </c:pt>
              </c:strCache>
            </c:strRef>
          </c:cat>
          <c:val>
            <c:numRef>
              <c:f>SAQ!$C$7</c:f>
              <c:numCache>
                <c:formatCode>General</c:formatCode>
                <c:ptCount val="1"/>
                <c:pt idx="0">
                  <c:v>4</c:v>
                </c:pt>
              </c:numCache>
            </c:numRef>
          </c:val>
          <c:extLst>
            <c:ext xmlns:c16="http://schemas.microsoft.com/office/drawing/2014/chart" uri="{C3380CC4-5D6E-409C-BE32-E72D297353CC}">
              <c16:uniqueId val="{00000014-A3C7-4339-A95F-3B5EC20B6D20}"/>
            </c:ext>
          </c:extLst>
        </c:ser>
        <c:dLbls>
          <c:dLblPos val="ctr"/>
          <c:showLegendKey val="0"/>
          <c:showVal val="1"/>
          <c:showCatName val="0"/>
          <c:showSerName val="0"/>
          <c:showPercent val="0"/>
          <c:showBubbleSize val="0"/>
        </c:dLbls>
        <c:gapWidth val="100"/>
        <c:overlap val="100"/>
        <c:axId val="1467663951"/>
        <c:axId val="888983039"/>
      </c:barChart>
      <c:valAx>
        <c:axId val="888983039"/>
        <c:scaling>
          <c:orientation val="minMax"/>
        </c:scaling>
        <c:delete val="1"/>
        <c:axPos val="b"/>
        <c:numFmt formatCode="0%" sourceLinked="1"/>
        <c:majorTickMark val="out"/>
        <c:minorTickMark val="none"/>
        <c:tickLblPos val="nextTo"/>
        <c:crossAx val="1467663951"/>
        <c:crosses val="autoZero"/>
        <c:crossBetween val="between"/>
      </c:valAx>
      <c:catAx>
        <c:axId val="1467663951"/>
        <c:scaling>
          <c:orientation val="minMax"/>
        </c:scaling>
        <c:delete val="1"/>
        <c:axPos val="l"/>
        <c:numFmt formatCode="General" sourceLinked="1"/>
        <c:majorTickMark val="out"/>
        <c:minorTickMark val="none"/>
        <c:tickLblPos val="nextTo"/>
        <c:crossAx val="888983039"/>
        <c:crosses val="autoZero"/>
        <c:auto val="1"/>
        <c:lblAlgn val="ctr"/>
        <c:lblOffset val="100"/>
        <c:noMultiLvlLbl val="0"/>
      </c:catAx>
    </c:plotArea>
    <c:legend>
      <c:legendPos val="r"/>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image" Target="../media/image1.png"/><Relationship Id="rId1" Type="http://schemas.openxmlformats.org/officeDocument/2006/relationships/chart" Target="../charts/chart5.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4.xml"/><Relationship Id="rId7" Type="http://schemas.openxmlformats.org/officeDocument/2006/relationships/image" Target="../media/image1.png"/><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editAs="oneCell">
    <xdr:from>
      <xdr:col>7</xdr:col>
      <xdr:colOff>14516</xdr:colOff>
      <xdr:row>2</xdr:row>
      <xdr:rowOff>0</xdr:rowOff>
    </xdr:from>
    <xdr:to>
      <xdr:col>11</xdr:col>
      <xdr:colOff>0</xdr:colOff>
      <xdr:row>8</xdr:row>
      <xdr:rowOff>31750</xdr:rowOff>
    </xdr:to>
    <xdr:pic>
      <xdr:nvPicPr>
        <xdr:cNvPr id="2" name="Picture 1">
          <a:extLst>
            <a:ext uri="{FF2B5EF4-FFF2-40B4-BE49-F238E27FC236}">
              <a16:creationId xmlns:a16="http://schemas.microsoft.com/office/drawing/2014/main" id="{1F2173E2-8BC4-4FDF-908B-70ABCB56EB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1100366" y="190500"/>
          <a:ext cx="709384" cy="1174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49094</xdr:colOff>
      <xdr:row>8</xdr:row>
      <xdr:rowOff>0</xdr:rowOff>
    </xdr:from>
    <xdr:to>
      <xdr:col>38</xdr:col>
      <xdr:colOff>95250</xdr:colOff>
      <xdr:row>29</xdr:row>
      <xdr:rowOff>0</xdr:rowOff>
    </xdr:to>
    <xdr:graphicFrame macro="">
      <xdr:nvGraphicFramePr>
        <xdr:cNvPr id="3" name="Chart 2">
          <a:extLst>
            <a:ext uri="{FF2B5EF4-FFF2-40B4-BE49-F238E27FC236}">
              <a16:creationId xmlns:a16="http://schemas.microsoft.com/office/drawing/2014/main" id="{60A9DAA3-6F20-43CE-81A9-DE0205CC47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30773</xdr:colOff>
      <xdr:row>7</xdr:row>
      <xdr:rowOff>0</xdr:rowOff>
    </xdr:from>
    <xdr:to>
      <xdr:col>30</xdr:col>
      <xdr:colOff>28575</xdr:colOff>
      <xdr:row>29</xdr:row>
      <xdr:rowOff>0</xdr:rowOff>
    </xdr:to>
    <xdr:graphicFrame macro="">
      <xdr:nvGraphicFramePr>
        <xdr:cNvPr id="4" name="Chart 1">
          <a:extLst>
            <a:ext uri="{FF2B5EF4-FFF2-40B4-BE49-F238E27FC236}">
              <a16:creationId xmlns:a16="http://schemas.microsoft.com/office/drawing/2014/main" id="{97B70271-D434-4A37-9487-618BE1EAE8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7327</xdr:colOff>
      <xdr:row>29</xdr:row>
      <xdr:rowOff>0</xdr:rowOff>
    </xdr:from>
    <xdr:to>
      <xdr:col>41</xdr:col>
      <xdr:colOff>0</xdr:colOff>
      <xdr:row>40</xdr:row>
      <xdr:rowOff>0</xdr:rowOff>
    </xdr:to>
    <xdr:graphicFrame macro="">
      <xdr:nvGraphicFramePr>
        <xdr:cNvPr id="5" name="Chart 4">
          <a:extLst>
            <a:ext uri="{FF2B5EF4-FFF2-40B4-BE49-F238E27FC236}">
              <a16:creationId xmlns:a16="http://schemas.microsoft.com/office/drawing/2014/main" id="{76606125-87DA-4076-82DE-C25E68179F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54</xdr:col>
      <xdr:colOff>2</xdr:colOff>
      <xdr:row>28</xdr:row>
      <xdr:rowOff>0</xdr:rowOff>
    </xdr:from>
    <xdr:to>
      <xdr:col>77</xdr:col>
      <xdr:colOff>0</xdr:colOff>
      <xdr:row>41</xdr:row>
      <xdr:rowOff>0</xdr:rowOff>
    </xdr:to>
    <xdr:graphicFrame macro="">
      <xdr:nvGraphicFramePr>
        <xdr:cNvPr id="7" name="Chart 6">
          <a:extLst>
            <a:ext uri="{FF2B5EF4-FFF2-40B4-BE49-F238E27FC236}">
              <a16:creationId xmlns:a16="http://schemas.microsoft.com/office/drawing/2014/main" id="{B8238358-4605-4371-A4A3-702C7BB45F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171450</xdr:colOff>
      <xdr:row>35</xdr:row>
      <xdr:rowOff>0</xdr:rowOff>
    </xdr:from>
    <xdr:to>
      <xdr:col>54</xdr:col>
      <xdr:colOff>0</xdr:colOff>
      <xdr:row>40</xdr:row>
      <xdr:rowOff>0</xdr:rowOff>
    </xdr:to>
    <xdr:graphicFrame macro="">
      <xdr:nvGraphicFramePr>
        <xdr:cNvPr id="16" name="Chart 15">
          <a:extLst>
            <a:ext uri="{FF2B5EF4-FFF2-40B4-BE49-F238E27FC236}">
              <a16:creationId xmlns:a16="http://schemas.microsoft.com/office/drawing/2014/main" id="{A9BC5C6D-1519-46D2-8327-4C37B4DED7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14516</xdr:colOff>
      <xdr:row>2</xdr:row>
      <xdr:rowOff>0</xdr:rowOff>
    </xdr:from>
    <xdr:to>
      <xdr:col>11</xdr:col>
      <xdr:colOff>0</xdr:colOff>
      <xdr:row>8</xdr:row>
      <xdr:rowOff>31750</xdr:rowOff>
    </xdr:to>
    <xdr:pic>
      <xdr:nvPicPr>
        <xdr:cNvPr id="2" name="Picture 1">
          <a:extLst>
            <a:ext uri="{FF2B5EF4-FFF2-40B4-BE49-F238E27FC236}">
              <a16:creationId xmlns:a16="http://schemas.microsoft.com/office/drawing/2014/main" id="{55DD15A4-5EB1-4B47-B4EB-EA81A576E7E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a:ext>
          </a:extLst>
        </a:blip>
        <a:srcRect/>
        <a:stretch>
          <a:fillRect/>
        </a:stretch>
      </xdr:blipFill>
      <xdr:spPr bwMode="auto">
        <a:xfrm>
          <a:off x="1100366" y="190500"/>
          <a:ext cx="709384" cy="1174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0</xdr:colOff>
      <xdr:row>20</xdr:row>
      <xdr:rowOff>0</xdr:rowOff>
    </xdr:from>
    <xdr:to>
      <xdr:col>54</xdr:col>
      <xdr:colOff>9525</xdr:colOff>
      <xdr:row>26</xdr:row>
      <xdr:rowOff>0</xdr:rowOff>
    </xdr:to>
    <xdr:graphicFrame macro="">
      <xdr:nvGraphicFramePr>
        <xdr:cNvPr id="5" name="Chart 4">
          <a:extLst>
            <a:ext uri="{FF2B5EF4-FFF2-40B4-BE49-F238E27FC236}">
              <a16:creationId xmlns:a16="http://schemas.microsoft.com/office/drawing/2014/main" id="{73961B36-6725-4382-98E4-6D362FE7C6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xdr:colOff>
      <xdr:row>14</xdr:row>
      <xdr:rowOff>0</xdr:rowOff>
    </xdr:from>
    <xdr:to>
      <xdr:col>54</xdr:col>
      <xdr:colOff>0</xdr:colOff>
      <xdr:row>20</xdr:row>
      <xdr:rowOff>0</xdr:rowOff>
    </xdr:to>
    <xdr:graphicFrame macro="">
      <xdr:nvGraphicFramePr>
        <xdr:cNvPr id="6" name="Chart 5">
          <a:extLst>
            <a:ext uri="{FF2B5EF4-FFF2-40B4-BE49-F238E27FC236}">
              <a16:creationId xmlns:a16="http://schemas.microsoft.com/office/drawing/2014/main" id="{204A5948-6DC2-4D71-BB4C-E92076B4A2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180974</xdr:colOff>
      <xdr:row>8</xdr:row>
      <xdr:rowOff>0</xdr:rowOff>
    </xdr:from>
    <xdr:to>
      <xdr:col>54</xdr:col>
      <xdr:colOff>0</xdr:colOff>
      <xdr:row>14</xdr:row>
      <xdr:rowOff>0</xdr:rowOff>
    </xdr:to>
    <xdr:graphicFrame macro="">
      <xdr:nvGraphicFramePr>
        <xdr:cNvPr id="7" name="Chart 6">
          <a:extLst>
            <a:ext uri="{FF2B5EF4-FFF2-40B4-BE49-F238E27FC236}">
              <a16:creationId xmlns:a16="http://schemas.microsoft.com/office/drawing/2014/main" id="{09EBB18B-2348-4314-855E-AAB010E6E8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55</xdr:col>
      <xdr:colOff>76200</xdr:colOff>
      <xdr:row>16</xdr:row>
      <xdr:rowOff>0</xdr:rowOff>
    </xdr:from>
    <xdr:to>
      <xdr:col>79</xdr:col>
      <xdr:colOff>76200</xdr:colOff>
      <xdr:row>32</xdr:row>
      <xdr:rowOff>9525</xdr:rowOff>
    </xdr:to>
    <xdr:graphicFrame macro="">
      <xdr:nvGraphicFramePr>
        <xdr:cNvPr id="13" name="Chart 12">
          <a:extLst>
            <a:ext uri="{FF2B5EF4-FFF2-40B4-BE49-F238E27FC236}">
              <a16:creationId xmlns:a16="http://schemas.microsoft.com/office/drawing/2014/main" id="{A44716A0-C670-4263-A5D7-EC67D373CA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1</xdr:colOff>
      <xdr:row>31</xdr:row>
      <xdr:rowOff>171450</xdr:rowOff>
    </xdr:from>
    <xdr:to>
      <xdr:col>54</xdr:col>
      <xdr:colOff>0</xdr:colOff>
      <xdr:row>37</xdr:row>
      <xdr:rowOff>0</xdr:rowOff>
    </xdr:to>
    <xdr:graphicFrame macro="">
      <xdr:nvGraphicFramePr>
        <xdr:cNvPr id="15" name="Chart 14">
          <a:extLst>
            <a:ext uri="{FF2B5EF4-FFF2-40B4-BE49-F238E27FC236}">
              <a16:creationId xmlns:a16="http://schemas.microsoft.com/office/drawing/2014/main" id="{252F9867-4EA0-4222-B43E-310AF24799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0</xdr:colOff>
      <xdr:row>29</xdr:row>
      <xdr:rowOff>0</xdr:rowOff>
    </xdr:from>
    <xdr:to>
      <xdr:col>54</xdr:col>
      <xdr:colOff>1</xdr:colOff>
      <xdr:row>34</xdr:row>
      <xdr:rowOff>0</xdr:rowOff>
    </xdr:to>
    <xdr:graphicFrame macro="">
      <xdr:nvGraphicFramePr>
        <xdr:cNvPr id="14" name="Chart 13">
          <a:extLst>
            <a:ext uri="{FF2B5EF4-FFF2-40B4-BE49-F238E27FC236}">
              <a16:creationId xmlns:a16="http://schemas.microsoft.com/office/drawing/2014/main" id="{DFD6F0D1-EEDD-442B-933D-A0B957A6E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xdr:colOff>
      <xdr:row>4</xdr:row>
      <xdr:rowOff>171450</xdr:rowOff>
    </xdr:from>
    <xdr:to>
      <xdr:col>15</xdr:col>
      <xdr:colOff>1</xdr:colOff>
      <xdr:row>35</xdr:row>
      <xdr:rowOff>0</xdr:rowOff>
    </xdr:to>
    <xdr:graphicFrame macro="">
      <xdr:nvGraphicFramePr>
        <xdr:cNvPr id="2" name="Chart 1">
          <a:extLst>
            <a:ext uri="{FF2B5EF4-FFF2-40B4-BE49-F238E27FC236}">
              <a16:creationId xmlns:a16="http://schemas.microsoft.com/office/drawing/2014/main" id="{8584F752-26D7-4F96-B193-BFD9BA553F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9</xdr:row>
      <xdr:rowOff>0</xdr:rowOff>
    </xdr:from>
    <xdr:to>
      <xdr:col>23</xdr:col>
      <xdr:colOff>0</xdr:colOff>
      <xdr:row>14</xdr:row>
      <xdr:rowOff>9524</xdr:rowOff>
    </xdr:to>
    <xdr:graphicFrame macro="">
      <xdr:nvGraphicFramePr>
        <xdr:cNvPr id="5" name="Chart 4">
          <a:extLst>
            <a:ext uri="{FF2B5EF4-FFF2-40B4-BE49-F238E27FC236}">
              <a16:creationId xmlns:a16="http://schemas.microsoft.com/office/drawing/2014/main" id="{31A269D6-FFE3-4792-B2E6-AEBD4E0B1A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14</xdr:row>
      <xdr:rowOff>0</xdr:rowOff>
    </xdr:from>
    <xdr:to>
      <xdr:col>22</xdr:col>
      <xdr:colOff>609599</xdr:colOff>
      <xdr:row>19</xdr:row>
      <xdr:rowOff>0</xdr:rowOff>
    </xdr:to>
    <xdr:graphicFrame macro="">
      <xdr:nvGraphicFramePr>
        <xdr:cNvPr id="6" name="Chart 5">
          <a:extLst>
            <a:ext uri="{FF2B5EF4-FFF2-40B4-BE49-F238E27FC236}">
              <a16:creationId xmlns:a16="http://schemas.microsoft.com/office/drawing/2014/main" id="{EC8D205B-BBAD-423E-9FAA-2122529060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19</xdr:row>
      <xdr:rowOff>0</xdr:rowOff>
    </xdr:from>
    <xdr:to>
      <xdr:col>22</xdr:col>
      <xdr:colOff>609599</xdr:colOff>
      <xdr:row>24</xdr:row>
      <xdr:rowOff>0</xdr:rowOff>
    </xdr:to>
    <xdr:graphicFrame macro="">
      <xdr:nvGraphicFramePr>
        <xdr:cNvPr id="7" name="Chart 6">
          <a:extLst>
            <a:ext uri="{FF2B5EF4-FFF2-40B4-BE49-F238E27FC236}">
              <a16:creationId xmlns:a16="http://schemas.microsoft.com/office/drawing/2014/main" id="{17C9C992-069E-43FE-AAD8-DD3036B313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24</xdr:row>
      <xdr:rowOff>0</xdr:rowOff>
    </xdr:from>
    <xdr:to>
      <xdr:col>22</xdr:col>
      <xdr:colOff>609599</xdr:colOff>
      <xdr:row>29</xdr:row>
      <xdr:rowOff>0</xdr:rowOff>
    </xdr:to>
    <xdr:graphicFrame macro="">
      <xdr:nvGraphicFramePr>
        <xdr:cNvPr id="8" name="Chart 7">
          <a:extLst>
            <a:ext uri="{FF2B5EF4-FFF2-40B4-BE49-F238E27FC236}">
              <a16:creationId xmlns:a16="http://schemas.microsoft.com/office/drawing/2014/main" id="{65271189-FB2A-433A-AC4B-E2B93DE071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4</xdr:row>
      <xdr:rowOff>1</xdr:rowOff>
    </xdr:from>
    <xdr:to>
      <xdr:col>22</xdr:col>
      <xdr:colOff>600075</xdr:colOff>
      <xdr:row>9</xdr:row>
      <xdr:rowOff>1</xdr:rowOff>
    </xdr:to>
    <xdr:graphicFrame macro="">
      <xdr:nvGraphicFramePr>
        <xdr:cNvPr id="9" name="Chart 8">
          <a:extLst>
            <a:ext uri="{FF2B5EF4-FFF2-40B4-BE49-F238E27FC236}">
              <a16:creationId xmlns:a16="http://schemas.microsoft.com/office/drawing/2014/main" id="{28EBBED3-5475-4779-B33F-64F17344F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295275</xdr:colOff>
      <xdr:row>0</xdr:row>
      <xdr:rowOff>95250</xdr:rowOff>
    </xdr:from>
    <xdr:to>
      <xdr:col>1</xdr:col>
      <xdr:colOff>403852</xdr:colOff>
      <xdr:row>6</xdr:row>
      <xdr:rowOff>127000</xdr:rowOff>
    </xdr:to>
    <xdr:pic>
      <xdr:nvPicPr>
        <xdr:cNvPr id="10" name="Picture 9">
          <a:extLst>
            <a:ext uri="{FF2B5EF4-FFF2-40B4-BE49-F238E27FC236}">
              <a16:creationId xmlns:a16="http://schemas.microsoft.com/office/drawing/2014/main" id="{83F94D3C-BFBC-4644-B592-5EBF9AC76D79}"/>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a:ext>
          </a:extLst>
        </a:blip>
        <a:srcRect/>
        <a:stretch>
          <a:fillRect/>
        </a:stretch>
      </xdr:blipFill>
      <xdr:spPr bwMode="auto">
        <a:xfrm>
          <a:off x="295275" y="95250"/>
          <a:ext cx="718177" cy="1174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xdr:row>
      <xdr:rowOff>0</xdr:rowOff>
    </xdr:from>
    <xdr:to>
      <xdr:col>3</xdr:col>
      <xdr:colOff>0</xdr:colOff>
      <xdr:row>20</xdr:row>
      <xdr:rowOff>47625</xdr:rowOff>
    </xdr:to>
    <mc:AlternateContent xmlns:mc="http://schemas.openxmlformats.org/markup-compatibility/2006" xmlns:a14="http://schemas.microsoft.com/office/drawing/2010/main">
      <mc:Choice Requires="a14">
        <xdr:graphicFrame macro="">
          <xdr:nvGraphicFramePr>
            <xdr:cNvPr id="11" name="Operator 7">
              <a:extLst>
                <a:ext uri="{FF2B5EF4-FFF2-40B4-BE49-F238E27FC236}">
                  <a16:creationId xmlns:a16="http://schemas.microsoft.com/office/drawing/2014/main" id="{36E55695-BB40-4539-B6BE-B3765922441F}"/>
                </a:ext>
              </a:extLst>
            </xdr:cNvPr>
            <xdr:cNvGraphicFramePr/>
          </xdr:nvGraphicFramePr>
          <xdr:xfrm>
            <a:off x="0" y="0"/>
            <a:ext cx="0" cy="0"/>
          </xdr:xfrm>
          <a:graphic>
            <a:graphicData uri="http://schemas.microsoft.com/office/drawing/2010/slicer">
              <sle:slicer xmlns:sle="http://schemas.microsoft.com/office/drawing/2010/slicer" name="Operator 7"/>
            </a:graphicData>
          </a:graphic>
        </xdr:graphicFrame>
      </mc:Choice>
      <mc:Fallback xmlns="">
        <xdr:sp macro="" textlink="">
          <xdr:nvSpPr>
            <xdr:cNvPr id="0" name=""/>
            <xdr:cNvSpPr>
              <a:spLocks noTextEdit="1"/>
            </xdr:cNvSpPr>
          </xdr:nvSpPr>
          <xdr:spPr>
            <a:xfrm>
              <a:off x="0" y="1333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15</xdr:row>
      <xdr:rowOff>0</xdr:rowOff>
    </xdr:from>
    <xdr:to>
      <xdr:col>3</xdr:col>
      <xdr:colOff>0</xdr:colOff>
      <xdr:row>21</xdr:row>
      <xdr:rowOff>190499</xdr:rowOff>
    </xdr:to>
    <mc:AlternateContent xmlns:mc="http://schemas.openxmlformats.org/markup-compatibility/2006" xmlns:a14="http://schemas.microsoft.com/office/drawing/2010/main">
      <mc:Choice Requires="a14">
        <xdr:graphicFrame macro="">
          <xdr:nvGraphicFramePr>
            <xdr:cNvPr id="12" name="Regional_Manager">
              <a:extLst>
                <a:ext uri="{FF2B5EF4-FFF2-40B4-BE49-F238E27FC236}">
                  <a16:creationId xmlns:a16="http://schemas.microsoft.com/office/drawing/2014/main" id="{D90C6057-B279-49BD-8224-1D97A310068F}"/>
                </a:ext>
              </a:extLst>
            </xdr:cNvPr>
            <xdr:cNvGraphicFramePr/>
          </xdr:nvGraphicFramePr>
          <xdr:xfrm>
            <a:off x="0" y="0"/>
            <a:ext cx="0" cy="0"/>
          </xdr:xfrm>
          <a:graphic>
            <a:graphicData uri="http://schemas.microsoft.com/office/drawing/2010/slicer">
              <sle:slicer xmlns:sle="http://schemas.microsoft.com/office/drawing/2010/slicer" name="Regional_Manager"/>
            </a:graphicData>
          </a:graphic>
        </xdr:graphicFrame>
      </mc:Choice>
      <mc:Fallback xmlns="">
        <xdr:sp macro="" textlink="">
          <xdr:nvSpPr>
            <xdr:cNvPr id="0" name=""/>
            <xdr:cNvSpPr>
              <a:spLocks noTextEdit="1"/>
            </xdr:cNvSpPr>
          </xdr:nvSpPr>
          <xdr:spPr>
            <a:xfrm>
              <a:off x="0" y="2857500"/>
              <a:ext cx="1828800" cy="1333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21</xdr:row>
      <xdr:rowOff>142875</xdr:rowOff>
    </xdr:from>
    <xdr:to>
      <xdr:col>3</xdr:col>
      <xdr:colOff>0</xdr:colOff>
      <xdr:row>33</xdr:row>
      <xdr:rowOff>0</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AA7802A2-7301-445D-B940-13F7FFC5CA3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4143375"/>
              <a:ext cx="1828800" cy="2143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32</xdr:row>
      <xdr:rowOff>142875</xdr:rowOff>
    </xdr:from>
    <xdr:to>
      <xdr:col>3</xdr:col>
      <xdr:colOff>0</xdr:colOff>
      <xdr:row>46</xdr:row>
      <xdr:rowOff>0</xdr:rowOff>
    </xdr:to>
    <mc:AlternateContent xmlns:mc="http://schemas.openxmlformats.org/markup-compatibility/2006" xmlns:a14="http://schemas.microsoft.com/office/drawing/2010/main">
      <mc:Choice Requires="a14">
        <xdr:graphicFrame macro="">
          <xdr:nvGraphicFramePr>
            <xdr:cNvPr id="3" name="Tower Type">
              <a:extLst>
                <a:ext uri="{FF2B5EF4-FFF2-40B4-BE49-F238E27FC236}">
                  <a16:creationId xmlns:a16="http://schemas.microsoft.com/office/drawing/2014/main" id="{6D0921FD-A820-4DBE-8833-B90864A8B755}"/>
                </a:ext>
              </a:extLst>
            </xdr:cNvPr>
            <xdr:cNvGraphicFramePr/>
          </xdr:nvGraphicFramePr>
          <xdr:xfrm>
            <a:off x="0" y="0"/>
            <a:ext cx="0" cy="0"/>
          </xdr:xfrm>
          <a:graphic>
            <a:graphicData uri="http://schemas.microsoft.com/office/drawing/2010/slicer">
              <sle:slicer xmlns:sle="http://schemas.microsoft.com/office/drawing/2010/slicer" name="Tower Type"/>
            </a:graphicData>
          </a:graphic>
        </xdr:graphicFrame>
      </mc:Choice>
      <mc:Fallback xmlns="">
        <xdr:sp macro="" textlink="">
          <xdr:nvSpPr>
            <xdr:cNvPr id="0" name=""/>
            <xdr:cNvSpPr>
              <a:spLocks noTextEdit="1"/>
            </xdr:cNvSpPr>
          </xdr:nvSpPr>
          <xdr:spPr>
            <a:xfrm>
              <a:off x="0" y="6238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195262</xdr:colOff>
      <xdr:row>12</xdr:row>
      <xdr:rowOff>180975</xdr:rowOff>
    </xdr:from>
    <xdr:to>
      <xdr:col>10</xdr:col>
      <xdr:colOff>928687</xdr:colOff>
      <xdr:row>27</xdr:row>
      <xdr:rowOff>66675</xdr:rowOff>
    </xdr:to>
    <xdr:graphicFrame macro="">
      <xdr:nvGraphicFramePr>
        <xdr:cNvPr id="2" name="Chart 1">
          <a:extLst>
            <a:ext uri="{FF2B5EF4-FFF2-40B4-BE49-F238E27FC236}">
              <a16:creationId xmlns:a16="http://schemas.microsoft.com/office/drawing/2014/main" id="{D1C41923-13E6-4931-AEA8-38D490014A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27</xdr:row>
      <xdr:rowOff>0</xdr:rowOff>
    </xdr:from>
    <xdr:to>
      <xdr:col>5</xdr:col>
      <xdr:colOff>0</xdr:colOff>
      <xdr:row>33</xdr:row>
      <xdr:rowOff>0</xdr:rowOff>
    </xdr:to>
    <xdr:graphicFrame macro="">
      <xdr:nvGraphicFramePr>
        <xdr:cNvPr id="3" name="Chart 2">
          <a:extLst>
            <a:ext uri="{FF2B5EF4-FFF2-40B4-BE49-F238E27FC236}">
              <a16:creationId xmlns:a16="http://schemas.microsoft.com/office/drawing/2014/main" id="{766B8B6D-9172-48F1-A988-BCFE325EC8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0</xdr:rowOff>
    </xdr:from>
    <xdr:to>
      <xdr:col>5</xdr:col>
      <xdr:colOff>0</xdr:colOff>
      <xdr:row>27</xdr:row>
      <xdr:rowOff>0</xdr:rowOff>
    </xdr:to>
    <xdr:graphicFrame macro="">
      <xdr:nvGraphicFramePr>
        <xdr:cNvPr id="5" name="Chart 4">
          <a:extLst>
            <a:ext uri="{FF2B5EF4-FFF2-40B4-BE49-F238E27FC236}">
              <a16:creationId xmlns:a16="http://schemas.microsoft.com/office/drawing/2014/main" id="{D3066DDF-06E2-4BBA-802F-454A75A100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1676399</xdr:colOff>
      <xdr:row>15</xdr:row>
      <xdr:rowOff>1</xdr:rowOff>
    </xdr:from>
    <xdr:to>
      <xdr:col>4</xdr:col>
      <xdr:colOff>1504949</xdr:colOff>
      <xdr:row>21</xdr:row>
      <xdr:rowOff>1</xdr:rowOff>
    </xdr:to>
    <xdr:graphicFrame macro="">
      <xdr:nvGraphicFramePr>
        <xdr:cNvPr id="6" name="Chart 5">
          <a:extLst>
            <a:ext uri="{FF2B5EF4-FFF2-40B4-BE49-F238E27FC236}">
              <a16:creationId xmlns:a16="http://schemas.microsoft.com/office/drawing/2014/main" id="{2D40297A-58FC-45D6-9100-506243B700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27</xdr:row>
      <xdr:rowOff>0</xdr:rowOff>
    </xdr:from>
    <xdr:to>
      <xdr:col>5</xdr:col>
      <xdr:colOff>0</xdr:colOff>
      <xdr:row>33</xdr:row>
      <xdr:rowOff>0</xdr:rowOff>
    </xdr:to>
    <xdr:graphicFrame macro="">
      <xdr:nvGraphicFramePr>
        <xdr:cNvPr id="2" name="Chart 1">
          <a:extLst>
            <a:ext uri="{FF2B5EF4-FFF2-40B4-BE49-F238E27FC236}">
              <a16:creationId xmlns:a16="http://schemas.microsoft.com/office/drawing/2014/main" id="{399F47E0-143D-4888-A7AF-2017150704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0</xdr:rowOff>
    </xdr:from>
    <xdr:to>
      <xdr:col>5</xdr:col>
      <xdr:colOff>0</xdr:colOff>
      <xdr:row>27</xdr:row>
      <xdr:rowOff>0</xdr:rowOff>
    </xdr:to>
    <xdr:graphicFrame macro="">
      <xdr:nvGraphicFramePr>
        <xdr:cNvPr id="3" name="Chart 2">
          <a:extLst>
            <a:ext uri="{FF2B5EF4-FFF2-40B4-BE49-F238E27FC236}">
              <a16:creationId xmlns:a16="http://schemas.microsoft.com/office/drawing/2014/main" id="{723FDB9D-93EA-4763-80B1-5C7F1F4555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1676399</xdr:colOff>
      <xdr:row>15</xdr:row>
      <xdr:rowOff>1</xdr:rowOff>
    </xdr:from>
    <xdr:to>
      <xdr:col>4</xdr:col>
      <xdr:colOff>1504949</xdr:colOff>
      <xdr:row>21</xdr:row>
      <xdr:rowOff>1</xdr:rowOff>
    </xdr:to>
    <xdr:graphicFrame macro="">
      <xdr:nvGraphicFramePr>
        <xdr:cNvPr id="4" name="Chart 3">
          <a:extLst>
            <a:ext uri="{FF2B5EF4-FFF2-40B4-BE49-F238E27FC236}">
              <a16:creationId xmlns:a16="http://schemas.microsoft.com/office/drawing/2014/main" id="{65A7538A-7883-4286-93CC-C124DBE2E5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9526</xdr:colOff>
      <xdr:row>2</xdr:row>
      <xdr:rowOff>161925</xdr:rowOff>
    </xdr:from>
    <xdr:to>
      <xdr:col>6</xdr:col>
      <xdr:colOff>542925</xdr:colOff>
      <xdr:row>24</xdr:row>
      <xdr:rowOff>180975</xdr:rowOff>
    </xdr:to>
    <xdr:graphicFrame macro="">
      <xdr:nvGraphicFramePr>
        <xdr:cNvPr id="2" name="Chart 1">
          <a:extLst>
            <a:ext uri="{FF2B5EF4-FFF2-40B4-BE49-F238E27FC236}">
              <a16:creationId xmlns:a16="http://schemas.microsoft.com/office/drawing/2014/main" id="{2DABEE74-2393-4231-A380-C2A524107C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266700</xdr:colOff>
      <xdr:row>12</xdr:row>
      <xdr:rowOff>76200</xdr:rowOff>
    </xdr:from>
    <xdr:to>
      <xdr:col>1</xdr:col>
      <xdr:colOff>323850</xdr:colOff>
      <xdr:row>25</xdr:row>
      <xdr:rowOff>120650</xdr:rowOff>
    </xdr:to>
    <mc:AlternateContent xmlns:mc="http://schemas.openxmlformats.org/markup-compatibility/2006" xmlns:a14="http://schemas.microsoft.com/office/drawing/2010/main">
      <mc:Choice Requires="a14">
        <xdr:graphicFrame macro="">
          <xdr:nvGraphicFramePr>
            <xdr:cNvPr id="3" name="Operator">
              <a:extLst>
                <a:ext uri="{FF2B5EF4-FFF2-40B4-BE49-F238E27FC236}">
                  <a16:creationId xmlns:a16="http://schemas.microsoft.com/office/drawing/2014/main" id="{5B66DF08-FD76-43BB-ABC6-165DE7BB1A2D}"/>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266700" y="23622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15</xdr:row>
      <xdr:rowOff>85725</xdr:rowOff>
    </xdr:from>
    <xdr:to>
      <xdr:col>13</xdr:col>
      <xdr:colOff>866774</xdr:colOff>
      <xdr:row>21</xdr:row>
      <xdr:rowOff>38101</xdr:rowOff>
    </xdr:to>
    <xdr:graphicFrame macro="">
      <xdr:nvGraphicFramePr>
        <xdr:cNvPr id="2" name="Chart 1">
          <a:extLst>
            <a:ext uri="{FF2B5EF4-FFF2-40B4-BE49-F238E27FC236}">
              <a16:creationId xmlns:a16="http://schemas.microsoft.com/office/drawing/2014/main" id="{A6D9D8D5-E05E-4C76-AAC8-6D8720620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13</xdr:row>
      <xdr:rowOff>0</xdr:rowOff>
    </xdr:from>
    <xdr:to>
      <xdr:col>2</xdr:col>
      <xdr:colOff>463550</xdr:colOff>
      <xdr:row>26</xdr:row>
      <xdr:rowOff>44450</xdr:rowOff>
    </xdr:to>
    <mc:AlternateContent xmlns:mc="http://schemas.openxmlformats.org/markup-compatibility/2006" xmlns:a14="http://schemas.microsoft.com/office/drawing/2010/main">
      <mc:Choice Requires="a14">
        <xdr:graphicFrame macro="">
          <xdr:nvGraphicFramePr>
            <xdr:cNvPr id="3" name="Operator 6">
              <a:extLst>
                <a:ext uri="{FF2B5EF4-FFF2-40B4-BE49-F238E27FC236}">
                  <a16:creationId xmlns:a16="http://schemas.microsoft.com/office/drawing/2014/main" id="{51617A31-58AA-4BA2-9FF3-1B6BAC0DE3B7}"/>
                </a:ext>
              </a:extLst>
            </xdr:cNvPr>
            <xdr:cNvGraphicFramePr/>
          </xdr:nvGraphicFramePr>
          <xdr:xfrm>
            <a:off x="0" y="0"/>
            <a:ext cx="0" cy="0"/>
          </xdr:xfrm>
          <a:graphic>
            <a:graphicData uri="http://schemas.microsoft.com/office/drawing/2010/slicer">
              <sle:slicer xmlns:sle="http://schemas.microsoft.com/office/drawing/2010/slicer" name="Operator 6"/>
            </a:graphicData>
          </a:graphic>
        </xdr:graphicFrame>
      </mc:Choice>
      <mc:Fallback xmlns="">
        <xdr:sp macro="" textlink="">
          <xdr:nvSpPr>
            <xdr:cNvPr id="0" name=""/>
            <xdr:cNvSpPr>
              <a:spLocks noTextEdit="1"/>
            </xdr:cNvSpPr>
          </xdr:nvSpPr>
          <xdr:spPr>
            <a:xfrm>
              <a:off x="1838325" y="2476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xdr:colOff>
      <xdr:row>8</xdr:row>
      <xdr:rowOff>47624</xdr:rowOff>
    </xdr:from>
    <xdr:to>
      <xdr:col>13</xdr:col>
      <xdr:colOff>1619249</xdr:colOff>
      <xdr:row>17</xdr:row>
      <xdr:rowOff>152399</xdr:rowOff>
    </xdr:to>
    <xdr:graphicFrame macro="">
      <xdr:nvGraphicFramePr>
        <xdr:cNvPr id="2" name="Chart 1">
          <a:extLst>
            <a:ext uri="{FF2B5EF4-FFF2-40B4-BE49-F238E27FC236}">
              <a16:creationId xmlns:a16="http://schemas.microsoft.com/office/drawing/2014/main" id="{67A88CB2-C577-4A94-BF44-03EC2217DE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1743075</xdr:colOff>
      <xdr:row>13</xdr:row>
      <xdr:rowOff>28575</xdr:rowOff>
    </xdr:from>
    <xdr:to>
      <xdr:col>2</xdr:col>
      <xdr:colOff>314325</xdr:colOff>
      <xdr:row>26</xdr:row>
      <xdr:rowOff>76200</xdr:rowOff>
    </xdr:to>
    <mc:AlternateContent xmlns:mc="http://schemas.openxmlformats.org/markup-compatibility/2006" xmlns:a14="http://schemas.microsoft.com/office/drawing/2010/main">
      <mc:Choice Requires="a14">
        <xdr:graphicFrame macro="">
          <xdr:nvGraphicFramePr>
            <xdr:cNvPr id="3" name="Operator 8">
              <a:extLst>
                <a:ext uri="{FF2B5EF4-FFF2-40B4-BE49-F238E27FC236}">
                  <a16:creationId xmlns:a16="http://schemas.microsoft.com/office/drawing/2014/main" id="{7F18D4A9-D954-4DF4-93AF-52660CCA8B65}"/>
                </a:ext>
              </a:extLst>
            </xdr:cNvPr>
            <xdr:cNvGraphicFramePr/>
          </xdr:nvGraphicFramePr>
          <xdr:xfrm>
            <a:off x="0" y="0"/>
            <a:ext cx="0" cy="0"/>
          </xdr:xfrm>
          <a:graphic>
            <a:graphicData uri="http://schemas.microsoft.com/office/drawing/2010/slicer">
              <sle:slicer xmlns:sle="http://schemas.microsoft.com/office/drawing/2010/slicer" name="Operator 8"/>
            </a:graphicData>
          </a:graphic>
        </xdr:graphicFrame>
      </mc:Choice>
      <mc:Fallback xmlns="">
        <xdr:sp macro="" textlink="">
          <xdr:nvSpPr>
            <xdr:cNvPr id="0" name=""/>
            <xdr:cNvSpPr>
              <a:spLocks noTextEdit="1"/>
            </xdr:cNvSpPr>
          </xdr:nvSpPr>
          <xdr:spPr>
            <a:xfrm>
              <a:off x="1743075" y="2505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6</xdr:col>
      <xdr:colOff>9525</xdr:colOff>
      <xdr:row>8</xdr:row>
      <xdr:rowOff>47624</xdr:rowOff>
    </xdr:from>
    <xdr:to>
      <xdr:col>13</xdr:col>
      <xdr:colOff>1619249</xdr:colOff>
      <xdr:row>17</xdr:row>
      <xdr:rowOff>152399</xdr:rowOff>
    </xdr:to>
    <xdr:graphicFrame macro="">
      <xdr:nvGraphicFramePr>
        <xdr:cNvPr id="2" name="Chart 1">
          <a:extLst>
            <a:ext uri="{FF2B5EF4-FFF2-40B4-BE49-F238E27FC236}">
              <a16:creationId xmlns:a16="http://schemas.microsoft.com/office/drawing/2014/main" id="{BC23EBFD-FC7C-45AD-AF41-41BD7ED73C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1743075</xdr:colOff>
      <xdr:row>13</xdr:row>
      <xdr:rowOff>28575</xdr:rowOff>
    </xdr:from>
    <xdr:to>
      <xdr:col>2</xdr:col>
      <xdr:colOff>314325</xdr:colOff>
      <xdr:row>26</xdr:row>
      <xdr:rowOff>76200</xdr:rowOff>
    </xdr:to>
    <mc:AlternateContent xmlns:mc="http://schemas.openxmlformats.org/markup-compatibility/2006" xmlns:a14="http://schemas.microsoft.com/office/drawing/2010/main">
      <mc:Choice Requires="a14">
        <xdr:graphicFrame macro="">
          <xdr:nvGraphicFramePr>
            <xdr:cNvPr id="3" name="Operator 9">
              <a:extLst>
                <a:ext uri="{FF2B5EF4-FFF2-40B4-BE49-F238E27FC236}">
                  <a16:creationId xmlns:a16="http://schemas.microsoft.com/office/drawing/2014/main" id="{347B72EB-BFAD-4389-BC40-8844659146F3}"/>
                </a:ext>
              </a:extLst>
            </xdr:cNvPr>
            <xdr:cNvGraphicFramePr/>
          </xdr:nvGraphicFramePr>
          <xdr:xfrm>
            <a:off x="0" y="0"/>
            <a:ext cx="0" cy="0"/>
          </xdr:xfrm>
          <a:graphic>
            <a:graphicData uri="http://schemas.microsoft.com/office/drawing/2010/slicer">
              <sle:slicer xmlns:sle="http://schemas.microsoft.com/office/drawing/2010/slicer" name="Operator 9"/>
            </a:graphicData>
          </a:graphic>
        </xdr:graphicFrame>
      </mc:Choice>
      <mc:Fallback xmlns="">
        <xdr:sp macro="" textlink="">
          <xdr:nvSpPr>
            <xdr:cNvPr id="0" name=""/>
            <xdr:cNvSpPr>
              <a:spLocks noTextEdit="1"/>
            </xdr:cNvSpPr>
          </xdr:nvSpPr>
          <xdr:spPr>
            <a:xfrm>
              <a:off x="1743075" y="2505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6</xdr:col>
      <xdr:colOff>9525</xdr:colOff>
      <xdr:row>8</xdr:row>
      <xdr:rowOff>47624</xdr:rowOff>
    </xdr:from>
    <xdr:to>
      <xdr:col>13</xdr:col>
      <xdr:colOff>1619249</xdr:colOff>
      <xdr:row>17</xdr:row>
      <xdr:rowOff>152399</xdr:rowOff>
    </xdr:to>
    <xdr:graphicFrame macro="">
      <xdr:nvGraphicFramePr>
        <xdr:cNvPr id="2" name="Chart 1">
          <a:extLst>
            <a:ext uri="{FF2B5EF4-FFF2-40B4-BE49-F238E27FC236}">
              <a16:creationId xmlns:a16="http://schemas.microsoft.com/office/drawing/2014/main" id="{D0DEC157-3928-4849-B780-229A3991DC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1743075</xdr:colOff>
      <xdr:row>13</xdr:row>
      <xdr:rowOff>28575</xdr:rowOff>
    </xdr:from>
    <xdr:to>
      <xdr:col>2</xdr:col>
      <xdr:colOff>314325</xdr:colOff>
      <xdr:row>26</xdr:row>
      <xdr:rowOff>76200</xdr:rowOff>
    </xdr:to>
    <mc:AlternateContent xmlns:mc="http://schemas.openxmlformats.org/markup-compatibility/2006" xmlns:a14="http://schemas.microsoft.com/office/drawing/2010/main">
      <mc:Choice Requires="a14">
        <xdr:graphicFrame macro="">
          <xdr:nvGraphicFramePr>
            <xdr:cNvPr id="3" name="Operator 10">
              <a:extLst>
                <a:ext uri="{FF2B5EF4-FFF2-40B4-BE49-F238E27FC236}">
                  <a16:creationId xmlns:a16="http://schemas.microsoft.com/office/drawing/2014/main" id="{F0118745-5FC4-4950-AD2D-B0634F813A0A}"/>
                </a:ext>
              </a:extLst>
            </xdr:cNvPr>
            <xdr:cNvGraphicFramePr/>
          </xdr:nvGraphicFramePr>
          <xdr:xfrm>
            <a:off x="0" y="0"/>
            <a:ext cx="0" cy="0"/>
          </xdr:xfrm>
          <a:graphic>
            <a:graphicData uri="http://schemas.microsoft.com/office/drawing/2010/slicer">
              <sle:slicer xmlns:sle="http://schemas.microsoft.com/office/drawing/2010/slicer" name="Operator 10"/>
            </a:graphicData>
          </a:graphic>
        </xdr:graphicFrame>
      </mc:Choice>
      <mc:Fallback xmlns="">
        <xdr:sp macro="" textlink="">
          <xdr:nvSpPr>
            <xdr:cNvPr id="0" name=""/>
            <xdr:cNvSpPr>
              <a:spLocks noTextEdit="1"/>
            </xdr:cNvSpPr>
          </xdr:nvSpPr>
          <xdr:spPr>
            <a:xfrm>
              <a:off x="1743075" y="2505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6</xdr:col>
      <xdr:colOff>9525</xdr:colOff>
      <xdr:row>8</xdr:row>
      <xdr:rowOff>47624</xdr:rowOff>
    </xdr:from>
    <xdr:to>
      <xdr:col>13</xdr:col>
      <xdr:colOff>1619249</xdr:colOff>
      <xdr:row>17</xdr:row>
      <xdr:rowOff>152399</xdr:rowOff>
    </xdr:to>
    <xdr:graphicFrame macro="">
      <xdr:nvGraphicFramePr>
        <xdr:cNvPr id="2" name="Chart 1">
          <a:extLst>
            <a:ext uri="{FF2B5EF4-FFF2-40B4-BE49-F238E27FC236}">
              <a16:creationId xmlns:a16="http://schemas.microsoft.com/office/drawing/2014/main" id="{49C7A18A-AE0B-496D-9CC8-49FF94A3B7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1743075</xdr:colOff>
      <xdr:row>13</xdr:row>
      <xdr:rowOff>28575</xdr:rowOff>
    </xdr:from>
    <xdr:to>
      <xdr:col>2</xdr:col>
      <xdr:colOff>314325</xdr:colOff>
      <xdr:row>26</xdr:row>
      <xdr:rowOff>76200</xdr:rowOff>
    </xdr:to>
    <mc:AlternateContent xmlns:mc="http://schemas.openxmlformats.org/markup-compatibility/2006" xmlns:a14="http://schemas.microsoft.com/office/drawing/2010/main">
      <mc:Choice Requires="a14">
        <xdr:graphicFrame macro="">
          <xdr:nvGraphicFramePr>
            <xdr:cNvPr id="3" name="Operator 11">
              <a:extLst>
                <a:ext uri="{FF2B5EF4-FFF2-40B4-BE49-F238E27FC236}">
                  <a16:creationId xmlns:a16="http://schemas.microsoft.com/office/drawing/2014/main" id="{14425FA4-CC47-4270-A067-C559CD237EAF}"/>
                </a:ext>
              </a:extLst>
            </xdr:cNvPr>
            <xdr:cNvGraphicFramePr/>
          </xdr:nvGraphicFramePr>
          <xdr:xfrm>
            <a:off x="0" y="0"/>
            <a:ext cx="0" cy="0"/>
          </xdr:xfrm>
          <a:graphic>
            <a:graphicData uri="http://schemas.microsoft.com/office/drawing/2010/slicer">
              <sle:slicer xmlns:sle="http://schemas.microsoft.com/office/drawing/2010/slicer" name="Operator 11"/>
            </a:graphicData>
          </a:graphic>
        </xdr:graphicFrame>
      </mc:Choice>
      <mc:Fallback xmlns="">
        <xdr:sp macro="" textlink="">
          <xdr:nvSpPr>
            <xdr:cNvPr id="0" name=""/>
            <xdr:cNvSpPr>
              <a:spLocks noTextEdit="1"/>
            </xdr:cNvSpPr>
          </xdr:nvSpPr>
          <xdr:spPr>
            <a:xfrm>
              <a:off x="1743075" y="2505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180975</xdr:colOff>
      <xdr:row>13</xdr:row>
      <xdr:rowOff>47624</xdr:rowOff>
    </xdr:from>
    <xdr:to>
      <xdr:col>15</xdr:col>
      <xdr:colOff>742950</xdr:colOff>
      <xdr:row>28</xdr:row>
      <xdr:rowOff>0</xdr:rowOff>
    </xdr:to>
    <xdr:graphicFrame macro="">
      <xdr:nvGraphicFramePr>
        <xdr:cNvPr id="2" name="Chart 1">
          <a:extLst>
            <a:ext uri="{FF2B5EF4-FFF2-40B4-BE49-F238E27FC236}">
              <a16:creationId xmlns:a16="http://schemas.microsoft.com/office/drawing/2014/main" id="{801D59F6-29E3-4856-BF6C-74651CD7CC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1743075</xdr:colOff>
      <xdr:row>13</xdr:row>
      <xdr:rowOff>28575</xdr:rowOff>
    </xdr:from>
    <xdr:to>
      <xdr:col>3</xdr:col>
      <xdr:colOff>76200</xdr:colOff>
      <xdr:row>26</xdr:row>
      <xdr:rowOff>76200</xdr:rowOff>
    </xdr:to>
    <mc:AlternateContent xmlns:mc="http://schemas.openxmlformats.org/markup-compatibility/2006" xmlns:a14="http://schemas.microsoft.com/office/drawing/2010/main">
      <mc:Choice Requires="a14">
        <xdr:graphicFrame macro="">
          <xdr:nvGraphicFramePr>
            <xdr:cNvPr id="3" name="Operator 12">
              <a:extLst>
                <a:ext uri="{FF2B5EF4-FFF2-40B4-BE49-F238E27FC236}">
                  <a16:creationId xmlns:a16="http://schemas.microsoft.com/office/drawing/2014/main" id="{1664024D-6C21-450E-BD26-EE42EC46FE67}"/>
                </a:ext>
              </a:extLst>
            </xdr:cNvPr>
            <xdr:cNvGraphicFramePr/>
          </xdr:nvGraphicFramePr>
          <xdr:xfrm>
            <a:off x="0" y="0"/>
            <a:ext cx="0" cy="0"/>
          </xdr:xfrm>
          <a:graphic>
            <a:graphicData uri="http://schemas.microsoft.com/office/drawing/2010/slicer">
              <sle:slicer xmlns:sle="http://schemas.microsoft.com/office/drawing/2010/slicer" name="Operator 12"/>
            </a:graphicData>
          </a:graphic>
        </xdr:graphicFrame>
      </mc:Choice>
      <mc:Fallback xmlns="">
        <xdr:sp macro="" textlink="">
          <xdr:nvSpPr>
            <xdr:cNvPr id="0" name=""/>
            <xdr:cNvSpPr>
              <a:spLocks noTextEdit="1"/>
            </xdr:cNvSpPr>
          </xdr:nvSpPr>
          <xdr:spPr>
            <a:xfrm>
              <a:off x="1743075" y="2505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26</xdr:row>
      <xdr:rowOff>142875</xdr:rowOff>
    </xdr:from>
    <xdr:to>
      <xdr:col>3</xdr:col>
      <xdr:colOff>171450</xdr:colOff>
      <xdr:row>40</xdr:row>
      <xdr:rowOff>0</xdr:rowOff>
    </xdr:to>
    <mc:AlternateContent xmlns:mc="http://schemas.openxmlformats.org/markup-compatibility/2006" xmlns:a14="http://schemas.microsoft.com/office/drawing/2010/main">
      <mc:Choice Requires="a14">
        <xdr:graphicFrame macro="">
          <xdr:nvGraphicFramePr>
            <xdr:cNvPr id="4" name="SAQ_Result2">
              <a:extLst>
                <a:ext uri="{FF2B5EF4-FFF2-40B4-BE49-F238E27FC236}">
                  <a16:creationId xmlns:a16="http://schemas.microsoft.com/office/drawing/2014/main" id="{A4BF1F82-EB88-4318-BA84-0F6CCDC540CB}"/>
                </a:ext>
              </a:extLst>
            </xdr:cNvPr>
            <xdr:cNvGraphicFramePr/>
          </xdr:nvGraphicFramePr>
          <xdr:xfrm>
            <a:off x="0" y="0"/>
            <a:ext cx="0" cy="0"/>
          </xdr:xfrm>
          <a:graphic>
            <a:graphicData uri="http://schemas.microsoft.com/office/drawing/2010/slicer">
              <sle:slicer xmlns:sle="http://schemas.microsoft.com/office/drawing/2010/slicer" name="SAQ_Result2"/>
            </a:graphicData>
          </a:graphic>
        </xdr:graphicFrame>
      </mc:Choice>
      <mc:Fallback xmlns="">
        <xdr:sp macro="" textlink="">
          <xdr:nvSpPr>
            <xdr:cNvPr id="0" name=""/>
            <xdr:cNvSpPr>
              <a:spLocks noTextEdit="1"/>
            </xdr:cNvSpPr>
          </xdr:nvSpPr>
          <xdr:spPr>
            <a:xfrm>
              <a:off x="1838325" y="5095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User\apollo-towers.com\Colocation%20Process%20-%20Documents\Colocation%20Reports\Dashboard%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1 (4)"/>
      <sheetName val="D1 (2)"/>
      <sheetName val="Personal Dashboard"/>
      <sheetName val="MySQL"/>
      <sheetName val="MySQL -Work Orders"/>
      <sheetName val="Graph Infos"/>
      <sheetName val="Bar Completion"/>
      <sheetName val="Bar Completion Operator"/>
      <sheetName val="Chart Donut"/>
      <sheetName val="Community Chart"/>
      <sheetName val="CW"/>
      <sheetName val="Power"/>
      <sheetName val="Structural"/>
      <sheetName val="RF"/>
      <sheetName val="SAQ"/>
    </sheetNames>
    <sheetDataSet>
      <sheetData sheetId="0"/>
      <sheetData sheetId="1"/>
      <sheetData sheetId="2"/>
      <sheetData sheetId="3"/>
      <sheetData sheetId="4"/>
      <sheetData sheetId="5">
        <row r="42">
          <cell r="B42" t="str">
            <v>Prevalidation Rejected</v>
          </cell>
          <cell r="C42">
            <v>69</v>
          </cell>
        </row>
        <row r="43">
          <cell r="B43" t="str">
            <v>Dropped by Operator</v>
          </cell>
          <cell r="C43">
            <v>8</v>
          </cell>
        </row>
      </sheetData>
      <sheetData sheetId="6"/>
      <sheetData sheetId="7"/>
      <sheetData sheetId="8"/>
      <sheetData sheetId="9"/>
      <sheetData sheetId="10"/>
      <sheetData sheetId="11"/>
      <sheetData sheetId="12"/>
      <sheetData sheetId="13"/>
      <sheetData sheetId="1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polloDell" refreshedDate="43343.655866666668" createdVersion="6" refreshedVersion="6" minRefreshableVersion="3" recordCount="267" xr:uid="{06BE320F-17D4-4308-872F-052091534040}">
  <cacheSource type="worksheet">
    <worksheetSource name="_01towers"/>
  </cacheSource>
  <cacheFields count="57">
    <cacheField name="AT Site ID" numFmtId="0">
      <sharedItems/>
    </cacheField>
    <cacheField name="Regional_Manager" numFmtId="0">
      <sharedItems count="3">
        <s v="Adriaan Coetzee"/>
        <s v="Chris Thomson"/>
        <s v="Robert Lemonnier"/>
      </sharedItems>
    </cacheField>
    <cacheField name="Tower Type" numFmtId="0">
      <sharedItems count="6">
        <s v="GBT"/>
        <s v="GMT"/>
        <s v="RTP"/>
        <s v="Slim Tower"/>
        <s v="RTT"/>
        <s v="COW"/>
      </sharedItems>
    </cacheField>
    <cacheField name="Actual Tower Height" numFmtId="0">
      <sharedItems containsSemiMixedTypes="0" containsString="0" containsNumber="1" containsInteger="1" minValue="5" maxValue="60"/>
    </cacheField>
    <cacheField name="Region" numFmtId="0">
      <sharedItems count="14">
        <s v="Rakhine"/>
        <s v="Kachin"/>
        <s v="Mandalay"/>
        <s v="Sagaing"/>
        <s v="Shan"/>
        <s v="Kayin"/>
        <s v="Mon"/>
        <s v="Yangon"/>
        <s v="Naypyitaw"/>
        <s v="Magway"/>
        <s v="Bago"/>
        <s v="Ayeyarwady"/>
        <s v="Kayah"/>
        <s v="Tanintharyi"/>
      </sharedItems>
    </cacheField>
    <cacheField name="Actual Long" numFmtId="0">
      <sharedItems containsSemiMixedTypes="0" containsString="0" containsNumber="1" minValue="92.365600000000001" maxValue="99.934402000000006"/>
    </cacheField>
    <cacheField name="Actual Lat" numFmtId="0">
      <sharedItems containsSemiMixedTypes="0" containsString="0" containsNumber="1" minValue="10.00493" maxValue="26.691109999999998"/>
    </cacheField>
    <cacheField name="Tenants_on_Site" numFmtId="0">
      <sharedItems/>
    </cacheField>
    <cacheField name="05_id" numFmtId="0">
      <sharedItems containsSemiMixedTypes="0" containsString="0" containsNumber="1" containsInteger="1" minValue="1" maxValue="274"/>
    </cacheField>
    <cacheField name="New_Colo_ID" numFmtId="0">
      <sharedItems/>
    </cacheField>
    <cacheField name="Operator" numFmtId="0">
      <sharedItems count="4">
        <s v="Mytel"/>
        <s v="Amara"/>
        <s v="MPT"/>
        <s v="OML"/>
      </sharedItems>
    </cacheField>
    <cacheField name="Prevalidation Status" numFmtId="0">
      <sharedItems/>
    </cacheField>
    <cacheField name="SAQ_Result" numFmtId="0">
      <sharedItems containsBlank="1"/>
    </cacheField>
    <cacheField name="RF_Result" numFmtId="0">
      <sharedItems containsBlank="1"/>
    </cacheField>
    <cacheField name="Structural_Result" numFmtId="0">
      <sharedItems containsBlank="1"/>
    </cacheField>
    <cacheField name="Power_Result" numFmtId="0">
      <sharedItems containsBlank="1"/>
    </cacheField>
    <cacheField name="CW_Result" numFmtId="0">
      <sharedItems containsBlank="1"/>
    </cacheField>
    <cacheField name="Community_Result" numFmtId="0">
      <sharedItems containsBlank="1"/>
    </cacheField>
    <cacheField name="02tss.02tss_id" numFmtId="0">
      <sharedItems containsString="0" containsBlank="1" containsNumber="1" containsInteger="1" minValue="1" maxValue="266"/>
    </cacheField>
    <cacheField name="02tss.Rev" numFmtId="0">
      <sharedItems containsString="0" containsBlank="1" containsNumber="1" containsInteger="1" minValue="1" maxValue="1"/>
    </cacheField>
    <cacheField name="02tss.Plan_Date" numFmtId="14">
      <sharedItems containsNonDate="0" containsDate="1" containsString="0" containsBlank="1" minDate="2018-01-28T00:00:00" maxDate="2018-08-11T00:00:00"/>
    </cacheField>
    <cacheField name="02tss.TSS_Actual_Date" numFmtId="14">
      <sharedItems containsNonDate="0" containsDate="1" containsString="0" containsBlank="1" minDate="1919-01-01T00:00:00" maxDate="2018-08-11T00:00:00"/>
    </cacheField>
    <cacheField name="02tss.TSSR_From_Engineer" numFmtId="14">
      <sharedItems containsNonDate="0" containsDate="1" containsString="0" containsBlank="1" minDate="2018-01-30T00:00:00" maxDate="2018-08-15T00:00:00"/>
    </cacheField>
    <cacheField name="02tss.TSSR_Approved_Operator" numFmtId="14">
      <sharedItems containsNonDate="0" containsDate="1" containsString="0" containsBlank="1" minDate="2018-01-30T00:00:00" maxDate="2018-08-15T00:00:00"/>
    </cacheField>
    <cacheField name="02tss.Plan_RFI_Date" numFmtId="14">
      <sharedItems containsNonDate="0" containsDate="1" containsString="0" containsBlank="1" minDate="2018-04-30T00:00:00" maxDate="2018-07-01T00:00:00"/>
    </cacheField>
    <cacheField name="02tss.TSS_Result" numFmtId="0">
      <sharedItems containsBlank="1"/>
    </cacheField>
    <cacheField name="10colo_app.10coloapp_id" numFmtId="0">
      <sharedItems containsString="0" containsBlank="1" containsNumber="1" containsInteger="1" minValue="1" maxValue="271"/>
    </cacheField>
    <cacheField name="10colo_app.Rev" numFmtId="0">
      <sharedItems containsString="0" containsBlank="1" containsNumber="1" containsInteger="1" minValue="1" maxValue="2"/>
    </cacheField>
    <cacheField name="10colo_app.Colo_App_Date" numFmtId="14">
      <sharedItems containsNonDate="0" containsDate="1" containsString="0" containsBlank="1" minDate="2018-02-07T00:00:00" maxDate="2018-08-11T00:00:00"/>
    </cacheField>
    <cacheField name="10colo_app.Colo_App_Result" numFmtId="0">
      <sharedItems containsBlank="1"/>
    </cacheField>
    <cacheField name="10colo_app.RFI_Forecast_Date" numFmtId="14">
      <sharedItems containsNonDate="0" containsDate="1" containsString="0" containsBlank="1" minDate="2018-03-28T00:00:00" maxDate="2018-06-23T00:00:00"/>
    </cacheField>
    <cacheField name="10colo_app.RFI_Submission_Date" numFmtId="14">
      <sharedItems containsNonDate="0" containsDate="1" containsString="0" containsBlank="1" minDate="2018-03-28T00:00:00" maxDate="2018-06-23T00:00:00"/>
    </cacheField>
    <cacheField name="10colo_app.RFI_Approval_Date" numFmtId="14">
      <sharedItems containsNonDate="0" containsDate="1" containsString="0" containsBlank="1" minDate="2018-04-12T00:00:00" maxDate="2018-04-13T00:00:00"/>
    </cacheField>
    <cacheField name="10colo_app.RFI_Status" numFmtId="0">
      <sharedItems containsNonDate="0" containsString="0" containsBlank="1"/>
    </cacheField>
    <cacheField name="10colo_app.On_Air_Date" numFmtId="14">
      <sharedItems containsNonDate="0" containsString="0" containsBlank="1"/>
    </cacheField>
    <cacheField name="Count Rev TSS" numFmtId="0">
      <sharedItems containsSemiMixedTypes="0" containsString="0" containsNumber="1" containsInteger="1" minValue="0" maxValue="1"/>
    </cacheField>
    <cacheField name="Test Rev TSS" numFmtId="0">
      <sharedItems/>
    </cacheField>
    <cacheField name="Count Rev Colo App" numFmtId="0">
      <sharedItems containsSemiMixedTypes="0" containsString="0" containsNumber="1" containsInteger="1" minValue="0" maxValue="2"/>
    </cacheField>
    <cacheField name="Test Rev Colo" numFmtId="0">
      <sharedItems/>
    </cacheField>
    <cacheField name="Test Active" numFmtId="0">
      <sharedItems/>
    </cacheField>
    <cacheField name="Active Prevalidation Status" numFmtId="0">
      <sharedItems/>
    </cacheField>
    <cacheField name="SAQ_Result2" numFmtId="0">
      <sharedItems count="4">
        <s v=""/>
        <s v="OK"/>
        <s v="Rejected" u="1"/>
        <s v="Review" u="1"/>
      </sharedItems>
    </cacheField>
    <cacheField name="RF_Result3" numFmtId="0">
      <sharedItems count="3">
        <s v=""/>
        <s v="OK"/>
        <s v="Review" u="1"/>
      </sharedItems>
    </cacheField>
    <cacheField name="Structural_Result4" numFmtId="0">
      <sharedItems count="3">
        <s v=""/>
        <s v="Review"/>
        <s v="OK"/>
      </sharedItems>
    </cacheField>
    <cacheField name="Power_Result5" numFmtId="0">
      <sharedItems count="3">
        <s v=""/>
        <s v="OK"/>
        <s v="Review"/>
      </sharedItems>
    </cacheField>
    <cacheField name="CW_Result6" numFmtId="0">
      <sharedItems containsMixedTypes="1" containsNumber="1" containsInteger="1" minValue="0" maxValue="0" count="4">
        <s v=""/>
        <s v="OK"/>
        <s v="Review"/>
        <n v="0" u="1"/>
      </sharedItems>
    </cacheField>
    <cacheField name="Community_Result2" numFmtId="0">
      <sharedItems count="4">
        <s v=""/>
        <s v="OK"/>
        <s v="Review"/>
        <s v="Rejected" u="1"/>
      </sharedItems>
    </cacheField>
    <cacheField name="Count Ok" numFmtId="0">
      <sharedItems containsSemiMixedTypes="0" containsString="0" containsNumber="1" containsInteger="1" minValue="0" maxValue="5"/>
    </cacheField>
    <cacheField name="Active TSS Submitted" numFmtId="14">
      <sharedItems/>
    </cacheField>
    <cacheField name="Active TSS Result" numFmtId="0">
      <sharedItems containsMixedTypes="1" containsNumber="1" containsInteger="1" minValue="0" maxValue="0"/>
    </cacheField>
    <cacheField name="Active Colo in Process" numFmtId="0">
      <sharedItems/>
    </cacheField>
    <cacheField name="Active Colo Application Result" numFmtId="0">
      <sharedItems containsMixedTypes="1" containsNumber="1" containsInteger="1" minValue="0" maxValue="0"/>
    </cacheField>
    <cacheField name="Count Work Orders" numFmtId="0">
      <sharedItems containsSemiMixedTypes="0" containsString="0" containsNumber="1" containsInteger="1" minValue="0" maxValue="2"/>
    </cacheField>
    <cacheField name="Completed Work Orders" numFmtId="0">
      <sharedItems containsSemiMixedTypes="0" containsString="0" containsNumber="1" containsInteger="1" minValue="0" maxValue="2"/>
    </cacheField>
    <cacheField name="WIP Readiness" numFmtId="0">
      <sharedItems/>
    </cacheField>
    <cacheField name="Final Colo Status full" numFmtId="0">
      <sharedItems/>
    </cacheField>
    <cacheField name="Final Colo Status Summarized" numFmtId="0">
      <sharedItems count="13">
        <s v="Prevalidation Rejected"/>
        <s v="Colo Application Approved"/>
        <s v="Prevalidated - TSSR in Process"/>
        <s v=""/>
        <s v="Prevalidated - TSSR Done"/>
        <s v="Work Completed"/>
        <s v="Under Prevalidation"/>
        <s v="Dropped by Operator"/>
        <s v="NTP Received"/>
        <s v="RFI"/>
        <s v="Work in Progress"/>
        <s v="Rejected"/>
        <s v="Commercial Approval Pending"/>
      </sharedItems>
    </cacheField>
  </cacheFields>
  <extLst>
    <ext xmlns:x14="http://schemas.microsoft.com/office/spreadsheetml/2009/9/main" uri="{725AE2AE-9491-48be-B2B4-4EB974FC3084}">
      <x14:pivotCacheDefinition pivotCacheId="8314408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7">
  <r>
    <s v="ACRK_0023"/>
    <x v="0"/>
    <x v="0"/>
    <n v="50"/>
    <x v="0"/>
    <n v="93.23836"/>
    <n v="20.543479999999999"/>
    <s v="Telenor"/>
    <n v="1"/>
    <s v="RKE0090"/>
    <x v="0"/>
    <s v="Prevalidation Rejected"/>
    <s v="OK"/>
    <s v="OK"/>
    <s v="OK"/>
    <s v="OK"/>
    <s v="OK"/>
    <s v="Review"/>
    <n v="179"/>
    <n v="1"/>
    <m/>
    <m/>
    <d v="2018-05-03T00:00:00"/>
    <d v="2018-05-03T00:00:00"/>
    <m/>
    <s v="Approved"/>
    <n v="178"/>
    <n v="1"/>
    <m/>
    <m/>
    <m/>
    <m/>
    <m/>
    <m/>
    <m/>
    <n v="1"/>
    <b v="1"/>
    <n v="1"/>
    <b v="1"/>
    <b v="1"/>
    <s v="Prevalidation Rejected"/>
    <x v="0"/>
    <x v="0"/>
    <x v="0"/>
    <x v="0"/>
    <x v="0"/>
    <x v="0"/>
    <n v="0"/>
    <s v=""/>
    <s v=""/>
    <s v=""/>
    <s v=""/>
    <n v="0"/>
    <n v="0"/>
    <s v=""/>
    <s v="Prevalidation Rejected"/>
    <x v="0"/>
  </r>
  <r>
    <s v="ANKC_0015"/>
    <x v="0"/>
    <x v="0"/>
    <n v="40"/>
    <x v="1"/>
    <n v="96.515940000000001"/>
    <n v="24.996099999999998"/>
    <s v="Telenor-MPT"/>
    <n v="2"/>
    <s v="KCN0160"/>
    <x v="0"/>
    <s v="Prevalidated"/>
    <s v="OK"/>
    <s v="OK"/>
    <s v="OK"/>
    <s v="OK"/>
    <s v="OK"/>
    <s v="OK"/>
    <n v="180"/>
    <n v="1"/>
    <m/>
    <m/>
    <d v="2018-05-03T00:00:00"/>
    <d v="2018-05-03T00:00:00"/>
    <m/>
    <s v="Approved"/>
    <n v="179"/>
    <n v="1"/>
    <d v="2018-05-09T00:00:00"/>
    <s v="Approved"/>
    <m/>
    <m/>
    <m/>
    <m/>
    <m/>
    <n v="1"/>
    <b v="1"/>
    <n v="1"/>
    <b v="1"/>
    <b v="1"/>
    <s v="Prevalidated"/>
    <x v="0"/>
    <x v="0"/>
    <x v="0"/>
    <x v="0"/>
    <x v="0"/>
    <x v="0"/>
    <n v="0"/>
    <s v="Submitted"/>
    <s v="Approved"/>
    <s v="In Process"/>
    <s v="Approved"/>
    <n v="0"/>
    <n v="0"/>
    <s v=""/>
    <s v="Colo Application Approved"/>
    <x v="1"/>
  </r>
  <r>
    <s v="ANMD_0065"/>
    <x v="0"/>
    <x v="0"/>
    <n v="50"/>
    <x v="2"/>
    <n v="96.022090000000006"/>
    <n v="21.770969999999998"/>
    <s v="Telenor-MPT"/>
    <n v="3"/>
    <s v="MDY0723"/>
    <x v="0"/>
    <s v="Prevalidated"/>
    <s v="OK"/>
    <s v="OK"/>
    <s v="OK"/>
    <s v="OK"/>
    <s v="OK"/>
    <s v="OK"/>
    <n v="181"/>
    <n v="1"/>
    <m/>
    <m/>
    <d v="2018-05-03T00:00:00"/>
    <d v="2018-05-03T00:00:00"/>
    <m/>
    <s v="Approved"/>
    <n v="180"/>
    <n v="1"/>
    <d v="2018-05-09T00:00:00"/>
    <s v="Approved"/>
    <m/>
    <m/>
    <m/>
    <m/>
    <m/>
    <n v="1"/>
    <b v="1"/>
    <n v="1"/>
    <b v="1"/>
    <b v="1"/>
    <s v="Prevalidated"/>
    <x v="0"/>
    <x v="0"/>
    <x v="0"/>
    <x v="0"/>
    <x v="0"/>
    <x v="0"/>
    <n v="0"/>
    <s v="Submitted"/>
    <s v="Approved"/>
    <s v="In Process"/>
    <s v="Approved"/>
    <n v="0"/>
    <n v="0"/>
    <s v=""/>
    <s v="Colo Application Approved"/>
    <x v="1"/>
  </r>
  <r>
    <s v="ANMD_0119"/>
    <x v="0"/>
    <x v="0"/>
    <n v="35"/>
    <x v="2"/>
    <n v="96.064970000000002"/>
    <n v="21.969259999999998"/>
    <s v="Telenor-Ooredoo"/>
    <n v="4"/>
    <s v="MDY0093"/>
    <x v="0"/>
    <s v="Prevalidated"/>
    <s v="OK"/>
    <s v="OK"/>
    <s v="OK"/>
    <s v="OK"/>
    <s v="OK"/>
    <s v="OK"/>
    <n v="182"/>
    <n v="1"/>
    <m/>
    <m/>
    <d v="2018-05-03T00:00:00"/>
    <d v="2018-05-03T00:00:00"/>
    <m/>
    <s v="Approved"/>
    <n v="181"/>
    <n v="1"/>
    <d v="2018-05-09T00:00:00"/>
    <s v="Approved"/>
    <m/>
    <m/>
    <m/>
    <m/>
    <m/>
    <n v="1"/>
    <b v="1"/>
    <n v="1"/>
    <b v="1"/>
    <b v="1"/>
    <s v="Prevalidated"/>
    <x v="0"/>
    <x v="0"/>
    <x v="0"/>
    <x v="0"/>
    <x v="0"/>
    <x v="0"/>
    <n v="0"/>
    <s v="Submitted"/>
    <s v="Approved"/>
    <s v="In Process"/>
    <s v="Approved"/>
    <n v="0"/>
    <n v="0"/>
    <s v=""/>
    <s v="Colo Application Approved"/>
    <x v="1"/>
  </r>
  <r>
    <s v="ANMD_0148"/>
    <x v="0"/>
    <x v="1"/>
    <n v="30"/>
    <x v="2"/>
    <n v="94.912430000000001"/>
    <n v="21.196280000000002"/>
    <s v="Telenor"/>
    <n v="5"/>
    <s v="MDY0915"/>
    <x v="0"/>
    <s v="Prevalidation Rejected"/>
    <s v="OK"/>
    <s v="OK"/>
    <s v="Rejected"/>
    <s v="OK"/>
    <m/>
    <s v="OK"/>
    <n v="183"/>
    <n v="1"/>
    <m/>
    <m/>
    <m/>
    <m/>
    <m/>
    <m/>
    <n v="182"/>
    <n v="1"/>
    <m/>
    <m/>
    <m/>
    <m/>
    <m/>
    <m/>
    <m/>
    <n v="1"/>
    <b v="1"/>
    <n v="1"/>
    <b v="1"/>
    <b v="1"/>
    <s v="Prevalidation Rejected"/>
    <x v="0"/>
    <x v="0"/>
    <x v="0"/>
    <x v="0"/>
    <x v="0"/>
    <x v="0"/>
    <n v="0"/>
    <s v=""/>
    <s v=""/>
    <s v=""/>
    <s v=""/>
    <n v="0"/>
    <n v="0"/>
    <s v=""/>
    <s v="Prevalidation Rejected"/>
    <x v="0"/>
  </r>
  <r>
    <s v="ANMD_0174"/>
    <x v="0"/>
    <x v="0"/>
    <n v="60"/>
    <x v="2"/>
    <n v="96.434119999999993"/>
    <n v="22.00591"/>
    <s v="Telenor"/>
    <n v="6"/>
    <s v="MDY0004"/>
    <x v="0"/>
    <s v="Prevalidated"/>
    <s v="OK"/>
    <s v="OK"/>
    <s v="OK"/>
    <s v="OK"/>
    <s v="OK"/>
    <s v="OK"/>
    <n v="184"/>
    <n v="1"/>
    <m/>
    <m/>
    <d v="2018-05-03T00:00:00"/>
    <d v="2018-05-03T00:00:00"/>
    <m/>
    <s v="Approved"/>
    <n v="183"/>
    <n v="1"/>
    <d v="2018-05-09T00:00:00"/>
    <s v="Approved"/>
    <m/>
    <m/>
    <m/>
    <m/>
    <m/>
    <n v="1"/>
    <b v="1"/>
    <n v="1"/>
    <b v="1"/>
    <b v="1"/>
    <s v="Prevalidated"/>
    <x v="0"/>
    <x v="0"/>
    <x v="0"/>
    <x v="0"/>
    <x v="0"/>
    <x v="0"/>
    <n v="0"/>
    <s v="Submitted"/>
    <s v="Approved"/>
    <s v="In Process"/>
    <s v="Approved"/>
    <n v="0"/>
    <n v="0"/>
    <s v=""/>
    <s v="Colo Application Approved"/>
    <x v="1"/>
  </r>
  <r>
    <s v="ANSG_0344"/>
    <x v="0"/>
    <x v="0"/>
    <n v="45"/>
    <x v="3"/>
    <n v="95.103070000000002"/>
    <n v="22.2178"/>
    <s v="Telenor"/>
    <n v="7"/>
    <s v="SGG0260"/>
    <x v="0"/>
    <s v="Prevalidated"/>
    <s v="OK"/>
    <s v="OK"/>
    <s v="OK"/>
    <s v="OK"/>
    <s v="OK"/>
    <s v="OK"/>
    <n v="185"/>
    <n v="1"/>
    <m/>
    <m/>
    <d v="2018-05-03T00:00:00"/>
    <d v="2018-05-03T00:00:00"/>
    <m/>
    <s v="Approved"/>
    <n v="184"/>
    <n v="1"/>
    <d v="2018-05-09T00:00:00"/>
    <s v="Approved"/>
    <m/>
    <m/>
    <m/>
    <m/>
    <m/>
    <n v="1"/>
    <b v="1"/>
    <n v="1"/>
    <b v="1"/>
    <b v="1"/>
    <s v="Prevalidated"/>
    <x v="0"/>
    <x v="0"/>
    <x v="0"/>
    <x v="0"/>
    <x v="0"/>
    <x v="0"/>
    <n v="0"/>
    <s v="Submitted"/>
    <s v="Approved"/>
    <s v="In Process"/>
    <s v="Approved"/>
    <n v="0"/>
    <n v="0"/>
    <s v=""/>
    <s v="Colo Application Approved"/>
    <x v="1"/>
  </r>
  <r>
    <s v="ANSG_0363"/>
    <x v="0"/>
    <x v="2"/>
    <n v="6"/>
    <x v="3"/>
    <n v="95.136480000000006"/>
    <n v="22.108139999999999"/>
    <s v="Telenor-Ooredoo"/>
    <n v="8"/>
    <s v="SGG0028"/>
    <x v="0"/>
    <s v="Prevalidation Rejected"/>
    <s v="OK"/>
    <m/>
    <s v="Rejected"/>
    <s v="OK"/>
    <m/>
    <s v="OK"/>
    <n v="186"/>
    <n v="1"/>
    <m/>
    <m/>
    <m/>
    <m/>
    <m/>
    <m/>
    <n v="185"/>
    <n v="1"/>
    <m/>
    <m/>
    <m/>
    <m/>
    <m/>
    <m/>
    <m/>
    <n v="1"/>
    <b v="1"/>
    <n v="1"/>
    <b v="1"/>
    <b v="1"/>
    <s v="Prevalidation Rejected"/>
    <x v="0"/>
    <x v="0"/>
    <x v="0"/>
    <x v="0"/>
    <x v="0"/>
    <x v="0"/>
    <n v="0"/>
    <s v=""/>
    <s v=""/>
    <s v=""/>
    <s v=""/>
    <n v="0"/>
    <n v="0"/>
    <s v=""/>
    <s v="Prevalidation Rejected"/>
    <x v="0"/>
  </r>
  <r>
    <s v="ANSH_0006"/>
    <x v="1"/>
    <x v="0"/>
    <n v="40"/>
    <x v="4"/>
    <n v="99.934402000000006"/>
    <n v="20.475977"/>
    <s v="Telenor-Ooredoo-Mytel"/>
    <n v="9"/>
    <s v="SHN0876"/>
    <x v="0"/>
    <s v="Prevalidated"/>
    <s v="OK"/>
    <s v="OK"/>
    <s v="OK"/>
    <s v="OK"/>
    <s v="OK"/>
    <s v="OK"/>
    <n v="187"/>
    <n v="1"/>
    <m/>
    <m/>
    <m/>
    <m/>
    <m/>
    <m/>
    <n v="186"/>
    <n v="1"/>
    <m/>
    <m/>
    <m/>
    <m/>
    <m/>
    <m/>
    <m/>
    <n v="1"/>
    <b v="1"/>
    <n v="1"/>
    <b v="1"/>
    <b v="1"/>
    <s v="Prevalidated"/>
    <x v="0"/>
    <x v="0"/>
    <x v="0"/>
    <x v="0"/>
    <x v="0"/>
    <x v="0"/>
    <n v="0"/>
    <s v=""/>
    <n v="0"/>
    <s v=""/>
    <s v=""/>
    <n v="1"/>
    <n v="1"/>
    <s v="Work Completed"/>
    <s v="Prevalidated - TSSR in Process"/>
    <x v="2"/>
  </r>
  <r>
    <s v="ASKA_0150"/>
    <x v="2"/>
    <x v="0"/>
    <n v="60"/>
    <x v="5"/>
    <n v="98.240530000000007"/>
    <n v="16.557009999999998"/>
    <s v="Telenor"/>
    <n v="10"/>
    <s v="KYN0014"/>
    <x v="0"/>
    <s v="Prevalidated"/>
    <s v="OK"/>
    <s v="OK"/>
    <s v="OK"/>
    <s v="OK"/>
    <s v="OK"/>
    <s v="OK"/>
    <n v="188"/>
    <n v="1"/>
    <m/>
    <m/>
    <d v="2018-05-03T00:00:00"/>
    <d v="2018-05-03T00:00:00"/>
    <m/>
    <s v="Approved"/>
    <n v="187"/>
    <n v="1"/>
    <d v="2018-05-29T00:00:00"/>
    <s v="Approved"/>
    <m/>
    <m/>
    <m/>
    <m/>
    <m/>
    <n v="1"/>
    <b v="1"/>
    <n v="1"/>
    <b v="1"/>
    <b v="1"/>
    <s v="Prevalidated"/>
    <x v="0"/>
    <x v="0"/>
    <x v="0"/>
    <x v="0"/>
    <x v="0"/>
    <x v="0"/>
    <n v="0"/>
    <s v="Submitted"/>
    <s v="Approved"/>
    <s v="In Process"/>
    <s v="Approved"/>
    <n v="0"/>
    <n v="0"/>
    <s v=""/>
    <s v="Colo Application Approved"/>
    <x v="1"/>
  </r>
  <r>
    <s v="ASMO_0275"/>
    <x v="2"/>
    <x v="0"/>
    <n v="40"/>
    <x v="6"/>
    <n v="97.717042000000006"/>
    <n v="15.979305"/>
    <s v="Telenor"/>
    <n v="11"/>
    <s v="MON0306"/>
    <x v="0"/>
    <s v="Prevalidated"/>
    <s v="OK"/>
    <s v="OK"/>
    <s v="OK"/>
    <s v="OK"/>
    <s v="OK"/>
    <s v="OK"/>
    <n v="189"/>
    <n v="1"/>
    <m/>
    <m/>
    <d v="2018-05-03T00:00:00"/>
    <d v="2018-05-03T00:00:00"/>
    <m/>
    <s v="Approved"/>
    <n v="188"/>
    <n v="1"/>
    <d v="2018-05-09T00:00:00"/>
    <s v="Approved"/>
    <m/>
    <m/>
    <m/>
    <m/>
    <m/>
    <n v="1"/>
    <b v="1"/>
    <n v="1"/>
    <b v="1"/>
    <b v="1"/>
    <s v="Prevalidated"/>
    <x v="0"/>
    <x v="0"/>
    <x v="0"/>
    <x v="0"/>
    <x v="0"/>
    <x v="0"/>
    <n v="0"/>
    <s v="Submitted"/>
    <s v="Approved"/>
    <s v="In Process"/>
    <s v="Approved"/>
    <n v="0"/>
    <n v="0"/>
    <s v=""/>
    <s v="Colo Application Approved"/>
    <x v="1"/>
  </r>
  <r>
    <s v="AYYN_0095"/>
    <x v="2"/>
    <x v="3"/>
    <n v="30"/>
    <x v="7"/>
    <n v="96.185356999999996"/>
    <n v="16.934149000000001"/>
    <s v="Telenor-Amara"/>
    <n v="12"/>
    <s v="YGN0408"/>
    <x v="0"/>
    <s v="Prevalidation Rejected"/>
    <s v="OK"/>
    <s v="OK"/>
    <s v="OK"/>
    <s v="OK"/>
    <s v="OK"/>
    <s v="OK"/>
    <n v="190"/>
    <n v="1"/>
    <m/>
    <m/>
    <m/>
    <m/>
    <m/>
    <m/>
    <n v="189"/>
    <n v="1"/>
    <m/>
    <m/>
    <m/>
    <m/>
    <m/>
    <m/>
    <m/>
    <n v="1"/>
    <b v="1"/>
    <n v="1"/>
    <b v="1"/>
    <b v="1"/>
    <s v="Prevalidation Rejected"/>
    <x v="0"/>
    <x v="0"/>
    <x v="0"/>
    <x v="0"/>
    <x v="0"/>
    <x v="0"/>
    <n v="0"/>
    <s v=""/>
    <s v=""/>
    <s v=""/>
    <s v=""/>
    <n v="0"/>
    <n v="0"/>
    <s v=""/>
    <s v="Prevalidation Rejected"/>
    <x v="0"/>
  </r>
  <r>
    <s v="AYYN_0121"/>
    <x v="2"/>
    <x v="0"/>
    <n v="35"/>
    <x v="7"/>
    <n v="96.254930000000002"/>
    <n v="16.881930000000001"/>
    <s v="Telenor-Ooredoo-MPT-Amara"/>
    <n v="13"/>
    <s v="YGN1319"/>
    <x v="0"/>
    <s v="Prevalidated"/>
    <s v="OK"/>
    <s v="OK"/>
    <s v="OK"/>
    <s v="OK"/>
    <s v="OK"/>
    <s v="OK"/>
    <n v="191"/>
    <n v="1"/>
    <m/>
    <m/>
    <d v="2018-05-03T00:00:00"/>
    <d v="2018-05-03T00:00:00"/>
    <m/>
    <s v="Approved"/>
    <n v="190"/>
    <n v="1"/>
    <d v="2018-05-09T00:00:00"/>
    <s v="Approved"/>
    <m/>
    <m/>
    <m/>
    <m/>
    <m/>
    <n v="1"/>
    <b v="1"/>
    <n v="1"/>
    <b v="1"/>
    <b v="1"/>
    <s v="Prevalidated"/>
    <x v="0"/>
    <x v="0"/>
    <x v="0"/>
    <x v="0"/>
    <x v="0"/>
    <x v="0"/>
    <n v="0"/>
    <s v="Submitted"/>
    <s v="Approved"/>
    <s v="In Process"/>
    <s v="Approved"/>
    <n v="0"/>
    <n v="0"/>
    <s v=""/>
    <s v="Colo Application Approved"/>
    <x v="1"/>
  </r>
  <r>
    <s v="AYYN_0148"/>
    <x v="2"/>
    <x v="2"/>
    <n v="6"/>
    <x v="7"/>
    <n v="96.15061"/>
    <n v="16.811630000000001"/>
    <s v="Telenor"/>
    <n v="14"/>
    <s v="YGN1354"/>
    <x v="0"/>
    <s v="Prevalidation Rejected"/>
    <s v="OK"/>
    <s v="OK"/>
    <s v="Review"/>
    <s v="OK"/>
    <s v="Rejected"/>
    <s v="Review"/>
    <n v="192"/>
    <n v="1"/>
    <m/>
    <m/>
    <m/>
    <m/>
    <m/>
    <m/>
    <n v="191"/>
    <n v="1"/>
    <m/>
    <m/>
    <m/>
    <m/>
    <m/>
    <m/>
    <m/>
    <n v="1"/>
    <b v="1"/>
    <n v="1"/>
    <b v="1"/>
    <b v="1"/>
    <s v="Prevalidation Rejected"/>
    <x v="0"/>
    <x v="0"/>
    <x v="0"/>
    <x v="0"/>
    <x v="0"/>
    <x v="0"/>
    <n v="0"/>
    <s v=""/>
    <s v=""/>
    <s v=""/>
    <s v=""/>
    <n v="0"/>
    <n v="0"/>
    <s v=""/>
    <s v="Prevalidation Rejected"/>
    <x v="0"/>
  </r>
  <r>
    <s v="AYYN_0153"/>
    <x v="2"/>
    <x v="2"/>
    <n v="6"/>
    <x v="7"/>
    <n v="96.154790000000006"/>
    <n v="16.776230000000002"/>
    <s v="Telenor-Ooredoo"/>
    <n v="15"/>
    <s v="YGN0038"/>
    <x v="0"/>
    <s v="Prevalidation Rejected"/>
    <s v="OK"/>
    <s v="OK"/>
    <s v="Review"/>
    <s v="Rejected"/>
    <s v="OK"/>
    <s v="OK"/>
    <n v="193"/>
    <n v="1"/>
    <m/>
    <m/>
    <m/>
    <m/>
    <m/>
    <m/>
    <n v="192"/>
    <n v="1"/>
    <m/>
    <m/>
    <m/>
    <m/>
    <m/>
    <m/>
    <m/>
    <n v="1"/>
    <b v="1"/>
    <n v="1"/>
    <b v="1"/>
    <b v="1"/>
    <s v="Prevalidation Rejected"/>
    <x v="0"/>
    <x v="0"/>
    <x v="0"/>
    <x v="0"/>
    <x v="0"/>
    <x v="0"/>
    <n v="0"/>
    <s v=""/>
    <s v=""/>
    <s v=""/>
    <s v=""/>
    <n v="0"/>
    <n v="0"/>
    <s v=""/>
    <s v="Prevalidation Rejected"/>
    <x v="0"/>
  </r>
  <r>
    <s v="AYYN_0363"/>
    <x v="2"/>
    <x v="2"/>
    <n v="6"/>
    <x v="7"/>
    <n v="96.154529999999994"/>
    <n v="16.823519999999998"/>
    <s v="Telenor-Ooredoo"/>
    <n v="16"/>
    <s v="YGN1489"/>
    <x v="0"/>
    <s v="Prevalidation Rejected"/>
    <s v="OK"/>
    <s v="OK"/>
    <s v="Rejected"/>
    <s v="Rejected"/>
    <s v="Rejected"/>
    <s v="OK"/>
    <n v="194"/>
    <n v="1"/>
    <m/>
    <m/>
    <m/>
    <m/>
    <m/>
    <m/>
    <n v="193"/>
    <n v="1"/>
    <m/>
    <m/>
    <m/>
    <m/>
    <m/>
    <m/>
    <m/>
    <n v="1"/>
    <b v="1"/>
    <n v="1"/>
    <b v="1"/>
    <b v="1"/>
    <s v="Prevalidation Rejected"/>
    <x v="0"/>
    <x v="0"/>
    <x v="0"/>
    <x v="0"/>
    <x v="0"/>
    <x v="0"/>
    <n v="0"/>
    <s v=""/>
    <s v=""/>
    <s v=""/>
    <s v=""/>
    <n v="0"/>
    <n v="0"/>
    <s v=""/>
    <s v="Prevalidation Rejected"/>
    <x v="0"/>
  </r>
  <r>
    <s v="AYYN_0389"/>
    <x v="2"/>
    <x v="2"/>
    <n v="6"/>
    <x v="7"/>
    <n v="96.126400000000004"/>
    <n v="16.798010000000001"/>
    <s v="Telenor-Ooredoo"/>
    <n v="17"/>
    <s v="YGN0167"/>
    <x v="0"/>
    <s v="Prevalidated"/>
    <s v="OK"/>
    <s v="OK"/>
    <s v="OK"/>
    <s v="OK"/>
    <s v="OK"/>
    <s v="OK"/>
    <n v="195"/>
    <n v="1"/>
    <m/>
    <m/>
    <m/>
    <m/>
    <m/>
    <m/>
    <n v="194"/>
    <n v="1"/>
    <m/>
    <m/>
    <m/>
    <m/>
    <m/>
    <m/>
    <m/>
    <n v="1"/>
    <b v="1"/>
    <n v="1"/>
    <b v="1"/>
    <b v="1"/>
    <s v="Prevalidated"/>
    <x v="0"/>
    <x v="0"/>
    <x v="0"/>
    <x v="0"/>
    <x v="0"/>
    <x v="0"/>
    <n v="0"/>
    <s v=""/>
    <n v="0"/>
    <s v=""/>
    <s v=""/>
    <n v="0"/>
    <n v="0"/>
    <s v=""/>
    <s v="Prevalidated - TSSR in Process"/>
    <x v="2"/>
  </r>
  <r>
    <s v="AYYN_0396"/>
    <x v="2"/>
    <x v="2"/>
    <n v="6"/>
    <x v="7"/>
    <n v="96.130399999999995"/>
    <n v="16.782769999999999"/>
    <s v="Telenor"/>
    <n v="18"/>
    <s v="YGN0171"/>
    <x v="0"/>
    <s v="Prevalidated"/>
    <s v="OK"/>
    <s v="OK"/>
    <s v="OK"/>
    <s v="OK"/>
    <s v="OK"/>
    <s v="OK"/>
    <n v="196"/>
    <n v="1"/>
    <m/>
    <m/>
    <d v="2018-05-03T00:00:00"/>
    <d v="2018-05-03T00:00:00"/>
    <m/>
    <s v="Approved"/>
    <n v="195"/>
    <n v="1"/>
    <d v="2018-05-09T00:00:00"/>
    <s v="Approved"/>
    <m/>
    <m/>
    <m/>
    <m/>
    <m/>
    <n v="1"/>
    <b v="1"/>
    <n v="2"/>
    <b v="0"/>
    <b v="0"/>
    <s v=""/>
    <x v="0"/>
    <x v="0"/>
    <x v="0"/>
    <x v="0"/>
    <x v="0"/>
    <x v="0"/>
    <n v="0"/>
    <s v=""/>
    <s v=""/>
    <s v=""/>
    <s v=""/>
    <n v="0"/>
    <n v="0"/>
    <s v=""/>
    <s v=""/>
    <x v="3"/>
  </r>
  <r>
    <s v="AYYN_0396"/>
    <x v="2"/>
    <x v="2"/>
    <n v="6"/>
    <x v="7"/>
    <n v="96.130399999999995"/>
    <n v="16.782769999999999"/>
    <s v="Telenor"/>
    <n v="18"/>
    <s v="YGN0171"/>
    <x v="0"/>
    <s v="Prevalidated"/>
    <s v="OK"/>
    <s v="OK"/>
    <s v="OK"/>
    <s v="OK"/>
    <s v="OK"/>
    <s v="OK"/>
    <n v="196"/>
    <n v="1"/>
    <m/>
    <m/>
    <d v="2018-05-03T00:00:00"/>
    <d v="2018-05-03T00:00:00"/>
    <m/>
    <s v="Approved"/>
    <n v="248"/>
    <n v="2"/>
    <d v="2018-05-29T00:00:00"/>
    <s v="Approved"/>
    <m/>
    <m/>
    <m/>
    <m/>
    <m/>
    <n v="1"/>
    <b v="1"/>
    <n v="2"/>
    <b v="1"/>
    <b v="1"/>
    <s v="Prevalidated"/>
    <x v="0"/>
    <x v="0"/>
    <x v="0"/>
    <x v="0"/>
    <x v="0"/>
    <x v="0"/>
    <n v="0"/>
    <s v="Submitted"/>
    <s v="Approved"/>
    <s v="In Process"/>
    <s v="Approved"/>
    <n v="0"/>
    <n v="0"/>
    <s v=""/>
    <s v="Colo Application Approved"/>
    <x v="1"/>
  </r>
  <r>
    <s v="AYYN_0583"/>
    <x v="2"/>
    <x v="0"/>
    <n v="35"/>
    <x v="7"/>
    <n v="96.083290000000005"/>
    <n v="16.967369999999999"/>
    <s v="Telenor-Ooredoo-Amara"/>
    <n v="19"/>
    <s v="YGN1201"/>
    <x v="0"/>
    <s v="Prevalidated"/>
    <s v="OK"/>
    <s v="OK"/>
    <s v="OK"/>
    <s v="OK"/>
    <s v="OK"/>
    <s v="OK"/>
    <n v="197"/>
    <n v="1"/>
    <m/>
    <m/>
    <d v="2018-05-03T00:00:00"/>
    <d v="2018-05-03T00:00:00"/>
    <m/>
    <s v="Approved"/>
    <n v="196"/>
    <n v="1"/>
    <d v="2018-05-09T00:00:00"/>
    <s v="Approved"/>
    <m/>
    <m/>
    <m/>
    <m/>
    <m/>
    <n v="1"/>
    <b v="1"/>
    <n v="1"/>
    <b v="1"/>
    <b v="1"/>
    <s v="Prevalidated"/>
    <x v="0"/>
    <x v="0"/>
    <x v="0"/>
    <x v="0"/>
    <x v="0"/>
    <x v="0"/>
    <n v="0"/>
    <s v="Submitted"/>
    <s v="Approved"/>
    <s v="In Process"/>
    <s v="Approved"/>
    <n v="0"/>
    <n v="0"/>
    <s v=""/>
    <s v="Colo Application Approved"/>
    <x v="1"/>
  </r>
  <r>
    <s v="ANMD_0273"/>
    <x v="0"/>
    <x v="2"/>
    <n v="6"/>
    <x v="2"/>
    <n v="96.110633000000007"/>
    <n v="21.988139"/>
    <s v="Telenor"/>
    <n v="20"/>
    <s v="MDY0760"/>
    <x v="0"/>
    <s v="Prevalidation Rejected"/>
    <s v="OK"/>
    <s v="OK"/>
    <s v="OK"/>
    <s v="OK"/>
    <s v="OK"/>
    <s v="Rejected"/>
    <n v="198"/>
    <n v="1"/>
    <m/>
    <m/>
    <m/>
    <m/>
    <m/>
    <m/>
    <n v="197"/>
    <n v="1"/>
    <m/>
    <m/>
    <m/>
    <m/>
    <m/>
    <m/>
    <m/>
    <n v="1"/>
    <b v="1"/>
    <n v="1"/>
    <b v="1"/>
    <b v="1"/>
    <s v="Prevalidation Rejected"/>
    <x v="0"/>
    <x v="0"/>
    <x v="0"/>
    <x v="0"/>
    <x v="0"/>
    <x v="0"/>
    <n v="0"/>
    <s v=""/>
    <s v=""/>
    <s v=""/>
    <s v=""/>
    <n v="0"/>
    <n v="0"/>
    <s v=""/>
    <s v="Prevalidation Rejected"/>
    <x v="0"/>
  </r>
  <r>
    <s v="AYYN_0269"/>
    <x v="2"/>
    <x v="0"/>
    <n v="35"/>
    <x v="7"/>
    <n v="96.092950000000002"/>
    <n v="16.909870000000002"/>
    <s v="Telenor"/>
    <n v="21"/>
    <s v="YGNINSN052"/>
    <x v="1"/>
    <s v="Prevalidated"/>
    <s v="OK"/>
    <s v="OK"/>
    <s v="OK"/>
    <s v="OK"/>
    <s v="OK"/>
    <s v="OK"/>
    <n v="199"/>
    <n v="1"/>
    <m/>
    <d v="2018-02-27T00:00:00"/>
    <m/>
    <d v="2018-02-28T00:00:00"/>
    <m/>
    <s v="Approved"/>
    <n v="198"/>
    <n v="1"/>
    <d v="2018-03-13T00:00:00"/>
    <m/>
    <m/>
    <m/>
    <m/>
    <m/>
    <m/>
    <n v="1"/>
    <b v="1"/>
    <n v="1"/>
    <b v="1"/>
    <b v="1"/>
    <s v="Prevalidated"/>
    <x v="0"/>
    <x v="0"/>
    <x v="0"/>
    <x v="0"/>
    <x v="0"/>
    <x v="0"/>
    <n v="0"/>
    <s v=""/>
    <s v="Approved"/>
    <s v="In Process"/>
    <n v="0"/>
    <n v="1"/>
    <n v="1"/>
    <s v="Work Completed"/>
    <s v="Prevalidated - TSSR Done"/>
    <x v="4"/>
  </r>
  <r>
    <s v="AYYN_0171"/>
    <x v="2"/>
    <x v="0"/>
    <n v="35"/>
    <x v="7"/>
    <n v="96.281469999999999"/>
    <n v="16.736360000000001"/>
    <s v="Telenor"/>
    <n v="22"/>
    <s v="YGN01927"/>
    <x v="2"/>
    <s v="Prevalidated"/>
    <s v="OK"/>
    <s v="OK"/>
    <s v="OK"/>
    <s v="OK"/>
    <s v="OK"/>
    <s v="OK"/>
    <n v="200"/>
    <n v="1"/>
    <d v="2018-03-08T00:00:00"/>
    <d v="2018-03-08T00:00:00"/>
    <d v="2018-03-15T00:00:00"/>
    <d v="2018-03-09T00:00:00"/>
    <d v="2018-04-30T00:00:00"/>
    <s v="Approved"/>
    <n v="199"/>
    <n v="1"/>
    <d v="2018-04-05T00:00:00"/>
    <s v="Approved"/>
    <m/>
    <m/>
    <m/>
    <m/>
    <m/>
    <n v="1"/>
    <b v="1"/>
    <n v="1"/>
    <b v="1"/>
    <b v="1"/>
    <s v="Prevalidated"/>
    <x v="0"/>
    <x v="0"/>
    <x v="0"/>
    <x v="0"/>
    <x v="0"/>
    <x v="0"/>
    <n v="0"/>
    <s v="Submitted"/>
    <s v="Approved"/>
    <s v="In Process"/>
    <s v="Approved"/>
    <n v="2"/>
    <n v="2"/>
    <s v="Work Completed"/>
    <s v="Work Completed"/>
    <x v="5"/>
  </r>
  <r>
    <s v="ANSG_0355"/>
    <x v="0"/>
    <x v="0"/>
    <n v="45"/>
    <x v="3"/>
    <n v="95.164109999999994"/>
    <n v="22.124780000000001"/>
    <s v="Telenor-Ooredoo"/>
    <n v="23"/>
    <s v="SGG01165"/>
    <x v="2"/>
    <s v="Prevalidated"/>
    <s v="OK"/>
    <s v="OK"/>
    <s v="OK"/>
    <s v="OK"/>
    <s v="OK"/>
    <s v="OK"/>
    <n v="201"/>
    <n v="1"/>
    <d v="2018-01-28T00:00:00"/>
    <d v="2018-01-28T00:00:00"/>
    <d v="2018-01-30T00:00:00"/>
    <d v="2018-01-30T00:00:00"/>
    <d v="2018-06-30T00:00:00"/>
    <s v="Approved"/>
    <n v="200"/>
    <n v="1"/>
    <d v="2018-02-07T00:00:00"/>
    <s v="Approved"/>
    <m/>
    <m/>
    <m/>
    <m/>
    <m/>
    <n v="1"/>
    <b v="1"/>
    <n v="1"/>
    <b v="1"/>
    <b v="1"/>
    <s v="Prevalidated"/>
    <x v="0"/>
    <x v="0"/>
    <x v="0"/>
    <x v="0"/>
    <x v="0"/>
    <x v="0"/>
    <n v="0"/>
    <s v="Submitted"/>
    <s v="Approved"/>
    <s v="In Process"/>
    <s v="Approved"/>
    <n v="1"/>
    <n v="1"/>
    <s v="Work Completed"/>
    <s v="Work Completed"/>
    <x v="5"/>
  </r>
  <r>
    <s v="AYYN_0099"/>
    <x v="2"/>
    <x v="0"/>
    <n v="35"/>
    <x v="7"/>
    <n v="96.193648999999994"/>
    <n v="16.927868"/>
    <s v="Telenor-Amara-Mytel-Ooredoo"/>
    <n v="24"/>
    <s v="YGN02508"/>
    <x v="2"/>
    <s v="Prevalidated"/>
    <s v="OK"/>
    <s v="OK"/>
    <s v="OK"/>
    <s v="OK"/>
    <s v="OK"/>
    <s v="OK"/>
    <n v="202"/>
    <n v="1"/>
    <d v="2018-04-09T00:00:00"/>
    <d v="2018-04-09T00:00:00"/>
    <d v="2018-04-10T00:00:00"/>
    <d v="2018-04-10T00:00:00"/>
    <d v="2018-06-30T00:00:00"/>
    <s v="Approved"/>
    <n v="201"/>
    <n v="1"/>
    <d v="2018-04-23T00:00:00"/>
    <s v="Approved"/>
    <m/>
    <m/>
    <m/>
    <m/>
    <m/>
    <n v="1"/>
    <b v="1"/>
    <n v="1"/>
    <b v="1"/>
    <b v="1"/>
    <s v="Prevalidated"/>
    <x v="0"/>
    <x v="0"/>
    <x v="0"/>
    <x v="0"/>
    <x v="0"/>
    <x v="0"/>
    <n v="0"/>
    <s v="Submitted"/>
    <s v="Approved"/>
    <s v="In Process"/>
    <s v="Approved"/>
    <n v="2"/>
    <n v="2"/>
    <s v="Work Completed"/>
    <s v="Work Completed"/>
    <x v="5"/>
  </r>
  <r>
    <s v="AYYN_0251"/>
    <x v="2"/>
    <x v="0"/>
    <n v="35"/>
    <x v="7"/>
    <n v="96.132530000000003"/>
    <n v="16.94669"/>
    <s v="Telenor-Mytel-Amara"/>
    <n v="25"/>
    <s v="YGN01769"/>
    <x v="2"/>
    <s v="Prevalidated"/>
    <s v="OK"/>
    <s v="OK"/>
    <s v="OK"/>
    <s v="OK"/>
    <s v="OK"/>
    <s v="OK"/>
    <n v="203"/>
    <n v="1"/>
    <d v="2018-04-09T00:00:00"/>
    <d v="2018-04-09T00:00:00"/>
    <d v="2018-04-10T00:00:00"/>
    <d v="2018-04-10T00:00:00"/>
    <d v="2018-06-30T00:00:00"/>
    <s v="Approved"/>
    <n v="202"/>
    <n v="1"/>
    <d v="2018-04-23T00:00:00"/>
    <s v="Approved"/>
    <m/>
    <m/>
    <m/>
    <m/>
    <m/>
    <n v="1"/>
    <b v="1"/>
    <n v="1"/>
    <b v="1"/>
    <b v="1"/>
    <s v="Prevalidated"/>
    <x v="0"/>
    <x v="0"/>
    <x v="0"/>
    <x v="0"/>
    <x v="0"/>
    <x v="0"/>
    <n v="0"/>
    <s v="Submitted"/>
    <s v="Approved"/>
    <s v="In Process"/>
    <s v="Approved"/>
    <n v="1"/>
    <n v="1"/>
    <s v="Work Completed"/>
    <s v="Work Completed"/>
    <x v="5"/>
  </r>
  <r>
    <s v="AYYN_0583"/>
    <x v="2"/>
    <x v="0"/>
    <n v="35"/>
    <x v="7"/>
    <n v="96.083290000000005"/>
    <n v="16.967369999999999"/>
    <s v="Telenor-Ooredoo-Amara"/>
    <n v="26"/>
    <s v="YGN02364"/>
    <x v="2"/>
    <s v="Prevalidated"/>
    <s v="OK"/>
    <s v="OK"/>
    <s v="OK"/>
    <s v="OK"/>
    <s v="OK"/>
    <s v="OK"/>
    <n v="204"/>
    <n v="1"/>
    <d v="2018-04-10T00:00:00"/>
    <d v="2018-04-10T00:00:00"/>
    <d v="2018-04-11T00:00:00"/>
    <d v="2018-04-11T00:00:00"/>
    <d v="2018-06-05T00:00:00"/>
    <s v="Approved"/>
    <n v="203"/>
    <n v="1"/>
    <d v="2018-04-23T00:00:00"/>
    <s v="Approved"/>
    <m/>
    <m/>
    <m/>
    <m/>
    <m/>
    <n v="1"/>
    <b v="1"/>
    <n v="1"/>
    <b v="1"/>
    <b v="1"/>
    <s v="Prevalidated"/>
    <x v="0"/>
    <x v="0"/>
    <x v="0"/>
    <x v="0"/>
    <x v="0"/>
    <x v="0"/>
    <n v="0"/>
    <s v="Submitted"/>
    <s v="Approved"/>
    <s v="In Process"/>
    <s v="Approved"/>
    <n v="1"/>
    <n v="1"/>
    <s v="Work Completed"/>
    <s v="Work Completed"/>
    <x v="5"/>
  </r>
  <r>
    <s v="ANMD_0224"/>
    <x v="0"/>
    <x v="0"/>
    <n v="50"/>
    <x v="2"/>
    <n v="96.450270000000003"/>
    <n v="22.983370000000001"/>
    <s v="Telenor"/>
    <n v="27"/>
    <s v="MAW2259"/>
    <x v="3"/>
    <s v="Prevalidated"/>
    <s v="OK"/>
    <s v="OK"/>
    <s v="OK"/>
    <s v="OK"/>
    <s v="OK"/>
    <s v="OK"/>
    <n v="56"/>
    <n v="1"/>
    <m/>
    <d v="2018-03-15T00:00:00"/>
    <d v="2018-03-15T00:00:00"/>
    <d v="2018-03-15T00:00:00"/>
    <m/>
    <s v="Approved"/>
    <n v="55"/>
    <n v="1"/>
    <d v="2018-03-20T00:00:00"/>
    <s v="NTP Received"/>
    <m/>
    <m/>
    <m/>
    <m/>
    <m/>
    <n v="1"/>
    <b v="1"/>
    <n v="1"/>
    <b v="1"/>
    <b v="1"/>
    <s v="Prevalidated"/>
    <x v="0"/>
    <x v="0"/>
    <x v="0"/>
    <x v="0"/>
    <x v="0"/>
    <x v="0"/>
    <n v="0"/>
    <s v="Submitted"/>
    <s v="Approved"/>
    <s v="In Process"/>
    <s v="NTP Received"/>
    <n v="2"/>
    <n v="2"/>
    <s v="Work Completed"/>
    <s v="Work Completed"/>
    <x v="5"/>
  </r>
  <r>
    <s v="ASMO_0163"/>
    <x v="2"/>
    <x v="0"/>
    <n v="35"/>
    <x v="6"/>
    <n v="97.634060000000005"/>
    <n v="16.497579999999999"/>
    <s v="Telenor-Ooredoo"/>
    <n v="28"/>
    <s v="MOW6065"/>
    <x v="3"/>
    <s v="Prevalidated"/>
    <s v="OK"/>
    <s v="OK"/>
    <s v="OK"/>
    <s v="OK"/>
    <s v="OK"/>
    <s v="OK"/>
    <n v="100"/>
    <n v="1"/>
    <d v="2018-03-08T00:00:00"/>
    <d v="2018-03-14T00:00:00"/>
    <d v="2018-03-09T00:00:00"/>
    <d v="2018-03-14T00:00:00"/>
    <m/>
    <s v="Approved"/>
    <n v="99"/>
    <n v="1"/>
    <d v="2018-03-26T00:00:00"/>
    <s v="NTP Received"/>
    <m/>
    <m/>
    <m/>
    <m/>
    <m/>
    <n v="1"/>
    <b v="1"/>
    <n v="1"/>
    <b v="1"/>
    <b v="1"/>
    <s v="Prevalidated"/>
    <x v="0"/>
    <x v="0"/>
    <x v="0"/>
    <x v="0"/>
    <x v="0"/>
    <x v="0"/>
    <n v="0"/>
    <s v="Submitted"/>
    <s v="Approved"/>
    <s v="In Process"/>
    <s v="NTP Received"/>
    <n v="2"/>
    <n v="2"/>
    <s v="Work Completed"/>
    <s v="Work Completed"/>
    <x v="5"/>
  </r>
  <r>
    <s v="AYYN_0338"/>
    <x v="2"/>
    <x v="0"/>
    <n v="35"/>
    <x v="7"/>
    <n v="96.126549999999995"/>
    <n v="16.868829999999999"/>
    <s v="Telenor-MPT-Mytel-Amara"/>
    <n v="29"/>
    <s v="YAW4265"/>
    <x v="3"/>
    <s v="Prevalidation Rejected"/>
    <s v="OK"/>
    <m/>
    <s v="Review"/>
    <s v="OK"/>
    <s v="OK"/>
    <s v="OK"/>
    <n v="142"/>
    <n v="1"/>
    <m/>
    <d v="2018-03-13T00:00:00"/>
    <d v="2018-03-14T00:00:00"/>
    <d v="2018-03-15T00:00:00"/>
    <m/>
    <s v="Approved"/>
    <n v="141"/>
    <n v="1"/>
    <m/>
    <m/>
    <m/>
    <m/>
    <m/>
    <m/>
    <m/>
    <n v="1"/>
    <b v="1"/>
    <n v="1"/>
    <b v="1"/>
    <b v="1"/>
    <s v="Prevalidation Rejected"/>
    <x v="0"/>
    <x v="0"/>
    <x v="0"/>
    <x v="0"/>
    <x v="0"/>
    <x v="0"/>
    <n v="0"/>
    <s v=""/>
    <s v=""/>
    <s v=""/>
    <s v=""/>
    <n v="0"/>
    <n v="0"/>
    <s v=""/>
    <s v="Prevalidation Rejected"/>
    <x v="0"/>
  </r>
  <r>
    <s v="AYYN_0611"/>
    <x v="2"/>
    <x v="0"/>
    <n v="35"/>
    <x v="7"/>
    <n v="96.149469999999994"/>
    <n v="17.003990000000002"/>
    <s v="Telenor-MPT-Mytel"/>
    <n v="30"/>
    <s v="YAW4436"/>
    <x v="3"/>
    <s v="Commercial Approval Requested"/>
    <s v="OK"/>
    <s v="OK"/>
    <s v="Review"/>
    <s v="Review"/>
    <s v="OK"/>
    <s v="Review"/>
    <n v="173"/>
    <n v="1"/>
    <d v="2018-07-03T00:00:00"/>
    <d v="2018-07-03T00:00:00"/>
    <d v="2018-07-04T00:00:00"/>
    <m/>
    <m/>
    <m/>
    <n v="172"/>
    <n v="1"/>
    <m/>
    <m/>
    <m/>
    <m/>
    <m/>
    <m/>
    <m/>
    <n v="1"/>
    <b v="1"/>
    <n v="1"/>
    <b v="1"/>
    <b v="1"/>
    <s v="Commercial Approval Requested"/>
    <x v="0"/>
    <x v="0"/>
    <x v="0"/>
    <x v="0"/>
    <x v="0"/>
    <x v="0"/>
    <n v="0"/>
    <s v=""/>
    <s v=""/>
    <s v=""/>
    <s v=""/>
    <n v="0"/>
    <n v="0"/>
    <s v=""/>
    <s v="Commercial Approval Requested"/>
    <x v="6"/>
  </r>
  <r>
    <s v="AYYN_0529"/>
    <x v="2"/>
    <x v="2"/>
    <n v="6"/>
    <x v="7"/>
    <n v="96.206469999999996"/>
    <n v="16.861460000000001"/>
    <s v="Telenor-MPT"/>
    <n v="31"/>
    <s v="YAW4447"/>
    <x v="3"/>
    <s v="Dropped by Operator"/>
    <s v="OK"/>
    <m/>
    <s v="OK"/>
    <s v="OK"/>
    <s v="OK"/>
    <s v="OK"/>
    <n v="159"/>
    <n v="1"/>
    <m/>
    <m/>
    <m/>
    <m/>
    <m/>
    <m/>
    <n v="158"/>
    <n v="1"/>
    <m/>
    <m/>
    <m/>
    <m/>
    <m/>
    <m/>
    <m/>
    <n v="1"/>
    <b v="1"/>
    <n v="1"/>
    <b v="1"/>
    <b v="1"/>
    <s v="Dropped by Operator"/>
    <x v="0"/>
    <x v="0"/>
    <x v="0"/>
    <x v="0"/>
    <x v="0"/>
    <x v="0"/>
    <n v="0"/>
    <s v=""/>
    <s v=""/>
    <s v=""/>
    <s v=""/>
    <n v="0"/>
    <n v="0"/>
    <s v=""/>
    <s v="Dropped by Operator"/>
    <x v="7"/>
  </r>
  <r>
    <s v="ANSG_0380"/>
    <x v="0"/>
    <x v="0"/>
    <n v="35"/>
    <x v="3"/>
    <n v="95.980609999999999"/>
    <n v="21.876380000000001"/>
    <s v="Telenor-Mytel"/>
    <n v="32"/>
    <s v="SAW0729"/>
    <x v="3"/>
    <s v="Prevalidated"/>
    <s v="OK"/>
    <s v="OK"/>
    <s v="OK"/>
    <s v="OK"/>
    <s v="OK"/>
    <s v="OK"/>
    <n v="84"/>
    <n v="1"/>
    <m/>
    <d v="2018-03-20T00:00:00"/>
    <d v="2018-03-15T00:00:00"/>
    <d v="2018-03-20T00:00:00"/>
    <m/>
    <s v="Approved"/>
    <n v="83"/>
    <n v="1"/>
    <d v="2018-03-26T00:00:00"/>
    <s v="NTP Received"/>
    <m/>
    <m/>
    <m/>
    <m/>
    <m/>
    <n v="1"/>
    <b v="1"/>
    <n v="1"/>
    <b v="1"/>
    <b v="1"/>
    <s v="Prevalidated"/>
    <x v="0"/>
    <x v="0"/>
    <x v="0"/>
    <x v="0"/>
    <x v="0"/>
    <x v="0"/>
    <n v="0"/>
    <s v="Submitted"/>
    <s v="Approved"/>
    <s v="In Process"/>
    <s v="NTP Received"/>
    <n v="2"/>
    <n v="2"/>
    <s v="Work Completed"/>
    <s v="Work Completed"/>
    <x v="5"/>
  </r>
  <r>
    <s v="ANSG_0343"/>
    <x v="0"/>
    <x v="0"/>
    <n v="45"/>
    <x v="3"/>
    <n v="95.086429999999993"/>
    <n v="22.203050000000001"/>
    <s v="Telenor-MPT-Mytel"/>
    <n v="33"/>
    <s v="SAW0697"/>
    <x v="3"/>
    <s v="Prevalidated"/>
    <s v="OK"/>
    <s v="OK"/>
    <s v="OK"/>
    <s v="OK"/>
    <s v="OK"/>
    <s v="OK"/>
    <n v="73"/>
    <n v="1"/>
    <m/>
    <d v="2018-04-04T00:00:00"/>
    <m/>
    <d v="2018-04-05T00:00:00"/>
    <m/>
    <s v="Approved"/>
    <n v="72"/>
    <n v="1"/>
    <d v="2018-04-21T00:00:00"/>
    <s v="NTP Received"/>
    <m/>
    <m/>
    <m/>
    <m/>
    <m/>
    <n v="1"/>
    <b v="1"/>
    <n v="1"/>
    <b v="1"/>
    <b v="1"/>
    <s v="Prevalidated"/>
    <x v="0"/>
    <x v="0"/>
    <x v="0"/>
    <x v="0"/>
    <x v="0"/>
    <x v="0"/>
    <n v="0"/>
    <s v=""/>
    <s v="Approved"/>
    <s v="In Process"/>
    <s v="NTP Received"/>
    <n v="1"/>
    <n v="1"/>
    <s v="Work Completed"/>
    <s v="Work Completed"/>
    <x v="5"/>
  </r>
  <r>
    <s v="ANNP_0252"/>
    <x v="1"/>
    <x v="0"/>
    <n v="35"/>
    <x v="8"/>
    <n v="96.134270000000001"/>
    <n v="19.821960000000001"/>
    <s v="Telenor"/>
    <n v="34"/>
    <s v="NPW0260"/>
    <x v="0"/>
    <s v="Prevalidated"/>
    <s v="OK"/>
    <s v="OK"/>
    <s v="OK"/>
    <s v="OK"/>
    <s v="OK"/>
    <s v="OK"/>
    <n v="205"/>
    <n v="1"/>
    <m/>
    <m/>
    <d v="2018-04-25T00:00:00"/>
    <d v="2018-04-25T00:00:00"/>
    <m/>
    <s v="Approved"/>
    <n v="204"/>
    <n v="1"/>
    <d v="2018-04-23T00:00:00"/>
    <s v="Approved"/>
    <m/>
    <m/>
    <m/>
    <m/>
    <m/>
    <n v="1"/>
    <b v="1"/>
    <n v="1"/>
    <b v="1"/>
    <b v="1"/>
    <s v="Prevalidated"/>
    <x v="0"/>
    <x v="0"/>
    <x v="0"/>
    <x v="0"/>
    <x v="0"/>
    <x v="0"/>
    <n v="0"/>
    <s v="Submitted"/>
    <s v="Approved"/>
    <s v="In Process"/>
    <s v="Approved"/>
    <n v="2"/>
    <n v="2"/>
    <s v="Work Completed"/>
    <s v="Work Completed"/>
    <x v="5"/>
  </r>
  <r>
    <s v="AYYN_0135"/>
    <x v="2"/>
    <x v="0"/>
    <n v="35"/>
    <x v="7"/>
    <n v="96.257530000000003"/>
    <n v="16.867550000000001"/>
    <s v="Telenor-Mytel"/>
    <n v="35"/>
    <s v="YGN02071"/>
    <x v="2"/>
    <s v="Prevalidated"/>
    <s v="OK"/>
    <s v="OK"/>
    <s v="OK"/>
    <s v="OK"/>
    <s v="OK"/>
    <s v="OK"/>
    <n v="206"/>
    <n v="1"/>
    <d v="2018-04-10T00:00:00"/>
    <d v="2018-04-10T00:00:00"/>
    <d v="2018-04-11T00:00:00"/>
    <d v="2018-04-11T00:00:00"/>
    <d v="2018-05-31T00:00:00"/>
    <s v="Approved"/>
    <n v="205"/>
    <n v="1"/>
    <d v="2018-04-23T00:00:00"/>
    <s v="Approved"/>
    <m/>
    <m/>
    <m/>
    <m/>
    <m/>
    <n v="1"/>
    <b v="1"/>
    <n v="1"/>
    <b v="1"/>
    <b v="1"/>
    <s v="Prevalidated"/>
    <x v="0"/>
    <x v="0"/>
    <x v="0"/>
    <x v="0"/>
    <x v="0"/>
    <x v="0"/>
    <n v="0"/>
    <s v="Submitted"/>
    <s v="Approved"/>
    <s v="In Process"/>
    <s v="Approved"/>
    <n v="2"/>
    <n v="2"/>
    <s v="Work Completed"/>
    <s v="Work Completed"/>
    <x v="5"/>
  </r>
  <r>
    <s v="ANKC_0017"/>
    <x v="0"/>
    <x v="0"/>
    <n v="50"/>
    <x v="1"/>
    <n v="96.215919999999997"/>
    <n v="26.691109999999998"/>
    <s v="Telenor"/>
    <n v="36"/>
    <s v="KCN0349"/>
    <x v="0"/>
    <s v="Prevalidated"/>
    <s v="OK"/>
    <s v="OK"/>
    <s v="OK"/>
    <s v="OK"/>
    <s v="OK"/>
    <s v="OK"/>
    <n v="207"/>
    <n v="1"/>
    <m/>
    <d v="1919-01-01T00:00:00"/>
    <d v="2018-04-25T00:00:00"/>
    <d v="2018-04-25T00:00:00"/>
    <m/>
    <s v="Approved"/>
    <n v="206"/>
    <n v="1"/>
    <d v="2018-05-09T00:00:00"/>
    <s v="Approved"/>
    <m/>
    <m/>
    <m/>
    <m/>
    <m/>
    <n v="1"/>
    <b v="1"/>
    <n v="1"/>
    <b v="1"/>
    <b v="1"/>
    <s v="Prevalidated"/>
    <x v="0"/>
    <x v="0"/>
    <x v="0"/>
    <x v="0"/>
    <x v="0"/>
    <x v="0"/>
    <n v="0"/>
    <s v="Submitted"/>
    <s v="Approved"/>
    <s v="In Process"/>
    <s v="Approved"/>
    <n v="0"/>
    <n v="0"/>
    <s v=""/>
    <s v="Colo Application Approved"/>
    <x v="1"/>
  </r>
  <r>
    <s v="ANMD_0073"/>
    <x v="0"/>
    <x v="0"/>
    <n v="45"/>
    <x v="2"/>
    <n v="96.070164000000005"/>
    <n v="21.844214000000001"/>
    <s v="Telenor-MPT"/>
    <n v="37"/>
    <s v="MDY0002"/>
    <x v="0"/>
    <s v="Prevalidated"/>
    <s v="OK"/>
    <s v="OK"/>
    <s v="OK"/>
    <s v="OK"/>
    <s v="OK"/>
    <s v="OK"/>
    <n v="208"/>
    <n v="1"/>
    <m/>
    <d v="1919-01-01T00:00:00"/>
    <d v="2018-04-25T00:00:00"/>
    <d v="2018-04-25T00:00:00"/>
    <m/>
    <s v="Approved"/>
    <n v="207"/>
    <n v="1"/>
    <d v="2018-05-09T00:00:00"/>
    <s v="Approved"/>
    <m/>
    <m/>
    <m/>
    <m/>
    <m/>
    <n v="1"/>
    <b v="1"/>
    <n v="2"/>
    <b v="0"/>
    <b v="0"/>
    <s v=""/>
    <x v="0"/>
    <x v="0"/>
    <x v="0"/>
    <x v="0"/>
    <x v="0"/>
    <x v="0"/>
    <n v="0"/>
    <s v=""/>
    <s v=""/>
    <s v=""/>
    <s v=""/>
    <n v="0"/>
    <n v="0"/>
    <s v=""/>
    <s v=""/>
    <x v="3"/>
  </r>
  <r>
    <s v="ANMD_0073"/>
    <x v="0"/>
    <x v="0"/>
    <n v="45"/>
    <x v="2"/>
    <n v="96.070164000000005"/>
    <n v="21.844214000000001"/>
    <s v="Telenor-MPT"/>
    <n v="37"/>
    <s v="MDY0002"/>
    <x v="0"/>
    <s v="Prevalidated"/>
    <s v="OK"/>
    <s v="OK"/>
    <s v="OK"/>
    <s v="OK"/>
    <s v="OK"/>
    <s v="OK"/>
    <n v="208"/>
    <n v="1"/>
    <m/>
    <d v="1919-01-01T00:00:00"/>
    <d v="2018-04-25T00:00:00"/>
    <d v="2018-04-25T00:00:00"/>
    <m/>
    <s v="Approved"/>
    <n v="249"/>
    <n v="2"/>
    <d v="2018-05-29T00:00:00"/>
    <s v="Approved"/>
    <m/>
    <m/>
    <m/>
    <m/>
    <m/>
    <n v="1"/>
    <b v="1"/>
    <n v="2"/>
    <b v="1"/>
    <b v="1"/>
    <s v="Prevalidated"/>
    <x v="0"/>
    <x v="0"/>
    <x v="0"/>
    <x v="0"/>
    <x v="0"/>
    <x v="0"/>
    <n v="0"/>
    <s v="Submitted"/>
    <s v="Approved"/>
    <s v="In Process"/>
    <s v="Approved"/>
    <n v="0"/>
    <n v="0"/>
    <s v=""/>
    <s v="Colo Application Approved"/>
    <x v="1"/>
  </r>
  <r>
    <s v="ANMD_0088"/>
    <x v="0"/>
    <x v="2"/>
    <n v="6"/>
    <x v="2"/>
    <n v="96.082480000000004"/>
    <n v="21.974630000000001"/>
    <s v="Telenor"/>
    <n v="38"/>
    <s v="MDY0023"/>
    <x v="0"/>
    <s v="Prevalidation Rejected"/>
    <s v="Rejected"/>
    <s v="OK"/>
    <s v="Review"/>
    <s v="OK"/>
    <m/>
    <s v="OK"/>
    <n v="209"/>
    <n v="1"/>
    <m/>
    <m/>
    <m/>
    <m/>
    <m/>
    <m/>
    <n v="208"/>
    <n v="1"/>
    <m/>
    <m/>
    <m/>
    <m/>
    <m/>
    <m/>
    <m/>
    <n v="1"/>
    <b v="1"/>
    <n v="1"/>
    <b v="1"/>
    <b v="1"/>
    <s v="Prevalidation Rejected"/>
    <x v="0"/>
    <x v="0"/>
    <x v="0"/>
    <x v="0"/>
    <x v="0"/>
    <x v="0"/>
    <n v="0"/>
    <s v=""/>
    <s v=""/>
    <s v=""/>
    <s v=""/>
    <n v="0"/>
    <n v="0"/>
    <s v=""/>
    <s v="Prevalidation Rejected"/>
    <x v="0"/>
  </r>
  <r>
    <s v="ANMG_0024"/>
    <x v="1"/>
    <x v="0"/>
    <n v="60"/>
    <x v="9"/>
    <n v="95.259100000000004"/>
    <n v="19.960660000000001"/>
    <s v="Telenor-Ooredoo"/>
    <n v="39"/>
    <s v="MGY0153"/>
    <x v="0"/>
    <s v="Prevalidation Rejected"/>
    <s v="OK"/>
    <s v="OK"/>
    <s v="Review"/>
    <s v="OK"/>
    <m/>
    <s v="OK"/>
    <n v="210"/>
    <n v="1"/>
    <m/>
    <m/>
    <m/>
    <m/>
    <m/>
    <m/>
    <n v="209"/>
    <n v="1"/>
    <m/>
    <m/>
    <m/>
    <m/>
    <m/>
    <m/>
    <m/>
    <n v="1"/>
    <b v="1"/>
    <n v="1"/>
    <b v="1"/>
    <b v="1"/>
    <s v="Prevalidation Rejected"/>
    <x v="0"/>
    <x v="0"/>
    <x v="0"/>
    <x v="0"/>
    <x v="0"/>
    <x v="0"/>
    <n v="0"/>
    <s v=""/>
    <s v=""/>
    <s v=""/>
    <s v=""/>
    <n v="0"/>
    <n v="0"/>
    <s v=""/>
    <s v="Prevalidation Rejected"/>
    <x v="0"/>
  </r>
  <r>
    <s v="ANMG_0187"/>
    <x v="0"/>
    <x v="0"/>
    <n v="35"/>
    <x v="9"/>
    <n v="94.093451999999999"/>
    <n v="21.705134999999999"/>
    <s v="RFTE"/>
    <n v="40"/>
    <s v="MGY0444"/>
    <x v="0"/>
    <s v="Prevalidated"/>
    <s v="OK"/>
    <s v="OK"/>
    <s v="OK"/>
    <s v="OK"/>
    <s v="OK"/>
    <s v="OK"/>
    <n v="211"/>
    <n v="1"/>
    <m/>
    <d v="1919-01-01T00:00:00"/>
    <d v="2018-05-03T00:00:00"/>
    <d v="2018-05-03T00:00:00"/>
    <m/>
    <s v="Approved"/>
    <n v="210"/>
    <n v="1"/>
    <d v="2018-05-09T00:00:00"/>
    <s v="Approved"/>
    <m/>
    <m/>
    <m/>
    <m/>
    <m/>
    <n v="1"/>
    <b v="1"/>
    <n v="1"/>
    <b v="1"/>
    <b v="1"/>
    <s v="Prevalidated"/>
    <x v="0"/>
    <x v="0"/>
    <x v="0"/>
    <x v="0"/>
    <x v="0"/>
    <x v="0"/>
    <n v="0"/>
    <s v="Submitted"/>
    <s v="Approved"/>
    <s v="In Process"/>
    <s v="Approved"/>
    <n v="0"/>
    <n v="0"/>
    <s v=""/>
    <s v="Colo Application Approved"/>
    <x v="1"/>
  </r>
  <r>
    <s v="ANSH_0034"/>
    <x v="0"/>
    <x v="1"/>
    <n v="30"/>
    <x v="4"/>
    <n v="97.736099999999993"/>
    <n v="22.97926"/>
    <s v="Telenor-MPT"/>
    <n v="41"/>
    <s v="SHN1065"/>
    <x v="0"/>
    <s v="Dropped by Operator"/>
    <s v="OK"/>
    <s v="OK"/>
    <s v="Review"/>
    <s v="OK"/>
    <s v="OK"/>
    <s v="OK"/>
    <n v="212"/>
    <n v="1"/>
    <m/>
    <m/>
    <m/>
    <m/>
    <m/>
    <m/>
    <n v="211"/>
    <n v="1"/>
    <m/>
    <m/>
    <m/>
    <m/>
    <m/>
    <m/>
    <m/>
    <n v="1"/>
    <b v="1"/>
    <n v="1"/>
    <b v="1"/>
    <b v="1"/>
    <s v="Dropped by Operator"/>
    <x v="0"/>
    <x v="0"/>
    <x v="0"/>
    <x v="0"/>
    <x v="0"/>
    <x v="0"/>
    <n v="0"/>
    <s v=""/>
    <s v=""/>
    <s v=""/>
    <s v=""/>
    <n v="0"/>
    <n v="0"/>
    <s v=""/>
    <s v="Dropped by Operator"/>
    <x v="7"/>
  </r>
  <r>
    <s v="ACBA_0052"/>
    <x v="2"/>
    <x v="0"/>
    <n v="60"/>
    <x v="10"/>
    <n v="96.358249999999998"/>
    <n v="17.420449999999999"/>
    <s v="Telenor"/>
    <n v="42"/>
    <s v="BGO0947"/>
    <x v="0"/>
    <s v="Prevalidated"/>
    <s v="OK"/>
    <s v="OK"/>
    <s v="OK"/>
    <s v="OK"/>
    <s v="OK"/>
    <s v="OK"/>
    <n v="213"/>
    <n v="1"/>
    <m/>
    <m/>
    <d v="2018-05-03T00:00:00"/>
    <d v="2018-05-03T00:00:00"/>
    <m/>
    <s v="Approved"/>
    <n v="212"/>
    <n v="1"/>
    <d v="2018-05-09T00:00:00"/>
    <s v="Approved"/>
    <m/>
    <m/>
    <m/>
    <m/>
    <m/>
    <n v="1"/>
    <b v="1"/>
    <n v="1"/>
    <b v="1"/>
    <b v="1"/>
    <s v="Prevalidated"/>
    <x v="0"/>
    <x v="0"/>
    <x v="0"/>
    <x v="0"/>
    <x v="0"/>
    <x v="0"/>
    <n v="0"/>
    <s v="Submitted"/>
    <s v="Approved"/>
    <s v="In Process"/>
    <s v="Approved"/>
    <n v="0"/>
    <n v="0"/>
    <s v=""/>
    <s v="Colo Application Approved"/>
    <x v="1"/>
  </r>
  <r>
    <s v="ACBA_0118"/>
    <x v="1"/>
    <x v="0"/>
    <n v="60"/>
    <x v="10"/>
    <n v="96.210980000000006"/>
    <n v="19.290790000000001"/>
    <s v="Telenor"/>
    <n v="43"/>
    <s v="BGO0948"/>
    <x v="0"/>
    <s v="Prevalidated"/>
    <s v="OK"/>
    <s v="OK"/>
    <s v="OK"/>
    <s v="OK"/>
    <s v="OK"/>
    <s v="OK"/>
    <n v="214"/>
    <n v="1"/>
    <m/>
    <m/>
    <d v="2018-05-03T00:00:00"/>
    <d v="2018-05-03T00:00:00"/>
    <m/>
    <s v="Approved"/>
    <n v="213"/>
    <n v="1"/>
    <d v="2018-05-09T00:00:00"/>
    <s v="Approved"/>
    <m/>
    <m/>
    <m/>
    <m/>
    <m/>
    <n v="1"/>
    <b v="1"/>
    <n v="2"/>
    <b v="0"/>
    <b v="0"/>
    <s v=""/>
    <x v="0"/>
    <x v="0"/>
    <x v="0"/>
    <x v="0"/>
    <x v="0"/>
    <x v="0"/>
    <n v="0"/>
    <s v=""/>
    <s v=""/>
    <s v=""/>
    <s v=""/>
    <n v="2"/>
    <n v="2"/>
    <s v="Work Completed"/>
    <s v=""/>
    <x v="3"/>
  </r>
  <r>
    <s v="ACBA_0118"/>
    <x v="1"/>
    <x v="0"/>
    <n v="60"/>
    <x v="10"/>
    <n v="96.210980000000006"/>
    <n v="19.290790000000001"/>
    <s v="Telenor"/>
    <n v="43"/>
    <s v="BGO0948"/>
    <x v="0"/>
    <s v="Prevalidated"/>
    <s v="OK"/>
    <s v="OK"/>
    <s v="OK"/>
    <s v="OK"/>
    <s v="OK"/>
    <s v="OK"/>
    <n v="214"/>
    <n v="1"/>
    <m/>
    <m/>
    <d v="2018-05-03T00:00:00"/>
    <d v="2018-05-03T00:00:00"/>
    <m/>
    <s v="Approved"/>
    <n v="250"/>
    <n v="2"/>
    <d v="2018-05-29T00:00:00"/>
    <s v="Approved"/>
    <m/>
    <m/>
    <m/>
    <m/>
    <m/>
    <n v="1"/>
    <b v="1"/>
    <n v="2"/>
    <b v="1"/>
    <b v="1"/>
    <s v="Prevalidated"/>
    <x v="0"/>
    <x v="0"/>
    <x v="0"/>
    <x v="0"/>
    <x v="0"/>
    <x v="0"/>
    <n v="0"/>
    <s v="Submitted"/>
    <s v="Approved"/>
    <s v="In Process"/>
    <s v="Approved"/>
    <n v="2"/>
    <n v="2"/>
    <s v="Work Completed"/>
    <s v="Work Completed"/>
    <x v="5"/>
  </r>
  <r>
    <s v="ACBA_0075"/>
    <x v="1"/>
    <x v="0"/>
    <n v="60"/>
    <x v="10"/>
    <n v="96.189530000000005"/>
    <n v="19.363980000000002"/>
    <s v="Telenor"/>
    <n v="44"/>
    <s v="BGO0949"/>
    <x v="0"/>
    <s v="Prevalidated"/>
    <s v="OK"/>
    <s v="OK"/>
    <s v="OK"/>
    <s v="OK"/>
    <s v="OK"/>
    <s v="OK"/>
    <n v="215"/>
    <n v="1"/>
    <m/>
    <m/>
    <d v="2018-05-03T00:00:00"/>
    <d v="2018-05-03T00:00:00"/>
    <m/>
    <s v="Approved"/>
    <n v="214"/>
    <n v="1"/>
    <d v="2018-05-09T00:00:00"/>
    <s v="Approved"/>
    <m/>
    <m/>
    <m/>
    <m/>
    <m/>
    <n v="1"/>
    <b v="1"/>
    <n v="1"/>
    <b v="1"/>
    <b v="1"/>
    <s v="Prevalidated"/>
    <x v="0"/>
    <x v="0"/>
    <x v="0"/>
    <x v="0"/>
    <x v="0"/>
    <x v="0"/>
    <n v="0"/>
    <s v="Submitted"/>
    <s v="Approved"/>
    <s v="In Process"/>
    <s v="Approved"/>
    <n v="2"/>
    <n v="2"/>
    <s v="Work Completed"/>
    <s v="Work Completed"/>
    <x v="5"/>
  </r>
  <r>
    <s v="ACBA_0073"/>
    <x v="1"/>
    <x v="0"/>
    <n v="60"/>
    <x v="10"/>
    <n v="96.156400000000005"/>
    <n v="19.431570000000001"/>
    <s v="Telenor"/>
    <n v="45"/>
    <s v="BGO0950"/>
    <x v="0"/>
    <s v="Prevalidated"/>
    <s v="OK"/>
    <s v="OK"/>
    <s v="OK"/>
    <s v="OK"/>
    <s v="OK"/>
    <s v="OK"/>
    <n v="216"/>
    <n v="1"/>
    <m/>
    <m/>
    <d v="2018-05-03T00:00:00"/>
    <d v="2018-05-03T00:00:00"/>
    <m/>
    <s v="Approved"/>
    <n v="215"/>
    <n v="1"/>
    <d v="2018-05-09T00:00:00"/>
    <s v="Approved"/>
    <m/>
    <m/>
    <m/>
    <m/>
    <m/>
    <n v="1"/>
    <b v="1"/>
    <n v="1"/>
    <b v="1"/>
    <b v="1"/>
    <s v="Prevalidated"/>
    <x v="0"/>
    <x v="0"/>
    <x v="0"/>
    <x v="0"/>
    <x v="0"/>
    <x v="0"/>
    <n v="0"/>
    <s v="Submitted"/>
    <s v="Approved"/>
    <s v="In Process"/>
    <s v="Approved"/>
    <n v="2"/>
    <n v="2"/>
    <s v="Work Completed"/>
    <s v="Work Completed"/>
    <x v="5"/>
  </r>
  <r>
    <s v="ACBA_0067"/>
    <x v="2"/>
    <x v="0"/>
    <n v="60"/>
    <x v="10"/>
    <n v="96.457700000000003"/>
    <n v="18.14171"/>
    <s v="Telenor"/>
    <n v="46"/>
    <s v="BGO0965"/>
    <x v="0"/>
    <s v="Prevalidated"/>
    <s v="OK"/>
    <s v="OK"/>
    <s v="OK"/>
    <s v="OK"/>
    <s v="OK"/>
    <s v="OK"/>
    <n v="217"/>
    <n v="1"/>
    <m/>
    <m/>
    <d v="2018-05-03T00:00:00"/>
    <d v="2018-05-03T00:00:00"/>
    <m/>
    <s v="Approved"/>
    <n v="216"/>
    <n v="1"/>
    <d v="2018-05-09T00:00:00"/>
    <s v="Approved"/>
    <m/>
    <m/>
    <m/>
    <m/>
    <m/>
    <n v="1"/>
    <b v="1"/>
    <n v="1"/>
    <b v="1"/>
    <b v="1"/>
    <s v="Prevalidated"/>
    <x v="0"/>
    <x v="0"/>
    <x v="0"/>
    <x v="0"/>
    <x v="0"/>
    <x v="0"/>
    <n v="0"/>
    <s v="Submitted"/>
    <s v="Approved"/>
    <s v="In Process"/>
    <s v="Approved"/>
    <n v="0"/>
    <n v="0"/>
    <s v=""/>
    <s v="Colo Application Approved"/>
    <x v="1"/>
  </r>
  <r>
    <s v="ACBA_0124"/>
    <x v="1"/>
    <x v="0"/>
    <n v="60"/>
    <x v="10"/>
    <n v="96.222819999999999"/>
    <n v="19.2241"/>
    <s v="Telenor"/>
    <n v="47"/>
    <s v="BGO0970"/>
    <x v="0"/>
    <s v="Prevalidated"/>
    <s v="OK"/>
    <s v="OK"/>
    <s v="OK"/>
    <s v="OK"/>
    <s v="OK"/>
    <s v="OK"/>
    <n v="218"/>
    <n v="1"/>
    <m/>
    <m/>
    <d v="2018-05-03T00:00:00"/>
    <d v="2018-05-03T00:00:00"/>
    <m/>
    <s v="Approved"/>
    <n v="217"/>
    <n v="1"/>
    <d v="2018-05-09T00:00:00"/>
    <s v="Approved"/>
    <m/>
    <m/>
    <m/>
    <m/>
    <m/>
    <n v="1"/>
    <b v="1"/>
    <n v="1"/>
    <b v="1"/>
    <b v="1"/>
    <s v="Prevalidated"/>
    <x v="0"/>
    <x v="0"/>
    <x v="0"/>
    <x v="0"/>
    <x v="0"/>
    <x v="0"/>
    <n v="0"/>
    <s v="Submitted"/>
    <s v="Approved"/>
    <s v="In Process"/>
    <s v="Approved"/>
    <n v="1"/>
    <n v="1"/>
    <s v="Work Completed"/>
    <s v="Work Completed"/>
    <x v="5"/>
  </r>
  <r>
    <s v="ANNP_0243"/>
    <x v="1"/>
    <x v="0"/>
    <n v="60"/>
    <x v="8"/>
    <n v="96.138040000000004"/>
    <n v="19.502459999999999"/>
    <s v="Telenor"/>
    <n v="48"/>
    <s v="NPW0263"/>
    <x v="0"/>
    <s v="Prevalidated"/>
    <s v="OK"/>
    <s v="OK"/>
    <s v="OK"/>
    <s v="OK"/>
    <s v="OK"/>
    <s v="OK"/>
    <n v="219"/>
    <n v="1"/>
    <m/>
    <m/>
    <d v="2018-05-03T00:00:00"/>
    <d v="2018-05-03T00:00:00"/>
    <m/>
    <s v="Approved"/>
    <n v="218"/>
    <n v="1"/>
    <d v="2018-05-09T00:00:00"/>
    <s v="Approved"/>
    <m/>
    <m/>
    <m/>
    <m/>
    <m/>
    <n v="1"/>
    <b v="1"/>
    <n v="1"/>
    <b v="1"/>
    <b v="1"/>
    <s v="Prevalidated"/>
    <x v="0"/>
    <x v="0"/>
    <x v="0"/>
    <x v="0"/>
    <x v="0"/>
    <x v="0"/>
    <n v="0"/>
    <s v="Submitted"/>
    <s v="Approved"/>
    <s v="In Process"/>
    <s v="Approved"/>
    <n v="2"/>
    <n v="2"/>
    <s v="Work Completed"/>
    <s v="Work Completed"/>
    <x v="5"/>
  </r>
  <r>
    <s v="ANNP_0241"/>
    <x v="1"/>
    <x v="0"/>
    <n v="60"/>
    <x v="8"/>
    <n v="96.077640000000002"/>
    <n v="19.604659999999999"/>
    <s v="Telenor-Ooredoo-MPT"/>
    <n v="49"/>
    <s v="NPW0264"/>
    <x v="0"/>
    <s v="Prevalidated"/>
    <s v="OK"/>
    <s v="OK"/>
    <s v="OK"/>
    <s v="OK"/>
    <s v="OK"/>
    <s v="OK"/>
    <n v="220"/>
    <n v="1"/>
    <m/>
    <m/>
    <d v="2018-05-03T00:00:00"/>
    <d v="2018-05-03T00:00:00"/>
    <m/>
    <s v="Approved"/>
    <n v="219"/>
    <n v="1"/>
    <d v="2018-05-09T00:00:00"/>
    <s v="Approved"/>
    <m/>
    <m/>
    <m/>
    <m/>
    <m/>
    <n v="1"/>
    <b v="1"/>
    <n v="1"/>
    <b v="1"/>
    <b v="1"/>
    <s v="Prevalidated"/>
    <x v="0"/>
    <x v="0"/>
    <x v="0"/>
    <x v="0"/>
    <x v="0"/>
    <x v="0"/>
    <n v="0"/>
    <s v="Submitted"/>
    <s v="Approved"/>
    <s v="In Process"/>
    <s v="Approved"/>
    <n v="0"/>
    <n v="0"/>
    <s v=""/>
    <s v="Colo Application Approved"/>
    <x v="1"/>
  </r>
  <r>
    <s v="ASMO_0202"/>
    <x v="2"/>
    <x v="0"/>
    <n v="60"/>
    <x v="6"/>
    <n v="97.666169999999994"/>
    <n v="16.011839999999999"/>
    <s v="Telenor-Mytel"/>
    <n v="50"/>
    <s v="MOW6163"/>
    <x v="3"/>
    <s v="Prevalidation Rejected"/>
    <s v="OK"/>
    <s v="OK"/>
    <s v="OK"/>
    <s v="Rejected"/>
    <m/>
    <s v="OK"/>
    <n v="111"/>
    <n v="1"/>
    <m/>
    <m/>
    <m/>
    <m/>
    <m/>
    <m/>
    <n v="110"/>
    <n v="1"/>
    <m/>
    <m/>
    <m/>
    <m/>
    <m/>
    <m/>
    <m/>
    <n v="1"/>
    <b v="1"/>
    <n v="1"/>
    <b v="1"/>
    <b v="1"/>
    <s v="Prevalidation Rejected"/>
    <x v="0"/>
    <x v="0"/>
    <x v="0"/>
    <x v="0"/>
    <x v="0"/>
    <x v="0"/>
    <n v="0"/>
    <s v=""/>
    <s v=""/>
    <s v=""/>
    <s v=""/>
    <n v="0"/>
    <n v="0"/>
    <s v=""/>
    <s v="Prevalidation Rejected"/>
    <x v="0"/>
  </r>
  <r>
    <s v="ANSH_0016"/>
    <x v="0"/>
    <x v="2"/>
    <n v="6"/>
    <x v="4"/>
    <n v="97.685839999999999"/>
    <n v="23.837489999999999"/>
    <s v="Telenor"/>
    <n v="51"/>
    <s v="SHW1189"/>
    <x v="3"/>
    <s v="Prevalidation Rejected"/>
    <s v="OK"/>
    <s v="OK"/>
    <s v="Review"/>
    <s v="OK"/>
    <m/>
    <s v="OK"/>
    <n v="91"/>
    <n v="1"/>
    <m/>
    <m/>
    <m/>
    <m/>
    <m/>
    <m/>
    <n v="90"/>
    <n v="1"/>
    <m/>
    <m/>
    <m/>
    <m/>
    <m/>
    <m/>
    <m/>
    <n v="1"/>
    <b v="1"/>
    <n v="1"/>
    <b v="1"/>
    <b v="1"/>
    <s v="Prevalidation Rejected"/>
    <x v="0"/>
    <x v="0"/>
    <x v="0"/>
    <x v="0"/>
    <x v="0"/>
    <x v="0"/>
    <n v="0"/>
    <s v=""/>
    <s v=""/>
    <s v=""/>
    <s v=""/>
    <n v="0"/>
    <n v="0"/>
    <s v=""/>
    <s v="Prevalidation Rejected"/>
    <x v="0"/>
  </r>
  <r>
    <s v="ANMD_0088"/>
    <x v="0"/>
    <x v="2"/>
    <n v="6"/>
    <x v="2"/>
    <n v="96.082480000000004"/>
    <n v="21.974630000000001"/>
    <s v="Telenor"/>
    <n v="52"/>
    <s v="MDY0023"/>
    <x v="0"/>
    <s v="Prevalidation Rejected"/>
    <s v="Rejected"/>
    <s v="OK"/>
    <s v="Review"/>
    <s v="Review"/>
    <m/>
    <s v="OK"/>
    <n v="221"/>
    <n v="1"/>
    <m/>
    <m/>
    <m/>
    <m/>
    <m/>
    <m/>
    <n v="220"/>
    <n v="1"/>
    <m/>
    <m/>
    <d v="2018-06-18T00:00:00"/>
    <d v="2018-06-18T00:00:00"/>
    <m/>
    <m/>
    <m/>
    <n v="1"/>
    <b v="1"/>
    <n v="1"/>
    <b v="1"/>
    <b v="1"/>
    <s v="Prevalidation Rejected"/>
    <x v="0"/>
    <x v="0"/>
    <x v="0"/>
    <x v="0"/>
    <x v="0"/>
    <x v="0"/>
    <n v="0"/>
    <s v=""/>
    <s v=""/>
    <s v=""/>
    <s v=""/>
    <n v="0"/>
    <n v="0"/>
    <s v=""/>
    <s v="Prevalidation Rejected"/>
    <x v="0"/>
  </r>
  <r>
    <s v="ANMD_0122"/>
    <x v="0"/>
    <x v="2"/>
    <n v="6"/>
    <x v="2"/>
    <n v="96.108279999999993"/>
    <n v="21.959620000000001"/>
    <s v="Telenor"/>
    <n v="53"/>
    <s v="MDY0080"/>
    <x v="0"/>
    <s v="Dropped by Operator"/>
    <s v="OK"/>
    <s v="OK"/>
    <s v="OK"/>
    <s v="OK"/>
    <s v="OK"/>
    <s v="OK"/>
    <n v="222"/>
    <n v="1"/>
    <m/>
    <m/>
    <m/>
    <m/>
    <m/>
    <m/>
    <n v="221"/>
    <n v="1"/>
    <m/>
    <m/>
    <m/>
    <m/>
    <m/>
    <m/>
    <m/>
    <n v="1"/>
    <b v="1"/>
    <n v="1"/>
    <b v="1"/>
    <b v="1"/>
    <s v="Dropped by Operator"/>
    <x v="0"/>
    <x v="0"/>
    <x v="0"/>
    <x v="0"/>
    <x v="0"/>
    <x v="0"/>
    <n v="0"/>
    <s v=""/>
    <s v=""/>
    <s v=""/>
    <s v=""/>
    <n v="0"/>
    <n v="0"/>
    <s v=""/>
    <s v="Dropped by Operator"/>
    <x v="7"/>
  </r>
  <r>
    <s v="ANMD_0166"/>
    <x v="0"/>
    <x v="0"/>
    <n v="35"/>
    <x v="2"/>
    <n v="96.099260999999998"/>
    <n v="21.911093000000001"/>
    <s v="Telenor"/>
    <n v="54"/>
    <s v="MDY0188"/>
    <x v="0"/>
    <s v="Dropped by Operator"/>
    <s v="OK"/>
    <s v="OK"/>
    <s v="OK"/>
    <s v="OK"/>
    <s v="OK"/>
    <s v="OK"/>
    <n v="223"/>
    <n v="1"/>
    <m/>
    <m/>
    <d v="2018-05-31T00:00:00"/>
    <d v="2018-05-31T00:00:00"/>
    <m/>
    <s v="Approved"/>
    <n v="222"/>
    <n v="1"/>
    <m/>
    <m/>
    <m/>
    <m/>
    <m/>
    <m/>
    <m/>
    <n v="1"/>
    <b v="1"/>
    <n v="1"/>
    <b v="1"/>
    <b v="1"/>
    <s v="Dropped by Operator"/>
    <x v="0"/>
    <x v="0"/>
    <x v="0"/>
    <x v="0"/>
    <x v="0"/>
    <x v="0"/>
    <n v="0"/>
    <s v=""/>
    <s v=""/>
    <s v=""/>
    <s v=""/>
    <n v="0"/>
    <n v="0"/>
    <s v=""/>
    <s v="Dropped by Operator"/>
    <x v="7"/>
  </r>
  <r>
    <s v="ANMD_0080"/>
    <x v="0"/>
    <x v="0"/>
    <n v="35"/>
    <x v="2"/>
    <n v="96.070260000000005"/>
    <n v="22.002685"/>
    <s v="Telenor-MPT"/>
    <n v="55"/>
    <s v="MDY0299"/>
    <x v="0"/>
    <s v="Prevalidated"/>
    <s v="OK"/>
    <s v="OK"/>
    <s v="OK"/>
    <s v="OK"/>
    <s v="OK"/>
    <s v="OK"/>
    <n v="224"/>
    <n v="1"/>
    <m/>
    <m/>
    <d v="2018-05-31T00:00:00"/>
    <d v="2018-05-31T00:00:00"/>
    <m/>
    <s v="Approved"/>
    <n v="223"/>
    <n v="1"/>
    <d v="2018-07-23T00:00:00"/>
    <s v="Approved"/>
    <m/>
    <m/>
    <m/>
    <m/>
    <m/>
    <n v="1"/>
    <b v="1"/>
    <n v="1"/>
    <b v="1"/>
    <b v="1"/>
    <s v="Prevalidated"/>
    <x v="0"/>
    <x v="0"/>
    <x v="0"/>
    <x v="0"/>
    <x v="0"/>
    <x v="0"/>
    <n v="0"/>
    <s v="Submitted"/>
    <s v="Approved"/>
    <s v="In Process"/>
    <s v="Approved"/>
    <n v="0"/>
    <n v="0"/>
    <s v=""/>
    <s v="Colo Application Approved"/>
    <x v="1"/>
  </r>
  <r>
    <s v="ANMD_0004"/>
    <x v="0"/>
    <x v="2"/>
    <n v="6"/>
    <x v="2"/>
    <n v="96.079610000000002"/>
    <n v="21.99869"/>
    <s v="Telenor"/>
    <n v="56"/>
    <s v="MDY0338"/>
    <x v="0"/>
    <s v="Dropped by Operator"/>
    <s v="OK"/>
    <s v="OK"/>
    <s v="OK"/>
    <s v="OK"/>
    <m/>
    <s v="OK"/>
    <n v="225"/>
    <n v="1"/>
    <m/>
    <m/>
    <m/>
    <m/>
    <m/>
    <m/>
    <n v="224"/>
    <n v="1"/>
    <m/>
    <m/>
    <m/>
    <m/>
    <m/>
    <m/>
    <m/>
    <n v="1"/>
    <b v="1"/>
    <n v="1"/>
    <b v="1"/>
    <b v="1"/>
    <s v="Dropped by Operator"/>
    <x v="0"/>
    <x v="0"/>
    <x v="0"/>
    <x v="0"/>
    <x v="0"/>
    <x v="0"/>
    <n v="0"/>
    <s v=""/>
    <s v=""/>
    <s v=""/>
    <s v=""/>
    <n v="0"/>
    <n v="0"/>
    <s v=""/>
    <s v="Dropped by Operator"/>
    <x v="7"/>
  </r>
  <r>
    <s v="AYYN_0527"/>
    <x v="2"/>
    <x v="2"/>
    <n v="9"/>
    <x v="7"/>
    <n v="96.231740000000002"/>
    <n v="16.81409"/>
    <s v="Telenor-Amara"/>
    <n v="57"/>
    <s v="YAW7098"/>
    <x v="3"/>
    <s v="Prevalidated"/>
    <s v="OK"/>
    <s v="OK"/>
    <s v="OK"/>
    <s v="OK"/>
    <s v="OK"/>
    <s v="OK"/>
    <n v="158"/>
    <n v="1"/>
    <d v="2018-05-22T00:00:00"/>
    <d v="2018-05-23T00:00:00"/>
    <d v="2018-05-23T00:00:00"/>
    <d v="2018-05-23T00:00:00"/>
    <m/>
    <s v="Approved"/>
    <n v="157"/>
    <n v="1"/>
    <d v="2018-05-29T00:00:00"/>
    <s v="NTP Received"/>
    <m/>
    <m/>
    <m/>
    <m/>
    <m/>
    <n v="1"/>
    <b v="1"/>
    <n v="1"/>
    <b v="1"/>
    <b v="1"/>
    <s v="Prevalidated"/>
    <x v="0"/>
    <x v="0"/>
    <x v="0"/>
    <x v="0"/>
    <x v="0"/>
    <x v="0"/>
    <n v="0"/>
    <s v="Submitted"/>
    <s v="Approved"/>
    <s v="In Process"/>
    <s v="NTP Received"/>
    <n v="0"/>
    <n v="0"/>
    <s v=""/>
    <s v="NTP Received"/>
    <x v="8"/>
  </r>
  <r>
    <s v="ASKA_0137"/>
    <x v="2"/>
    <x v="2"/>
    <n v="6"/>
    <x v="5"/>
    <n v="97.658739999999995"/>
    <n v="16.872949999999999"/>
    <s v="Telenor"/>
    <n v="59"/>
    <s v="KNW6140"/>
    <x v="3"/>
    <s v="Prevalidated"/>
    <s v="OK"/>
    <s v="OK"/>
    <s v="OK"/>
    <s v="OK"/>
    <s v="OK"/>
    <s v="OK"/>
    <n v="93"/>
    <n v="1"/>
    <d v="2018-05-23T00:00:00"/>
    <d v="2018-05-23T00:00:00"/>
    <d v="2018-05-23T00:00:00"/>
    <d v="2018-05-23T00:00:00"/>
    <m/>
    <s v="Approved"/>
    <n v="92"/>
    <n v="1"/>
    <d v="2018-05-29T00:00:00"/>
    <s v="NTP Received"/>
    <m/>
    <m/>
    <m/>
    <m/>
    <m/>
    <n v="1"/>
    <b v="1"/>
    <n v="1"/>
    <b v="1"/>
    <b v="1"/>
    <s v="Prevalidated"/>
    <x v="0"/>
    <x v="0"/>
    <x v="0"/>
    <x v="0"/>
    <x v="0"/>
    <x v="0"/>
    <n v="0"/>
    <s v="Submitted"/>
    <s v="Approved"/>
    <s v="In Process"/>
    <s v="NTP Received"/>
    <n v="0"/>
    <n v="0"/>
    <s v=""/>
    <s v="NTP Received"/>
    <x v="8"/>
  </r>
  <r>
    <s v="AYYN_0335"/>
    <x v="2"/>
    <x v="2"/>
    <n v="6"/>
    <x v="7"/>
    <n v="96.115949999999998"/>
    <n v="16.87481"/>
    <s v="Telenor-MPT"/>
    <n v="60"/>
    <s v="YAW7777"/>
    <x v="3"/>
    <s v="Prevalidation Rejected"/>
    <s v="Rejected"/>
    <m/>
    <s v="Review"/>
    <s v="Review"/>
    <m/>
    <s v="OK"/>
    <n v="141"/>
    <n v="1"/>
    <m/>
    <m/>
    <m/>
    <m/>
    <m/>
    <m/>
    <n v="140"/>
    <n v="1"/>
    <m/>
    <m/>
    <m/>
    <m/>
    <m/>
    <m/>
    <m/>
    <n v="1"/>
    <b v="1"/>
    <n v="1"/>
    <b v="1"/>
    <b v="1"/>
    <s v="Prevalidation Rejected"/>
    <x v="0"/>
    <x v="0"/>
    <x v="0"/>
    <x v="0"/>
    <x v="0"/>
    <x v="0"/>
    <n v="0"/>
    <s v=""/>
    <s v=""/>
    <s v=""/>
    <s v=""/>
    <n v="0"/>
    <n v="0"/>
    <s v=""/>
    <s v="Prevalidation Rejected"/>
    <x v="0"/>
  </r>
  <r>
    <s v="AYYN_0357"/>
    <x v="2"/>
    <x v="2"/>
    <n v="6"/>
    <x v="7"/>
    <n v="96.128299999999996"/>
    <n v="16.828479999999999"/>
    <s v="Telenor-Amara"/>
    <n v="61"/>
    <s v="No ID Yet"/>
    <x v="3"/>
    <s v="Prevalidation Rejected"/>
    <s v="Rejected"/>
    <m/>
    <s v="Review"/>
    <s v="Rejected"/>
    <m/>
    <s v="OK"/>
    <n v="143"/>
    <n v="1"/>
    <m/>
    <m/>
    <m/>
    <m/>
    <m/>
    <m/>
    <n v="142"/>
    <n v="1"/>
    <m/>
    <m/>
    <m/>
    <m/>
    <m/>
    <m/>
    <m/>
    <n v="1"/>
    <b v="1"/>
    <n v="1"/>
    <b v="1"/>
    <b v="1"/>
    <s v="Prevalidation Rejected"/>
    <x v="0"/>
    <x v="0"/>
    <x v="0"/>
    <x v="0"/>
    <x v="0"/>
    <x v="0"/>
    <n v="0"/>
    <s v=""/>
    <s v=""/>
    <s v=""/>
    <s v=""/>
    <n v="0"/>
    <n v="0"/>
    <s v=""/>
    <s v="Prevalidation Rejected"/>
    <x v="0"/>
  </r>
  <r>
    <s v="ANSG_0417"/>
    <x v="0"/>
    <x v="0"/>
    <n v="40"/>
    <x v="3"/>
    <n v="94.307649999999995"/>
    <n v="24.211559999999999"/>
    <s v="Telenor"/>
    <n v="62"/>
    <s v="No ID Yet"/>
    <x v="3"/>
    <s v="Prevalidation Rejected"/>
    <s v="Rejected"/>
    <m/>
    <m/>
    <s v="Review"/>
    <m/>
    <s v="Review"/>
    <n v="88"/>
    <n v="1"/>
    <m/>
    <m/>
    <m/>
    <m/>
    <m/>
    <m/>
    <n v="87"/>
    <n v="1"/>
    <m/>
    <m/>
    <m/>
    <m/>
    <m/>
    <m/>
    <m/>
    <n v="1"/>
    <b v="1"/>
    <n v="1"/>
    <b v="1"/>
    <b v="1"/>
    <s v="Prevalidation Rejected"/>
    <x v="0"/>
    <x v="0"/>
    <x v="0"/>
    <x v="0"/>
    <x v="0"/>
    <x v="0"/>
    <n v="0"/>
    <s v=""/>
    <s v=""/>
    <s v=""/>
    <s v=""/>
    <n v="0"/>
    <n v="0"/>
    <s v=""/>
    <s v="Prevalidation Rejected"/>
    <x v="0"/>
  </r>
  <r>
    <s v="AYYN_0318"/>
    <x v="2"/>
    <x v="2"/>
    <n v="6"/>
    <x v="7"/>
    <n v="96.12106"/>
    <n v="16.845330000000001"/>
    <s v="Telenor"/>
    <n v="63"/>
    <s v="YAW7776"/>
    <x v="3"/>
    <s v="Prevalidation Rejected"/>
    <s v="Rejected"/>
    <m/>
    <s v="Review"/>
    <s v="Review"/>
    <s v="Rejected"/>
    <s v="OK"/>
    <n v="139"/>
    <n v="1"/>
    <m/>
    <m/>
    <m/>
    <m/>
    <m/>
    <m/>
    <n v="138"/>
    <n v="1"/>
    <m/>
    <m/>
    <m/>
    <m/>
    <m/>
    <m/>
    <m/>
    <n v="1"/>
    <b v="1"/>
    <n v="1"/>
    <b v="1"/>
    <b v="1"/>
    <s v="Prevalidation Rejected"/>
    <x v="0"/>
    <x v="0"/>
    <x v="0"/>
    <x v="0"/>
    <x v="0"/>
    <x v="0"/>
    <n v="0"/>
    <s v=""/>
    <s v=""/>
    <s v=""/>
    <s v=""/>
    <n v="0"/>
    <n v="0"/>
    <s v=""/>
    <s v="Prevalidation Rejected"/>
    <x v="0"/>
  </r>
  <r>
    <s v="ANSG_0418"/>
    <x v="0"/>
    <x v="0"/>
    <n v="40"/>
    <x v="3"/>
    <n v="94.316220000000001"/>
    <n v="24.22118"/>
    <s v="Telenor"/>
    <n v="64"/>
    <s v="No ID Yet"/>
    <x v="3"/>
    <s v="Prevalidation Rejected"/>
    <s v="Rejected"/>
    <m/>
    <m/>
    <s v="Review"/>
    <m/>
    <s v="Review"/>
    <n v="89"/>
    <n v="1"/>
    <m/>
    <m/>
    <m/>
    <m/>
    <m/>
    <m/>
    <n v="88"/>
    <n v="1"/>
    <m/>
    <m/>
    <m/>
    <m/>
    <m/>
    <m/>
    <m/>
    <n v="1"/>
    <b v="1"/>
    <n v="1"/>
    <b v="1"/>
    <b v="1"/>
    <s v="Prevalidation Rejected"/>
    <x v="0"/>
    <x v="0"/>
    <x v="0"/>
    <x v="0"/>
    <x v="0"/>
    <x v="0"/>
    <n v="0"/>
    <s v=""/>
    <s v=""/>
    <s v=""/>
    <s v=""/>
    <n v="0"/>
    <n v="0"/>
    <s v=""/>
    <s v="Prevalidation Rejected"/>
    <x v="0"/>
  </r>
  <r>
    <s v="ACBA_0096"/>
    <x v="1"/>
    <x v="0"/>
    <n v="45"/>
    <x v="10"/>
    <n v="95.225800000000007"/>
    <n v="18.833290000000002"/>
    <s v="Telenor"/>
    <n v="66"/>
    <s v="BAW5556"/>
    <x v="3"/>
    <s v="Prevalidated"/>
    <s v="OK"/>
    <s v="OK"/>
    <s v="OK"/>
    <s v="OK"/>
    <s v="OK"/>
    <s v="OK"/>
    <n v="23"/>
    <n v="1"/>
    <m/>
    <m/>
    <m/>
    <m/>
    <m/>
    <m/>
    <n v="23"/>
    <n v="1"/>
    <m/>
    <m/>
    <m/>
    <m/>
    <m/>
    <m/>
    <m/>
    <n v="1"/>
    <b v="1"/>
    <n v="1"/>
    <b v="1"/>
    <b v="1"/>
    <s v="Prevalidated"/>
    <x v="0"/>
    <x v="0"/>
    <x v="0"/>
    <x v="0"/>
    <x v="0"/>
    <x v="0"/>
    <n v="0"/>
    <s v=""/>
    <n v="0"/>
    <s v=""/>
    <s v=""/>
    <n v="0"/>
    <n v="0"/>
    <s v=""/>
    <s v="Prevalidated - TSSR in Process"/>
    <x v="2"/>
  </r>
  <r>
    <s v="AYYN_0538"/>
    <x v="2"/>
    <x v="2"/>
    <n v="6"/>
    <x v="7"/>
    <n v="96.199849999999998"/>
    <n v="16.829660000000001"/>
    <s v="Telenor"/>
    <n v="67"/>
    <s v="YAW7775"/>
    <x v="3"/>
    <s v="Prevalidation Rejected"/>
    <s v="Rejected"/>
    <m/>
    <s v="Review"/>
    <s v="Review"/>
    <m/>
    <s v="OK"/>
    <n v="164"/>
    <n v="1"/>
    <m/>
    <m/>
    <m/>
    <m/>
    <m/>
    <m/>
    <n v="163"/>
    <n v="1"/>
    <m/>
    <m/>
    <m/>
    <m/>
    <m/>
    <m/>
    <m/>
    <n v="1"/>
    <b v="1"/>
    <n v="1"/>
    <b v="1"/>
    <b v="1"/>
    <s v="Prevalidation Rejected"/>
    <x v="0"/>
    <x v="0"/>
    <x v="0"/>
    <x v="0"/>
    <x v="0"/>
    <x v="0"/>
    <n v="0"/>
    <s v=""/>
    <s v=""/>
    <s v=""/>
    <s v=""/>
    <n v="0"/>
    <n v="0"/>
    <s v=""/>
    <s v="Prevalidation Rejected"/>
    <x v="0"/>
  </r>
  <r>
    <s v="ASMO_0109"/>
    <x v="2"/>
    <x v="0"/>
    <n v="35"/>
    <x v="6"/>
    <n v="97.612520000000004"/>
    <n v="16.526730000000001"/>
    <s v="Telenor"/>
    <n v="68"/>
    <s v="No ID Yet"/>
    <x v="3"/>
    <s v="Prevalidated"/>
    <s v="OK"/>
    <s v="OK"/>
    <s v="OK"/>
    <s v="OK"/>
    <s v="OK"/>
    <s v="OK"/>
    <n v="97"/>
    <n v="1"/>
    <m/>
    <m/>
    <m/>
    <m/>
    <m/>
    <m/>
    <n v="96"/>
    <n v="1"/>
    <m/>
    <m/>
    <m/>
    <m/>
    <m/>
    <m/>
    <m/>
    <n v="1"/>
    <b v="1"/>
    <n v="1"/>
    <b v="1"/>
    <b v="1"/>
    <s v="Prevalidated"/>
    <x v="0"/>
    <x v="0"/>
    <x v="0"/>
    <x v="0"/>
    <x v="0"/>
    <x v="0"/>
    <n v="0"/>
    <s v=""/>
    <n v="0"/>
    <s v=""/>
    <s v=""/>
    <n v="0"/>
    <n v="0"/>
    <s v=""/>
    <s v="Prevalidated - TSSR in Process"/>
    <x v="2"/>
  </r>
  <r>
    <s v="ACAY_0015"/>
    <x v="2"/>
    <x v="0"/>
    <n v="60"/>
    <x v="11"/>
    <n v="95.458770000000001"/>
    <n v="16.992170000000002"/>
    <s v="Telenor"/>
    <n v="69"/>
    <s v="AYW5549"/>
    <x v="3"/>
    <s v="Prevalidated"/>
    <s v="OK"/>
    <s v="OK"/>
    <s v="OK"/>
    <s v="OK"/>
    <s v="OK"/>
    <s v="OK"/>
    <n v="1"/>
    <n v="1"/>
    <m/>
    <m/>
    <m/>
    <m/>
    <m/>
    <m/>
    <n v="1"/>
    <n v="1"/>
    <m/>
    <m/>
    <m/>
    <m/>
    <m/>
    <m/>
    <m/>
    <n v="1"/>
    <b v="1"/>
    <n v="1"/>
    <b v="1"/>
    <b v="1"/>
    <s v="Prevalidated"/>
    <x v="0"/>
    <x v="0"/>
    <x v="0"/>
    <x v="0"/>
    <x v="0"/>
    <x v="0"/>
    <n v="0"/>
    <s v=""/>
    <n v="0"/>
    <s v=""/>
    <s v=""/>
    <n v="0"/>
    <n v="0"/>
    <s v=""/>
    <s v="Prevalidated - TSSR in Process"/>
    <x v="2"/>
  </r>
  <r>
    <s v="ASMO_0313"/>
    <x v="2"/>
    <x v="0"/>
    <n v="50"/>
    <x v="6"/>
    <n v="97.367232999999999"/>
    <n v="16.917822999999999"/>
    <s v="Telenor"/>
    <n v="70"/>
    <s v="MOW6298"/>
    <x v="3"/>
    <s v="Prevalidated"/>
    <s v="OK"/>
    <s v="OK"/>
    <s v="OK"/>
    <s v="OK"/>
    <s v="OK"/>
    <s v="OK"/>
    <n v="117"/>
    <n v="1"/>
    <m/>
    <m/>
    <m/>
    <m/>
    <m/>
    <m/>
    <n v="116"/>
    <n v="1"/>
    <m/>
    <m/>
    <m/>
    <m/>
    <m/>
    <m/>
    <m/>
    <n v="1"/>
    <b v="1"/>
    <n v="1"/>
    <b v="1"/>
    <b v="1"/>
    <s v="Prevalidated"/>
    <x v="0"/>
    <x v="0"/>
    <x v="0"/>
    <x v="0"/>
    <x v="0"/>
    <x v="0"/>
    <n v="0"/>
    <s v=""/>
    <n v="0"/>
    <s v=""/>
    <s v=""/>
    <n v="0"/>
    <n v="0"/>
    <s v=""/>
    <s v="Prevalidated - TSSR in Process"/>
    <x v="2"/>
  </r>
  <r>
    <s v="ASMO_0201"/>
    <x v="2"/>
    <x v="0"/>
    <n v="60"/>
    <x v="6"/>
    <n v="97.080719999999999"/>
    <n v="17.40193"/>
    <s v="Telenor"/>
    <n v="71"/>
    <s v="MOW6299"/>
    <x v="3"/>
    <s v="Prevalidated"/>
    <s v="OK"/>
    <s v="OK"/>
    <s v="OK"/>
    <s v="OK"/>
    <s v="OK"/>
    <s v="OK"/>
    <n v="110"/>
    <n v="1"/>
    <d v="2018-07-18T00:00:00"/>
    <d v="2018-07-18T00:00:00"/>
    <d v="2018-07-20T00:00:00"/>
    <m/>
    <m/>
    <m/>
    <n v="109"/>
    <n v="1"/>
    <m/>
    <m/>
    <m/>
    <m/>
    <m/>
    <m/>
    <m/>
    <n v="1"/>
    <b v="1"/>
    <n v="1"/>
    <b v="1"/>
    <b v="1"/>
    <s v="Prevalidated"/>
    <x v="0"/>
    <x v="0"/>
    <x v="0"/>
    <x v="0"/>
    <x v="0"/>
    <x v="0"/>
    <n v="0"/>
    <s v="Submitted"/>
    <n v="0"/>
    <s v=""/>
    <s v=""/>
    <n v="0"/>
    <n v="0"/>
    <s v=""/>
    <s v="Prevalidated - TSSR in Process"/>
    <x v="2"/>
  </r>
  <r>
    <s v="ACBA_0255"/>
    <x v="2"/>
    <x v="0"/>
    <n v="40"/>
    <x v="10"/>
    <n v="96.674965"/>
    <n v="17.800554999999999"/>
    <s v="Telenor"/>
    <n v="72"/>
    <s v="BAW5557"/>
    <x v="3"/>
    <s v="Prevalidated"/>
    <s v="OK"/>
    <s v="OK"/>
    <s v="OK"/>
    <s v="OK"/>
    <s v="OK"/>
    <s v="OK"/>
    <n v="30"/>
    <n v="1"/>
    <d v="2018-06-14T00:00:00"/>
    <m/>
    <m/>
    <m/>
    <m/>
    <m/>
    <n v="29"/>
    <n v="1"/>
    <m/>
    <m/>
    <m/>
    <m/>
    <m/>
    <m/>
    <m/>
    <n v="1"/>
    <b v="1"/>
    <n v="1"/>
    <b v="1"/>
    <b v="1"/>
    <s v="Prevalidated"/>
    <x v="0"/>
    <x v="0"/>
    <x v="0"/>
    <x v="0"/>
    <x v="0"/>
    <x v="0"/>
    <n v="0"/>
    <s v=""/>
    <n v="0"/>
    <s v=""/>
    <s v=""/>
    <n v="0"/>
    <n v="0"/>
    <s v=""/>
    <s v="Prevalidated - TSSR in Process"/>
    <x v="2"/>
  </r>
  <r>
    <s v="ACBA_0259"/>
    <x v="2"/>
    <x v="0"/>
    <n v="40"/>
    <x v="10"/>
    <n v="96.672887000000003"/>
    <n v="17.805772000000001"/>
    <s v="Telenor"/>
    <n v="73"/>
    <s v="No ID Yet"/>
    <x v="3"/>
    <s v="Prevalidation Rejected"/>
    <s v="OK"/>
    <s v="OK"/>
    <s v="OK"/>
    <s v="Rejected"/>
    <s v="OK"/>
    <s v="Review"/>
    <n v="31"/>
    <n v="1"/>
    <m/>
    <m/>
    <m/>
    <m/>
    <m/>
    <m/>
    <n v="30"/>
    <n v="1"/>
    <m/>
    <m/>
    <m/>
    <m/>
    <m/>
    <m/>
    <m/>
    <n v="1"/>
    <b v="1"/>
    <n v="1"/>
    <b v="1"/>
    <b v="1"/>
    <s v="Prevalidation Rejected"/>
    <x v="0"/>
    <x v="0"/>
    <x v="0"/>
    <x v="0"/>
    <x v="0"/>
    <x v="0"/>
    <n v="0"/>
    <s v=""/>
    <s v=""/>
    <s v=""/>
    <s v=""/>
    <n v="0"/>
    <n v="0"/>
    <s v=""/>
    <s v="Prevalidation Rejected"/>
    <x v="0"/>
  </r>
  <r>
    <s v="AYYN_0485"/>
    <x v="2"/>
    <x v="2"/>
    <n v="6"/>
    <x v="7"/>
    <n v="96.154110000000003"/>
    <n v="16.881530000000001"/>
    <s v="Telenor"/>
    <n v="74"/>
    <s v="YAW7772"/>
    <x v="3"/>
    <s v="Prevalidation Rejected"/>
    <s v="Rejected"/>
    <m/>
    <s v="Review"/>
    <s v="OK"/>
    <m/>
    <s v="Rejected"/>
    <n v="151"/>
    <n v="1"/>
    <m/>
    <m/>
    <m/>
    <m/>
    <m/>
    <m/>
    <n v="150"/>
    <n v="1"/>
    <m/>
    <m/>
    <m/>
    <m/>
    <m/>
    <m/>
    <m/>
    <n v="1"/>
    <b v="1"/>
    <n v="1"/>
    <b v="1"/>
    <b v="1"/>
    <s v="Prevalidation Rejected"/>
    <x v="0"/>
    <x v="0"/>
    <x v="0"/>
    <x v="0"/>
    <x v="0"/>
    <x v="0"/>
    <n v="0"/>
    <s v=""/>
    <s v=""/>
    <s v=""/>
    <s v=""/>
    <n v="0"/>
    <n v="0"/>
    <s v=""/>
    <s v="Prevalidation Rejected"/>
    <x v="0"/>
  </r>
  <r>
    <s v="AYYN_0244"/>
    <x v="2"/>
    <x v="0"/>
    <n v="35"/>
    <x v="7"/>
    <n v="96.155940000000001"/>
    <n v="16.963090000000001"/>
    <s v="Telenor"/>
    <n v="75"/>
    <s v="YAW7770"/>
    <x v="3"/>
    <s v="Prevalidated"/>
    <s v="OK"/>
    <s v="OK"/>
    <s v="OK"/>
    <s v="OK"/>
    <s v="OK"/>
    <s v="OK"/>
    <n v="136"/>
    <n v="1"/>
    <d v="2018-06-11T00:00:00"/>
    <d v="2018-06-12T00:00:00"/>
    <d v="2018-06-12T00:00:00"/>
    <d v="2018-06-12T00:00:00"/>
    <m/>
    <s v="Approved"/>
    <n v="135"/>
    <n v="1"/>
    <m/>
    <m/>
    <m/>
    <m/>
    <m/>
    <m/>
    <m/>
    <n v="1"/>
    <b v="1"/>
    <n v="1"/>
    <b v="1"/>
    <b v="1"/>
    <s v="Prevalidated"/>
    <x v="0"/>
    <x v="0"/>
    <x v="0"/>
    <x v="0"/>
    <x v="0"/>
    <x v="0"/>
    <n v="0"/>
    <s v="Submitted"/>
    <s v="Approved"/>
    <s v="In Process"/>
    <n v="0"/>
    <n v="0"/>
    <n v="0"/>
    <s v=""/>
    <s v="Prevalidated - TSSR Done"/>
    <x v="4"/>
  </r>
  <r>
    <s v="AYYN_0380"/>
    <x v="2"/>
    <x v="2"/>
    <n v="6"/>
    <x v="7"/>
    <n v="96.122259999999997"/>
    <n v="16.808720000000001"/>
    <s v="Telenor"/>
    <n v="76"/>
    <s v="YAW7769"/>
    <x v="3"/>
    <s v="Prevalidation Rejected"/>
    <s v="Rejected"/>
    <m/>
    <s v="Review"/>
    <s v="OK"/>
    <m/>
    <s v="OK"/>
    <n v="144"/>
    <n v="1"/>
    <m/>
    <m/>
    <m/>
    <m/>
    <m/>
    <m/>
    <n v="143"/>
    <n v="1"/>
    <m/>
    <m/>
    <m/>
    <m/>
    <m/>
    <m/>
    <m/>
    <n v="1"/>
    <b v="1"/>
    <n v="1"/>
    <b v="1"/>
    <b v="1"/>
    <s v="Prevalidation Rejected"/>
    <x v="0"/>
    <x v="0"/>
    <x v="0"/>
    <x v="0"/>
    <x v="0"/>
    <x v="0"/>
    <n v="0"/>
    <s v=""/>
    <s v=""/>
    <s v=""/>
    <s v=""/>
    <n v="0"/>
    <n v="0"/>
    <s v=""/>
    <s v="Prevalidation Rejected"/>
    <x v="0"/>
  </r>
  <r>
    <s v="AYYN_0146"/>
    <x v="2"/>
    <x v="2"/>
    <n v="6"/>
    <x v="7"/>
    <n v="96.127430000000004"/>
    <n v="16.806640000000002"/>
    <s v="Telenor"/>
    <n v="77"/>
    <s v="No ID Yet"/>
    <x v="3"/>
    <s v="Prevalidation Rejected"/>
    <s v="Rejected"/>
    <m/>
    <s v="Review"/>
    <s v="Rejected"/>
    <m/>
    <s v="OK"/>
    <n v="130"/>
    <n v="1"/>
    <m/>
    <m/>
    <m/>
    <m/>
    <m/>
    <m/>
    <n v="129"/>
    <n v="1"/>
    <m/>
    <m/>
    <m/>
    <m/>
    <m/>
    <m/>
    <m/>
    <n v="1"/>
    <b v="1"/>
    <n v="1"/>
    <b v="1"/>
    <b v="1"/>
    <s v="Prevalidation Rejected"/>
    <x v="0"/>
    <x v="0"/>
    <x v="0"/>
    <x v="0"/>
    <x v="0"/>
    <x v="0"/>
    <n v="0"/>
    <s v=""/>
    <s v=""/>
    <s v=""/>
    <s v=""/>
    <n v="0"/>
    <n v="0"/>
    <s v=""/>
    <s v="Prevalidation Rejected"/>
    <x v="0"/>
  </r>
  <r>
    <s v="AYYN_0449"/>
    <x v="2"/>
    <x v="2"/>
    <n v="6"/>
    <x v="7"/>
    <n v="96.159409999999994"/>
    <n v="16.889949999999999"/>
    <s v="Telenor"/>
    <n v="78"/>
    <s v="YAW7833"/>
    <x v="3"/>
    <s v="Commercial Approval Requested"/>
    <s v="OK"/>
    <s v="OK"/>
    <s v="Review"/>
    <s v="Review"/>
    <s v="OK"/>
    <s v="OK"/>
    <n v="177"/>
    <n v="1"/>
    <d v="2018-06-12T00:00:00"/>
    <d v="2018-06-14T00:00:00"/>
    <d v="2018-06-17T00:00:00"/>
    <d v="2018-06-17T00:00:00"/>
    <m/>
    <s v="Approved"/>
    <n v="176"/>
    <n v="1"/>
    <m/>
    <m/>
    <m/>
    <m/>
    <m/>
    <m/>
    <m/>
    <n v="1"/>
    <b v="1"/>
    <n v="1"/>
    <b v="1"/>
    <b v="1"/>
    <s v="Commercial Approval Requested"/>
    <x v="0"/>
    <x v="0"/>
    <x v="0"/>
    <x v="0"/>
    <x v="0"/>
    <x v="0"/>
    <n v="0"/>
    <s v=""/>
    <s v=""/>
    <s v=""/>
    <s v=""/>
    <n v="0"/>
    <n v="0"/>
    <s v=""/>
    <s v="Commercial Approval Requested"/>
    <x v="6"/>
  </r>
  <r>
    <s v="ACBA_0094"/>
    <x v="2"/>
    <x v="0"/>
    <n v="45"/>
    <x v="10"/>
    <n v="96.438190000000006"/>
    <n v="18.48301"/>
    <s v="Telenor-Mytel"/>
    <n v="79"/>
    <s v="BAW5558"/>
    <x v="3"/>
    <s v="Prevalidated"/>
    <s v="OK"/>
    <s v="OK"/>
    <s v="OK"/>
    <s v="OK"/>
    <s v="OK"/>
    <s v="OK"/>
    <n v="22"/>
    <n v="1"/>
    <d v="2018-07-05T00:00:00"/>
    <d v="2018-07-06T00:00:00"/>
    <d v="2018-07-09T00:00:00"/>
    <d v="2018-06-28T00:00:00"/>
    <m/>
    <s v="Approved"/>
    <n v="22"/>
    <n v="1"/>
    <d v="2018-06-28T00:00:00"/>
    <s v="NTP Received"/>
    <d v="2018-04-10T00:00:00"/>
    <m/>
    <m/>
    <m/>
    <m/>
    <n v="1"/>
    <b v="1"/>
    <n v="1"/>
    <b v="1"/>
    <b v="1"/>
    <s v="Prevalidated"/>
    <x v="0"/>
    <x v="0"/>
    <x v="0"/>
    <x v="0"/>
    <x v="0"/>
    <x v="0"/>
    <n v="0"/>
    <s v="Submitted"/>
    <s v="Approved"/>
    <s v="In Process"/>
    <s v="NTP Received"/>
    <n v="0"/>
    <n v="0"/>
    <s v=""/>
    <s v="NTP Received"/>
    <x v="8"/>
  </r>
  <r>
    <s v="AYYN_0417"/>
    <x v="2"/>
    <x v="2"/>
    <n v="6"/>
    <x v="7"/>
    <n v="96.204009999999997"/>
    <n v="16.77928"/>
    <s v="Telenor"/>
    <n v="80"/>
    <s v="YAW7767"/>
    <x v="3"/>
    <s v="Prevalidation Rejected"/>
    <s v="Rejected"/>
    <m/>
    <s v="Review"/>
    <s v="Rejected"/>
    <m/>
    <s v="OK"/>
    <n v="148"/>
    <n v="1"/>
    <m/>
    <m/>
    <m/>
    <m/>
    <m/>
    <m/>
    <n v="147"/>
    <n v="1"/>
    <m/>
    <m/>
    <m/>
    <m/>
    <m/>
    <m/>
    <m/>
    <n v="1"/>
    <b v="1"/>
    <n v="1"/>
    <b v="1"/>
    <b v="1"/>
    <s v="Prevalidation Rejected"/>
    <x v="0"/>
    <x v="0"/>
    <x v="0"/>
    <x v="0"/>
    <x v="0"/>
    <x v="0"/>
    <n v="0"/>
    <s v=""/>
    <s v=""/>
    <s v=""/>
    <s v=""/>
    <n v="0"/>
    <n v="0"/>
    <s v=""/>
    <s v="Prevalidation Rejected"/>
    <x v="0"/>
  </r>
  <r>
    <s v="AYYN_0413"/>
    <x v="2"/>
    <x v="2"/>
    <n v="6"/>
    <x v="7"/>
    <n v="96.198689999999999"/>
    <n v="16.78387"/>
    <s v="Telenor"/>
    <n v="81"/>
    <s v="No ID Yet"/>
    <x v="3"/>
    <s v="Prevalidation Rejected"/>
    <s v="Rejected"/>
    <m/>
    <s v="Review"/>
    <s v="Rejected"/>
    <m/>
    <s v="OK"/>
    <n v="147"/>
    <n v="1"/>
    <m/>
    <m/>
    <m/>
    <m/>
    <m/>
    <m/>
    <n v="146"/>
    <n v="1"/>
    <m/>
    <m/>
    <m/>
    <m/>
    <m/>
    <m/>
    <m/>
    <n v="1"/>
    <b v="1"/>
    <n v="1"/>
    <b v="1"/>
    <b v="1"/>
    <s v="Prevalidation Rejected"/>
    <x v="0"/>
    <x v="0"/>
    <x v="0"/>
    <x v="0"/>
    <x v="0"/>
    <x v="0"/>
    <n v="0"/>
    <s v=""/>
    <s v=""/>
    <s v=""/>
    <s v=""/>
    <n v="0"/>
    <n v="0"/>
    <s v=""/>
    <s v="Prevalidation Rejected"/>
    <x v="0"/>
  </r>
  <r>
    <s v="ACBA_0056"/>
    <x v="2"/>
    <x v="0"/>
    <n v="60"/>
    <x v="10"/>
    <n v="96.667159999999996"/>
    <n v="17.796710000000001"/>
    <s v="Telenor"/>
    <n v="83"/>
    <s v="BAW5560"/>
    <x v="3"/>
    <s v="Prevalidated"/>
    <s v="OK"/>
    <s v="OK"/>
    <s v="OK"/>
    <s v="OK"/>
    <s v="OK"/>
    <s v="OK"/>
    <n v="20"/>
    <n v="1"/>
    <m/>
    <m/>
    <m/>
    <m/>
    <m/>
    <m/>
    <n v="20"/>
    <n v="1"/>
    <m/>
    <m/>
    <m/>
    <m/>
    <m/>
    <m/>
    <m/>
    <n v="1"/>
    <b v="1"/>
    <n v="1"/>
    <b v="1"/>
    <b v="1"/>
    <s v="Prevalidated"/>
    <x v="0"/>
    <x v="0"/>
    <x v="0"/>
    <x v="0"/>
    <x v="0"/>
    <x v="0"/>
    <n v="0"/>
    <s v=""/>
    <n v="0"/>
    <s v=""/>
    <s v=""/>
    <n v="0"/>
    <n v="0"/>
    <s v=""/>
    <s v="Prevalidated - TSSR in Process"/>
    <x v="2"/>
  </r>
  <r>
    <s v="AYYN_0411"/>
    <x v="2"/>
    <x v="2"/>
    <n v="6"/>
    <x v="7"/>
    <n v="96.191491080000006"/>
    <n v="16.782439100000001"/>
    <s v="Telenor-MPT-Amara"/>
    <n v="84"/>
    <s v="YAW7765"/>
    <x v="3"/>
    <s v="Prevalidation Rejected"/>
    <s v="Rejected"/>
    <m/>
    <s v="Review"/>
    <s v="OK"/>
    <m/>
    <s v="OK"/>
    <n v="146"/>
    <n v="1"/>
    <m/>
    <m/>
    <m/>
    <m/>
    <m/>
    <m/>
    <n v="145"/>
    <n v="1"/>
    <m/>
    <m/>
    <m/>
    <m/>
    <m/>
    <m/>
    <m/>
    <n v="1"/>
    <b v="1"/>
    <n v="1"/>
    <b v="1"/>
    <b v="1"/>
    <s v="Prevalidation Rejected"/>
    <x v="0"/>
    <x v="0"/>
    <x v="0"/>
    <x v="0"/>
    <x v="0"/>
    <x v="0"/>
    <n v="0"/>
    <s v=""/>
    <s v=""/>
    <s v=""/>
    <s v=""/>
    <n v="0"/>
    <n v="0"/>
    <s v=""/>
    <s v="Prevalidation Rejected"/>
    <x v="0"/>
  </r>
  <r>
    <s v="ASMO_0267"/>
    <x v="2"/>
    <x v="0"/>
    <n v="40"/>
    <x v="6"/>
    <n v="97.357810000000001"/>
    <n v="16.92483"/>
    <s v="Telenor-Mytel"/>
    <n v="85"/>
    <s v="MOW6300"/>
    <x v="3"/>
    <s v="Commercial Approval Requested"/>
    <s v="OK"/>
    <s v="OK"/>
    <s v="OK"/>
    <s v="Review"/>
    <s v="OK"/>
    <s v="OK"/>
    <n v="114"/>
    <n v="1"/>
    <d v="2018-07-18T00:00:00"/>
    <d v="2018-07-18T00:00:00"/>
    <d v="2018-07-20T00:00:00"/>
    <m/>
    <m/>
    <m/>
    <n v="113"/>
    <n v="1"/>
    <m/>
    <m/>
    <m/>
    <m/>
    <m/>
    <m/>
    <m/>
    <n v="1"/>
    <b v="1"/>
    <n v="1"/>
    <b v="1"/>
    <b v="1"/>
    <s v="Commercial Approval Requested"/>
    <x v="0"/>
    <x v="0"/>
    <x v="0"/>
    <x v="0"/>
    <x v="0"/>
    <x v="0"/>
    <n v="0"/>
    <s v=""/>
    <s v=""/>
    <s v=""/>
    <s v=""/>
    <n v="0"/>
    <n v="0"/>
    <s v=""/>
    <s v="Commercial Approval Requested"/>
    <x v="6"/>
  </r>
  <r>
    <s v="AYYN_0578"/>
    <x v="2"/>
    <x v="0"/>
    <n v="35"/>
    <x v="7"/>
    <n v="96.091740000000001"/>
    <n v="16.97606"/>
    <s v="Telenor-Amara"/>
    <n v="86"/>
    <s v="YAW7764"/>
    <x v="3"/>
    <s v="Prevalidated"/>
    <s v="OK"/>
    <s v="OK"/>
    <s v="OK"/>
    <s v="OK"/>
    <s v="OK"/>
    <s v="OK"/>
    <n v="170"/>
    <n v="1"/>
    <m/>
    <m/>
    <m/>
    <m/>
    <m/>
    <m/>
    <n v="169"/>
    <n v="1"/>
    <m/>
    <m/>
    <m/>
    <m/>
    <m/>
    <m/>
    <m/>
    <n v="1"/>
    <b v="1"/>
    <n v="1"/>
    <b v="1"/>
    <b v="1"/>
    <s v="Prevalidated"/>
    <x v="0"/>
    <x v="0"/>
    <x v="0"/>
    <x v="0"/>
    <x v="0"/>
    <x v="0"/>
    <n v="0"/>
    <s v=""/>
    <n v="0"/>
    <s v=""/>
    <s v=""/>
    <n v="0"/>
    <n v="0"/>
    <s v=""/>
    <s v="Prevalidated - TSSR in Process"/>
    <x v="2"/>
  </r>
  <r>
    <s v="AYYN_0306"/>
    <x v="2"/>
    <x v="4"/>
    <n v="12"/>
    <x v="7"/>
    <n v="96.090760000000003"/>
    <n v="16.8596"/>
    <s v="Telenor"/>
    <n v="87"/>
    <s v="YAW7763"/>
    <x v="3"/>
    <s v="Prevalidation Rejected"/>
    <s v="Rejected"/>
    <m/>
    <s v="Review"/>
    <s v="OK"/>
    <m/>
    <s v="Review"/>
    <n v="137"/>
    <n v="1"/>
    <m/>
    <m/>
    <m/>
    <m/>
    <m/>
    <m/>
    <n v="136"/>
    <n v="1"/>
    <m/>
    <m/>
    <m/>
    <m/>
    <m/>
    <m/>
    <m/>
    <n v="1"/>
    <b v="1"/>
    <n v="1"/>
    <b v="1"/>
    <b v="1"/>
    <s v="Prevalidation Rejected"/>
    <x v="0"/>
    <x v="0"/>
    <x v="0"/>
    <x v="0"/>
    <x v="0"/>
    <x v="0"/>
    <n v="0"/>
    <s v=""/>
    <s v=""/>
    <s v=""/>
    <s v=""/>
    <n v="0"/>
    <n v="0"/>
    <s v=""/>
    <s v="Prevalidation Rejected"/>
    <x v="0"/>
  </r>
  <r>
    <s v="AYYN_0532"/>
    <x v="2"/>
    <x v="2"/>
    <n v="6"/>
    <x v="7"/>
    <n v="96.198859999999996"/>
    <n v="16.844390000000001"/>
    <s v="Telenor"/>
    <n v="88"/>
    <s v="YAW7762"/>
    <x v="3"/>
    <s v="Prevalidation Rejected"/>
    <s v="Rejected"/>
    <m/>
    <s v="Review"/>
    <s v="OK"/>
    <m/>
    <s v="OK"/>
    <n v="160"/>
    <n v="1"/>
    <m/>
    <m/>
    <m/>
    <m/>
    <m/>
    <m/>
    <n v="159"/>
    <n v="1"/>
    <m/>
    <m/>
    <m/>
    <m/>
    <m/>
    <m/>
    <m/>
    <n v="1"/>
    <b v="1"/>
    <n v="1"/>
    <b v="1"/>
    <b v="1"/>
    <s v="Prevalidation Rejected"/>
    <x v="0"/>
    <x v="0"/>
    <x v="0"/>
    <x v="0"/>
    <x v="0"/>
    <x v="0"/>
    <n v="0"/>
    <s v=""/>
    <s v=""/>
    <s v=""/>
    <s v=""/>
    <n v="0"/>
    <n v="0"/>
    <s v=""/>
    <s v="Prevalidation Rejected"/>
    <x v="0"/>
  </r>
  <r>
    <s v="AYYN_0533"/>
    <x v="2"/>
    <x v="2"/>
    <n v="6"/>
    <x v="7"/>
    <n v="96.205460000000002"/>
    <n v="16.843450000000001"/>
    <s v="Telenor-Amara"/>
    <n v="89"/>
    <s v="YAW7827"/>
    <x v="3"/>
    <s v="Commercial Approval Requested"/>
    <s v="OK"/>
    <s v="OK"/>
    <s v="Review"/>
    <s v="Review"/>
    <s v="OK"/>
    <s v="OK"/>
    <n v="161"/>
    <n v="1"/>
    <d v="2018-06-13T00:00:00"/>
    <d v="2018-06-12T00:00:00"/>
    <d v="2018-06-12T00:00:00"/>
    <d v="2018-06-12T00:00:00"/>
    <m/>
    <s v="Approved"/>
    <n v="160"/>
    <n v="1"/>
    <m/>
    <m/>
    <m/>
    <m/>
    <m/>
    <m/>
    <m/>
    <n v="1"/>
    <b v="1"/>
    <n v="1"/>
    <b v="1"/>
    <b v="1"/>
    <s v="Commercial Approval Requested"/>
    <x v="0"/>
    <x v="0"/>
    <x v="0"/>
    <x v="0"/>
    <x v="0"/>
    <x v="0"/>
    <n v="0"/>
    <s v=""/>
    <s v=""/>
    <s v=""/>
    <s v=""/>
    <n v="0"/>
    <n v="0"/>
    <s v=""/>
    <s v="Commercial Approval Requested"/>
    <x v="6"/>
  </r>
  <r>
    <s v="ASMO_0263"/>
    <x v="2"/>
    <x v="0"/>
    <n v="50"/>
    <x v="6"/>
    <n v="97.720060000000004"/>
    <n v="16.247440000000001"/>
    <s v="Telenor-MPT"/>
    <n v="90"/>
    <s v="MOW6303"/>
    <x v="3"/>
    <s v="Prevalidated"/>
    <s v="OK"/>
    <s v="OK"/>
    <s v="OK"/>
    <s v="OK"/>
    <s v="OK"/>
    <s v="OK"/>
    <n v="113"/>
    <n v="1"/>
    <d v="2018-07-03T00:00:00"/>
    <d v="2018-07-03T00:00:00"/>
    <d v="2018-07-04T00:00:00"/>
    <d v="2018-07-30T00:00:00"/>
    <m/>
    <s v="Approved"/>
    <n v="112"/>
    <n v="1"/>
    <d v="2018-07-30T00:00:00"/>
    <s v="NTP Received"/>
    <m/>
    <m/>
    <m/>
    <m/>
    <m/>
    <n v="1"/>
    <b v="1"/>
    <n v="1"/>
    <b v="1"/>
    <b v="1"/>
    <s v="Prevalidated"/>
    <x v="0"/>
    <x v="0"/>
    <x v="0"/>
    <x v="0"/>
    <x v="0"/>
    <x v="0"/>
    <n v="0"/>
    <s v="Submitted"/>
    <s v="Approved"/>
    <s v="In Process"/>
    <s v="NTP Received"/>
    <n v="1"/>
    <n v="1"/>
    <s v="Work Completed"/>
    <s v="Work Completed"/>
    <x v="5"/>
  </r>
  <r>
    <s v="ASMO_0181"/>
    <x v="2"/>
    <x v="0"/>
    <n v="45"/>
    <x v="6"/>
    <n v="97.728729999999999"/>
    <n v="16.252939999999999"/>
    <s v="Telenor"/>
    <n v="91"/>
    <s v="No ID Yet"/>
    <x v="3"/>
    <s v="Prevalidation Rejected"/>
    <s v="OK"/>
    <s v="OK"/>
    <s v="OK"/>
    <s v="Rejected"/>
    <s v="OK"/>
    <s v="OK"/>
    <n v="108"/>
    <n v="1"/>
    <m/>
    <m/>
    <m/>
    <m/>
    <m/>
    <m/>
    <n v="107"/>
    <n v="1"/>
    <m/>
    <m/>
    <m/>
    <m/>
    <m/>
    <m/>
    <m/>
    <n v="1"/>
    <b v="1"/>
    <n v="1"/>
    <b v="1"/>
    <b v="1"/>
    <s v="Prevalidation Rejected"/>
    <x v="0"/>
    <x v="0"/>
    <x v="0"/>
    <x v="0"/>
    <x v="0"/>
    <x v="0"/>
    <n v="0"/>
    <s v=""/>
    <s v=""/>
    <s v=""/>
    <s v=""/>
    <n v="0"/>
    <n v="0"/>
    <s v=""/>
    <s v="Prevalidation Rejected"/>
    <x v="0"/>
  </r>
  <r>
    <s v="AYYN_0127"/>
    <x v="2"/>
    <x v="0"/>
    <n v="35"/>
    <x v="7"/>
    <n v="96.175708"/>
    <n v="16.879121999999999"/>
    <s v="Telenor-MPT-Amara-Mytel"/>
    <n v="92"/>
    <s v="YAW7761"/>
    <x v="3"/>
    <s v="Commercial Approval Requested"/>
    <s v="OK"/>
    <s v="OK"/>
    <s v="Review"/>
    <s v="Review"/>
    <s v="OK"/>
    <s v="OK"/>
    <n v="127"/>
    <n v="1"/>
    <m/>
    <m/>
    <m/>
    <m/>
    <m/>
    <m/>
    <n v="126"/>
    <n v="1"/>
    <m/>
    <m/>
    <m/>
    <m/>
    <m/>
    <m/>
    <m/>
    <n v="1"/>
    <b v="1"/>
    <n v="1"/>
    <b v="1"/>
    <b v="1"/>
    <s v="Commercial Approval Requested"/>
    <x v="0"/>
    <x v="0"/>
    <x v="0"/>
    <x v="0"/>
    <x v="0"/>
    <x v="0"/>
    <n v="0"/>
    <s v=""/>
    <s v=""/>
    <s v=""/>
    <s v=""/>
    <n v="0"/>
    <n v="0"/>
    <s v=""/>
    <s v="Commercial Approval Requested"/>
    <x v="6"/>
  </r>
  <r>
    <s v="AYYN_0534"/>
    <x v="2"/>
    <x v="0"/>
    <n v="35"/>
    <x v="7"/>
    <n v="96.220830000000007"/>
    <n v="16.839479999999998"/>
    <s v="Telenor-MPT-Amara-Mytel"/>
    <n v="93"/>
    <s v="YAW7825"/>
    <x v="3"/>
    <s v="Commercial Approval Requested"/>
    <s v="OK"/>
    <s v="OK"/>
    <s v="Review"/>
    <s v="Review"/>
    <s v="OK"/>
    <s v="OK"/>
    <n v="162"/>
    <n v="1"/>
    <d v="2018-06-15T00:00:00"/>
    <d v="2018-06-12T00:00:00"/>
    <d v="2018-06-12T00:00:00"/>
    <d v="2018-06-12T00:00:00"/>
    <m/>
    <s v="Approved"/>
    <n v="161"/>
    <n v="1"/>
    <m/>
    <m/>
    <m/>
    <m/>
    <m/>
    <m/>
    <m/>
    <n v="1"/>
    <b v="1"/>
    <n v="1"/>
    <b v="1"/>
    <b v="1"/>
    <s v="Commercial Approval Requested"/>
    <x v="0"/>
    <x v="0"/>
    <x v="0"/>
    <x v="0"/>
    <x v="0"/>
    <x v="0"/>
    <n v="0"/>
    <s v=""/>
    <s v=""/>
    <s v=""/>
    <s v=""/>
    <n v="0"/>
    <n v="0"/>
    <s v=""/>
    <s v="Commercial Approval Requested"/>
    <x v="6"/>
  </r>
  <r>
    <s v="AYYN_9991"/>
    <x v="2"/>
    <x v="5"/>
    <n v="30"/>
    <x v="7"/>
    <n v="96.117549999999994"/>
    <n v="16.893469"/>
    <s v="Telenor_COW Site"/>
    <n v="94"/>
    <s v="No ID Yet"/>
    <x v="3"/>
    <s v="Prevalidation Rejected"/>
    <s v="Rejected"/>
    <m/>
    <m/>
    <s v="Rejected"/>
    <m/>
    <s v="OK"/>
    <n v="174"/>
    <n v="1"/>
    <m/>
    <m/>
    <m/>
    <m/>
    <m/>
    <m/>
    <n v="173"/>
    <n v="1"/>
    <m/>
    <m/>
    <m/>
    <m/>
    <m/>
    <m/>
    <m/>
    <n v="1"/>
    <b v="1"/>
    <n v="1"/>
    <b v="1"/>
    <b v="1"/>
    <s v="Prevalidation Rejected"/>
    <x v="0"/>
    <x v="0"/>
    <x v="0"/>
    <x v="0"/>
    <x v="0"/>
    <x v="0"/>
    <n v="0"/>
    <s v=""/>
    <s v=""/>
    <s v=""/>
    <s v=""/>
    <n v="0"/>
    <n v="0"/>
    <s v=""/>
    <s v="Prevalidation Rejected"/>
    <x v="0"/>
  </r>
  <r>
    <s v="AYYN_0119"/>
    <x v="2"/>
    <x v="0"/>
    <n v="35"/>
    <x v="7"/>
    <n v="96.218909999999994"/>
    <n v="16.886939999999999"/>
    <s v="Telenor-MPT-Mytel"/>
    <n v="95"/>
    <s v="YAW7500"/>
    <x v="3"/>
    <s v="Prevalidation Rejected"/>
    <s v="Rejected"/>
    <m/>
    <s v="OK"/>
    <s v="OK"/>
    <m/>
    <s v="Rejected"/>
    <n v="125"/>
    <n v="1"/>
    <m/>
    <m/>
    <m/>
    <m/>
    <m/>
    <m/>
    <n v="124"/>
    <n v="1"/>
    <m/>
    <m/>
    <m/>
    <m/>
    <m/>
    <m/>
    <m/>
    <n v="1"/>
    <b v="1"/>
    <n v="1"/>
    <b v="1"/>
    <b v="1"/>
    <s v="Prevalidation Rejected"/>
    <x v="0"/>
    <x v="0"/>
    <x v="0"/>
    <x v="0"/>
    <x v="0"/>
    <x v="0"/>
    <n v="0"/>
    <s v=""/>
    <s v=""/>
    <s v=""/>
    <s v=""/>
    <n v="0"/>
    <n v="0"/>
    <s v=""/>
    <s v="Prevalidation Rejected"/>
    <x v="0"/>
  </r>
  <r>
    <s v="AYYN_0128"/>
    <x v="2"/>
    <x v="0"/>
    <n v="35"/>
    <x v="7"/>
    <n v="96.224770000000007"/>
    <n v="16.877269999999999"/>
    <s v="Telenor-Amara-Mytel"/>
    <n v="96"/>
    <s v="YAW7818"/>
    <x v="3"/>
    <s v="Commercial Approval Requested"/>
    <s v="OK"/>
    <s v="OK"/>
    <s v="Review"/>
    <s v="Review"/>
    <s v="OK"/>
    <s v="OK"/>
    <n v="128"/>
    <n v="1"/>
    <d v="2018-06-14T00:00:00"/>
    <d v="2018-06-12T00:00:00"/>
    <d v="2018-06-12T00:00:00"/>
    <d v="2018-06-12T00:00:00"/>
    <m/>
    <s v="Approved"/>
    <n v="127"/>
    <n v="1"/>
    <m/>
    <m/>
    <m/>
    <m/>
    <m/>
    <m/>
    <m/>
    <n v="1"/>
    <b v="1"/>
    <n v="1"/>
    <b v="1"/>
    <b v="1"/>
    <s v="Commercial Approval Requested"/>
    <x v="0"/>
    <x v="0"/>
    <x v="0"/>
    <x v="0"/>
    <x v="0"/>
    <x v="0"/>
    <n v="0"/>
    <s v=""/>
    <s v=""/>
    <s v=""/>
    <s v=""/>
    <n v="0"/>
    <n v="0"/>
    <s v=""/>
    <s v="Commercial Approval Requested"/>
    <x v="6"/>
  </r>
  <r>
    <s v="AYYN_0456"/>
    <x v="2"/>
    <x v="2"/>
    <n v="6"/>
    <x v="7"/>
    <n v="96.202629999999999"/>
    <n v="16.90221"/>
    <s v="Telenor"/>
    <n v="97"/>
    <s v="YAW7768"/>
    <x v="3"/>
    <s v="Commercial Approval Requested"/>
    <s v="OK"/>
    <s v="OK"/>
    <s v="Review"/>
    <s v="Review"/>
    <s v="OK"/>
    <s v="OK"/>
    <n v="178"/>
    <n v="1"/>
    <d v="2018-06-14T00:00:00"/>
    <d v="2018-06-14T00:00:00"/>
    <d v="2018-06-14T00:00:00"/>
    <d v="2018-06-14T00:00:00"/>
    <m/>
    <s v="Approved"/>
    <n v="177"/>
    <n v="1"/>
    <m/>
    <m/>
    <m/>
    <m/>
    <m/>
    <m/>
    <m/>
    <n v="1"/>
    <b v="1"/>
    <n v="1"/>
    <b v="1"/>
    <b v="1"/>
    <s v="Commercial Approval Requested"/>
    <x v="0"/>
    <x v="0"/>
    <x v="0"/>
    <x v="0"/>
    <x v="0"/>
    <x v="0"/>
    <n v="0"/>
    <s v=""/>
    <s v=""/>
    <s v=""/>
    <s v=""/>
    <n v="0"/>
    <n v="0"/>
    <s v=""/>
    <s v="Commercial Approval Requested"/>
    <x v="6"/>
  </r>
  <r>
    <s v="AYYN_0104"/>
    <x v="2"/>
    <x v="0"/>
    <n v="35"/>
    <x v="7"/>
    <n v="96.187155000000004"/>
    <n v="16.916452"/>
    <s v="Telenor-Mytel"/>
    <n v="98"/>
    <s v="YAW7816"/>
    <x v="3"/>
    <s v="Prevalidated"/>
    <s v="OK"/>
    <s v="OK"/>
    <s v="OK"/>
    <s v="OK"/>
    <s v="OK"/>
    <s v="OK"/>
    <n v="123"/>
    <n v="1"/>
    <d v="2018-06-14T00:00:00"/>
    <d v="2018-06-14T00:00:00"/>
    <d v="2018-06-14T00:00:00"/>
    <d v="2018-06-14T00:00:00"/>
    <m/>
    <s v="Approved"/>
    <n v="122"/>
    <n v="1"/>
    <d v="2018-06-27T00:00:00"/>
    <s v="NTP Received"/>
    <m/>
    <m/>
    <m/>
    <m/>
    <m/>
    <n v="1"/>
    <b v="1"/>
    <n v="1"/>
    <b v="1"/>
    <b v="1"/>
    <s v="Prevalidated"/>
    <x v="0"/>
    <x v="0"/>
    <x v="0"/>
    <x v="0"/>
    <x v="0"/>
    <x v="0"/>
    <n v="0"/>
    <s v="Submitted"/>
    <s v="Approved"/>
    <s v="In Process"/>
    <s v="NTP Received"/>
    <n v="0"/>
    <n v="0"/>
    <s v=""/>
    <s v="NTP Received"/>
    <x v="8"/>
  </r>
  <r>
    <s v="AYYN_0580"/>
    <x v="2"/>
    <x v="0"/>
    <n v="35"/>
    <x v="7"/>
    <n v="96.046229999999994"/>
    <n v="16.974609999999998"/>
    <s v="Telenor-MPT"/>
    <n v="99"/>
    <s v="YAW7405"/>
    <x v="3"/>
    <s v="Prevalidated"/>
    <s v="OK"/>
    <s v="OK"/>
    <s v="OK"/>
    <s v="OK"/>
    <s v="OK"/>
    <s v="OK"/>
    <n v="171"/>
    <n v="1"/>
    <m/>
    <m/>
    <m/>
    <m/>
    <m/>
    <m/>
    <n v="170"/>
    <n v="1"/>
    <m/>
    <m/>
    <m/>
    <m/>
    <m/>
    <m/>
    <m/>
    <n v="1"/>
    <b v="1"/>
    <n v="1"/>
    <b v="1"/>
    <b v="1"/>
    <s v="Prevalidated"/>
    <x v="0"/>
    <x v="0"/>
    <x v="0"/>
    <x v="0"/>
    <x v="0"/>
    <x v="0"/>
    <n v="0"/>
    <s v=""/>
    <n v="0"/>
    <s v=""/>
    <s v=""/>
    <n v="0"/>
    <n v="0"/>
    <s v=""/>
    <s v="Prevalidated - TSSR in Process"/>
    <x v="2"/>
  </r>
  <r>
    <s v="ACAY_0059"/>
    <x v="2"/>
    <x v="0"/>
    <n v="35"/>
    <x v="11"/>
    <n v="95.701250000000002"/>
    <n v="16.272659999999998"/>
    <s v="Telenor-MPT-Mytel"/>
    <n v="100"/>
    <s v="AYW5560"/>
    <x v="3"/>
    <s v="Prevalidation Rejected"/>
    <s v="OK"/>
    <m/>
    <s v="Review"/>
    <s v="OK"/>
    <m/>
    <s v="Rejected"/>
    <n v="5"/>
    <n v="1"/>
    <m/>
    <m/>
    <m/>
    <m/>
    <m/>
    <m/>
    <n v="5"/>
    <n v="1"/>
    <m/>
    <m/>
    <m/>
    <m/>
    <m/>
    <m/>
    <m/>
    <n v="1"/>
    <b v="1"/>
    <n v="1"/>
    <b v="1"/>
    <b v="1"/>
    <s v="Prevalidation Rejected"/>
    <x v="0"/>
    <x v="0"/>
    <x v="0"/>
    <x v="0"/>
    <x v="0"/>
    <x v="0"/>
    <n v="0"/>
    <s v=""/>
    <s v=""/>
    <s v=""/>
    <s v=""/>
    <n v="0"/>
    <n v="0"/>
    <s v=""/>
    <s v="Prevalidation Rejected"/>
    <x v="0"/>
  </r>
  <r>
    <s v="AYYN_0081"/>
    <x v="2"/>
    <x v="1"/>
    <n v="30"/>
    <x v="7"/>
    <n v="96.070430000000002"/>
    <n v="16.995509999999999"/>
    <s v="Telenor"/>
    <n v="101"/>
    <s v="YAW7814"/>
    <x v="3"/>
    <s v="Prevalidation Rejected"/>
    <s v="OK"/>
    <s v="OK"/>
    <s v="OK"/>
    <s v="Review"/>
    <s v="OK"/>
    <s v="OK"/>
    <n v="121"/>
    <n v="1"/>
    <d v="2018-06-11T00:00:00"/>
    <d v="2018-06-11T00:00:00"/>
    <d v="2018-06-11T00:00:00"/>
    <d v="2018-06-11T00:00:00"/>
    <m/>
    <s v="Approved"/>
    <n v="120"/>
    <n v="1"/>
    <m/>
    <m/>
    <m/>
    <m/>
    <m/>
    <m/>
    <m/>
    <n v="1"/>
    <b v="1"/>
    <n v="1"/>
    <b v="1"/>
    <b v="1"/>
    <s v="Prevalidation Rejected"/>
    <x v="0"/>
    <x v="0"/>
    <x v="0"/>
    <x v="0"/>
    <x v="0"/>
    <x v="0"/>
    <n v="0"/>
    <s v=""/>
    <s v=""/>
    <s v=""/>
    <s v=""/>
    <n v="0"/>
    <n v="0"/>
    <s v=""/>
    <s v="Prevalidation Rejected"/>
    <x v="0"/>
  </r>
  <r>
    <s v="ASMO_0183"/>
    <x v="2"/>
    <x v="0"/>
    <n v="60"/>
    <x v="6"/>
    <n v="97.451819999999998"/>
    <n v="16.619900000000001"/>
    <s v="Telenor-Mytel"/>
    <n v="102"/>
    <s v="No ID Yet"/>
    <x v="3"/>
    <s v="Commercial Approval Requested"/>
    <s v="OK"/>
    <s v="OK"/>
    <s v="OK"/>
    <s v="Review"/>
    <s v="OK"/>
    <s v="OK"/>
    <n v="109"/>
    <n v="1"/>
    <m/>
    <m/>
    <m/>
    <m/>
    <m/>
    <m/>
    <n v="108"/>
    <n v="1"/>
    <m/>
    <m/>
    <m/>
    <m/>
    <m/>
    <m/>
    <m/>
    <n v="1"/>
    <b v="1"/>
    <n v="1"/>
    <b v="1"/>
    <b v="1"/>
    <s v="Commercial Approval Requested"/>
    <x v="0"/>
    <x v="0"/>
    <x v="0"/>
    <x v="0"/>
    <x v="0"/>
    <x v="0"/>
    <n v="0"/>
    <s v=""/>
    <s v=""/>
    <s v=""/>
    <s v=""/>
    <n v="0"/>
    <n v="0"/>
    <s v=""/>
    <s v="Commercial Approval Requested"/>
    <x v="6"/>
  </r>
  <r>
    <s v="AYYN_0576"/>
    <x v="2"/>
    <x v="0"/>
    <n v="35"/>
    <x v="7"/>
    <n v="96.144559999999998"/>
    <n v="16.97756"/>
    <s v="Telenor-MPT-Mytel"/>
    <n v="103"/>
    <s v="YAW7812"/>
    <x v="3"/>
    <s v="Commercial Approval Requested"/>
    <s v="OK"/>
    <s v="OK"/>
    <s v="Review"/>
    <s v="Review"/>
    <s v="OK"/>
    <s v="OK"/>
    <n v="169"/>
    <n v="1"/>
    <d v="2018-06-11T00:00:00"/>
    <d v="2018-06-11T00:00:00"/>
    <d v="2018-06-11T00:00:00"/>
    <d v="2018-06-11T00:00:00"/>
    <m/>
    <s v="Approved"/>
    <n v="168"/>
    <n v="1"/>
    <m/>
    <m/>
    <m/>
    <m/>
    <m/>
    <m/>
    <m/>
    <n v="1"/>
    <b v="1"/>
    <n v="1"/>
    <b v="1"/>
    <b v="1"/>
    <s v="Commercial Approval Requested"/>
    <x v="0"/>
    <x v="0"/>
    <x v="0"/>
    <x v="0"/>
    <x v="0"/>
    <x v="0"/>
    <n v="0"/>
    <s v=""/>
    <s v=""/>
    <s v=""/>
    <s v=""/>
    <n v="0"/>
    <n v="0"/>
    <s v=""/>
    <s v="Commercial Approval Requested"/>
    <x v="6"/>
  </r>
  <r>
    <s v="AYYN_0574"/>
    <x v="2"/>
    <x v="0"/>
    <n v="35"/>
    <x v="7"/>
    <n v="96.162769999999995"/>
    <n v="16.990829999999999"/>
    <s v="Telenor-MPT-Mytel"/>
    <n v="104"/>
    <s v="YAW4977"/>
    <x v="3"/>
    <s v="Commercial Approval Requested"/>
    <s v="OK"/>
    <s v="OK"/>
    <s v="Review"/>
    <s v="OK"/>
    <s v="OK"/>
    <s v="OK"/>
    <n v="168"/>
    <n v="1"/>
    <m/>
    <m/>
    <m/>
    <m/>
    <m/>
    <m/>
    <n v="167"/>
    <n v="1"/>
    <m/>
    <m/>
    <m/>
    <m/>
    <m/>
    <m/>
    <m/>
    <n v="1"/>
    <b v="1"/>
    <n v="1"/>
    <b v="1"/>
    <b v="1"/>
    <s v="Commercial Approval Requested"/>
    <x v="0"/>
    <x v="0"/>
    <x v="0"/>
    <x v="0"/>
    <x v="0"/>
    <x v="0"/>
    <n v="0"/>
    <s v=""/>
    <s v=""/>
    <s v=""/>
    <s v=""/>
    <n v="0"/>
    <n v="0"/>
    <s v=""/>
    <s v="Commercial Approval Requested"/>
    <x v="6"/>
  </r>
  <r>
    <s v="AYYN_0331"/>
    <x v="2"/>
    <x v="0"/>
    <n v="35"/>
    <x v="7"/>
    <n v="96.116069999999993"/>
    <n v="16.886189999999999"/>
    <s v="Telenor-Mytel"/>
    <n v="105"/>
    <s v="YAW7807"/>
    <x v="3"/>
    <s v="Prevalidated"/>
    <s v="OK"/>
    <s v="OK"/>
    <s v="OK"/>
    <s v="OK"/>
    <s v="OK"/>
    <s v="OK"/>
    <n v="176"/>
    <n v="1"/>
    <d v="2018-06-12T00:00:00"/>
    <d v="2018-06-14T00:00:00"/>
    <d v="2018-06-17T00:00:00"/>
    <d v="2018-06-17T00:00:00"/>
    <m/>
    <s v="Approved"/>
    <n v="175"/>
    <n v="1"/>
    <d v="2018-06-28T00:00:00"/>
    <s v="NTP Received"/>
    <m/>
    <m/>
    <m/>
    <m/>
    <m/>
    <n v="1"/>
    <b v="1"/>
    <n v="1"/>
    <b v="1"/>
    <b v="1"/>
    <s v="Prevalidated"/>
    <x v="0"/>
    <x v="0"/>
    <x v="0"/>
    <x v="0"/>
    <x v="0"/>
    <x v="0"/>
    <n v="0"/>
    <s v="Submitted"/>
    <s v="Approved"/>
    <s v="In Process"/>
    <s v="NTP Received"/>
    <n v="0"/>
    <n v="0"/>
    <s v=""/>
    <s v="NTP Received"/>
    <x v="8"/>
  </r>
  <r>
    <s v="AYYN_0122"/>
    <x v="2"/>
    <x v="2"/>
    <n v="6"/>
    <x v="7"/>
    <n v="96.117804000000007"/>
    <n v="16.881150000000002"/>
    <s v="Telenor"/>
    <n v="106"/>
    <s v="No ID Yet"/>
    <x v="3"/>
    <s v="Prevalidation Rejected"/>
    <s v="OK"/>
    <m/>
    <s v="Review"/>
    <m/>
    <m/>
    <s v="Rejected"/>
    <n v="126"/>
    <n v="1"/>
    <m/>
    <m/>
    <m/>
    <m/>
    <m/>
    <m/>
    <n v="125"/>
    <n v="1"/>
    <m/>
    <m/>
    <m/>
    <m/>
    <m/>
    <m/>
    <m/>
    <n v="1"/>
    <b v="1"/>
    <n v="1"/>
    <b v="1"/>
    <b v="1"/>
    <s v="Prevalidation Rejected"/>
    <x v="0"/>
    <x v="0"/>
    <x v="0"/>
    <x v="0"/>
    <x v="0"/>
    <x v="0"/>
    <n v="0"/>
    <s v=""/>
    <s v=""/>
    <s v=""/>
    <s v=""/>
    <n v="0"/>
    <n v="0"/>
    <s v=""/>
    <s v="Prevalidation Rejected"/>
    <x v="0"/>
  </r>
  <r>
    <s v="ACBA_0108"/>
    <x v="1"/>
    <x v="0"/>
    <n v="45"/>
    <x v="10"/>
    <n v="96.368179999999995"/>
    <n v="19.033850000000001"/>
    <s v="Telenor"/>
    <n v="107"/>
    <s v="BAW5569"/>
    <x v="3"/>
    <s v="Prevalidated"/>
    <s v="OK"/>
    <s v="OK"/>
    <s v="OK"/>
    <s v="OK"/>
    <s v="OK"/>
    <s v="OK"/>
    <n v="24"/>
    <n v="1"/>
    <d v="2018-06-15T00:00:00"/>
    <m/>
    <m/>
    <m/>
    <m/>
    <m/>
    <n v="24"/>
    <n v="1"/>
    <m/>
    <m/>
    <d v="2018-05-17T00:00:00"/>
    <m/>
    <m/>
    <m/>
    <m/>
    <n v="1"/>
    <b v="1"/>
    <n v="1"/>
    <b v="1"/>
    <b v="1"/>
    <s v="Prevalidated"/>
    <x v="0"/>
    <x v="0"/>
    <x v="0"/>
    <x v="0"/>
    <x v="0"/>
    <x v="0"/>
    <n v="0"/>
    <s v=""/>
    <n v="0"/>
    <s v=""/>
    <s v=""/>
    <n v="1"/>
    <n v="1"/>
    <s v="Work Completed"/>
    <s v="Prevalidated - TSSR in Process"/>
    <x v="2"/>
  </r>
  <r>
    <s v="ASMO_0305"/>
    <x v="2"/>
    <x v="0"/>
    <n v="60"/>
    <x v="6"/>
    <n v="96.897360000000006"/>
    <n v="17.519970000000001"/>
    <s v="Telenor-MPT"/>
    <n v="108"/>
    <s v="MOW6308"/>
    <x v="3"/>
    <s v="Prevalidated"/>
    <s v="OK"/>
    <s v="OK"/>
    <s v="OK"/>
    <s v="OK"/>
    <s v="OK"/>
    <s v="OK"/>
    <n v="116"/>
    <n v="1"/>
    <d v="2018-06-20T00:00:00"/>
    <m/>
    <m/>
    <m/>
    <m/>
    <m/>
    <n v="115"/>
    <n v="1"/>
    <m/>
    <m/>
    <m/>
    <m/>
    <m/>
    <m/>
    <m/>
    <n v="1"/>
    <b v="1"/>
    <n v="1"/>
    <b v="1"/>
    <b v="1"/>
    <s v="Prevalidated"/>
    <x v="0"/>
    <x v="0"/>
    <x v="0"/>
    <x v="0"/>
    <x v="0"/>
    <x v="0"/>
    <n v="0"/>
    <s v=""/>
    <n v="0"/>
    <s v=""/>
    <s v=""/>
    <n v="1"/>
    <n v="1"/>
    <s v="Work Completed"/>
    <s v="Prevalidated - TSSR in Process"/>
    <x v="2"/>
  </r>
  <r>
    <s v="AYYN_0321"/>
    <x v="2"/>
    <x v="2"/>
    <n v="9"/>
    <x v="7"/>
    <n v="96.087959999999995"/>
    <n v="16.837140000000002"/>
    <s v="Telenor"/>
    <n v="109"/>
    <s v="YAW4951"/>
    <x v="3"/>
    <s v="Prevalidation Rejected"/>
    <s v="Rejected"/>
    <m/>
    <s v="Review"/>
    <m/>
    <m/>
    <s v="OK"/>
    <n v="140"/>
    <n v="1"/>
    <m/>
    <m/>
    <m/>
    <m/>
    <m/>
    <m/>
    <n v="139"/>
    <n v="1"/>
    <m/>
    <m/>
    <m/>
    <m/>
    <m/>
    <m/>
    <m/>
    <n v="1"/>
    <b v="1"/>
    <n v="1"/>
    <b v="1"/>
    <b v="1"/>
    <s v="Prevalidation Rejected"/>
    <x v="0"/>
    <x v="0"/>
    <x v="0"/>
    <x v="0"/>
    <x v="0"/>
    <x v="0"/>
    <n v="0"/>
    <s v=""/>
    <s v=""/>
    <s v=""/>
    <s v=""/>
    <n v="0"/>
    <n v="0"/>
    <s v=""/>
    <s v="Prevalidation Rejected"/>
    <x v="0"/>
  </r>
  <r>
    <s v="ACBA_0187"/>
    <x v="2"/>
    <x v="0"/>
    <n v="60"/>
    <x v="10"/>
    <n v="96.762554699999995"/>
    <n v="17.8209506"/>
    <s v="Telenor-MPT"/>
    <n v="110"/>
    <s v="No ID Yet"/>
    <x v="3"/>
    <s v="Prevalidation Rejected"/>
    <s v="OK"/>
    <s v="OK"/>
    <s v="OK"/>
    <s v="OK"/>
    <s v="OK"/>
    <s v="Rejected"/>
    <n v="26"/>
    <n v="1"/>
    <m/>
    <m/>
    <m/>
    <m/>
    <m/>
    <m/>
    <n v="26"/>
    <n v="1"/>
    <m/>
    <m/>
    <d v="2018-05-24T00:00:00"/>
    <m/>
    <m/>
    <m/>
    <m/>
    <n v="1"/>
    <b v="1"/>
    <n v="1"/>
    <b v="1"/>
    <b v="1"/>
    <s v="Prevalidation Rejected"/>
    <x v="0"/>
    <x v="0"/>
    <x v="0"/>
    <x v="0"/>
    <x v="0"/>
    <x v="0"/>
    <n v="0"/>
    <s v=""/>
    <s v=""/>
    <s v=""/>
    <s v=""/>
    <n v="0"/>
    <n v="0"/>
    <s v=""/>
    <s v="Prevalidation Rejected"/>
    <x v="0"/>
  </r>
  <r>
    <s v="AYYN_0405"/>
    <x v="2"/>
    <x v="2"/>
    <n v="6"/>
    <x v="7"/>
    <n v="96.201480000000004"/>
    <n v="16.791650000000001"/>
    <s v="Telenor-Amara"/>
    <n v="111"/>
    <s v="YAW7804"/>
    <x v="3"/>
    <s v="Commercial Approval Requested"/>
    <s v="OK"/>
    <s v="OK"/>
    <s v="Review"/>
    <s v="Review"/>
    <s v="OK"/>
    <s v="OK"/>
    <n v="145"/>
    <n v="1"/>
    <d v="2018-06-13T00:00:00"/>
    <d v="2018-07-17T00:00:00"/>
    <d v="2018-07-23T00:00:00"/>
    <m/>
    <m/>
    <m/>
    <n v="144"/>
    <n v="1"/>
    <m/>
    <m/>
    <m/>
    <m/>
    <m/>
    <m/>
    <m/>
    <n v="1"/>
    <b v="1"/>
    <n v="1"/>
    <b v="1"/>
    <b v="1"/>
    <s v="Commercial Approval Requested"/>
    <x v="0"/>
    <x v="0"/>
    <x v="0"/>
    <x v="0"/>
    <x v="0"/>
    <x v="0"/>
    <n v="0"/>
    <s v=""/>
    <s v=""/>
    <s v=""/>
    <s v=""/>
    <n v="0"/>
    <n v="0"/>
    <s v=""/>
    <s v="Commercial Approval Requested"/>
    <x v="6"/>
  </r>
  <r>
    <s v="AYYN_0552"/>
    <x v="2"/>
    <x v="2"/>
    <n v="6"/>
    <x v="7"/>
    <n v="96.206249999999997"/>
    <n v="16.803180000000001"/>
    <s v="Telenor"/>
    <n v="112"/>
    <s v="YAW7803"/>
    <x v="3"/>
    <s v="Commercial Approval Requested"/>
    <s v="OK"/>
    <s v="OK"/>
    <s v="Review"/>
    <s v="Review"/>
    <s v="OK"/>
    <s v="OK"/>
    <n v="166"/>
    <n v="1"/>
    <d v="2018-06-13T00:00:00"/>
    <d v="2018-06-15T00:00:00"/>
    <d v="2018-06-15T00:00:00"/>
    <d v="2018-06-15T00:00:00"/>
    <m/>
    <s v="Approved"/>
    <n v="165"/>
    <n v="1"/>
    <m/>
    <m/>
    <m/>
    <m/>
    <m/>
    <m/>
    <m/>
    <n v="1"/>
    <b v="1"/>
    <n v="1"/>
    <b v="1"/>
    <b v="1"/>
    <s v="Commercial Approval Requested"/>
    <x v="0"/>
    <x v="0"/>
    <x v="0"/>
    <x v="0"/>
    <x v="0"/>
    <x v="0"/>
    <n v="0"/>
    <s v=""/>
    <s v=""/>
    <s v=""/>
    <s v=""/>
    <n v="0"/>
    <n v="0"/>
    <s v=""/>
    <s v="Commercial Approval Requested"/>
    <x v="6"/>
  </r>
  <r>
    <s v="ASMO_0180"/>
    <x v="2"/>
    <x v="0"/>
    <n v="45"/>
    <x v="6"/>
    <n v="97.703339999999997"/>
    <n v="16.291029999999999"/>
    <s v="Telenor-MPT-Mytel"/>
    <n v="113"/>
    <s v="MOW6311"/>
    <x v="3"/>
    <s v="Prevalidated"/>
    <s v="OK"/>
    <s v="OK"/>
    <s v="OK"/>
    <s v="OK"/>
    <s v="OK"/>
    <s v="OK"/>
    <n v="107"/>
    <n v="1"/>
    <d v="2018-07-18T00:00:00"/>
    <d v="2018-07-18T00:00:00"/>
    <d v="2018-07-20T00:00:00"/>
    <m/>
    <m/>
    <m/>
    <n v="106"/>
    <n v="1"/>
    <m/>
    <m/>
    <m/>
    <m/>
    <m/>
    <m/>
    <m/>
    <n v="1"/>
    <b v="1"/>
    <n v="1"/>
    <b v="1"/>
    <b v="1"/>
    <s v="Prevalidated"/>
    <x v="0"/>
    <x v="0"/>
    <x v="0"/>
    <x v="0"/>
    <x v="0"/>
    <x v="0"/>
    <n v="0"/>
    <s v="Submitted"/>
    <n v="0"/>
    <s v=""/>
    <s v=""/>
    <n v="0"/>
    <n v="0"/>
    <s v=""/>
    <s v="Prevalidated - TSSR in Process"/>
    <x v="2"/>
  </r>
  <r>
    <s v="AYYN_0536"/>
    <x v="2"/>
    <x v="2"/>
    <n v="6"/>
    <x v="7"/>
    <n v="96.17944"/>
    <n v="16.835260000000002"/>
    <s v="Telenor-Amara"/>
    <n v="114"/>
    <s v="YAW7758"/>
    <x v="3"/>
    <s v="Prevalidated"/>
    <s v="OK"/>
    <s v="OK"/>
    <s v="Review"/>
    <s v="Review"/>
    <s v="OK"/>
    <s v="OK"/>
    <n v="163"/>
    <n v="1"/>
    <d v="2018-06-12T00:00:00"/>
    <d v="2018-06-13T00:00:00"/>
    <d v="2018-06-13T00:00:00"/>
    <d v="2018-06-13T00:00:00"/>
    <m/>
    <s v="Approved"/>
    <n v="162"/>
    <n v="1"/>
    <m/>
    <m/>
    <m/>
    <m/>
    <m/>
    <m/>
    <m/>
    <n v="1"/>
    <b v="1"/>
    <n v="1"/>
    <b v="1"/>
    <b v="1"/>
    <s v="Prevalidated"/>
    <x v="0"/>
    <x v="0"/>
    <x v="0"/>
    <x v="0"/>
    <x v="0"/>
    <x v="0"/>
    <n v="0"/>
    <s v="Submitted"/>
    <s v="Approved"/>
    <s v="In Process"/>
    <n v="0"/>
    <n v="0"/>
    <n v="0"/>
    <s v=""/>
    <s v="Prevalidated - TSSR Done"/>
    <x v="4"/>
  </r>
  <r>
    <s v="AYYN_0508"/>
    <x v="2"/>
    <x v="0"/>
    <n v="35"/>
    <x v="7"/>
    <n v="96.23366"/>
    <n v="16.86215"/>
    <s v="Telenor-Amara-Mytel"/>
    <n v="115"/>
    <s v="YAW7800"/>
    <x v="3"/>
    <s v="Commercial Approval Requested"/>
    <s v="OK"/>
    <s v="OK"/>
    <s v="Review"/>
    <s v="Review"/>
    <s v="OK"/>
    <s v="OK"/>
    <n v="154"/>
    <n v="1"/>
    <d v="2018-06-15T00:00:00"/>
    <d v="2018-06-12T00:00:00"/>
    <d v="2018-06-12T00:00:00"/>
    <d v="2018-06-12T00:00:00"/>
    <m/>
    <s v="Approved"/>
    <n v="153"/>
    <n v="1"/>
    <m/>
    <m/>
    <m/>
    <m/>
    <m/>
    <m/>
    <m/>
    <n v="1"/>
    <b v="1"/>
    <n v="1"/>
    <b v="1"/>
    <b v="1"/>
    <s v="Commercial Approval Requested"/>
    <x v="0"/>
    <x v="0"/>
    <x v="0"/>
    <x v="0"/>
    <x v="0"/>
    <x v="0"/>
    <n v="0"/>
    <s v=""/>
    <s v=""/>
    <s v=""/>
    <s v=""/>
    <n v="0"/>
    <n v="0"/>
    <s v=""/>
    <s v="Commercial Approval Requested"/>
    <x v="6"/>
  </r>
  <r>
    <s v="ASMO_0150"/>
    <x v="2"/>
    <x v="0"/>
    <n v="50"/>
    <x v="6"/>
    <n v="97.600300000000004"/>
    <n v="16.561129999999999"/>
    <s v="Telenor-Mytel"/>
    <n v="116"/>
    <s v="MOW6312"/>
    <x v="3"/>
    <s v="Prevalidation Rejected"/>
    <s v="OK"/>
    <s v="OK"/>
    <s v="OK"/>
    <s v="OK"/>
    <s v="OK"/>
    <s v="Rejected"/>
    <n v="98"/>
    <n v="1"/>
    <m/>
    <m/>
    <m/>
    <m/>
    <m/>
    <m/>
    <n v="97"/>
    <n v="1"/>
    <m/>
    <m/>
    <m/>
    <m/>
    <m/>
    <m/>
    <m/>
    <n v="1"/>
    <b v="1"/>
    <n v="1"/>
    <b v="1"/>
    <b v="1"/>
    <s v="Prevalidation Rejected"/>
    <x v="0"/>
    <x v="0"/>
    <x v="0"/>
    <x v="0"/>
    <x v="0"/>
    <x v="0"/>
    <n v="0"/>
    <s v=""/>
    <s v=""/>
    <s v=""/>
    <s v=""/>
    <n v="0"/>
    <n v="0"/>
    <s v=""/>
    <s v="Prevalidation Rejected"/>
    <x v="0"/>
  </r>
  <r>
    <s v="AYYN_0518"/>
    <x v="2"/>
    <x v="0"/>
    <n v="35"/>
    <x v="7"/>
    <n v="96.242999999999995"/>
    <n v="16.837430000000001"/>
    <s v="Telenor"/>
    <n v="117"/>
    <s v="YAW4931"/>
    <x v="3"/>
    <s v="Commercial Approval Requested"/>
    <s v="OK"/>
    <s v="OK"/>
    <s v="OK"/>
    <s v="Review"/>
    <s v="OK"/>
    <s v="OK"/>
    <n v="156"/>
    <n v="1"/>
    <m/>
    <m/>
    <m/>
    <m/>
    <m/>
    <m/>
    <n v="155"/>
    <n v="1"/>
    <m/>
    <m/>
    <m/>
    <m/>
    <m/>
    <m/>
    <m/>
    <n v="1"/>
    <b v="1"/>
    <n v="1"/>
    <b v="1"/>
    <b v="1"/>
    <s v="Commercial Approval Requested"/>
    <x v="0"/>
    <x v="0"/>
    <x v="0"/>
    <x v="0"/>
    <x v="0"/>
    <x v="0"/>
    <n v="0"/>
    <s v=""/>
    <s v=""/>
    <s v=""/>
    <s v=""/>
    <n v="0"/>
    <n v="0"/>
    <s v=""/>
    <s v="Commercial Approval Requested"/>
    <x v="6"/>
  </r>
  <r>
    <s v="AYYN_0474"/>
    <x v="2"/>
    <x v="2"/>
    <n v="6"/>
    <x v="7"/>
    <n v="96.257249999999999"/>
    <n v="16.872890000000002"/>
    <s v="Telenor-Amara"/>
    <n v="118"/>
    <s v="YAW4930"/>
    <x v="3"/>
    <s v="Prevalidation Rejected"/>
    <s v="Rejected"/>
    <m/>
    <s v="Review"/>
    <m/>
    <m/>
    <s v="OK"/>
    <n v="150"/>
    <n v="1"/>
    <m/>
    <m/>
    <m/>
    <m/>
    <m/>
    <m/>
    <n v="149"/>
    <n v="1"/>
    <m/>
    <m/>
    <m/>
    <m/>
    <m/>
    <m/>
    <m/>
    <n v="1"/>
    <b v="1"/>
    <n v="1"/>
    <b v="1"/>
    <b v="1"/>
    <s v="Prevalidation Rejected"/>
    <x v="0"/>
    <x v="0"/>
    <x v="0"/>
    <x v="0"/>
    <x v="0"/>
    <x v="0"/>
    <n v="0"/>
    <s v=""/>
    <s v=""/>
    <s v=""/>
    <s v=""/>
    <n v="0"/>
    <n v="0"/>
    <s v=""/>
    <s v="Prevalidation Rejected"/>
    <x v="0"/>
  </r>
  <r>
    <s v="ACBA_0051"/>
    <x v="2"/>
    <x v="0"/>
    <n v="60"/>
    <x v="10"/>
    <n v="96.443100000000001"/>
    <n v="17.456959999999999"/>
    <s v="Telenor"/>
    <n v="120"/>
    <s v="BAW5574"/>
    <x v="3"/>
    <s v="Prevalidated"/>
    <s v="OK"/>
    <s v="OK"/>
    <s v="OK"/>
    <s v="OK"/>
    <s v="OK"/>
    <s v="OK"/>
    <n v="19"/>
    <n v="1"/>
    <d v="2018-06-15T00:00:00"/>
    <m/>
    <m/>
    <m/>
    <m/>
    <m/>
    <n v="19"/>
    <n v="1"/>
    <m/>
    <m/>
    <m/>
    <m/>
    <m/>
    <m/>
    <m/>
    <n v="1"/>
    <b v="1"/>
    <n v="1"/>
    <b v="1"/>
    <b v="1"/>
    <s v="Prevalidated"/>
    <x v="0"/>
    <x v="0"/>
    <x v="0"/>
    <x v="0"/>
    <x v="0"/>
    <x v="0"/>
    <n v="0"/>
    <s v=""/>
    <n v="0"/>
    <s v=""/>
    <s v=""/>
    <n v="1"/>
    <n v="1"/>
    <s v="Work Completed"/>
    <s v="Prevalidated - TSSR in Process"/>
    <x v="2"/>
  </r>
  <r>
    <s v="AYYN_0488"/>
    <x v="2"/>
    <x v="2"/>
    <n v="6"/>
    <x v="7"/>
    <n v="96.188959999999994"/>
    <n v="16.87989"/>
    <s v="Telenor"/>
    <n v="121"/>
    <s v="YAW7795"/>
    <x v="3"/>
    <s v="Commercial Approval Requested"/>
    <s v="OK"/>
    <s v="OK"/>
    <s v="Review"/>
    <s v="Review"/>
    <s v="OK"/>
    <s v="OK"/>
    <n v="152"/>
    <n v="1"/>
    <d v="2018-06-14T00:00:00"/>
    <d v="2018-06-12T00:00:00"/>
    <d v="2018-06-12T00:00:00"/>
    <d v="2018-06-12T00:00:00"/>
    <m/>
    <s v="Approved"/>
    <n v="151"/>
    <n v="1"/>
    <m/>
    <m/>
    <m/>
    <m/>
    <m/>
    <m/>
    <m/>
    <n v="1"/>
    <b v="1"/>
    <n v="1"/>
    <b v="1"/>
    <b v="1"/>
    <s v="Commercial Approval Requested"/>
    <x v="0"/>
    <x v="0"/>
    <x v="0"/>
    <x v="0"/>
    <x v="0"/>
    <x v="0"/>
    <n v="0"/>
    <s v=""/>
    <s v=""/>
    <s v=""/>
    <s v=""/>
    <n v="0"/>
    <n v="0"/>
    <s v=""/>
    <s v="Commercial Approval Requested"/>
    <x v="6"/>
  </r>
  <r>
    <s v="AYYN_0544"/>
    <x v="2"/>
    <x v="2"/>
    <n v="6"/>
    <x v="7"/>
    <n v="96.194789999999998"/>
    <n v="16.82133"/>
    <s v="Telenor-MPT"/>
    <n v="122"/>
    <s v="YAW4790"/>
    <x v="3"/>
    <s v="Prevalidation Rejected"/>
    <s v="Rejected"/>
    <m/>
    <s v="Review"/>
    <m/>
    <m/>
    <s v="OK"/>
    <n v="165"/>
    <n v="1"/>
    <m/>
    <m/>
    <m/>
    <m/>
    <m/>
    <m/>
    <n v="164"/>
    <n v="1"/>
    <m/>
    <m/>
    <m/>
    <m/>
    <m/>
    <m/>
    <m/>
    <n v="1"/>
    <b v="1"/>
    <n v="1"/>
    <b v="1"/>
    <b v="1"/>
    <s v="Prevalidation Rejected"/>
    <x v="0"/>
    <x v="0"/>
    <x v="0"/>
    <x v="0"/>
    <x v="0"/>
    <x v="0"/>
    <n v="0"/>
    <s v=""/>
    <s v=""/>
    <s v=""/>
    <s v=""/>
    <n v="0"/>
    <n v="0"/>
    <s v=""/>
    <s v="Prevalidation Rejected"/>
    <x v="0"/>
  </r>
  <r>
    <s v="AYYN_0504"/>
    <x v="2"/>
    <x v="4"/>
    <n v="12"/>
    <x v="7"/>
    <n v="96.190250000000006"/>
    <n v="16.848330000000001"/>
    <s v="Telenor"/>
    <n v="123"/>
    <s v="YAW4769"/>
    <x v="3"/>
    <s v="Prevalidation Rejected"/>
    <s v="Rejected"/>
    <m/>
    <s v="Review"/>
    <m/>
    <m/>
    <s v="OK"/>
    <n v="153"/>
    <n v="1"/>
    <m/>
    <m/>
    <m/>
    <m/>
    <m/>
    <m/>
    <n v="152"/>
    <n v="1"/>
    <m/>
    <m/>
    <m/>
    <m/>
    <m/>
    <m/>
    <m/>
    <n v="1"/>
    <b v="1"/>
    <n v="1"/>
    <b v="1"/>
    <b v="1"/>
    <s v="Prevalidation Rejected"/>
    <x v="0"/>
    <x v="0"/>
    <x v="0"/>
    <x v="0"/>
    <x v="0"/>
    <x v="0"/>
    <n v="0"/>
    <s v=""/>
    <s v=""/>
    <s v=""/>
    <s v=""/>
    <n v="0"/>
    <n v="0"/>
    <s v=""/>
    <s v="Prevalidation Rejected"/>
    <x v="0"/>
  </r>
  <r>
    <s v="AYYN_0309"/>
    <x v="2"/>
    <x v="2"/>
    <n v="6"/>
    <x v="7"/>
    <n v="96.108599999999996"/>
    <n v="16.859760000000001"/>
    <s v="Telenor-Amara"/>
    <n v="124"/>
    <s v="YAW7787"/>
    <x v="3"/>
    <s v="Commercial Approval Requested"/>
    <s v="OK"/>
    <s v="OK"/>
    <s v="Review"/>
    <s v="Review"/>
    <s v="OK"/>
    <s v="OK"/>
    <n v="138"/>
    <n v="1"/>
    <d v="2018-06-12T00:00:00"/>
    <m/>
    <m/>
    <m/>
    <m/>
    <m/>
    <n v="137"/>
    <n v="1"/>
    <m/>
    <m/>
    <m/>
    <m/>
    <m/>
    <m/>
    <m/>
    <n v="1"/>
    <b v="1"/>
    <n v="1"/>
    <b v="1"/>
    <b v="1"/>
    <s v="Commercial Approval Requested"/>
    <x v="0"/>
    <x v="0"/>
    <x v="0"/>
    <x v="0"/>
    <x v="0"/>
    <x v="0"/>
    <n v="0"/>
    <s v=""/>
    <s v=""/>
    <s v=""/>
    <s v=""/>
    <n v="0"/>
    <n v="0"/>
    <s v=""/>
    <s v="Commercial Approval Requested"/>
    <x v="6"/>
  </r>
  <r>
    <s v="ACAY_0142"/>
    <x v="2"/>
    <x v="0"/>
    <n v="50"/>
    <x v="11"/>
    <n v="94.402460000000005"/>
    <n v="16.01004"/>
    <s v="Telenor-MPT"/>
    <n v="125"/>
    <s v="AYW5565"/>
    <x v="3"/>
    <s v="Prevalidated"/>
    <s v="OK"/>
    <s v="OK"/>
    <s v="OK"/>
    <s v="OK"/>
    <s v="OK"/>
    <s v="OK"/>
    <n v="8"/>
    <n v="1"/>
    <d v="2018-06-18T00:00:00"/>
    <d v="2018-06-20T00:00:00"/>
    <d v="2018-06-25T00:00:00"/>
    <d v="2018-07-02T00:00:00"/>
    <m/>
    <s v="Approved"/>
    <n v="8"/>
    <n v="1"/>
    <d v="2018-07-02T00:00:00"/>
    <s v="NTP Received"/>
    <m/>
    <m/>
    <m/>
    <m/>
    <m/>
    <n v="1"/>
    <b v="1"/>
    <n v="1"/>
    <b v="1"/>
    <b v="1"/>
    <s v="Prevalidated"/>
    <x v="0"/>
    <x v="0"/>
    <x v="0"/>
    <x v="0"/>
    <x v="0"/>
    <x v="0"/>
    <n v="0"/>
    <s v="Submitted"/>
    <s v="Approved"/>
    <s v="In Process"/>
    <s v="NTP Received"/>
    <n v="1"/>
    <n v="1"/>
    <s v="Work Completed"/>
    <s v="Work Completed"/>
    <x v="5"/>
  </r>
  <r>
    <s v="ACBA_0089"/>
    <x v="2"/>
    <x v="0"/>
    <n v="60"/>
    <x v="10"/>
    <n v="96.431550000000001"/>
    <n v="18.36918"/>
    <s v="Telenor"/>
    <n v="126"/>
    <s v="BAW5581"/>
    <x v="3"/>
    <s v="Prevalidated"/>
    <s v="OK"/>
    <s v="OK"/>
    <s v="OK"/>
    <s v="OK"/>
    <s v="OK"/>
    <s v="OK"/>
    <n v="21"/>
    <n v="1"/>
    <d v="2018-06-15T00:00:00"/>
    <m/>
    <m/>
    <m/>
    <m/>
    <m/>
    <n v="21"/>
    <n v="1"/>
    <m/>
    <m/>
    <d v="2018-04-12T00:00:00"/>
    <d v="2018-04-12T00:00:00"/>
    <d v="2018-04-12T00:00:00"/>
    <m/>
    <m/>
    <n v="1"/>
    <b v="1"/>
    <n v="1"/>
    <b v="1"/>
    <b v="1"/>
    <s v="Prevalidated"/>
    <x v="0"/>
    <x v="0"/>
    <x v="0"/>
    <x v="0"/>
    <x v="0"/>
    <x v="0"/>
    <n v="0"/>
    <s v=""/>
    <n v="0"/>
    <s v=""/>
    <s v=""/>
    <n v="1"/>
    <n v="1"/>
    <s v="Work Completed"/>
    <s v="RFI"/>
    <x v="9"/>
  </r>
  <r>
    <s v="AYYN_0088"/>
    <x v="2"/>
    <x v="0"/>
    <n v="35"/>
    <x v="7"/>
    <n v="96.063500000000005"/>
    <n v="16.95635"/>
    <s v="Telenor-Mytel-MPT"/>
    <n v="127"/>
    <s v="YAW4651"/>
    <x v="3"/>
    <s v="Prevalidated"/>
    <s v="OK"/>
    <s v="OK"/>
    <s v="OK"/>
    <s v="OK"/>
    <s v="OK"/>
    <s v="OK"/>
    <n v="122"/>
    <n v="1"/>
    <d v="2018-07-18T00:00:00"/>
    <d v="2018-07-18T00:00:00"/>
    <d v="2018-07-23T00:00:00"/>
    <m/>
    <m/>
    <m/>
    <n v="121"/>
    <n v="1"/>
    <m/>
    <m/>
    <m/>
    <m/>
    <m/>
    <m/>
    <m/>
    <n v="1"/>
    <b v="1"/>
    <n v="1"/>
    <b v="1"/>
    <b v="1"/>
    <s v="Prevalidated"/>
    <x v="0"/>
    <x v="0"/>
    <x v="0"/>
    <x v="0"/>
    <x v="0"/>
    <x v="0"/>
    <n v="0"/>
    <s v="Submitted"/>
    <n v="0"/>
    <s v=""/>
    <s v=""/>
    <n v="0"/>
    <n v="0"/>
    <s v=""/>
    <s v="Prevalidated - TSSR in Process"/>
    <x v="2"/>
  </r>
  <r>
    <s v="ACAY_0123"/>
    <x v="2"/>
    <x v="0"/>
    <n v="50"/>
    <x v="11"/>
    <n v="95.334190000000007"/>
    <n v="16.798439999999999"/>
    <s v="Telenor"/>
    <n v="128"/>
    <s v="AYW5569"/>
    <x v="3"/>
    <s v="Prevalidated"/>
    <s v="OK"/>
    <s v="OK"/>
    <s v="OK"/>
    <s v="OK"/>
    <s v="OK"/>
    <s v="OK"/>
    <n v="7"/>
    <n v="1"/>
    <d v="2018-06-18T00:00:00"/>
    <d v="2018-06-18T00:00:00"/>
    <d v="2018-06-25T00:00:00"/>
    <d v="2018-07-30T00:00:00"/>
    <m/>
    <s v="Approved"/>
    <n v="7"/>
    <n v="1"/>
    <d v="2018-07-30T00:00:00"/>
    <s v="NTP Received"/>
    <d v="2018-06-22T00:00:00"/>
    <d v="2018-06-22T00:00:00"/>
    <m/>
    <m/>
    <m/>
    <n v="1"/>
    <b v="1"/>
    <n v="1"/>
    <b v="1"/>
    <b v="1"/>
    <s v="Prevalidated"/>
    <x v="0"/>
    <x v="0"/>
    <x v="0"/>
    <x v="0"/>
    <x v="0"/>
    <x v="0"/>
    <n v="0"/>
    <s v="Submitted"/>
    <s v="Approved"/>
    <s v="In Process"/>
    <s v="NTP Received"/>
    <n v="2"/>
    <n v="1"/>
    <s v="Work Completed"/>
    <s v="Work Completed"/>
    <x v="5"/>
  </r>
  <r>
    <s v="ACBA_0032"/>
    <x v="2"/>
    <x v="0"/>
    <n v="45"/>
    <x v="10"/>
    <n v="96.506209999999996"/>
    <n v="17.337520000000001"/>
    <s v="Telenor-Mytel"/>
    <n v="129"/>
    <s v="BAW5234"/>
    <x v="3"/>
    <s v="Prevalidated"/>
    <s v="OK"/>
    <s v="OK"/>
    <s v="OK"/>
    <s v="OK"/>
    <s v="OK"/>
    <s v="OK"/>
    <n v="14"/>
    <n v="1"/>
    <m/>
    <m/>
    <m/>
    <m/>
    <m/>
    <m/>
    <n v="14"/>
    <n v="1"/>
    <m/>
    <m/>
    <m/>
    <m/>
    <m/>
    <m/>
    <m/>
    <n v="1"/>
    <b v="1"/>
    <n v="1"/>
    <b v="1"/>
    <b v="1"/>
    <s v="Prevalidated"/>
    <x v="0"/>
    <x v="0"/>
    <x v="0"/>
    <x v="0"/>
    <x v="0"/>
    <x v="0"/>
    <n v="0"/>
    <s v=""/>
    <n v="0"/>
    <s v=""/>
    <s v=""/>
    <n v="0"/>
    <n v="0"/>
    <s v=""/>
    <s v="Prevalidated - TSSR in Process"/>
    <x v="2"/>
  </r>
  <r>
    <s v="ASMO_0162"/>
    <x v="2"/>
    <x v="0"/>
    <n v="35"/>
    <x v="6"/>
    <n v="97.620739999999998"/>
    <n v="16.500070000000001"/>
    <s v="Telenor-MPT"/>
    <n v="130"/>
    <s v="MOW6294"/>
    <x v="3"/>
    <s v="Prevalidated"/>
    <s v="OK"/>
    <s v="OK"/>
    <s v="OK"/>
    <s v="OK"/>
    <s v="OK"/>
    <s v="OK"/>
    <n v="99"/>
    <n v="1"/>
    <d v="2018-06-20T00:00:00"/>
    <d v="2018-06-20T00:00:00"/>
    <d v="2018-06-25T00:00:00"/>
    <d v="2018-06-28T00:00:00"/>
    <m/>
    <s v="Approved"/>
    <n v="98"/>
    <n v="1"/>
    <d v="2018-06-28T00:00:00"/>
    <s v="NTP Received"/>
    <m/>
    <m/>
    <m/>
    <m/>
    <m/>
    <n v="1"/>
    <b v="1"/>
    <n v="1"/>
    <b v="1"/>
    <b v="1"/>
    <s v="Prevalidated"/>
    <x v="0"/>
    <x v="0"/>
    <x v="0"/>
    <x v="0"/>
    <x v="0"/>
    <x v="0"/>
    <n v="0"/>
    <s v="Submitted"/>
    <s v="Approved"/>
    <s v="In Process"/>
    <s v="NTP Received"/>
    <n v="1"/>
    <n v="1"/>
    <s v="Work Completed"/>
    <s v="Work Completed"/>
    <x v="5"/>
  </r>
  <r>
    <s v="ASMO_0164"/>
    <x v="2"/>
    <x v="0"/>
    <n v="35"/>
    <x v="6"/>
    <n v="97.64537"/>
    <n v="16.493649999999999"/>
    <s v="Telenor"/>
    <n v="131"/>
    <s v="MOT6240"/>
    <x v="3"/>
    <s v="Commercial Approval Requested"/>
    <s v="OK"/>
    <s v="OK"/>
    <s v="OK"/>
    <s v="Review"/>
    <s v="OK"/>
    <s v="OK"/>
    <n v="101"/>
    <n v="1"/>
    <m/>
    <m/>
    <m/>
    <m/>
    <m/>
    <m/>
    <n v="100"/>
    <n v="1"/>
    <m/>
    <m/>
    <m/>
    <m/>
    <m/>
    <m/>
    <m/>
    <n v="1"/>
    <b v="1"/>
    <n v="1"/>
    <b v="1"/>
    <b v="1"/>
    <s v="Commercial Approval Requested"/>
    <x v="0"/>
    <x v="0"/>
    <x v="0"/>
    <x v="0"/>
    <x v="0"/>
    <x v="0"/>
    <n v="0"/>
    <s v=""/>
    <s v=""/>
    <s v=""/>
    <s v=""/>
    <n v="0"/>
    <n v="0"/>
    <s v=""/>
    <s v="Commercial Approval Requested"/>
    <x v="6"/>
  </r>
  <r>
    <s v="ASMO_0166"/>
    <x v="2"/>
    <x v="0"/>
    <n v="45"/>
    <x v="6"/>
    <n v="97.63194"/>
    <n v="16.486139999999999"/>
    <s v="Telenor-Mytel"/>
    <n v="132"/>
    <s v="MOW6237"/>
    <x v="3"/>
    <s v="Prevalidated"/>
    <s v="OK"/>
    <s v="OK"/>
    <s v="OK"/>
    <s v="OK"/>
    <s v="OK"/>
    <s v="OK"/>
    <n v="103"/>
    <n v="1"/>
    <m/>
    <m/>
    <m/>
    <m/>
    <m/>
    <m/>
    <n v="102"/>
    <n v="1"/>
    <m/>
    <m/>
    <m/>
    <m/>
    <m/>
    <m/>
    <m/>
    <n v="1"/>
    <b v="1"/>
    <n v="1"/>
    <b v="1"/>
    <b v="1"/>
    <s v="Prevalidated"/>
    <x v="0"/>
    <x v="0"/>
    <x v="0"/>
    <x v="0"/>
    <x v="0"/>
    <x v="0"/>
    <n v="0"/>
    <s v=""/>
    <n v="0"/>
    <s v=""/>
    <s v=""/>
    <n v="0"/>
    <n v="0"/>
    <s v=""/>
    <s v="Prevalidated - TSSR in Process"/>
    <x v="2"/>
  </r>
  <r>
    <s v="ASMO_0165"/>
    <x v="2"/>
    <x v="0"/>
    <n v="35"/>
    <x v="6"/>
    <n v="97.653400000000005"/>
    <n v="16.493179999999999"/>
    <s v="Telenor-Mytel"/>
    <n v="133"/>
    <s v="MOW6176"/>
    <x v="3"/>
    <s v="Prevalidated"/>
    <s v="OK"/>
    <s v="OK"/>
    <s v="OK"/>
    <s v="Review"/>
    <s v="OK"/>
    <s v="OK"/>
    <n v="102"/>
    <n v="1"/>
    <m/>
    <m/>
    <m/>
    <m/>
    <m/>
    <m/>
    <n v="101"/>
    <n v="1"/>
    <m/>
    <m/>
    <m/>
    <m/>
    <m/>
    <m/>
    <m/>
    <n v="1"/>
    <b v="1"/>
    <n v="1"/>
    <b v="1"/>
    <b v="1"/>
    <s v="Prevalidated"/>
    <x v="0"/>
    <x v="0"/>
    <x v="0"/>
    <x v="0"/>
    <x v="0"/>
    <x v="0"/>
    <n v="0"/>
    <s v=""/>
    <n v="0"/>
    <s v=""/>
    <s v=""/>
    <n v="0"/>
    <n v="0"/>
    <s v=""/>
    <s v="Prevalidated - TSSR in Process"/>
    <x v="2"/>
  </r>
  <r>
    <s v="ASMO_0171"/>
    <x v="2"/>
    <x v="0"/>
    <n v="45"/>
    <x v="6"/>
    <n v="97.651820000000001"/>
    <n v="16.4711"/>
    <s v="Telenor-MPT-Mytel"/>
    <n v="134"/>
    <s v="MOW6290"/>
    <x v="3"/>
    <s v="Commercial Approval Requested"/>
    <s v="OK"/>
    <s v="OK"/>
    <s v="Review"/>
    <s v="Review"/>
    <s v="OK"/>
    <s v="Review"/>
    <n v="104"/>
    <n v="1"/>
    <d v="2018-06-20T00:00:00"/>
    <d v="2018-06-20T00:00:00"/>
    <d v="2018-06-25T00:00:00"/>
    <d v="2018-06-27T00:00:00"/>
    <m/>
    <s v="Approved"/>
    <n v="103"/>
    <n v="1"/>
    <m/>
    <m/>
    <m/>
    <m/>
    <m/>
    <m/>
    <m/>
    <n v="1"/>
    <b v="1"/>
    <n v="1"/>
    <b v="1"/>
    <b v="1"/>
    <s v="Commercial Approval Requested"/>
    <x v="0"/>
    <x v="0"/>
    <x v="0"/>
    <x v="0"/>
    <x v="0"/>
    <x v="0"/>
    <n v="0"/>
    <s v=""/>
    <s v=""/>
    <s v=""/>
    <s v=""/>
    <n v="1"/>
    <n v="1"/>
    <s v="Work Completed"/>
    <s v="Commercial Approval Requested"/>
    <x v="6"/>
  </r>
  <r>
    <s v="ACBA_0230"/>
    <x v="2"/>
    <x v="0"/>
    <n v="50"/>
    <x v="10"/>
    <n v="96.611270000000005"/>
    <n v="18.250250000000001"/>
    <s v="Telenor-Mytel"/>
    <n v="135"/>
    <s v="BAW5584"/>
    <x v="3"/>
    <s v="Prevalidation Rejected"/>
    <s v="OK"/>
    <s v="OK"/>
    <s v="OK"/>
    <s v="Review"/>
    <s v="OK"/>
    <s v="Review"/>
    <n v="28"/>
    <n v="1"/>
    <d v="2018-06-14T00:00:00"/>
    <m/>
    <m/>
    <m/>
    <m/>
    <m/>
    <n v="27"/>
    <n v="1"/>
    <m/>
    <m/>
    <d v="2018-03-28T00:00:00"/>
    <m/>
    <m/>
    <m/>
    <m/>
    <n v="1"/>
    <b v="1"/>
    <n v="1"/>
    <b v="1"/>
    <b v="1"/>
    <s v="Prevalidation Rejected"/>
    <x v="0"/>
    <x v="0"/>
    <x v="0"/>
    <x v="0"/>
    <x v="0"/>
    <x v="0"/>
    <n v="0"/>
    <s v=""/>
    <s v=""/>
    <s v=""/>
    <s v=""/>
    <n v="0"/>
    <n v="0"/>
    <s v=""/>
    <s v="Prevalidation Rejected"/>
    <x v="0"/>
  </r>
  <r>
    <s v="ASMO_0172"/>
    <x v="2"/>
    <x v="0"/>
    <n v="60"/>
    <x v="6"/>
    <n v="97.624453000000003"/>
    <n v="16.459907000000001"/>
    <s v="Telenor-Mytel"/>
    <n v="136"/>
    <s v="MOW6220"/>
    <x v="3"/>
    <s v="Commercial Approval Requested"/>
    <s v="OK"/>
    <s v="OK"/>
    <s v="OK"/>
    <s v="Review"/>
    <s v="OK"/>
    <s v="OK"/>
    <n v="105"/>
    <n v="1"/>
    <m/>
    <m/>
    <m/>
    <m/>
    <m/>
    <m/>
    <n v="104"/>
    <n v="1"/>
    <m/>
    <m/>
    <m/>
    <m/>
    <m/>
    <m/>
    <m/>
    <n v="1"/>
    <b v="1"/>
    <n v="1"/>
    <b v="1"/>
    <b v="1"/>
    <s v="Commercial Approval Requested"/>
    <x v="0"/>
    <x v="0"/>
    <x v="0"/>
    <x v="0"/>
    <x v="0"/>
    <x v="0"/>
    <n v="0"/>
    <s v=""/>
    <s v=""/>
    <s v=""/>
    <s v=""/>
    <n v="0"/>
    <n v="0"/>
    <s v=""/>
    <s v="Commercial Approval Requested"/>
    <x v="6"/>
  </r>
  <r>
    <s v="ACBA_0196"/>
    <x v="2"/>
    <x v="0"/>
    <n v="45"/>
    <x v="10"/>
    <n v="96.580259999999996"/>
    <n v="17.76595"/>
    <s v="Telenor-MPT"/>
    <n v="137"/>
    <s v="BAW5585"/>
    <x v="3"/>
    <s v="Prevalidated"/>
    <s v="OK"/>
    <s v="OK"/>
    <s v="OK"/>
    <s v="OK"/>
    <s v="OK"/>
    <s v="OK"/>
    <n v="227"/>
    <n v="1"/>
    <d v="2018-07-05T00:00:00"/>
    <d v="2018-07-05T00:00:00"/>
    <d v="2018-07-06T00:00:00"/>
    <m/>
    <m/>
    <m/>
    <n v="226"/>
    <n v="1"/>
    <m/>
    <m/>
    <m/>
    <m/>
    <m/>
    <m/>
    <m/>
    <n v="1"/>
    <b v="1"/>
    <n v="1"/>
    <b v="1"/>
    <b v="1"/>
    <s v="Prevalidated"/>
    <x v="0"/>
    <x v="0"/>
    <x v="0"/>
    <x v="0"/>
    <x v="0"/>
    <x v="0"/>
    <n v="0"/>
    <s v="Submitted"/>
    <n v="0"/>
    <s v=""/>
    <s v=""/>
    <n v="0"/>
    <n v="0"/>
    <s v=""/>
    <s v="Prevalidated - TSSR in Process"/>
    <x v="2"/>
  </r>
  <r>
    <s v="ACBA_0038"/>
    <x v="2"/>
    <x v="0"/>
    <n v="45"/>
    <x v="10"/>
    <n v="96.455089999999998"/>
    <n v="17.32245"/>
    <s v="Telenor-MPT-Mytel"/>
    <n v="138"/>
    <s v="BAW5548"/>
    <x v="3"/>
    <s v="Prevalidated"/>
    <s v="OK"/>
    <s v="OK"/>
    <s v="OK"/>
    <s v="OK"/>
    <s v="OK"/>
    <s v="OK"/>
    <n v="17"/>
    <n v="1"/>
    <d v="2018-07-18T00:00:00"/>
    <d v="2018-07-18T00:00:00"/>
    <d v="2018-07-20T00:00:00"/>
    <m/>
    <m/>
    <m/>
    <n v="17"/>
    <n v="1"/>
    <m/>
    <m/>
    <m/>
    <m/>
    <m/>
    <m/>
    <m/>
    <n v="1"/>
    <b v="1"/>
    <n v="1"/>
    <b v="1"/>
    <b v="1"/>
    <s v="Prevalidated"/>
    <x v="0"/>
    <x v="0"/>
    <x v="0"/>
    <x v="0"/>
    <x v="0"/>
    <x v="0"/>
    <n v="0"/>
    <s v="Submitted"/>
    <n v="0"/>
    <s v=""/>
    <s v=""/>
    <n v="0"/>
    <n v="0"/>
    <s v=""/>
    <s v="Prevalidated - TSSR in Process"/>
    <x v="2"/>
  </r>
  <r>
    <s v="ACBA_0030"/>
    <x v="2"/>
    <x v="0"/>
    <n v="45"/>
    <x v="10"/>
    <n v="96.487290000000002"/>
    <n v="17.34029"/>
    <s v="Telenor-Mytel"/>
    <n v="139"/>
    <s v="BAW5260"/>
    <x v="3"/>
    <s v="Prevalidated"/>
    <s v="OK"/>
    <s v="OK"/>
    <s v="OK"/>
    <s v="OK"/>
    <s v="OK"/>
    <s v="OK"/>
    <n v="13"/>
    <n v="1"/>
    <m/>
    <m/>
    <m/>
    <m/>
    <m/>
    <m/>
    <n v="13"/>
    <n v="1"/>
    <m/>
    <m/>
    <d v="2018-06-19T00:00:00"/>
    <d v="2018-06-19T00:00:00"/>
    <m/>
    <m/>
    <m/>
    <n v="1"/>
    <b v="1"/>
    <n v="1"/>
    <b v="1"/>
    <b v="1"/>
    <s v="Prevalidated"/>
    <x v="0"/>
    <x v="0"/>
    <x v="0"/>
    <x v="0"/>
    <x v="0"/>
    <x v="0"/>
    <n v="0"/>
    <s v=""/>
    <n v="0"/>
    <s v=""/>
    <s v=""/>
    <n v="0"/>
    <n v="0"/>
    <s v=""/>
    <s v="Prevalidated - TSSR in Process"/>
    <x v="2"/>
  </r>
  <r>
    <s v="ACBA_0042"/>
    <x v="2"/>
    <x v="0"/>
    <n v="45"/>
    <x v="10"/>
    <n v="96.462950000000006"/>
    <n v="17.311"/>
    <s v="Telenor-MPT-Mytel"/>
    <n v="140"/>
    <s v="BAW5255"/>
    <x v="3"/>
    <s v="Commercial Approval Requested"/>
    <s v="OK"/>
    <s v="OK"/>
    <s v="Review"/>
    <s v="OK"/>
    <s v="OK"/>
    <s v="OK"/>
    <n v="18"/>
    <n v="1"/>
    <m/>
    <m/>
    <m/>
    <m/>
    <m/>
    <m/>
    <n v="18"/>
    <n v="1"/>
    <m/>
    <m/>
    <m/>
    <m/>
    <m/>
    <m/>
    <m/>
    <n v="1"/>
    <b v="1"/>
    <n v="1"/>
    <b v="1"/>
    <b v="1"/>
    <s v="Commercial Approval Requested"/>
    <x v="0"/>
    <x v="0"/>
    <x v="0"/>
    <x v="0"/>
    <x v="0"/>
    <x v="0"/>
    <n v="0"/>
    <s v=""/>
    <s v=""/>
    <s v=""/>
    <s v=""/>
    <n v="0"/>
    <n v="0"/>
    <s v=""/>
    <s v="Commercial Approval Requested"/>
    <x v="6"/>
  </r>
  <r>
    <s v="ACBA_0028"/>
    <x v="2"/>
    <x v="0"/>
    <n v="45"/>
    <x v="10"/>
    <n v="96.450419999999994"/>
    <n v="17.34695"/>
    <s v="Telenor-Mytel"/>
    <n v="141"/>
    <s v="BAW5251"/>
    <x v="3"/>
    <s v="Prevalidated"/>
    <s v="OK"/>
    <s v="OK"/>
    <s v="OK"/>
    <s v="OK"/>
    <s v="OK"/>
    <s v="OK"/>
    <n v="12"/>
    <n v="1"/>
    <m/>
    <m/>
    <m/>
    <m/>
    <m/>
    <m/>
    <n v="12"/>
    <n v="1"/>
    <m/>
    <m/>
    <m/>
    <m/>
    <m/>
    <m/>
    <m/>
    <n v="1"/>
    <b v="1"/>
    <n v="1"/>
    <b v="1"/>
    <b v="1"/>
    <s v="Prevalidated"/>
    <x v="0"/>
    <x v="0"/>
    <x v="0"/>
    <x v="0"/>
    <x v="0"/>
    <x v="0"/>
    <n v="0"/>
    <s v=""/>
    <n v="0"/>
    <s v=""/>
    <s v=""/>
    <n v="0"/>
    <n v="0"/>
    <s v=""/>
    <s v="Prevalidated - TSSR in Process"/>
    <x v="2"/>
  </r>
  <r>
    <s v="ACBA_0035"/>
    <x v="2"/>
    <x v="0"/>
    <n v="35"/>
    <x v="10"/>
    <n v="96.480500000000006"/>
    <n v="17.330680000000001"/>
    <s v="Telenor-MPT-Mytel"/>
    <n v="142"/>
    <s v="BAW5248"/>
    <x v="3"/>
    <s v="Commercial Approval Requested"/>
    <s v="OK"/>
    <s v="OK"/>
    <s v="Review"/>
    <s v="OK"/>
    <s v="OK"/>
    <s v="OK"/>
    <n v="16"/>
    <n v="1"/>
    <m/>
    <m/>
    <m/>
    <m/>
    <m/>
    <m/>
    <n v="16"/>
    <n v="1"/>
    <m/>
    <m/>
    <m/>
    <m/>
    <m/>
    <m/>
    <m/>
    <n v="1"/>
    <b v="1"/>
    <n v="1"/>
    <b v="1"/>
    <b v="1"/>
    <s v="Commercial Approval Requested"/>
    <x v="0"/>
    <x v="0"/>
    <x v="0"/>
    <x v="0"/>
    <x v="0"/>
    <x v="0"/>
    <n v="0"/>
    <s v=""/>
    <s v=""/>
    <s v=""/>
    <s v=""/>
    <n v="0"/>
    <n v="0"/>
    <s v=""/>
    <s v="Commercial Approval Requested"/>
    <x v="6"/>
  </r>
  <r>
    <s v="ACBA_0033"/>
    <x v="2"/>
    <x v="0"/>
    <n v="35"/>
    <x v="10"/>
    <n v="96.460290000000001"/>
    <n v="17.330539999999999"/>
    <s v="Telenor"/>
    <n v="143"/>
    <s v="BAW5224"/>
    <x v="3"/>
    <s v="Prevalidated"/>
    <s v="OK"/>
    <s v="OK"/>
    <s v="OK"/>
    <s v="OK"/>
    <s v="OK"/>
    <s v="OK"/>
    <n v="15"/>
    <n v="1"/>
    <m/>
    <m/>
    <m/>
    <m/>
    <m/>
    <m/>
    <n v="15"/>
    <n v="1"/>
    <m/>
    <m/>
    <m/>
    <m/>
    <m/>
    <m/>
    <m/>
    <n v="1"/>
    <b v="1"/>
    <n v="1"/>
    <b v="1"/>
    <b v="1"/>
    <s v="Prevalidated"/>
    <x v="0"/>
    <x v="0"/>
    <x v="0"/>
    <x v="0"/>
    <x v="0"/>
    <x v="0"/>
    <n v="0"/>
    <s v=""/>
    <n v="0"/>
    <s v=""/>
    <s v=""/>
    <n v="0"/>
    <n v="0"/>
    <s v=""/>
    <s v="Prevalidated - TSSR in Process"/>
    <x v="2"/>
  </r>
  <r>
    <s v="ACBA_0185"/>
    <x v="2"/>
    <x v="0"/>
    <n v="50"/>
    <x v="10"/>
    <n v="96.576419999999999"/>
    <n v="17.949919999999999"/>
    <s v="Telenor"/>
    <n v="144"/>
    <s v="BAW5590"/>
    <x v="3"/>
    <s v="Prevalidated"/>
    <s v="OK"/>
    <s v="OK"/>
    <s v="OK"/>
    <s v="OK"/>
    <s v="OK"/>
    <s v="OK"/>
    <n v="25"/>
    <n v="1"/>
    <d v="2018-06-16T00:00:00"/>
    <m/>
    <m/>
    <m/>
    <m/>
    <m/>
    <n v="25"/>
    <n v="1"/>
    <m/>
    <m/>
    <m/>
    <m/>
    <m/>
    <m/>
    <m/>
    <n v="1"/>
    <b v="1"/>
    <n v="1"/>
    <b v="1"/>
    <b v="1"/>
    <s v="Prevalidated"/>
    <x v="0"/>
    <x v="0"/>
    <x v="0"/>
    <x v="0"/>
    <x v="0"/>
    <x v="0"/>
    <n v="0"/>
    <s v=""/>
    <n v="0"/>
    <s v=""/>
    <s v=""/>
    <n v="0"/>
    <n v="0"/>
    <s v=""/>
    <s v="Prevalidated - TSSR in Process"/>
    <x v="2"/>
  </r>
  <r>
    <s v="ACAY_0022"/>
    <x v="2"/>
    <x v="0"/>
    <n v="60"/>
    <x v="11"/>
    <n v="94.745570000000001"/>
    <n v="16.78126"/>
    <s v="Telenor-MPT-Mytel"/>
    <n v="145"/>
    <s v="AYW5540"/>
    <x v="3"/>
    <s v="Prevalidated"/>
    <s v="OK"/>
    <s v="OK"/>
    <s v="OK"/>
    <s v="OK"/>
    <s v="OK"/>
    <s v="OK"/>
    <n v="3"/>
    <n v="1"/>
    <m/>
    <m/>
    <m/>
    <m/>
    <m/>
    <m/>
    <n v="3"/>
    <n v="1"/>
    <m/>
    <m/>
    <d v="2018-06-19T00:00:00"/>
    <d v="2018-06-19T00:00:00"/>
    <m/>
    <m/>
    <m/>
    <n v="1"/>
    <b v="1"/>
    <n v="1"/>
    <b v="1"/>
    <b v="1"/>
    <s v="Prevalidated"/>
    <x v="0"/>
    <x v="0"/>
    <x v="0"/>
    <x v="0"/>
    <x v="0"/>
    <x v="0"/>
    <n v="0"/>
    <s v=""/>
    <n v="0"/>
    <s v=""/>
    <s v=""/>
    <n v="0"/>
    <n v="0"/>
    <s v=""/>
    <s v="Prevalidated - TSSR in Process"/>
    <x v="2"/>
  </r>
  <r>
    <s v="ACAY_0026"/>
    <x v="2"/>
    <x v="0"/>
    <n v="35"/>
    <x v="11"/>
    <n v="94.73809"/>
    <n v="16.769480999999999"/>
    <s v="Telenor-MPT-Mytel"/>
    <n v="146"/>
    <s v="AYW5130"/>
    <x v="3"/>
    <s v="Commercial Approval Requested"/>
    <s v="OK"/>
    <s v="OK"/>
    <s v="Review"/>
    <s v="OK"/>
    <s v="OK"/>
    <s v="OK"/>
    <n v="4"/>
    <n v="1"/>
    <m/>
    <m/>
    <m/>
    <m/>
    <m/>
    <m/>
    <n v="4"/>
    <n v="1"/>
    <m/>
    <m/>
    <m/>
    <m/>
    <m/>
    <m/>
    <m/>
    <n v="1"/>
    <b v="1"/>
    <n v="1"/>
    <b v="1"/>
    <b v="1"/>
    <s v="Commercial Approval Requested"/>
    <x v="0"/>
    <x v="0"/>
    <x v="0"/>
    <x v="0"/>
    <x v="0"/>
    <x v="0"/>
    <n v="0"/>
    <s v=""/>
    <s v=""/>
    <s v=""/>
    <s v=""/>
    <n v="0"/>
    <n v="0"/>
    <s v=""/>
    <s v="Commercial Approval Requested"/>
    <x v="6"/>
  </r>
  <r>
    <s v="ACAY_0017"/>
    <x v="2"/>
    <x v="0"/>
    <n v="45"/>
    <x v="11"/>
    <n v="94.734030000000004"/>
    <n v="16.798839999999998"/>
    <s v="Telenor-Mytel"/>
    <n v="147"/>
    <s v="AYW5537"/>
    <x v="3"/>
    <s v="Prevalidated"/>
    <s v="OK"/>
    <s v="OK"/>
    <s v="OK"/>
    <s v="OK"/>
    <s v="OK"/>
    <s v="OK"/>
    <n v="2"/>
    <n v="1"/>
    <m/>
    <m/>
    <m/>
    <m/>
    <m/>
    <m/>
    <n v="2"/>
    <n v="1"/>
    <m/>
    <m/>
    <m/>
    <m/>
    <m/>
    <m/>
    <m/>
    <n v="1"/>
    <b v="1"/>
    <n v="1"/>
    <b v="1"/>
    <b v="1"/>
    <s v="Prevalidated"/>
    <x v="0"/>
    <x v="0"/>
    <x v="0"/>
    <x v="0"/>
    <x v="0"/>
    <x v="0"/>
    <n v="0"/>
    <s v=""/>
    <n v="0"/>
    <s v=""/>
    <s v=""/>
    <n v="0"/>
    <n v="0"/>
    <s v=""/>
    <s v="Prevalidated - TSSR in Process"/>
    <x v="2"/>
  </r>
  <r>
    <s v="ASMO_0261"/>
    <x v="2"/>
    <x v="1"/>
    <n v="30"/>
    <x v="6"/>
    <n v="97.636489999999995"/>
    <n v="16.440819999999999"/>
    <s v="Telenor-MPT"/>
    <n v="148"/>
    <s v="MOW6219"/>
    <x v="3"/>
    <s v="Prevalidation Rejected"/>
    <s v="OK"/>
    <m/>
    <s v="Rejected"/>
    <m/>
    <m/>
    <s v="OK"/>
    <n v="112"/>
    <n v="1"/>
    <m/>
    <m/>
    <m/>
    <m/>
    <m/>
    <m/>
    <n v="111"/>
    <n v="1"/>
    <m/>
    <m/>
    <m/>
    <m/>
    <m/>
    <m/>
    <m/>
    <n v="1"/>
    <b v="1"/>
    <n v="1"/>
    <b v="1"/>
    <b v="1"/>
    <s v="Prevalidation Rejected"/>
    <x v="0"/>
    <x v="0"/>
    <x v="0"/>
    <x v="0"/>
    <x v="0"/>
    <x v="0"/>
    <n v="0"/>
    <s v=""/>
    <s v=""/>
    <s v=""/>
    <s v=""/>
    <n v="0"/>
    <n v="0"/>
    <s v=""/>
    <s v="Prevalidation Rejected"/>
    <x v="0"/>
  </r>
  <r>
    <s v="ASMO_0176"/>
    <x v="2"/>
    <x v="0"/>
    <n v="45"/>
    <x v="6"/>
    <n v="97.644120000000001"/>
    <n v="16.438020000000002"/>
    <s v="Telenor-Mytel"/>
    <n v="149"/>
    <s v="No ID Yet"/>
    <x v="3"/>
    <s v="Prevalidated"/>
    <s v="OK"/>
    <s v="OK"/>
    <s v="OK"/>
    <s v="OK"/>
    <s v="OK"/>
    <s v="OK"/>
    <n v="106"/>
    <n v="1"/>
    <m/>
    <m/>
    <m/>
    <m/>
    <m/>
    <m/>
    <n v="105"/>
    <n v="1"/>
    <m/>
    <m/>
    <m/>
    <m/>
    <m/>
    <m/>
    <m/>
    <n v="1"/>
    <b v="1"/>
    <n v="1"/>
    <b v="1"/>
    <b v="1"/>
    <s v="Prevalidated"/>
    <x v="0"/>
    <x v="0"/>
    <x v="0"/>
    <x v="0"/>
    <x v="0"/>
    <x v="0"/>
    <n v="0"/>
    <s v=""/>
    <n v="0"/>
    <s v=""/>
    <s v=""/>
    <n v="0"/>
    <n v="0"/>
    <s v=""/>
    <s v="Prevalidated - TSSR in Process"/>
    <x v="2"/>
  </r>
  <r>
    <s v="ANMD_0015"/>
    <x v="0"/>
    <x v="0"/>
    <n v="35"/>
    <x v="2"/>
    <n v="96.108109999999996"/>
    <n v="21.915410000000001"/>
    <s v="Telenor-Mytel"/>
    <n v="150"/>
    <s v="MAW2998"/>
    <x v="3"/>
    <s v="Commercial Approval Requested"/>
    <s v="OK"/>
    <s v="OK"/>
    <s v="OK"/>
    <s v="Review"/>
    <s v="OK"/>
    <s v="OK"/>
    <n v="34"/>
    <n v="1"/>
    <m/>
    <m/>
    <m/>
    <m/>
    <m/>
    <m/>
    <n v="33"/>
    <n v="1"/>
    <m/>
    <m/>
    <d v="2018-05-02T00:00:00"/>
    <d v="2018-05-02T00:00:00"/>
    <m/>
    <m/>
    <m/>
    <n v="1"/>
    <b v="1"/>
    <n v="1"/>
    <b v="1"/>
    <b v="1"/>
    <s v="Commercial Approval Requested"/>
    <x v="0"/>
    <x v="0"/>
    <x v="0"/>
    <x v="0"/>
    <x v="0"/>
    <x v="0"/>
    <n v="0"/>
    <s v=""/>
    <s v=""/>
    <s v=""/>
    <s v=""/>
    <n v="0"/>
    <n v="0"/>
    <s v=""/>
    <s v="Commercial Approval Requested"/>
    <x v="6"/>
  </r>
  <r>
    <s v="ANSG_0351"/>
    <x v="0"/>
    <x v="0"/>
    <n v="45"/>
    <x v="3"/>
    <n v="95.126379999999997"/>
    <n v="22.14274"/>
    <s v="Telenor-Mytel"/>
    <n v="151"/>
    <s v="SAW0721"/>
    <x v="3"/>
    <s v="Prevalidated"/>
    <s v="OK"/>
    <s v="OK"/>
    <s v="OK"/>
    <s v="OK"/>
    <s v="OK"/>
    <s v="OK"/>
    <n v="77"/>
    <n v="1"/>
    <m/>
    <m/>
    <m/>
    <m/>
    <m/>
    <m/>
    <n v="76"/>
    <n v="1"/>
    <m/>
    <m/>
    <m/>
    <m/>
    <m/>
    <m/>
    <m/>
    <n v="1"/>
    <b v="1"/>
    <n v="1"/>
    <b v="1"/>
    <b v="1"/>
    <s v="Prevalidated"/>
    <x v="0"/>
    <x v="0"/>
    <x v="0"/>
    <x v="0"/>
    <x v="0"/>
    <x v="0"/>
    <n v="0"/>
    <s v=""/>
    <n v="0"/>
    <s v=""/>
    <s v=""/>
    <n v="0"/>
    <n v="0"/>
    <s v=""/>
    <s v="Prevalidated - TSSR in Process"/>
    <x v="2"/>
  </r>
  <r>
    <s v="ANSG_0358"/>
    <x v="0"/>
    <x v="0"/>
    <n v="35"/>
    <x v="3"/>
    <n v="95.149460000000005"/>
    <n v="22.119240000000001"/>
    <s v="Telenor"/>
    <n v="152"/>
    <s v="SAW0716"/>
    <x v="3"/>
    <s v="Prevalidated"/>
    <s v="OK"/>
    <s v="OK"/>
    <s v="OK"/>
    <s v="OK"/>
    <s v="OK"/>
    <s v="OK"/>
    <n v="78"/>
    <n v="1"/>
    <m/>
    <m/>
    <m/>
    <m/>
    <m/>
    <m/>
    <n v="77"/>
    <n v="1"/>
    <m/>
    <m/>
    <m/>
    <m/>
    <m/>
    <m/>
    <m/>
    <n v="1"/>
    <b v="1"/>
    <n v="1"/>
    <b v="1"/>
    <b v="1"/>
    <s v="Prevalidated"/>
    <x v="0"/>
    <x v="0"/>
    <x v="0"/>
    <x v="0"/>
    <x v="0"/>
    <x v="0"/>
    <n v="0"/>
    <s v=""/>
    <n v="0"/>
    <s v=""/>
    <s v=""/>
    <n v="0"/>
    <n v="0"/>
    <s v=""/>
    <s v="Prevalidated - TSSR in Process"/>
    <x v="2"/>
  </r>
  <r>
    <s v="ANMD_0012"/>
    <x v="0"/>
    <x v="0"/>
    <n v="35"/>
    <x v="2"/>
    <n v="96.114689999999996"/>
    <n v="21.958819999999999"/>
    <s v="Telenor-MPT-Mytel"/>
    <n v="153"/>
    <s v="MAW2977"/>
    <x v="3"/>
    <s v="Commercial Approval Requested"/>
    <s v="OK"/>
    <s v="OK"/>
    <s v="Review"/>
    <s v="OK"/>
    <s v="OK"/>
    <s v="OK"/>
    <n v="33"/>
    <n v="1"/>
    <m/>
    <m/>
    <m/>
    <m/>
    <m/>
    <m/>
    <n v="32"/>
    <n v="1"/>
    <m/>
    <m/>
    <d v="2018-05-08T00:00:00"/>
    <m/>
    <m/>
    <m/>
    <m/>
    <n v="1"/>
    <b v="1"/>
    <n v="1"/>
    <b v="1"/>
    <b v="1"/>
    <s v="Commercial Approval Requested"/>
    <x v="0"/>
    <x v="0"/>
    <x v="0"/>
    <x v="0"/>
    <x v="0"/>
    <x v="0"/>
    <n v="0"/>
    <s v=""/>
    <s v=""/>
    <s v=""/>
    <s v=""/>
    <n v="0"/>
    <n v="0"/>
    <s v=""/>
    <s v="Commercial Approval Requested"/>
    <x v="6"/>
  </r>
  <r>
    <s v="ANMD_0090"/>
    <x v="0"/>
    <x v="2"/>
    <n v="6"/>
    <x v="2"/>
    <n v="96.115386000000001"/>
    <n v="21.968467"/>
    <s v="Telenor"/>
    <n v="154"/>
    <s v="No ID Yet"/>
    <x v="3"/>
    <s v="Prevalidation Rejected"/>
    <s v="Rejected"/>
    <m/>
    <s v="Review"/>
    <m/>
    <m/>
    <s v="OK"/>
    <n v="40"/>
    <n v="1"/>
    <m/>
    <m/>
    <m/>
    <m/>
    <m/>
    <m/>
    <n v="39"/>
    <n v="1"/>
    <m/>
    <m/>
    <d v="2018-06-22T00:00:00"/>
    <d v="2018-06-22T00:00:00"/>
    <m/>
    <m/>
    <m/>
    <n v="1"/>
    <b v="1"/>
    <n v="1"/>
    <b v="1"/>
    <b v="1"/>
    <s v="Prevalidation Rejected"/>
    <x v="0"/>
    <x v="0"/>
    <x v="0"/>
    <x v="0"/>
    <x v="0"/>
    <x v="0"/>
    <n v="0"/>
    <s v=""/>
    <s v=""/>
    <s v=""/>
    <s v=""/>
    <n v="0"/>
    <n v="0"/>
    <s v=""/>
    <s v="Prevalidation Rejected"/>
    <x v="0"/>
  </r>
  <r>
    <s v="ANSG_0349"/>
    <x v="0"/>
    <x v="0"/>
    <n v="35"/>
    <x v="3"/>
    <n v="95.123769999999993"/>
    <n v="22.122779999999999"/>
    <s v="Telenor-Mytel"/>
    <n v="155"/>
    <s v="SAW0714"/>
    <x v="3"/>
    <s v="Prevalidated"/>
    <s v="OK"/>
    <s v="OK"/>
    <s v="OK"/>
    <s v="OK"/>
    <s v="OK"/>
    <s v="OK"/>
    <n v="76"/>
    <n v="1"/>
    <m/>
    <m/>
    <m/>
    <m/>
    <m/>
    <m/>
    <n v="75"/>
    <n v="1"/>
    <m/>
    <m/>
    <m/>
    <m/>
    <m/>
    <m/>
    <m/>
    <n v="1"/>
    <b v="1"/>
    <n v="1"/>
    <b v="1"/>
    <b v="1"/>
    <s v="Prevalidated"/>
    <x v="0"/>
    <x v="0"/>
    <x v="0"/>
    <x v="0"/>
    <x v="0"/>
    <x v="0"/>
    <n v="0"/>
    <s v=""/>
    <n v="0"/>
    <s v=""/>
    <s v=""/>
    <n v="0"/>
    <n v="0"/>
    <s v=""/>
    <s v="Prevalidated - TSSR in Process"/>
    <x v="2"/>
  </r>
  <r>
    <s v="ANMD_0163"/>
    <x v="0"/>
    <x v="2"/>
    <n v="5"/>
    <x v="2"/>
    <n v="96.087720000000004"/>
    <n v="21.925249999999998"/>
    <s v="Telenor"/>
    <n v="156"/>
    <s v="MAW2983"/>
    <x v="3"/>
    <s v="Prevalidated"/>
    <s v="OK"/>
    <s v="OK"/>
    <s v="Review"/>
    <s v="OK"/>
    <s v="OK"/>
    <s v="OK"/>
    <n v="48"/>
    <n v="1"/>
    <m/>
    <m/>
    <m/>
    <m/>
    <m/>
    <m/>
    <n v="47"/>
    <n v="1"/>
    <m/>
    <m/>
    <d v="2018-05-23T00:00:00"/>
    <d v="2018-05-23T00:00:00"/>
    <m/>
    <m/>
    <m/>
    <n v="1"/>
    <b v="1"/>
    <n v="1"/>
    <b v="1"/>
    <b v="1"/>
    <s v="Prevalidated"/>
    <x v="0"/>
    <x v="0"/>
    <x v="0"/>
    <x v="0"/>
    <x v="0"/>
    <x v="0"/>
    <n v="0"/>
    <s v=""/>
    <n v="0"/>
    <s v=""/>
    <s v=""/>
    <n v="0"/>
    <n v="0"/>
    <s v=""/>
    <s v="Prevalidated - TSSR in Process"/>
    <x v="2"/>
  </r>
  <r>
    <s v="ANSG_0377"/>
    <x v="0"/>
    <x v="0"/>
    <n v="45"/>
    <x v="3"/>
    <n v="95.97175"/>
    <n v="21.920380000000002"/>
    <s v="Telenor"/>
    <n v="157"/>
    <s v="SAW0728"/>
    <x v="3"/>
    <s v="Prevalidation Rejected"/>
    <s v="OK"/>
    <s v="OK"/>
    <s v="OK"/>
    <s v="Rejected"/>
    <s v="OK"/>
    <s v="OK"/>
    <n v="81"/>
    <n v="1"/>
    <m/>
    <m/>
    <m/>
    <m/>
    <m/>
    <m/>
    <n v="80"/>
    <n v="1"/>
    <m/>
    <m/>
    <m/>
    <m/>
    <m/>
    <m/>
    <m/>
    <n v="1"/>
    <b v="1"/>
    <n v="1"/>
    <b v="1"/>
    <b v="1"/>
    <s v="Prevalidation Rejected"/>
    <x v="0"/>
    <x v="0"/>
    <x v="0"/>
    <x v="0"/>
    <x v="0"/>
    <x v="0"/>
    <n v="0"/>
    <s v=""/>
    <s v=""/>
    <s v=""/>
    <s v=""/>
    <n v="0"/>
    <n v="0"/>
    <s v=""/>
    <s v="Prevalidation Rejected"/>
    <x v="0"/>
  </r>
  <r>
    <s v="ANSG_0378"/>
    <x v="0"/>
    <x v="0"/>
    <n v="45"/>
    <x v="3"/>
    <n v="95.98075"/>
    <n v="21.90823"/>
    <s v="Telenor"/>
    <n v="158"/>
    <s v="No ID Yet"/>
    <x v="3"/>
    <s v="Prevalidated"/>
    <s v="OK"/>
    <s v="OK"/>
    <s v="OK"/>
    <s v="OK"/>
    <s v="OK"/>
    <s v="OK"/>
    <n v="82"/>
    <n v="1"/>
    <m/>
    <m/>
    <m/>
    <m/>
    <m/>
    <m/>
    <n v="81"/>
    <n v="1"/>
    <m/>
    <m/>
    <m/>
    <m/>
    <m/>
    <m/>
    <m/>
    <n v="1"/>
    <b v="1"/>
    <n v="1"/>
    <b v="1"/>
    <b v="1"/>
    <s v="Prevalidated"/>
    <x v="0"/>
    <x v="0"/>
    <x v="0"/>
    <x v="0"/>
    <x v="0"/>
    <x v="0"/>
    <n v="0"/>
    <s v=""/>
    <n v="0"/>
    <s v=""/>
    <s v=""/>
    <n v="0"/>
    <n v="0"/>
    <s v=""/>
    <s v="Prevalidated - TSSR in Process"/>
    <x v="2"/>
  </r>
  <r>
    <s v="ACAY_0146"/>
    <x v="2"/>
    <x v="0"/>
    <n v="40"/>
    <x v="11"/>
    <n v="95.479849999999999"/>
    <n v="16.134519999999998"/>
    <s v="Telenor"/>
    <n v="159"/>
    <s v="AYW5596"/>
    <x v="3"/>
    <s v="Commercial Approval Requested"/>
    <s v="OK"/>
    <s v="OK"/>
    <s v="OK"/>
    <s v="Review"/>
    <s v="OK"/>
    <s v="Review"/>
    <n v="9"/>
    <n v="1"/>
    <d v="2018-07-03T00:00:00"/>
    <d v="2018-07-03T00:00:00"/>
    <d v="2018-07-05T00:00:00"/>
    <d v="2018-07-30T00:00:00"/>
    <m/>
    <s v="Approved"/>
    <n v="9"/>
    <n v="1"/>
    <m/>
    <m/>
    <d v="2018-03-28T00:00:00"/>
    <d v="2018-03-28T00:00:00"/>
    <m/>
    <m/>
    <m/>
    <n v="1"/>
    <b v="1"/>
    <n v="1"/>
    <b v="1"/>
    <b v="1"/>
    <s v="Commercial Approval Requested"/>
    <x v="0"/>
    <x v="0"/>
    <x v="0"/>
    <x v="0"/>
    <x v="0"/>
    <x v="0"/>
    <n v="0"/>
    <s v=""/>
    <s v=""/>
    <s v=""/>
    <s v=""/>
    <n v="0"/>
    <n v="0"/>
    <s v=""/>
    <s v="Commercial Approval Requested"/>
    <x v="6"/>
  </r>
  <r>
    <s v="ANSG_0382"/>
    <x v="0"/>
    <x v="0"/>
    <n v="35"/>
    <x v="3"/>
    <n v="95.974580000000003"/>
    <n v="21.893830000000001"/>
    <s v="Telenor-Mytel"/>
    <n v="160"/>
    <s v="SAW0727"/>
    <x v="3"/>
    <s v="Prevalidation Rejected"/>
    <s v="OK"/>
    <s v="OK"/>
    <s v="OK"/>
    <s v="Rejected"/>
    <s v="OK"/>
    <s v="OK"/>
    <n v="86"/>
    <n v="1"/>
    <m/>
    <m/>
    <m/>
    <m/>
    <m/>
    <m/>
    <n v="85"/>
    <n v="1"/>
    <m/>
    <m/>
    <m/>
    <m/>
    <m/>
    <m/>
    <m/>
    <n v="1"/>
    <b v="1"/>
    <n v="1"/>
    <b v="1"/>
    <b v="1"/>
    <s v="Prevalidation Rejected"/>
    <x v="0"/>
    <x v="0"/>
    <x v="0"/>
    <x v="0"/>
    <x v="0"/>
    <x v="0"/>
    <n v="0"/>
    <s v=""/>
    <s v=""/>
    <s v=""/>
    <s v=""/>
    <n v="0"/>
    <n v="0"/>
    <s v=""/>
    <s v="Prevalidation Rejected"/>
    <x v="0"/>
  </r>
  <r>
    <s v="ANSG_0383"/>
    <x v="0"/>
    <x v="0"/>
    <n v="45"/>
    <x v="3"/>
    <n v="95.982471000000004"/>
    <n v="21.898537000000001"/>
    <s v="Telenor"/>
    <n v="161"/>
    <s v="No ID Yet"/>
    <x v="3"/>
    <s v="Prevalidated"/>
    <s v="OK"/>
    <s v="OK"/>
    <s v="OK"/>
    <s v="OK"/>
    <s v="OK"/>
    <s v="OK"/>
    <n v="87"/>
    <n v="1"/>
    <m/>
    <m/>
    <m/>
    <m/>
    <m/>
    <m/>
    <n v="86"/>
    <n v="1"/>
    <m/>
    <m/>
    <m/>
    <m/>
    <m/>
    <m/>
    <m/>
    <n v="1"/>
    <b v="1"/>
    <n v="1"/>
    <b v="1"/>
    <b v="1"/>
    <s v="Prevalidated"/>
    <x v="0"/>
    <x v="0"/>
    <x v="0"/>
    <x v="0"/>
    <x v="0"/>
    <x v="0"/>
    <n v="0"/>
    <s v=""/>
    <n v="0"/>
    <s v=""/>
    <s v=""/>
    <n v="0"/>
    <n v="0"/>
    <s v=""/>
    <s v="Prevalidated - TSSR in Process"/>
    <x v="2"/>
  </r>
  <r>
    <s v="ANMD_0018"/>
    <x v="0"/>
    <x v="2"/>
    <n v="6"/>
    <x v="2"/>
    <n v="96.062550000000002"/>
    <n v="21.977150000000002"/>
    <s v="Telenor"/>
    <n v="162"/>
    <s v="MAW2217"/>
    <x v="3"/>
    <s v="Prevalidation Rejected"/>
    <s v="Rejected"/>
    <m/>
    <s v="Review"/>
    <m/>
    <m/>
    <s v="OK"/>
    <n v="35"/>
    <n v="1"/>
    <m/>
    <m/>
    <m/>
    <m/>
    <m/>
    <m/>
    <n v="34"/>
    <n v="1"/>
    <m/>
    <m/>
    <d v="2018-05-11T00:00:00"/>
    <m/>
    <m/>
    <m/>
    <m/>
    <n v="1"/>
    <b v="1"/>
    <n v="1"/>
    <b v="1"/>
    <b v="1"/>
    <s v="Prevalidation Rejected"/>
    <x v="0"/>
    <x v="0"/>
    <x v="0"/>
    <x v="0"/>
    <x v="0"/>
    <x v="0"/>
    <n v="0"/>
    <s v=""/>
    <s v=""/>
    <s v=""/>
    <s v=""/>
    <n v="0"/>
    <n v="0"/>
    <s v=""/>
    <s v="Prevalidation Rejected"/>
    <x v="0"/>
  </r>
  <r>
    <s v="ANMD_0089"/>
    <x v="0"/>
    <x v="2"/>
    <n v="6"/>
    <x v="2"/>
    <n v="96.063800000000001"/>
    <n v="21.98387"/>
    <s v="Telenor"/>
    <n v="163"/>
    <s v="No ID Yet"/>
    <x v="3"/>
    <s v="Prevalidation Rejected"/>
    <s v="Rejected"/>
    <m/>
    <s v="Review"/>
    <m/>
    <m/>
    <s v="OK"/>
    <n v="39"/>
    <n v="1"/>
    <m/>
    <m/>
    <m/>
    <m/>
    <m/>
    <m/>
    <n v="38"/>
    <n v="1"/>
    <m/>
    <m/>
    <m/>
    <m/>
    <m/>
    <m/>
    <m/>
    <n v="1"/>
    <b v="1"/>
    <n v="1"/>
    <b v="1"/>
    <b v="1"/>
    <s v="Prevalidation Rejected"/>
    <x v="0"/>
    <x v="0"/>
    <x v="0"/>
    <x v="0"/>
    <x v="0"/>
    <x v="0"/>
    <n v="0"/>
    <s v=""/>
    <s v=""/>
    <s v=""/>
    <s v=""/>
    <n v="0"/>
    <n v="0"/>
    <s v=""/>
    <s v="Prevalidation Rejected"/>
    <x v="0"/>
  </r>
  <r>
    <s v="ANMD_0095"/>
    <x v="0"/>
    <x v="2"/>
    <n v="6"/>
    <x v="2"/>
    <n v="96.075699999999998"/>
    <n v="21.982530000000001"/>
    <s v="Telenor"/>
    <n v="164"/>
    <s v="MAW2996"/>
    <x v="3"/>
    <s v="Prevalidation Rejected"/>
    <s v="Rejected"/>
    <m/>
    <s v="Review"/>
    <m/>
    <m/>
    <s v="OK"/>
    <n v="42"/>
    <n v="1"/>
    <m/>
    <m/>
    <m/>
    <m/>
    <m/>
    <m/>
    <n v="41"/>
    <n v="1"/>
    <m/>
    <m/>
    <d v="2018-06-12T00:00:00"/>
    <d v="2018-06-12T00:00:00"/>
    <m/>
    <m/>
    <m/>
    <n v="1"/>
    <b v="1"/>
    <n v="1"/>
    <b v="1"/>
    <b v="1"/>
    <s v="Prevalidation Rejected"/>
    <x v="0"/>
    <x v="0"/>
    <x v="0"/>
    <x v="0"/>
    <x v="0"/>
    <x v="0"/>
    <n v="0"/>
    <s v=""/>
    <s v=""/>
    <s v=""/>
    <s v=""/>
    <n v="0"/>
    <n v="0"/>
    <s v=""/>
    <s v="Prevalidation Rejected"/>
    <x v="0"/>
  </r>
  <r>
    <s v="ANMD_0171"/>
    <x v="0"/>
    <x v="0"/>
    <n v="45"/>
    <x v="2"/>
    <n v="96.089699999999993"/>
    <n v="21.88571"/>
    <s v="Telenor-Mytel"/>
    <n v="165"/>
    <s v="MAW2992"/>
    <x v="3"/>
    <s v="Prevalidated"/>
    <s v="OK"/>
    <s v="OK"/>
    <s v="OK"/>
    <s v="OK"/>
    <s v="OK"/>
    <s v="OK"/>
    <n v="54"/>
    <n v="1"/>
    <m/>
    <m/>
    <m/>
    <m/>
    <m/>
    <m/>
    <n v="53"/>
    <n v="1"/>
    <m/>
    <m/>
    <m/>
    <m/>
    <m/>
    <m/>
    <m/>
    <n v="1"/>
    <b v="1"/>
    <n v="1"/>
    <b v="1"/>
    <b v="1"/>
    <s v="Prevalidated"/>
    <x v="0"/>
    <x v="0"/>
    <x v="0"/>
    <x v="0"/>
    <x v="0"/>
    <x v="0"/>
    <n v="0"/>
    <s v=""/>
    <n v="0"/>
    <s v=""/>
    <s v=""/>
    <n v="0"/>
    <n v="0"/>
    <s v=""/>
    <s v="Prevalidated - TSSR in Process"/>
    <x v="2"/>
  </r>
  <r>
    <s v="ANMD_0172"/>
    <x v="0"/>
    <x v="0"/>
    <n v="35"/>
    <x v="2"/>
    <n v="96.095249999999993"/>
    <n v="21.8964"/>
    <s v="Telenor-MPT"/>
    <n v="166"/>
    <s v="No ID Yet"/>
    <x v="3"/>
    <s v="Prevalidated"/>
    <s v="OK"/>
    <s v="OK"/>
    <s v="OK"/>
    <s v="OK"/>
    <s v="OK"/>
    <s v="OK"/>
    <n v="55"/>
    <n v="1"/>
    <m/>
    <m/>
    <m/>
    <m/>
    <m/>
    <m/>
    <n v="54"/>
    <n v="1"/>
    <m/>
    <m/>
    <m/>
    <m/>
    <m/>
    <m/>
    <m/>
    <n v="1"/>
    <b v="1"/>
    <n v="1"/>
    <b v="1"/>
    <b v="1"/>
    <s v="Prevalidated"/>
    <x v="0"/>
    <x v="0"/>
    <x v="0"/>
    <x v="0"/>
    <x v="0"/>
    <x v="0"/>
    <n v="0"/>
    <s v=""/>
    <n v="0"/>
    <s v=""/>
    <s v=""/>
    <n v="0"/>
    <n v="0"/>
    <s v=""/>
    <s v="Prevalidated - TSSR in Process"/>
    <x v="2"/>
  </r>
  <r>
    <s v="ACAY_0163"/>
    <x v="2"/>
    <x v="0"/>
    <n v="60"/>
    <x v="11"/>
    <n v="94.543180000000007"/>
    <n v="16.740753000000002"/>
    <s v="Telenor-MPT-Mytel"/>
    <n v="167"/>
    <s v="AYW5526"/>
    <x v="3"/>
    <s v="Prevalidation Rejected"/>
    <s v="OK"/>
    <m/>
    <s v="OK"/>
    <s v="OK"/>
    <s v="OK"/>
    <s v="Rejected"/>
    <n v="10"/>
    <n v="1"/>
    <m/>
    <m/>
    <m/>
    <m/>
    <m/>
    <m/>
    <n v="10"/>
    <n v="1"/>
    <m/>
    <m/>
    <d v="2018-06-14T00:00:00"/>
    <d v="2018-06-14T00:00:00"/>
    <m/>
    <m/>
    <m/>
    <n v="1"/>
    <b v="1"/>
    <n v="1"/>
    <b v="1"/>
    <b v="1"/>
    <s v="Prevalidation Rejected"/>
    <x v="0"/>
    <x v="0"/>
    <x v="0"/>
    <x v="0"/>
    <x v="0"/>
    <x v="0"/>
    <n v="0"/>
    <s v=""/>
    <s v=""/>
    <s v=""/>
    <s v=""/>
    <n v="0"/>
    <n v="0"/>
    <s v=""/>
    <s v="Prevalidation Rejected"/>
    <x v="0"/>
  </r>
  <r>
    <s v="ANMG_0052"/>
    <x v="1"/>
    <x v="0"/>
    <n v="60"/>
    <x v="9"/>
    <n v="95.497140000000002"/>
    <n v="19.80912"/>
    <s v="Telenor"/>
    <n v="168"/>
    <s v="MWW3498"/>
    <x v="3"/>
    <s v="Prevalidated"/>
    <s v="OK"/>
    <s v="OK"/>
    <s v="OK"/>
    <s v="OK"/>
    <s v="OK"/>
    <s v="OK"/>
    <n v="63"/>
    <n v="1"/>
    <d v="2018-06-26T00:00:00"/>
    <d v="2018-06-27T00:00:00"/>
    <d v="2018-06-29T00:00:00"/>
    <d v="2018-08-08T00:00:00"/>
    <m/>
    <s v="Approved"/>
    <n v="62"/>
    <n v="1"/>
    <d v="2018-08-08T00:00:00"/>
    <s v="NTP Received"/>
    <m/>
    <m/>
    <m/>
    <m/>
    <m/>
    <n v="1"/>
    <b v="1"/>
    <n v="1"/>
    <b v="1"/>
    <b v="1"/>
    <s v="Prevalidated"/>
    <x v="0"/>
    <x v="0"/>
    <x v="0"/>
    <x v="0"/>
    <x v="0"/>
    <x v="0"/>
    <n v="0"/>
    <s v="Submitted"/>
    <s v="Approved"/>
    <s v="In Process"/>
    <s v="NTP Received"/>
    <n v="0"/>
    <n v="0"/>
    <s v=""/>
    <s v="NTP Received"/>
    <x v="8"/>
  </r>
  <r>
    <s v="ANMG_0006"/>
    <x v="1"/>
    <x v="0"/>
    <n v="60"/>
    <x v="9"/>
    <n v="95.237629999999996"/>
    <n v="19.433779999999999"/>
    <s v="Telenor-Mytel"/>
    <n v="169"/>
    <s v="MWW3499"/>
    <x v="3"/>
    <s v="Prevalidated"/>
    <s v="OK"/>
    <s v="OK"/>
    <s v="OK"/>
    <s v="OK"/>
    <s v="OK"/>
    <s v="OK"/>
    <n v="59"/>
    <n v="1"/>
    <d v="2018-06-27T00:00:00"/>
    <d v="2018-06-28T00:00:00"/>
    <d v="2018-06-29T00:00:00"/>
    <d v="2018-08-10T00:00:00"/>
    <m/>
    <s v="Approved"/>
    <n v="58"/>
    <n v="1"/>
    <d v="2018-08-10T00:00:00"/>
    <s v="NTP Received"/>
    <m/>
    <m/>
    <m/>
    <m/>
    <m/>
    <n v="1"/>
    <b v="1"/>
    <n v="1"/>
    <b v="1"/>
    <b v="1"/>
    <s v="Prevalidated"/>
    <x v="0"/>
    <x v="0"/>
    <x v="0"/>
    <x v="0"/>
    <x v="0"/>
    <x v="0"/>
    <n v="0"/>
    <s v="Submitted"/>
    <s v="Approved"/>
    <s v="In Process"/>
    <s v="NTP Received"/>
    <n v="0"/>
    <n v="0"/>
    <s v=""/>
    <s v="NTP Received"/>
    <x v="8"/>
  </r>
  <r>
    <s v="ANMG_0026"/>
    <x v="0"/>
    <x v="0"/>
    <n v="60"/>
    <x v="9"/>
    <n v="95.023719999999997"/>
    <n v="20.2486"/>
    <s v="Telenor-Mytel"/>
    <n v="170"/>
    <s v="MWW3500"/>
    <x v="3"/>
    <s v="Prevalidated"/>
    <s v="OK"/>
    <s v="OK"/>
    <s v="OK"/>
    <s v="OK"/>
    <s v="OK"/>
    <s v="OK"/>
    <n v="62"/>
    <n v="1"/>
    <d v="2018-06-26T00:00:00"/>
    <d v="2018-06-26T00:00:00"/>
    <d v="2018-07-02T00:00:00"/>
    <d v="2018-08-07T00:00:00"/>
    <m/>
    <s v="Approved"/>
    <n v="61"/>
    <n v="1"/>
    <d v="2018-08-07T00:00:00"/>
    <s v="NTP Received"/>
    <m/>
    <m/>
    <m/>
    <m/>
    <m/>
    <n v="1"/>
    <b v="1"/>
    <n v="1"/>
    <b v="1"/>
    <b v="1"/>
    <s v="Prevalidated"/>
    <x v="0"/>
    <x v="0"/>
    <x v="0"/>
    <x v="0"/>
    <x v="0"/>
    <x v="0"/>
    <n v="0"/>
    <s v="Submitted"/>
    <s v="Approved"/>
    <s v="In Process"/>
    <s v="NTP Received"/>
    <n v="0"/>
    <n v="0"/>
    <s v=""/>
    <s v="NTP Received"/>
    <x v="8"/>
  </r>
  <r>
    <s v="ANSG_0381"/>
    <x v="0"/>
    <x v="0"/>
    <n v="45"/>
    <x v="3"/>
    <n v="95.972498000000002"/>
    <n v="21.876677999999998"/>
    <s v="Telenor-Mytel"/>
    <n v="171"/>
    <s v="SAW0731"/>
    <x v="3"/>
    <s v="Prevalidated"/>
    <s v="OK"/>
    <s v="OK"/>
    <s v="OK"/>
    <s v="OK"/>
    <s v="OK"/>
    <s v="OK"/>
    <n v="85"/>
    <n v="1"/>
    <m/>
    <m/>
    <m/>
    <m/>
    <m/>
    <m/>
    <n v="84"/>
    <n v="1"/>
    <m/>
    <m/>
    <m/>
    <m/>
    <m/>
    <m/>
    <m/>
    <n v="1"/>
    <b v="1"/>
    <n v="1"/>
    <b v="1"/>
    <b v="1"/>
    <s v="Prevalidated"/>
    <x v="0"/>
    <x v="0"/>
    <x v="0"/>
    <x v="0"/>
    <x v="0"/>
    <x v="0"/>
    <n v="0"/>
    <s v=""/>
    <n v="0"/>
    <s v=""/>
    <s v=""/>
    <n v="0"/>
    <n v="0"/>
    <s v=""/>
    <s v="Prevalidated - TSSR in Process"/>
    <x v="2"/>
  </r>
  <r>
    <s v="ANMG_0167"/>
    <x v="1"/>
    <x v="0"/>
    <n v="50"/>
    <x v="9"/>
    <n v="95.532439999999994"/>
    <n v="19.832287000000001"/>
    <s v="Telenor"/>
    <n v="172"/>
    <s v="MWW3502"/>
    <x v="3"/>
    <s v="Prevalidated"/>
    <s v="OK"/>
    <s v="OK"/>
    <s v="OK"/>
    <s v="OK"/>
    <s v="OK"/>
    <s v="OK"/>
    <n v="65"/>
    <n v="1"/>
    <d v="2018-06-26T00:00:00"/>
    <d v="2018-06-27T00:00:00"/>
    <d v="2018-06-29T00:00:00"/>
    <m/>
    <m/>
    <m/>
    <n v="64"/>
    <n v="1"/>
    <m/>
    <m/>
    <m/>
    <m/>
    <m/>
    <m/>
    <m/>
    <n v="1"/>
    <b v="1"/>
    <n v="1"/>
    <b v="1"/>
    <b v="1"/>
    <s v="Prevalidated"/>
    <x v="0"/>
    <x v="0"/>
    <x v="0"/>
    <x v="0"/>
    <x v="0"/>
    <x v="0"/>
    <n v="0"/>
    <s v="Submitted"/>
    <n v="0"/>
    <s v=""/>
    <s v=""/>
    <n v="0"/>
    <n v="0"/>
    <s v=""/>
    <s v="Prevalidated - TSSR in Process"/>
    <x v="2"/>
  </r>
  <r>
    <s v="ANSG_0361"/>
    <x v="0"/>
    <x v="0"/>
    <n v="45"/>
    <x v="3"/>
    <n v="95.151480000000006"/>
    <n v="22.099340000000002"/>
    <s v="Telenor"/>
    <n v="173"/>
    <s v="SAW0719"/>
    <x v="3"/>
    <s v="Prevalidated"/>
    <s v="OK"/>
    <s v="OK"/>
    <s v="OK"/>
    <s v="OK"/>
    <s v="OK"/>
    <s v="OK"/>
    <n v="79"/>
    <n v="1"/>
    <m/>
    <m/>
    <m/>
    <m/>
    <m/>
    <m/>
    <n v="78"/>
    <n v="1"/>
    <m/>
    <m/>
    <m/>
    <m/>
    <m/>
    <m/>
    <m/>
    <n v="1"/>
    <b v="1"/>
    <n v="1"/>
    <b v="1"/>
    <b v="1"/>
    <s v="Prevalidated"/>
    <x v="0"/>
    <x v="0"/>
    <x v="0"/>
    <x v="0"/>
    <x v="0"/>
    <x v="0"/>
    <n v="0"/>
    <s v=""/>
    <n v="0"/>
    <s v=""/>
    <s v=""/>
    <n v="0"/>
    <n v="0"/>
    <s v=""/>
    <s v="Prevalidated - TSSR in Process"/>
    <x v="2"/>
  </r>
  <r>
    <s v="ANMD_0118"/>
    <x v="0"/>
    <x v="2"/>
    <n v="6"/>
    <x v="2"/>
    <n v="96.080060000000003"/>
    <n v="21.963609999999999"/>
    <s v="Telenor"/>
    <n v="174"/>
    <s v="MAW2441"/>
    <x v="3"/>
    <s v="Prevalidated"/>
    <s v="OK"/>
    <s v="OK"/>
    <s v="Review"/>
    <s v="OK"/>
    <s v="OK"/>
    <s v="OK"/>
    <n v="45"/>
    <n v="1"/>
    <m/>
    <m/>
    <m/>
    <m/>
    <m/>
    <m/>
    <n v="44"/>
    <n v="1"/>
    <m/>
    <m/>
    <d v="2018-05-23T00:00:00"/>
    <d v="2018-05-23T00:00:00"/>
    <m/>
    <m/>
    <m/>
    <n v="1"/>
    <b v="1"/>
    <n v="1"/>
    <b v="1"/>
    <b v="1"/>
    <s v="Prevalidated"/>
    <x v="0"/>
    <x v="0"/>
    <x v="0"/>
    <x v="0"/>
    <x v="0"/>
    <x v="0"/>
    <n v="0"/>
    <s v=""/>
    <n v="0"/>
    <s v=""/>
    <s v=""/>
    <n v="0"/>
    <n v="0"/>
    <s v=""/>
    <s v="Prevalidated - TSSR in Process"/>
    <x v="2"/>
  </r>
  <r>
    <s v="ANMD_0088"/>
    <x v="0"/>
    <x v="2"/>
    <n v="6"/>
    <x v="2"/>
    <n v="96.082480000000004"/>
    <n v="21.974630000000001"/>
    <s v="Telenor"/>
    <n v="175"/>
    <s v="No ID Yet"/>
    <x v="3"/>
    <s v="Prevalidation Rejected"/>
    <s v="Rejected"/>
    <m/>
    <s v="Review"/>
    <s v="Review"/>
    <m/>
    <s v="OK"/>
    <n v="38"/>
    <n v="1"/>
    <m/>
    <m/>
    <m/>
    <m/>
    <m/>
    <m/>
    <n v="37"/>
    <n v="1"/>
    <m/>
    <m/>
    <m/>
    <m/>
    <m/>
    <m/>
    <m/>
    <n v="1"/>
    <b v="1"/>
    <n v="1"/>
    <b v="1"/>
    <b v="1"/>
    <s v="Prevalidation Rejected"/>
    <x v="0"/>
    <x v="0"/>
    <x v="0"/>
    <x v="0"/>
    <x v="0"/>
    <x v="0"/>
    <n v="0"/>
    <s v=""/>
    <s v=""/>
    <s v=""/>
    <s v=""/>
    <n v="0"/>
    <n v="0"/>
    <s v=""/>
    <s v="Prevalidation Rejected"/>
    <x v="0"/>
  </r>
  <r>
    <s v="ANMD_0170"/>
    <x v="0"/>
    <x v="2"/>
    <n v="6"/>
    <x v="2"/>
    <n v="96.112566999999999"/>
    <n v="21.891279999999998"/>
    <s v="Telenor"/>
    <n v="176"/>
    <s v="MAW2986"/>
    <x v="3"/>
    <s v="Under Prevalidation"/>
    <s v="OK"/>
    <s v="OK"/>
    <s v="Review"/>
    <s v="OK"/>
    <s v="OK"/>
    <s v="OK"/>
    <n v="53"/>
    <n v="1"/>
    <m/>
    <m/>
    <m/>
    <m/>
    <m/>
    <m/>
    <n v="52"/>
    <n v="1"/>
    <m/>
    <m/>
    <m/>
    <m/>
    <m/>
    <m/>
    <m/>
    <n v="1"/>
    <b v="1"/>
    <n v="1"/>
    <b v="1"/>
    <b v="1"/>
    <s v="Under Prevalidation"/>
    <x v="1"/>
    <x v="1"/>
    <x v="1"/>
    <x v="1"/>
    <x v="1"/>
    <x v="1"/>
    <n v="5"/>
    <s v=""/>
    <n v="0"/>
    <s v=""/>
    <s v=""/>
    <n v="0"/>
    <n v="0"/>
    <s v=""/>
    <s v="Under Prevalidation"/>
    <x v="6"/>
  </r>
  <r>
    <s v="ANMD_0266"/>
    <x v="0"/>
    <x v="0"/>
    <n v="60"/>
    <x v="2"/>
    <n v="96.103970000000004"/>
    <n v="21.876339999999999"/>
    <s v="Telenor"/>
    <n v="177"/>
    <s v="MAW2985"/>
    <x v="3"/>
    <s v="Prevalidated"/>
    <s v="OK"/>
    <s v="OK"/>
    <s v="OK"/>
    <s v="OK"/>
    <s v="OK"/>
    <s v="OK"/>
    <n v="57"/>
    <n v="1"/>
    <m/>
    <m/>
    <m/>
    <m/>
    <m/>
    <m/>
    <n v="56"/>
    <n v="1"/>
    <m/>
    <m/>
    <m/>
    <m/>
    <m/>
    <m/>
    <m/>
    <n v="1"/>
    <b v="1"/>
    <n v="1"/>
    <b v="1"/>
    <b v="1"/>
    <s v="Prevalidated"/>
    <x v="0"/>
    <x v="0"/>
    <x v="0"/>
    <x v="0"/>
    <x v="0"/>
    <x v="0"/>
    <n v="0"/>
    <s v=""/>
    <n v="0"/>
    <s v=""/>
    <s v=""/>
    <n v="0"/>
    <n v="0"/>
    <s v=""/>
    <s v="Prevalidated - TSSR in Process"/>
    <x v="2"/>
  </r>
  <r>
    <s v="ANMD_0167"/>
    <x v="0"/>
    <x v="0"/>
    <n v="35"/>
    <x v="2"/>
    <n v="96.102851000000001"/>
    <n v="21.924469999999999"/>
    <s v="Telenor"/>
    <n v="178"/>
    <s v="MAW2984"/>
    <x v="3"/>
    <s v="Prevalidated"/>
    <s v="OK"/>
    <s v="OK"/>
    <s v="OK"/>
    <s v="Review"/>
    <s v="OK"/>
    <s v="OK"/>
    <n v="51"/>
    <n v="1"/>
    <m/>
    <m/>
    <m/>
    <m/>
    <m/>
    <m/>
    <n v="50"/>
    <n v="1"/>
    <m/>
    <m/>
    <m/>
    <m/>
    <m/>
    <m/>
    <m/>
    <n v="1"/>
    <b v="1"/>
    <n v="1"/>
    <b v="1"/>
    <b v="1"/>
    <s v="Prevalidated"/>
    <x v="0"/>
    <x v="0"/>
    <x v="0"/>
    <x v="0"/>
    <x v="0"/>
    <x v="0"/>
    <n v="0"/>
    <s v=""/>
    <n v="0"/>
    <s v=""/>
    <s v=""/>
    <n v="0"/>
    <n v="0"/>
    <s v=""/>
    <s v="Prevalidated - TSSR in Process"/>
    <x v="2"/>
  </r>
  <r>
    <s v="ANMG_0172"/>
    <x v="0"/>
    <x v="0"/>
    <n v="50"/>
    <x v="9"/>
    <n v="95.192756000000003"/>
    <n v="21.492948999999999"/>
    <s v="Telenor"/>
    <n v="179"/>
    <s v="MWW3507"/>
    <x v="3"/>
    <s v="Prevalidation Rejected"/>
    <s v="OK"/>
    <s v="OK"/>
    <s v="OK"/>
    <s v="OK"/>
    <s v="OK"/>
    <s v="OK"/>
    <n v="66"/>
    <n v="1"/>
    <m/>
    <m/>
    <m/>
    <m/>
    <m/>
    <m/>
    <n v="65"/>
    <n v="1"/>
    <m/>
    <m/>
    <m/>
    <m/>
    <m/>
    <m/>
    <m/>
    <n v="1"/>
    <b v="1"/>
    <n v="1"/>
    <b v="1"/>
    <b v="1"/>
    <s v="Prevalidation Rejected"/>
    <x v="0"/>
    <x v="0"/>
    <x v="0"/>
    <x v="0"/>
    <x v="0"/>
    <x v="0"/>
    <n v="0"/>
    <s v=""/>
    <s v=""/>
    <s v=""/>
    <s v=""/>
    <n v="0"/>
    <n v="0"/>
    <s v=""/>
    <s v="Prevalidation Rejected"/>
    <x v="0"/>
  </r>
  <r>
    <s v="ANMG_0173"/>
    <x v="0"/>
    <x v="0"/>
    <n v="50"/>
    <x v="9"/>
    <n v="95.185631999999998"/>
    <n v="21.737721000000001"/>
    <s v="Telenor"/>
    <n v="180"/>
    <s v="MWW3508"/>
    <x v="3"/>
    <s v="Prevalidated"/>
    <s v="OK"/>
    <s v="OK"/>
    <s v="OK"/>
    <s v="OK"/>
    <s v="OK"/>
    <s v="OK"/>
    <n v="67"/>
    <n v="1"/>
    <d v="2018-06-25T00:00:00"/>
    <d v="2018-06-25T00:00:00"/>
    <d v="2018-07-02T00:00:00"/>
    <m/>
    <m/>
    <m/>
    <n v="66"/>
    <n v="1"/>
    <m/>
    <m/>
    <m/>
    <m/>
    <m/>
    <m/>
    <m/>
    <n v="1"/>
    <b v="1"/>
    <n v="1"/>
    <b v="1"/>
    <b v="1"/>
    <s v="Prevalidated"/>
    <x v="0"/>
    <x v="0"/>
    <x v="0"/>
    <x v="0"/>
    <x v="0"/>
    <x v="0"/>
    <n v="0"/>
    <s v="Submitted"/>
    <n v="0"/>
    <s v=""/>
    <s v=""/>
    <n v="0"/>
    <n v="0"/>
    <s v=""/>
    <s v="Prevalidated - TSSR in Process"/>
    <x v="2"/>
  </r>
  <r>
    <s v="ANSH_0086"/>
    <x v="0"/>
    <x v="0"/>
    <n v="40"/>
    <x v="4"/>
    <n v="97.723224000000002"/>
    <n v="22.95776"/>
    <s v="Telenor"/>
    <n v="181"/>
    <s v="SHW1908"/>
    <x v="3"/>
    <s v="Prevalidated"/>
    <s v="OK"/>
    <s v="OK"/>
    <s v="OK"/>
    <s v="OK"/>
    <s v="OK"/>
    <s v="OK"/>
    <n v="92"/>
    <n v="1"/>
    <m/>
    <m/>
    <m/>
    <m/>
    <m/>
    <m/>
    <n v="91"/>
    <n v="1"/>
    <m/>
    <m/>
    <m/>
    <m/>
    <m/>
    <m/>
    <m/>
    <n v="1"/>
    <b v="1"/>
    <n v="1"/>
    <b v="1"/>
    <b v="1"/>
    <s v="Prevalidated"/>
    <x v="0"/>
    <x v="0"/>
    <x v="0"/>
    <x v="0"/>
    <x v="0"/>
    <x v="0"/>
    <n v="0"/>
    <s v=""/>
    <n v="0"/>
    <s v=""/>
    <s v=""/>
    <n v="0"/>
    <n v="0"/>
    <s v=""/>
    <s v="Prevalidated - TSSR in Process"/>
    <x v="2"/>
  </r>
  <r>
    <s v="ANSG_0379"/>
    <x v="0"/>
    <x v="0"/>
    <n v="35"/>
    <x v="3"/>
    <n v="95.986019999999996"/>
    <n v="21.88439"/>
    <s v="Telenor-MPT"/>
    <n v="182"/>
    <s v="SAW0726"/>
    <x v="3"/>
    <s v="Prevalidated"/>
    <s v="OK"/>
    <s v="OK"/>
    <s v="OK"/>
    <s v="OK"/>
    <s v="OK"/>
    <s v="OK"/>
    <n v="83"/>
    <n v="1"/>
    <m/>
    <m/>
    <m/>
    <m/>
    <m/>
    <m/>
    <n v="82"/>
    <n v="1"/>
    <m/>
    <m/>
    <m/>
    <m/>
    <m/>
    <m/>
    <m/>
    <n v="1"/>
    <b v="1"/>
    <n v="1"/>
    <b v="1"/>
    <b v="1"/>
    <s v="Prevalidated"/>
    <x v="0"/>
    <x v="0"/>
    <x v="0"/>
    <x v="0"/>
    <x v="0"/>
    <x v="0"/>
    <n v="0"/>
    <s v=""/>
    <n v="0"/>
    <s v=""/>
    <s v=""/>
    <n v="0"/>
    <n v="0"/>
    <s v=""/>
    <s v="Prevalidated - TSSR in Process"/>
    <x v="2"/>
  </r>
  <r>
    <s v="ANMD_0098"/>
    <x v="0"/>
    <x v="0"/>
    <n v="35"/>
    <x v="2"/>
    <n v="96.134559999999993"/>
    <n v="21.926500000000001"/>
    <s v="Telenor-MPT"/>
    <n v="183"/>
    <s v="MAW2979"/>
    <x v="3"/>
    <s v="Commercial Approval Requested"/>
    <s v="OK"/>
    <s v="OK"/>
    <s v="OK"/>
    <s v="Review"/>
    <s v="OK"/>
    <s v="OK"/>
    <n v="43"/>
    <n v="1"/>
    <m/>
    <m/>
    <m/>
    <m/>
    <m/>
    <m/>
    <n v="42"/>
    <n v="1"/>
    <m/>
    <m/>
    <d v="2018-05-23T00:00:00"/>
    <d v="2018-05-23T00:00:00"/>
    <m/>
    <m/>
    <m/>
    <n v="1"/>
    <b v="1"/>
    <n v="1"/>
    <b v="1"/>
    <b v="1"/>
    <s v="Commercial Approval Requested"/>
    <x v="0"/>
    <x v="0"/>
    <x v="0"/>
    <x v="0"/>
    <x v="0"/>
    <x v="0"/>
    <n v="0"/>
    <s v=""/>
    <s v=""/>
    <s v=""/>
    <s v=""/>
    <n v="0"/>
    <n v="0"/>
    <s v=""/>
    <s v="Commercial Approval Requested"/>
    <x v="6"/>
  </r>
  <r>
    <s v="ANSG_0347"/>
    <x v="0"/>
    <x v="0"/>
    <n v="45"/>
    <x v="3"/>
    <n v="95.103020000000001"/>
    <n v="22.16086"/>
    <s v="Telenor"/>
    <n v="184"/>
    <s v="SAW0717"/>
    <x v="3"/>
    <s v="Prevalidated"/>
    <s v="OK"/>
    <s v="OK"/>
    <s v="OK"/>
    <s v="OK"/>
    <s v="OK"/>
    <s v="OK"/>
    <n v="74"/>
    <n v="1"/>
    <m/>
    <m/>
    <m/>
    <m/>
    <m/>
    <m/>
    <n v="73"/>
    <n v="1"/>
    <m/>
    <m/>
    <m/>
    <m/>
    <m/>
    <m/>
    <m/>
    <n v="1"/>
    <b v="1"/>
    <n v="1"/>
    <b v="1"/>
    <b v="1"/>
    <s v="Prevalidated"/>
    <x v="0"/>
    <x v="0"/>
    <x v="0"/>
    <x v="0"/>
    <x v="0"/>
    <x v="0"/>
    <n v="0"/>
    <s v=""/>
    <n v="0"/>
    <s v=""/>
    <s v=""/>
    <n v="0"/>
    <n v="0"/>
    <s v=""/>
    <s v="Prevalidated - TSSR in Process"/>
    <x v="2"/>
  </r>
  <r>
    <s v="ANMD_0273"/>
    <x v="0"/>
    <x v="2"/>
    <n v="6"/>
    <x v="2"/>
    <n v="96.110633000000007"/>
    <n v="21.988139"/>
    <s v="Telenor"/>
    <n v="185"/>
    <s v="MAW2383"/>
    <x v="3"/>
    <s v="Prevalidation Rejected"/>
    <s v="OK"/>
    <m/>
    <s v="Review"/>
    <s v="Review"/>
    <m/>
    <s v="OK"/>
    <n v="58"/>
    <n v="1"/>
    <m/>
    <m/>
    <m/>
    <m/>
    <m/>
    <m/>
    <n v="57"/>
    <n v="1"/>
    <m/>
    <m/>
    <m/>
    <m/>
    <m/>
    <m/>
    <m/>
    <n v="1"/>
    <b v="1"/>
    <n v="1"/>
    <b v="1"/>
    <b v="1"/>
    <s v="Prevalidation Rejected"/>
    <x v="0"/>
    <x v="0"/>
    <x v="0"/>
    <x v="0"/>
    <x v="0"/>
    <x v="0"/>
    <n v="0"/>
    <s v=""/>
    <s v=""/>
    <s v=""/>
    <s v=""/>
    <n v="0"/>
    <n v="0"/>
    <s v=""/>
    <s v="Prevalidation Rejected"/>
    <x v="0"/>
  </r>
  <r>
    <s v="ANMD_0117"/>
    <x v="0"/>
    <x v="2"/>
    <n v="5"/>
    <x v="2"/>
    <n v="96.094650000000001"/>
    <n v="21.965520000000001"/>
    <s v="Telenor"/>
    <n v="186"/>
    <s v="MAW2999"/>
    <x v="3"/>
    <s v="Prevalidation Rejected"/>
    <s v="Rejected"/>
    <m/>
    <s v="Review"/>
    <m/>
    <m/>
    <s v="OK"/>
    <n v="44"/>
    <n v="1"/>
    <m/>
    <m/>
    <m/>
    <m/>
    <m/>
    <m/>
    <n v="43"/>
    <n v="1"/>
    <m/>
    <m/>
    <d v="2018-05-23T00:00:00"/>
    <d v="2018-05-23T00:00:00"/>
    <m/>
    <m/>
    <m/>
    <n v="1"/>
    <b v="1"/>
    <n v="1"/>
    <b v="1"/>
    <b v="1"/>
    <s v="Prevalidation Rejected"/>
    <x v="0"/>
    <x v="0"/>
    <x v="0"/>
    <x v="0"/>
    <x v="0"/>
    <x v="0"/>
    <n v="0"/>
    <s v=""/>
    <s v=""/>
    <s v=""/>
    <s v=""/>
    <n v="0"/>
    <n v="0"/>
    <s v=""/>
    <s v="Prevalidation Rejected"/>
    <x v="0"/>
  </r>
  <r>
    <s v="ANMD_0005"/>
    <x v="0"/>
    <x v="2"/>
    <n v="6"/>
    <x v="2"/>
    <n v="96.077629999999999"/>
    <n v="21.958760000000002"/>
    <s v="Telenor"/>
    <n v="187"/>
    <s v="MAW2976"/>
    <x v="3"/>
    <s v="Prevalidation Rejected"/>
    <s v="Rejected"/>
    <m/>
    <s v="Review"/>
    <m/>
    <m/>
    <s v="Rejected"/>
    <n v="32"/>
    <n v="1"/>
    <m/>
    <m/>
    <m/>
    <m/>
    <m/>
    <m/>
    <n v="31"/>
    <n v="1"/>
    <m/>
    <m/>
    <d v="2018-05-29T00:00:00"/>
    <m/>
    <m/>
    <m/>
    <m/>
    <n v="1"/>
    <b v="1"/>
    <n v="1"/>
    <b v="1"/>
    <b v="1"/>
    <s v="Prevalidation Rejected"/>
    <x v="0"/>
    <x v="0"/>
    <x v="0"/>
    <x v="0"/>
    <x v="0"/>
    <x v="0"/>
    <n v="0"/>
    <s v=""/>
    <s v=""/>
    <s v=""/>
    <s v=""/>
    <n v="0"/>
    <n v="0"/>
    <s v=""/>
    <s v="Prevalidation Rejected"/>
    <x v="0"/>
  </r>
  <r>
    <s v="ANMD_0092"/>
    <x v="0"/>
    <x v="2"/>
    <n v="6"/>
    <x v="2"/>
    <n v="96.093059999999994"/>
    <n v="21.98244"/>
    <s v="Telenor"/>
    <n v="188"/>
    <s v="MAW2196"/>
    <x v="3"/>
    <s v="Prevalidation Rejected"/>
    <s v="Rejected"/>
    <m/>
    <s v="Review"/>
    <m/>
    <m/>
    <s v="OK"/>
    <n v="41"/>
    <n v="1"/>
    <m/>
    <m/>
    <m/>
    <m/>
    <m/>
    <m/>
    <n v="40"/>
    <n v="1"/>
    <m/>
    <m/>
    <m/>
    <m/>
    <m/>
    <m/>
    <m/>
    <n v="1"/>
    <b v="1"/>
    <n v="1"/>
    <b v="1"/>
    <b v="1"/>
    <s v="Prevalidation Rejected"/>
    <x v="0"/>
    <x v="0"/>
    <x v="0"/>
    <x v="0"/>
    <x v="0"/>
    <x v="0"/>
    <n v="0"/>
    <s v=""/>
    <s v=""/>
    <s v=""/>
    <s v=""/>
    <n v="0"/>
    <n v="0"/>
    <s v=""/>
    <s v="Prevalidation Rejected"/>
    <x v="0"/>
  </r>
  <r>
    <s v="ANMD_0164"/>
    <x v="0"/>
    <x v="0"/>
    <n v="35"/>
    <x v="2"/>
    <n v="96.085560000000001"/>
    <n v="21.90194"/>
    <s v="Telenor"/>
    <n v="189"/>
    <s v="MAW2764"/>
    <x v="3"/>
    <s v="Prevalidation Rejected"/>
    <s v="OK"/>
    <s v="OK"/>
    <s v="OK"/>
    <s v="Rejected"/>
    <s v="OK"/>
    <s v="OK"/>
    <n v="49"/>
    <n v="1"/>
    <m/>
    <m/>
    <m/>
    <m/>
    <m/>
    <m/>
    <n v="48"/>
    <n v="1"/>
    <m/>
    <m/>
    <d v="2018-06-05T00:00:00"/>
    <d v="2018-06-05T00:00:00"/>
    <m/>
    <m/>
    <m/>
    <n v="1"/>
    <b v="1"/>
    <n v="1"/>
    <b v="1"/>
    <b v="1"/>
    <s v="Prevalidation Rejected"/>
    <x v="0"/>
    <x v="0"/>
    <x v="0"/>
    <x v="0"/>
    <x v="0"/>
    <x v="0"/>
    <n v="0"/>
    <s v=""/>
    <s v=""/>
    <s v=""/>
    <s v=""/>
    <n v="0"/>
    <n v="0"/>
    <s v=""/>
    <s v="Prevalidation Rejected"/>
    <x v="0"/>
  </r>
  <r>
    <s v="ANMD_0165"/>
    <x v="0"/>
    <x v="0"/>
    <n v="35"/>
    <x v="2"/>
    <n v="96.084410000000005"/>
    <n v="21.913360000000001"/>
    <s v="Telenor"/>
    <n v="190"/>
    <s v="No ID Yet"/>
    <x v="3"/>
    <s v="Prevalidated"/>
    <s v="OK"/>
    <s v="OK"/>
    <s v="OK"/>
    <s v="OK"/>
    <s v="OK"/>
    <s v="OK"/>
    <n v="50"/>
    <n v="1"/>
    <m/>
    <m/>
    <m/>
    <m/>
    <m/>
    <m/>
    <n v="49"/>
    <n v="1"/>
    <m/>
    <m/>
    <m/>
    <m/>
    <m/>
    <m/>
    <m/>
    <n v="1"/>
    <b v="1"/>
    <n v="1"/>
    <b v="1"/>
    <b v="1"/>
    <s v="Prevalidated"/>
    <x v="0"/>
    <x v="0"/>
    <x v="0"/>
    <x v="0"/>
    <x v="0"/>
    <x v="0"/>
    <n v="0"/>
    <s v=""/>
    <n v="0"/>
    <s v=""/>
    <s v=""/>
    <n v="0"/>
    <n v="0"/>
    <s v=""/>
    <s v="Prevalidated - TSSR in Process"/>
    <x v="2"/>
  </r>
  <r>
    <s v="ANMD_0073"/>
    <x v="0"/>
    <x v="0"/>
    <n v="45"/>
    <x v="2"/>
    <n v="96.070164000000005"/>
    <n v="21.844214000000001"/>
    <s v="Telenor-MPT"/>
    <n v="191"/>
    <s v="MAW2959"/>
    <x v="3"/>
    <s v="Prevalidated"/>
    <s v="OK"/>
    <s v="OK"/>
    <s v="OK"/>
    <s v="OK"/>
    <s v="OK"/>
    <s v="OK"/>
    <n v="36"/>
    <n v="1"/>
    <m/>
    <m/>
    <m/>
    <m/>
    <m/>
    <m/>
    <n v="35"/>
    <n v="1"/>
    <m/>
    <m/>
    <m/>
    <m/>
    <m/>
    <m/>
    <m/>
    <n v="1"/>
    <b v="1"/>
    <n v="1"/>
    <b v="1"/>
    <b v="1"/>
    <s v="Prevalidated"/>
    <x v="0"/>
    <x v="0"/>
    <x v="0"/>
    <x v="0"/>
    <x v="0"/>
    <x v="0"/>
    <n v="0"/>
    <s v=""/>
    <n v="0"/>
    <s v=""/>
    <s v=""/>
    <n v="0"/>
    <n v="0"/>
    <s v=""/>
    <s v="Prevalidated - TSSR in Process"/>
    <x v="2"/>
  </r>
  <r>
    <s v="ANMD_0168"/>
    <x v="0"/>
    <x v="0"/>
    <n v="35"/>
    <x v="2"/>
    <n v="96.118348999999995"/>
    <n v="21.904062"/>
    <s v="Telenor-MPT"/>
    <n v="192"/>
    <s v="MAW2993"/>
    <x v="3"/>
    <s v="Commercial Approval Requested"/>
    <s v="OK"/>
    <s v="OK"/>
    <s v="OK"/>
    <s v="Review"/>
    <s v="OK"/>
    <s v="OK"/>
    <n v="52"/>
    <n v="1"/>
    <m/>
    <m/>
    <m/>
    <m/>
    <m/>
    <m/>
    <n v="51"/>
    <n v="1"/>
    <m/>
    <m/>
    <m/>
    <m/>
    <m/>
    <m/>
    <m/>
    <n v="1"/>
    <b v="1"/>
    <n v="1"/>
    <b v="1"/>
    <b v="1"/>
    <s v="Commercial Approval Requested"/>
    <x v="0"/>
    <x v="0"/>
    <x v="0"/>
    <x v="0"/>
    <x v="0"/>
    <x v="0"/>
    <n v="0"/>
    <s v=""/>
    <s v=""/>
    <s v=""/>
    <s v=""/>
    <n v="0"/>
    <n v="0"/>
    <s v=""/>
    <s v="Commercial Approval Requested"/>
    <x v="6"/>
  </r>
  <r>
    <s v="ANMG_0017"/>
    <x v="0"/>
    <x v="0"/>
    <n v="45"/>
    <x v="9"/>
    <n v="94.962620000000001"/>
    <n v="20.175160000000002"/>
    <s v="Telenor-MPT"/>
    <n v="193"/>
    <s v="MWW3484"/>
    <x v="3"/>
    <s v="Prevalidated"/>
    <s v="OK"/>
    <s v="OK"/>
    <s v="OK"/>
    <s v="OK"/>
    <s v="OK"/>
    <s v="OK"/>
    <n v="61"/>
    <n v="1"/>
    <d v="2018-06-26T00:00:00"/>
    <d v="2018-06-26T00:00:00"/>
    <d v="2018-07-02T00:00:00"/>
    <d v="2018-08-07T00:00:00"/>
    <m/>
    <s v="Approved"/>
    <n v="60"/>
    <n v="1"/>
    <d v="2018-08-07T00:00:00"/>
    <s v="NTP Received"/>
    <m/>
    <m/>
    <m/>
    <m/>
    <m/>
    <n v="1"/>
    <b v="1"/>
    <n v="1"/>
    <b v="1"/>
    <b v="1"/>
    <s v="Prevalidated"/>
    <x v="0"/>
    <x v="0"/>
    <x v="0"/>
    <x v="0"/>
    <x v="0"/>
    <x v="0"/>
    <n v="0"/>
    <s v="Submitted"/>
    <s v="Approved"/>
    <s v="In Process"/>
    <s v="NTP Received"/>
    <n v="0"/>
    <n v="0"/>
    <s v=""/>
    <s v="NTP Received"/>
    <x v="8"/>
  </r>
  <r>
    <s v="ANNP_0276"/>
    <x v="1"/>
    <x v="0"/>
    <n v="35"/>
    <x v="8"/>
    <n v="96.202814000000004"/>
    <n v="19.739629000000001"/>
    <s v="Telenor"/>
    <n v="194"/>
    <s v="Replacement_43"/>
    <x v="3"/>
    <s v="Prevalidated"/>
    <s v="OK"/>
    <s v="OK"/>
    <s v="OK"/>
    <s v="Review"/>
    <s v="OK"/>
    <s v="OK"/>
    <n v="72"/>
    <n v="1"/>
    <m/>
    <m/>
    <m/>
    <m/>
    <m/>
    <m/>
    <n v="71"/>
    <n v="1"/>
    <m/>
    <m/>
    <m/>
    <m/>
    <m/>
    <m/>
    <m/>
    <n v="1"/>
    <b v="1"/>
    <n v="1"/>
    <b v="1"/>
    <b v="1"/>
    <s v="Prevalidated"/>
    <x v="0"/>
    <x v="0"/>
    <x v="0"/>
    <x v="0"/>
    <x v="0"/>
    <x v="0"/>
    <n v="0"/>
    <s v=""/>
    <n v="0"/>
    <s v=""/>
    <s v=""/>
    <n v="0"/>
    <n v="0"/>
    <s v=""/>
    <s v="Prevalidated - TSSR in Process"/>
    <x v="2"/>
  </r>
  <r>
    <s v="ANNP_0203"/>
    <x v="1"/>
    <x v="0"/>
    <n v="35"/>
    <x v="8"/>
    <n v="96.210722000000004"/>
    <n v="19.733732"/>
    <s v="Telenor-Mytel"/>
    <n v="195"/>
    <s v="Replacement_45"/>
    <x v="3"/>
    <s v="Prevalidated"/>
    <s v="OK"/>
    <s v="OK"/>
    <s v="OK"/>
    <s v="Review"/>
    <s v="OK"/>
    <s v="OK"/>
    <n v="70"/>
    <n v="1"/>
    <m/>
    <m/>
    <m/>
    <m/>
    <m/>
    <m/>
    <n v="69"/>
    <n v="1"/>
    <m/>
    <m/>
    <m/>
    <m/>
    <m/>
    <m/>
    <m/>
    <n v="1"/>
    <b v="1"/>
    <n v="1"/>
    <b v="1"/>
    <b v="1"/>
    <s v="Prevalidated"/>
    <x v="0"/>
    <x v="0"/>
    <x v="0"/>
    <x v="0"/>
    <x v="0"/>
    <x v="0"/>
    <n v="0"/>
    <s v=""/>
    <n v="0"/>
    <s v=""/>
    <s v=""/>
    <n v="0"/>
    <n v="0"/>
    <s v=""/>
    <s v="Prevalidated - TSSR in Process"/>
    <x v="2"/>
  </r>
  <r>
    <s v="ANMD_0079"/>
    <x v="0"/>
    <x v="2"/>
    <n v="6"/>
    <x v="2"/>
    <n v="96.096369999999993"/>
    <n v="22.0076"/>
    <s v="Telenor"/>
    <n v="196"/>
    <s v="MAW2908"/>
    <x v="3"/>
    <s v="Prevalidation Rejected"/>
    <s v="Rejected"/>
    <m/>
    <s v="Review"/>
    <m/>
    <m/>
    <s v="OK"/>
    <n v="37"/>
    <n v="1"/>
    <m/>
    <m/>
    <m/>
    <m/>
    <m/>
    <m/>
    <n v="36"/>
    <n v="1"/>
    <m/>
    <m/>
    <m/>
    <m/>
    <m/>
    <m/>
    <m/>
    <n v="1"/>
    <b v="1"/>
    <n v="1"/>
    <b v="1"/>
    <b v="1"/>
    <s v="Prevalidation Rejected"/>
    <x v="0"/>
    <x v="0"/>
    <x v="0"/>
    <x v="0"/>
    <x v="0"/>
    <x v="0"/>
    <n v="0"/>
    <s v=""/>
    <s v=""/>
    <s v=""/>
    <s v=""/>
    <n v="0"/>
    <n v="0"/>
    <s v=""/>
    <s v="Prevalidation Rejected"/>
    <x v="0"/>
  </r>
  <r>
    <s v="ASKH_0019"/>
    <x v="1"/>
    <x v="0"/>
    <n v="60"/>
    <x v="12"/>
    <n v="97.498440000000002"/>
    <n v="19.164729999999999"/>
    <s v="MPT-Telenor"/>
    <n v="197"/>
    <s v="KYW6082"/>
    <x v="3"/>
    <s v="Prevalidated"/>
    <s v="OK"/>
    <s v="OK"/>
    <s v="OK"/>
    <s v="OK"/>
    <s v="OK"/>
    <s v="OK"/>
    <n v="95"/>
    <n v="1"/>
    <m/>
    <m/>
    <m/>
    <m/>
    <m/>
    <m/>
    <n v="94"/>
    <n v="1"/>
    <m/>
    <m/>
    <m/>
    <m/>
    <m/>
    <m/>
    <m/>
    <n v="1"/>
    <b v="1"/>
    <n v="1"/>
    <b v="1"/>
    <b v="1"/>
    <s v="Prevalidated"/>
    <x v="0"/>
    <x v="0"/>
    <x v="0"/>
    <x v="0"/>
    <x v="0"/>
    <x v="0"/>
    <n v="0"/>
    <s v=""/>
    <n v="0"/>
    <s v=""/>
    <s v=""/>
    <n v="0"/>
    <n v="0"/>
    <s v=""/>
    <s v="Prevalidated - TSSR in Process"/>
    <x v="2"/>
  </r>
  <r>
    <s v="ASTN_0045"/>
    <x v="2"/>
    <x v="0"/>
    <n v="50"/>
    <x v="13"/>
    <n v="98.562299999999993"/>
    <n v="10.00493"/>
    <s v="Telenor-Mytel"/>
    <n v="198"/>
    <s v="TAW6250"/>
    <x v="3"/>
    <s v="Prevalidated"/>
    <s v="OK"/>
    <s v="OK"/>
    <s v="OK"/>
    <s v="OK"/>
    <s v="OK"/>
    <s v="OK"/>
    <n v="119"/>
    <n v="1"/>
    <d v="2018-07-04T00:00:00"/>
    <d v="2018-07-05T00:00:00"/>
    <d v="2018-07-05T00:00:00"/>
    <d v="2018-07-26T00:00:00"/>
    <m/>
    <s v="Approved"/>
    <n v="118"/>
    <n v="1"/>
    <d v="2018-07-26T00:00:00"/>
    <s v="NTP Received"/>
    <m/>
    <m/>
    <m/>
    <m/>
    <m/>
    <n v="1"/>
    <b v="1"/>
    <n v="1"/>
    <b v="1"/>
    <b v="1"/>
    <s v="Prevalidated"/>
    <x v="0"/>
    <x v="0"/>
    <x v="0"/>
    <x v="0"/>
    <x v="0"/>
    <x v="0"/>
    <n v="0"/>
    <s v="Submitted"/>
    <s v="Approved"/>
    <s v="In Process"/>
    <s v="NTP Received"/>
    <n v="1"/>
    <n v="0"/>
    <s v="Work in Progress"/>
    <s v="Work in Progress"/>
    <x v="10"/>
  </r>
  <r>
    <s v="ASTN_0035"/>
    <x v="2"/>
    <x v="0"/>
    <n v="60"/>
    <x v="13"/>
    <n v="98.516649999999998"/>
    <n v="14.16405"/>
    <s v="Telenor"/>
    <n v="199"/>
    <s v="TAW6249"/>
    <x v="3"/>
    <s v="Under Prevalidation"/>
    <s v="OK"/>
    <s v="OK"/>
    <s v="OK"/>
    <s v="Review"/>
    <s v="OK"/>
    <s v="Review"/>
    <n v="118"/>
    <n v="1"/>
    <d v="2018-06-20T00:00:00"/>
    <d v="2018-06-22T00:00:00"/>
    <d v="2018-06-25T00:00:00"/>
    <d v="2018-07-26T00:00:00"/>
    <m/>
    <s v="Approved"/>
    <n v="117"/>
    <n v="1"/>
    <m/>
    <m/>
    <m/>
    <m/>
    <m/>
    <m/>
    <m/>
    <n v="1"/>
    <b v="1"/>
    <n v="1"/>
    <b v="1"/>
    <b v="1"/>
    <s v="Under Prevalidation"/>
    <x v="1"/>
    <x v="1"/>
    <x v="2"/>
    <x v="2"/>
    <x v="1"/>
    <x v="2"/>
    <n v="4"/>
    <s v="Submitted"/>
    <s v="Approved"/>
    <s v=""/>
    <s v=""/>
    <n v="1"/>
    <n v="0"/>
    <s v="Work in Progress"/>
    <s v="Under Prevalidation"/>
    <x v="6"/>
  </r>
  <r>
    <s v="ASMO_0295"/>
    <x v="2"/>
    <x v="0"/>
    <n v="60"/>
    <x v="6"/>
    <n v="97.910281999999995"/>
    <n v="16.396953"/>
    <s v="Telenor-MPT-Mytel"/>
    <n v="200"/>
    <s v="MOW6295"/>
    <x v="3"/>
    <s v="Commercial Approval Requested"/>
    <s v="OK"/>
    <s v="OK"/>
    <s v="OK"/>
    <s v="Review"/>
    <s v="OK"/>
    <s v="OK"/>
    <n v="115"/>
    <n v="1"/>
    <d v="2018-06-22T00:00:00"/>
    <d v="2018-06-22T00:00:00"/>
    <d v="2018-06-25T00:00:00"/>
    <d v="2018-07-30T00:00:00"/>
    <m/>
    <s v="Approved"/>
    <n v="114"/>
    <n v="1"/>
    <m/>
    <m/>
    <m/>
    <m/>
    <m/>
    <m/>
    <m/>
    <n v="1"/>
    <b v="1"/>
    <n v="1"/>
    <b v="1"/>
    <b v="1"/>
    <s v="Commercial Approval Requested"/>
    <x v="0"/>
    <x v="0"/>
    <x v="0"/>
    <x v="0"/>
    <x v="0"/>
    <x v="0"/>
    <n v="0"/>
    <s v=""/>
    <s v=""/>
    <s v=""/>
    <s v=""/>
    <n v="0"/>
    <n v="0"/>
    <s v=""/>
    <s v="Commercial Approval Requested"/>
    <x v="6"/>
  </r>
  <r>
    <s v="ASKA_0196"/>
    <x v="2"/>
    <x v="2"/>
    <n v="6"/>
    <x v="5"/>
    <n v="98.51267"/>
    <n v="16.687529999999999"/>
    <s v="Telenor"/>
    <n v="201"/>
    <s v="KNW6222"/>
    <x v="3"/>
    <s v="Commercial Approval Requested"/>
    <s v="OK"/>
    <s v="OK"/>
    <s v="Review"/>
    <s v="Review"/>
    <s v="OK"/>
    <s v="Review"/>
    <n v="94"/>
    <n v="1"/>
    <d v="2018-06-21T00:00:00"/>
    <m/>
    <m/>
    <m/>
    <m/>
    <m/>
    <n v="93"/>
    <n v="1"/>
    <m/>
    <m/>
    <m/>
    <m/>
    <m/>
    <m/>
    <m/>
    <n v="1"/>
    <b v="1"/>
    <n v="1"/>
    <b v="1"/>
    <b v="1"/>
    <s v="Commercial Approval Requested"/>
    <x v="0"/>
    <x v="0"/>
    <x v="0"/>
    <x v="0"/>
    <x v="0"/>
    <x v="0"/>
    <n v="0"/>
    <s v=""/>
    <s v=""/>
    <s v=""/>
    <s v=""/>
    <n v="0"/>
    <n v="0"/>
    <s v=""/>
    <s v="Commercial Approval Requested"/>
    <x v="6"/>
  </r>
  <r>
    <s v="ACBA_0245"/>
    <x v="2"/>
    <x v="0"/>
    <n v="60"/>
    <x v="10"/>
    <n v="95.193160000000006"/>
    <n v="18.772030000000001"/>
    <s v="Telenor"/>
    <n v="202"/>
    <s v="BAW5555"/>
    <x v="3"/>
    <s v="Prevalidated"/>
    <s v="OK"/>
    <s v="OK"/>
    <s v="OK"/>
    <s v="OK"/>
    <s v="OK"/>
    <s v="OK"/>
    <n v="29"/>
    <n v="1"/>
    <d v="2018-06-16T00:00:00"/>
    <m/>
    <m/>
    <m/>
    <m/>
    <m/>
    <n v="28"/>
    <n v="1"/>
    <m/>
    <m/>
    <m/>
    <m/>
    <m/>
    <m/>
    <m/>
    <n v="1"/>
    <b v="1"/>
    <n v="1"/>
    <b v="1"/>
    <b v="1"/>
    <s v="Prevalidated"/>
    <x v="0"/>
    <x v="0"/>
    <x v="0"/>
    <x v="0"/>
    <x v="0"/>
    <x v="0"/>
    <n v="0"/>
    <s v=""/>
    <n v="0"/>
    <s v=""/>
    <s v=""/>
    <n v="1"/>
    <n v="1"/>
    <s v="Work Completed"/>
    <s v="Prevalidated - TSSR in Process"/>
    <x v="2"/>
  </r>
  <r>
    <s v="ANMD_0133"/>
    <x v="0"/>
    <x v="0"/>
    <n v="60"/>
    <x v="2"/>
    <n v="95.776430000000005"/>
    <n v="20.910440000000001"/>
    <s v="Telenor-MPT"/>
    <n v="203"/>
    <s v="No ID Yet"/>
    <x v="3"/>
    <s v="Prevalidated"/>
    <s v="OK"/>
    <s v="OK"/>
    <s v="OK"/>
    <s v="OK"/>
    <s v="OK"/>
    <s v="OK"/>
    <n v="46"/>
    <n v="1"/>
    <m/>
    <m/>
    <m/>
    <m/>
    <m/>
    <m/>
    <n v="45"/>
    <n v="1"/>
    <m/>
    <m/>
    <d v="2018-06-12T00:00:00"/>
    <d v="2018-06-12T00:00:00"/>
    <m/>
    <m/>
    <m/>
    <n v="1"/>
    <b v="1"/>
    <n v="1"/>
    <b v="1"/>
    <b v="1"/>
    <s v="Prevalidated"/>
    <x v="0"/>
    <x v="0"/>
    <x v="0"/>
    <x v="0"/>
    <x v="0"/>
    <x v="0"/>
    <n v="0"/>
    <s v=""/>
    <n v="0"/>
    <s v=""/>
    <s v=""/>
    <n v="0"/>
    <n v="0"/>
    <s v=""/>
    <s v="Prevalidated - TSSR in Process"/>
    <x v="2"/>
  </r>
  <r>
    <s v="ACAY_0171"/>
    <x v="2"/>
    <x v="0"/>
    <n v="60"/>
    <x v="11"/>
    <n v="94.34469"/>
    <n v="16.55274"/>
    <s v="RFTE"/>
    <n v="204"/>
    <s v="AYW5539"/>
    <x v="3"/>
    <s v="Prevalidated"/>
    <s v="OK"/>
    <s v="OK"/>
    <s v="OK"/>
    <s v="OK"/>
    <s v="OK"/>
    <s v="OK"/>
    <n v="11"/>
    <n v="1"/>
    <d v="2018-06-18T00:00:00"/>
    <d v="2018-06-19T00:00:00"/>
    <d v="2018-06-25T00:00:00"/>
    <d v="2018-07-31T00:00:00"/>
    <m/>
    <s v="Approved"/>
    <n v="11"/>
    <n v="1"/>
    <m/>
    <m/>
    <d v="2018-06-12T00:00:00"/>
    <d v="2018-06-12T00:00:00"/>
    <m/>
    <m/>
    <m/>
    <n v="1"/>
    <b v="1"/>
    <n v="1"/>
    <b v="1"/>
    <b v="1"/>
    <s v="Prevalidated"/>
    <x v="0"/>
    <x v="0"/>
    <x v="0"/>
    <x v="0"/>
    <x v="0"/>
    <x v="0"/>
    <n v="0"/>
    <s v="Submitted"/>
    <s v="Approved"/>
    <s v="In Process"/>
    <n v="0"/>
    <n v="0"/>
    <n v="0"/>
    <s v=""/>
    <s v="Prevalidated - TSSR Done"/>
    <x v="4"/>
  </r>
  <r>
    <s v="ANMG_0183"/>
    <x v="0"/>
    <x v="0"/>
    <n v="40"/>
    <x v="9"/>
    <n v="94.243739000000005"/>
    <n v="20.450634000000001"/>
    <s v="Telenor"/>
    <n v="205"/>
    <s v="MWW3494"/>
    <x v="3"/>
    <s v="Prevalidated"/>
    <s v="OK"/>
    <s v="OK"/>
    <s v="OK"/>
    <s v="OK"/>
    <s v="OK"/>
    <s v="OK"/>
    <n v="68"/>
    <n v="1"/>
    <d v="2018-06-27T00:00:00"/>
    <d v="2018-06-27T00:00:00"/>
    <d v="2018-07-02T00:00:00"/>
    <m/>
    <m/>
    <m/>
    <n v="67"/>
    <n v="1"/>
    <m/>
    <m/>
    <m/>
    <m/>
    <m/>
    <m/>
    <m/>
    <n v="1"/>
    <b v="1"/>
    <n v="1"/>
    <b v="1"/>
    <b v="1"/>
    <s v="Prevalidated"/>
    <x v="0"/>
    <x v="0"/>
    <x v="0"/>
    <x v="0"/>
    <x v="0"/>
    <x v="0"/>
    <n v="0"/>
    <s v="Submitted"/>
    <n v="0"/>
    <s v=""/>
    <s v=""/>
    <n v="0"/>
    <n v="0"/>
    <s v=""/>
    <s v="Prevalidated - TSSR in Process"/>
    <x v="2"/>
  </r>
  <r>
    <s v="ANMG_0185"/>
    <x v="0"/>
    <x v="0"/>
    <n v="40"/>
    <x v="9"/>
    <n v="94.248679999999993"/>
    <n v="20.45299"/>
    <s v="Telenor"/>
    <n v="206"/>
    <s v="No ID Yet"/>
    <x v="3"/>
    <s v="Dropped by Operator"/>
    <s v="OK"/>
    <s v="OK"/>
    <s v="OK"/>
    <s v="OK"/>
    <s v="OK"/>
    <s v="OK"/>
    <n v="69"/>
    <n v="1"/>
    <m/>
    <m/>
    <m/>
    <m/>
    <m/>
    <m/>
    <n v="68"/>
    <n v="1"/>
    <m/>
    <m/>
    <m/>
    <m/>
    <m/>
    <m/>
    <m/>
    <n v="1"/>
    <b v="1"/>
    <n v="1"/>
    <b v="1"/>
    <b v="1"/>
    <s v="Dropped by Operator"/>
    <x v="0"/>
    <x v="0"/>
    <x v="0"/>
    <x v="0"/>
    <x v="0"/>
    <x v="0"/>
    <n v="0"/>
    <s v=""/>
    <s v=""/>
    <s v=""/>
    <s v=""/>
    <n v="0"/>
    <n v="0"/>
    <s v=""/>
    <s v="Dropped by Operator"/>
    <x v="7"/>
  </r>
  <r>
    <s v="ANSG_0464"/>
    <x v="0"/>
    <x v="0"/>
    <n v="40"/>
    <x v="3"/>
    <n v="95.684730000000002"/>
    <n v="26.006710999999999"/>
    <s v="Telenor"/>
    <n v="207"/>
    <s v="SAW0732"/>
    <x v="3"/>
    <s v="Prevalidated"/>
    <s v="OK"/>
    <s v="OK"/>
    <s v="OK"/>
    <s v="OK"/>
    <s v="OK"/>
    <s v="OK"/>
    <n v="175"/>
    <n v="1"/>
    <m/>
    <m/>
    <m/>
    <m/>
    <m/>
    <m/>
    <n v="174"/>
    <n v="1"/>
    <m/>
    <m/>
    <m/>
    <m/>
    <m/>
    <m/>
    <m/>
    <n v="1"/>
    <b v="1"/>
    <n v="1"/>
    <b v="1"/>
    <b v="1"/>
    <s v="Prevalidated"/>
    <x v="0"/>
    <x v="0"/>
    <x v="0"/>
    <x v="0"/>
    <x v="0"/>
    <x v="0"/>
    <n v="0"/>
    <s v=""/>
    <n v="0"/>
    <s v=""/>
    <s v=""/>
    <n v="0"/>
    <n v="0"/>
    <s v=""/>
    <s v="Prevalidated - TSSR in Process"/>
    <x v="2"/>
  </r>
  <r>
    <s v="AYYN_0166"/>
    <x v="2"/>
    <x v="0"/>
    <n v="35"/>
    <x v="7"/>
    <n v="96.147660000000002"/>
    <n v="16.75808"/>
    <s v="Telenor-MPT-Mytel"/>
    <n v="208"/>
    <s v="YAW7860"/>
    <x v="3"/>
    <s v="Commercial Approval Requested"/>
    <s v="OK"/>
    <s v="OK"/>
    <s v="Review"/>
    <s v="OK"/>
    <s v="OK"/>
    <s v="OK"/>
    <n v="131"/>
    <n v="1"/>
    <m/>
    <d v="2018-07-17T00:00:00"/>
    <d v="2018-07-23T00:00:00"/>
    <m/>
    <m/>
    <m/>
    <n v="130"/>
    <n v="1"/>
    <m/>
    <m/>
    <m/>
    <m/>
    <m/>
    <m/>
    <m/>
    <n v="1"/>
    <b v="1"/>
    <n v="1"/>
    <b v="1"/>
    <b v="1"/>
    <s v="Commercial Approval Requested"/>
    <x v="0"/>
    <x v="0"/>
    <x v="0"/>
    <x v="0"/>
    <x v="0"/>
    <x v="0"/>
    <n v="0"/>
    <s v=""/>
    <s v=""/>
    <s v=""/>
    <s v=""/>
    <n v="0"/>
    <n v="0"/>
    <s v=""/>
    <s v="Commercial Approval Requested"/>
    <x v="6"/>
  </r>
  <r>
    <s v="AYYN_0562"/>
    <x v="2"/>
    <x v="1"/>
    <n v="30"/>
    <x v="7"/>
    <n v="96.152150000000006"/>
    <n v="16.753879999999999"/>
    <s v="Telenor-MPT"/>
    <n v="209"/>
    <s v="No ID Yet"/>
    <x v="3"/>
    <s v="Prevalidation Rejected"/>
    <s v="OK"/>
    <m/>
    <s v="Rejected"/>
    <m/>
    <m/>
    <s v="OK"/>
    <n v="167"/>
    <n v="1"/>
    <m/>
    <m/>
    <m/>
    <m/>
    <m/>
    <m/>
    <n v="166"/>
    <n v="1"/>
    <m/>
    <m/>
    <m/>
    <m/>
    <m/>
    <m/>
    <m/>
    <n v="1"/>
    <b v="1"/>
    <n v="1"/>
    <b v="1"/>
    <b v="1"/>
    <s v="Prevalidation Rejected"/>
    <x v="0"/>
    <x v="0"/>
    <x v="0"/>
    <x v="0"/>
    <x v="0"/>
    <x v="0"/>
    <n v="0"/>
    <s v=""/>
    <s v=""/>
    <s v=""/>
    <s v=""/>
    <n v="0"/>
    <n v="0"/>
    <s v=""/>
    <s v="Prevalidation Rejected"/>
    <x v="0"/>
  </r>
  <r>
    <s v="AYYN_0599"/>
    <x v="2"/>
    <x v="0"/>
    <n v="45"/>
    <x v="7"/>
    <n v="96.144215000000003"/>
    <n v="17.033743999999999"/>
    <s v="Telenor-MPT"/>
    <n v="210"/>
    <s v="YAW7859"/>
    <x v="3"/>
    <s v="Prevalidated"/>
    <s v="OK"/>
    <s v="OK"/>
    <s v="OK"/>
    <s v="OK"/>
    <s v="OK"/>
    <s v="OK"/>
    <n v="172"/>
    <n v="1"/>
    <d v="2018-06-11T00:00:00"/>
    <d v="2018-06-11T00:00:00"/>
    <d v="2018-06-11T00:00:00"/>
    <d v="2018-06-11T00:00:00"/>
    <m/>
    <s v="Approved"/>
    <n v="171"/>
    <n v="1"/>
    <m/>
    <m/>
    <m/>
    <m/>
    <m/>
    <m/>
    <m/>
    <n v="1"/>
    <b v="1"/>
    <n v="1"/>
    <b v="1"/>
    <b v="1"/>
    <s v="Prevalidated"/>
    <x v="0"/>
    <x v="0"/>
    <x v="0"/>
    <x v="0"/>
    <x v="0"/>
    <x v="0"/>
    <n v="0"/>
    <s v="Submitted"/>
    <s v="Approved"/>
    <s v="In Process"/>
    <n v="0"/>
    <n v="0"/>
    <n v="0"/>
    <s v=""/>
    <s v="Prevalidated - TSSR Done"/>
    <x v="4"/>
  </r>
  <r>
    <s v="AYYN_0218"/>
    <x v="2"/>
    <x v="0"/>
    <n v="45"/>
    <x v="7"/>
    <n v="96.328159999999997"/>
    <n v="16.640180000000001"/>
    <s v="Telenor-MPT-Mytel"/>
    <n v="211"/>
    <s v="No ID Yet"/>
    <x v="3"/>
    <s v="Prevalidated"/>
    <s v="OK"/>
    <s v="OK"/>
    <s v="OK"/>
    <s v="OK"/>
    <s v="OK"/>
    <s v="OK"/>
    <n v="134"/>
    <n v="1"/>
    <m/>
    <m/>
    <m/>
    <m/>
    <m/>
    <m/>
    <n v="133"/>
    <n v="1"/>
    <m/>
    <m/>
    <m/>
    <m/>
    <m/>
    <m/>
    <m/>
    <n v="1"/>
    <b v="1"/>
    <n v="1"/>
    <b v="1"/>
    <b v="1"/>
    <s v="Prevalidated"/>
    <x v="0"/>
    <x v="0"/>
    <x v="0"/>
    <x v="0"/>
    <x v="0"/>
    <x v="0"/>
    <n v="0"/>
    <s v=""/>
    <n v="0"/>
    <s v=""/>
    <s v=""/>
    <n v="0"/>
    <n v="0"/>
    <s v=""/>
    <s v="Prevalidated - TSSR in Process"/>
    <x v="2"/>
  </r>
  <r>
    <s v="AYYN_0223"/>
    <x v="2"/>
    <x v="0"/>
    <n v="45"/>
    <x v="7"/>
    <n v="95.967839999999995"/>
    <n v="17.306979999999999"/>
    <s v="Telenor-Mytel"/>
    <n v="212"/>
    <s v="YAW7853"/>
    <x v="3"/>
    <s v="Prevalidated"/>
    <s v="OK"/>
    <s v="OK"/>
    <s v="OK"/>
    <s v="OK"/>
    <s v="OK"/>
    <s v="OK"/>
    <n v="135"/>
    <n v="1"/>
    <m/>
    <m/>
    <m/>
    <m/>
    <m/>
    <m/>
    <n v="134"/>
    <n v="1"/>
    <m/>
    <m/>
    <m/>
    <m/>
    <m/>
    <m/>
    <m/>
    <n v="1"/>
    <b v="1"/>
    <n v="1"/>
    <b v="1"/>
    <b v="1"/>
    <s v="Prevalidated"/>
    <x v="0"/>
    <x v="0"/>
    <x v="0"/>
    <x v="0"/>
    <x v="0"/>
    <x v="0"/>
    <n v="0"/>
    <s v=""/>
    <n v="0"/>
    <s v=""/>
    <s v=""/>
    <n v="0"/>
    <n v="0"/>
    <s v=""/>
    <s v="Prevalidated - TSSR in Process"/>
    <x v="2"/>
  </r>
  <r>
    <s v="AYYN_0206"/>
    <x v="2"/>
    <x v="0"/>
    <n v="35"/>
    <x v="7"/>
    <n v="96.287679999999995"/>
    <n v="16.7288"/>
    <s v="Telenor"/>
    <n v="213"/>
    <s v="YAW7848"/>
    <x v="3"/>
    <s v="Prevalidated"/>
    <s v="OK"/>
    <s v="OK"/>
    <s v="OK"/>
    <s v="OK"/>
    <s v="OK"/>
    <s v="OK"/>
    <n v="133"/>
    <n v="1"/>
    <d v="2018-06-13T00:00:00"/>
    <d v="2018-06-15T00:00:00"/>
    <d v="2018-06-15T00:00:00"/>
    <d v="2018-06-15T00:00:00"/>
    <m/>
    <s v="Approved"/>
    <n v="132"/>
    <n v="1"/>
    <d v="2018-06-21T00:00:00"/>
    <s v="NTP Received"/>
    <m/>
    <m/>
    <m/>
    <m/>
    <m/>
    <n v="1"/>
    <b v="1"/>
    <n v="1"/>
    <b v="1"/>
    <b v="1"/>
    <s v="Prevalidated"/>
    <x v="0"/>
    <x v="0"/>
    <x v="0"/>
    <x v="0"/>
    <x v="0"/>
    <x v="0"/>
    <n v="0"/>
    <s v="Submitted"/>
    <s v="Approved"/>
    <s v="In Process"/>
    <s v="NTP Received"/>
    <n v="0"/>
    <n v="0"/>
    <s v=""/>
    <s v="NTP Received"/>
    <x v="8"/>
  </r>
  <r>
    <s v="AYYN_0171"/>
    <x v="2"/>
    <x v="0"/>
    <n v="35"/>
    <x v="7"/>
    <n v="96.281469999999999"/>
    <n v="16.736360000000001"/>
    <s v="Telenor"/>
    <n v="214"/>
    <s v="No ID Yet"/>
    <x v="3"/>
    <s v="Prevalidation Rejected"/>
    <s v="OK"/>
    <s v="OK"/>
    <s v="OK"/>
    <s v="Rejected"/>
    <s v="OK"/>
    <s v="OK"/>
    <n v="132"/>
    <n v="1"/>
    <m/>
    <m/>
    <m/>
    <m/>
    <m/>
    <m/>
    <n v="131"/>
    <n v="1"/>
    <m/>
    <m/>
    <m/>
    <m/>
    <m/>
    <m/>
    <m/>
    <n v="1"/>
    <b v="1"/>
    <n v="1"/>
    <b v="1"/>
    <b v="1"/>
    <s v="Prevalidation Rejected"/>
    <x v="0"/>
    <x v="0"/>
    <x v="0"/>
    <x v="0"/>
    <x v="0"/>
    <x v="0"/>
    <n v="0"/>
    <s v=""/>
    <s v=""/>
    <s v=""/>
    <s v=""/>
    <n v="0"/>
    <n v="0"/>
    <s v=""/>
    <s v="Prevalidation Rejected"/>
    <x v="0"/>
  </r>
  <r>
    <s v="AYYN_0144"/>
    <x v="2"/>
    <x v="0"/>
    <n v="45"/>
    <x v="7"/>
    <n v="96.063779999999994"/>
    <n v="16.820209999999999"/>
    <s v="Telenor-Mytel"/>
    <n v="215"/>
    <s v="YAW7846"/>
    <x v="3"/>
    <s v="Prevalidated"/>
    <s v="OK"/>
    <s v="OK"/>
    <s v="OK"/>
    <s v="OK"/>
    <s v="OK"/>
    <s v="OK"/>
    <n v="129"/>
    <n v="1"/>
    <d v="2018-06-11T00:00:00"/>
    <d v="2018-06-11T00:00:00"/>
    <d v="2018-06-11T00:00:00"/>
    <d v="2018-06-11T00:00:00"/>
    <m/>
    <s v="Approved"/>
    <n v="128"/>
    <n v="1"/>
    <d v="2018-06-22T00:00:00"/>
    <s v="NTP Received"/>
    <m/>
    <m/>
    <m/>
    <m/>
    <m/>
    <n v="1"/>
    <b v="1"/>
    <n v="1"/>
    <b v="1"/>
    <b v="1"/>
    <s v="Prevalidated"/>
    <x v="0"/>
    <x v="0"/>
    <x v="0"/>
    <x v="0"/>
    <x v="0"/>
    <x v="0"/>
    <n v="0"/>
    <s v="Submitted"/>
    <s v="Approved"/>
    <s v="In Process"/>
    <s v="NTP Received"/>
    <n v="0"/>
    <n v="0"/>
    <s v=""/>
    <s v="NTP Received"/>
    <x v="8"/>
  </r>
  <r>
    <s v="AYYN_0066"/>
    <x v="2"/>
    <x v="0"/>
    <n v="45"/>
    <x v="7"/>
    <n v="96.136369999999999"/>
    <n v="17.172709999999999"/>
    <s v="Telenor"/>
    <n v="216"/>
    <s v="YAW7843"/>
    <x v="3"/>
    <s v="Commercial Approval Requested"/>
    <s v="OK"/>
    <s v="OK"/>
    <s v="OK"/>
    <s v="Review"/>
    <s v="OK"/>
    <s v="OK"/>
    <n v="120"/>
    <n v="1"/>
    <d v="2018-06-11T00:00:00"/>
    <d v="2018-06-12T00:00:00"/>
    <d v="2018-06-12T00:00:00"/>
    <d v="2018-06-12T00:00:00"/>
    <m/>
    <s v="Approved"/>
    <n v="119"/>
    <n v="1"/>
    <m/>
    <m/>
    <m/>
    <m/>
    <m/>
    <m/>
    <m/>
    <n v="1"/>
    <b v="1"/>
    <n v="1"/>
    <b v="1"/>
    <b v="1"/>
    <s v="Commercial Approval Requested"/>
    <x v="0"/>
    <x v="0"/>
    <x v="0"/>
    <x v="0"/>
    <x v="0"/>
    <x v="0"/>
    <n v="0"/>
    <s v=""/>
    <s v=""/>
    <s v=""/>
    <s v=""/>
    <n v="0"/>
    <n v="0"/>
    <s v=""/>
    <s v="Commercial Approval Requested"/>
    <x v="6"/>
  </r>
  <r>
    <s v="ACRK_0028"/>
    <x v="0"/>
    <x v="0"/>
    <n v="50"/>
    <x v="0"/>
    <n v="92.365600000000001"/>
    <n v="20.819479999999999"/>
    <s v="Telenor"/>
    <n v="217"/>
    <s v="RKE00512"/>
    <x v="2"/>
    <s v="Prevalidated"/>
    <s v="OK"/>
    <s v="OK"/>
    <s v="OK"/>
    <s v="OK"/>
    <s v="OK"/>
    <s v="OK"/>
    <n v="228"/>
    <n v="1"/>
    <d v="2018-06-30T00:00:00"/>
    <m/>
    <m/>
    <m/>
    <m/>
    <m/>
    <n v="227"/>
    <n v="1"/>
    <m/>
    <m/>
    <m/>
    <m/>
    <m/>
    <m/>
    <m/>
    <n v="1"/>
    <b v="1"/>
    <n v="1"/>
    <b v="1"/>
    <b v="1"/>
    <s v="Prevalidated"/>
    <x v="0"/>
    <x v="0"/>
    <x v="0"/>
    <x v="0"/>
    <x v="0"/>
    <x v="0"/>
    <n v="0"/>
    <s v=""/>
    <n v="0"/>
    <s v=""/>
    <s v=""/>
    <n v="0"/>
    <n v="0"/>
    <s v=""/>
    <s v="Prevalidated - TSSR in Process"/>
    <x v="2"/>
  </r>
  <r>
    <s v="ANMG_0019"/>
    <x v="0"/>
    <x v="0"/>
    <n v="35"/>
    <x v="9"/>
    <n v="94.939629999999994"/>
    <n v="20.14686"/>
    <s v="Telenor-Ooredoo-MPT"/>
    <n v="218"/>
    <s v="MGY0017"/>
    <x v="0"/>
    <s v="Prevalidation Rejected"/>
    <s v="OK"/>
    <s v="OK"/>
    <s v="Review"/>
    <m/>
    <s v="OK"/>
    <s v="Review"/>
    <n v="229"/>
    <n v="1"/>
    <m/>
    <m/>
    <m/>
    <m/>
    <m/>
    <m/>
    <n v="228"/>
    <n v="1"/>
    <m/>
    <m/>
    <m/>
    <m/>
    <m/>
    <m/>
    <m/>
    <n v="1"/>
    <b v="1"/>
    <n v="1"/>
    <b v="1"/>
    <b v="1"/>
    <s v="Prevalidation Rejected"/>
    <x v="0"/>
    <x v="0"/>
    <x v="0"/>
    <x v="0"/>
    <x v="0"/>
    <x v="0"/>
    <n v="0"/>
    <s v=""/>
    <s v=""/>
    <s v=""/>
    <s v=""/>
    <n v="0"/>
    <n v="0"/>
    <s v=""/>
    <s v="Prevalidation Rejected"/>
    <x v="0"/>
  </r>
  <r>
    <s v="ANMG_0058"/>
    <x v="1"/>
    <x v="0"/>
    <n v="45"/>
    <x v="9"/>
    <n v="95.168968000000007"/>
    <n v="19.319043000000001"/>
    <s v="Telenor"/>
    <n v="219"/>
    <s v="MGY0063"/>
    <x v="0"/>
    <s v="Dropped by Operator"/>
    <s v="OK"/>
    <s v="OK"/>
    <s v="OK"/>
    <s v="OK"/>
    <s v="OK"/>
    <s v="OK"/>
    <n v="230"/>
    <n v="1"/>
    <m/>
    <m/>
    <m/>
    <m/>
    <m/>
    <m/>
    <n v="229"/>
    <n v="1"/>
    <m/>
    <m/>
    <m/>
    <m/>
    <m/>
    <m/>
    <m/>
    <n v="1"/>
    <b v="1"/>
    <n v="1"/>
    <b v="1"/>
    <b v="1"/>
    <s v="Dropped by Operator"/>
    <x v="0"/>
    <x v="0"/>
    <x v="0"/>
    <x v="0"/>
    <x v="0"/>
    <x v="0"/>
    <n v="0"/>
    <s v=""/>
    <s v=""/>
    <s v=""/>
    <s v=""/>
    <n v="0"/>
    <n v="0"/>
    <s v=""/>
    <s v="Dropped by Operator"/>
    <x v="7"/>
  </r>
  <r>
    <s v="ANMG_0122"/>
    <x v="0"/>
    <x v="0"/>
    <n v="45"/>
    <x v="9"/>
    <n v="95.401240000000001"/>
    <n v="20.360385000000001"/>
    <s v="Telenor"/>
    <n v="220"/>
    <s v="MGY0103"/>
    <x v="0"/>
    <s v="Prevalidation Rejected"/>
    <s v="OK"/>
    <s v="OK"/>
    <s v="OK"/>
    <m/>
    <m/>
    <s v="Rejected"/>
    <n v="231"/>
    <n v="1"/>
    <m/>
    <m/>
    <m/>
    <m/>
    <m/>
    <m/>
    <n v="230"/>
    <n v="1"/>
    <m/>
    <m/>
    <m/>
    <m/>
    <m/>
    <m/>
    <m/>
    <n v="1"/>
    <b v="1"/>
    <n v="1"/>
    <b v="1"/>
    <b v="1"/>
    <s v="Prevalidation Rejected"/>
    <x v="0"/>
    <x v="0"/>
    <x v="0"/>
    <x v="0"/>
    <x v="0"/>
    <x v="0"/>
    <n v="0"/>
    <s v=""/>
    <s v=""/>
    <s v=""/>
    <s v=""/>
    <n v="0"/>
    <n v="0"/>
    <s v=""/>
    <s v="Prevalidation Rejected"/>
    <x v="0"/>
  </r>
  <r>
    <s v="ANNP_0391"/>
    <x v="1"/>
    <x v="0"/>
    <n v="50"/>
    <x v="8"/>
    <n v="96.242636000000005"/>
    <n v="20.038595999999998"/>
    <s v="Telenor"/>
    <n v="221"/>
    <s v="NPW0266"/>
    <x v="0"/>
    <s v="Prevalidated"/>
    <s v="OK"/>
    <s v="OK"/>
    <s v="OK"/>
    <s v="OK"/>
    <s v="OK"/>
    <s v="OK"/>
    <n v="232"/>
    <n v="1"/>
    <m/>
    <m/>
    <d v="2018-06-01T00:00:00"/>
    <d v="2018-06-01T00:00:00"/>
    <m/>
    <s v="Approved"/>
    <n v="231"/>
    <n v="1"/>
    <d v="2018-06-11T00:00:00"/>
    <s v="Approved"/>
    <m/>
    <m/>
    <m/>
    <m/>
    <m/>
    <n v="1"/>
    <b v="1"/>
    <n v="1"/>
    <b v="1"/>
    <b v="1"/>
    <s v="Prevalidated"/>
    <x v="0"/>
    <x v="0"/>
    <x v="0"/>
    <x v="0"/>
    <x v="0"/>
    <x v="0"/>
    <n v="0"/>
    <s v="Submitted"/>
    <s v="Approved"/>
    <s v="In Process"/>
    <s v="Approved"/>
    <n v="0"/>
    <n v="0"/>
    <s v=""/>
    <s v="Colo Application Approved"/>
    <x v="1"/>
  </r>
  <r>
    <s v="ANNP_0226"/>
    <x v="1"/>
    <x v="0"/>
    <n v="60"/>
    <x v="8"/>
    <n v="96.167720000000003"/>
    <n v="19.628900000000002"/>
    <s v="Telenor-Ooredoo"/>
    <n v="222"/>
    <s v="NPW0268"/>
    <x v="0"/>
    <s v="Prevalidation Rejected"/>
    <s v="OK"/>
    <s v="OK"/>
    <s v="OK"/>
    <m/>
    <s v="OK"/>
    <s v="Rejected"/>
    <n v="233"/>
    <n v="1"/>
    <m/>
    <m/>
    <m/>
    <m/>
    <m/>
    <m/>
    <n v="232"/>
    <n v="1"/>
    <m/>
    <m/>
    <m/>
    <m/>
    <m/>
    <m/>
    <m/>
    <n v="1"/>
    <b v="1"/>
    <n v="1"/>
    <b v="1"/>
    <b v="1"/>
    <s v="Prevalidation Rejected"/>
    <x v="0"/>
    <x v="0"/>
    <x v="0"/>
    <x v="0"/>
    <x v="0"/>
    <x v="0"/>
    <n v="0"/>
    <s v=""/>
    <s v=""/>
    <s v=""/>
    <s v=""/>
    <n v="0"/>
    <n v="0"/>
    <s v=""/>
    <s v="Prevalidation Rejected"/>
    <x v="0"/>
  </r>
  <r>
    <s v="ANNP_0210"/>
    <x v="1"/>
    <x v="0"/>
    <n v="35"/>
    <x v="8"/>
    <n v="96.093687000000003"/>
    <n v="19.705279999999998"/>
    <s v="Telenor-MPT"/>
    <n v="223"/>
    <s v="NPW0269"/>
    <x v="0"/>
    <s v="Dropped by Operator"/>
    <s v="OK"/>
    <s v="OK"/>
    <s v="OK"/>
    <s v="Review"/>
    <m/>
    <s v="OK"/>
    <n v="234"/>
    <n v="1"/>
    <m/>
    <m/>
    <m/>
    <m/>
    <m/>
    <m/>
    <n v="233"/>
    <n v="1"/>
    <m/>
    <m/>
    <m/>
    <m/>
    <m/>
    <m/>
    <m/>
    <n v="1"/>
    <b v="1"/>
    <n v="1"/>
    <b v="1"/>
    <b v="1"/>
    <s v="Dropped by Operator"/>
    <x v="0"/>
    <x v="0"/>
    <x v="0"/>
    <x v="0"/>
    <x v="0"/>
    <x v="0"/>
    <n v="0"/>
    <s v=""/>
    <s v=""/>
    <s v=""/>
    <s v=""/>
    <n v="0"/>
    <n v="0"/>
    <s v=""/>
    <s v="Dropped by Operator"/>
    <x v="7"/>
  </r>
  <r>
    <s v="ANSG_0373"/>
    <x v="0"/>
    <x v="0"/>
    <n v="60"/>
    <x v="3"/>
    <n v="96.003479999999996"/>
    <n v="21.92353"/>
    <s v="Telenor"/>
    <n v="224"/>
    <s v="SGG0992"/>
    <x v="0"/>
    <s v="Prevalidated"/>
    <s v="OK"/>
    <s v="OK"/>
    <s v="OK"/>
    <s v="Review"/>
    <s v="OK"/>
    <s v="OK"/>
    <n v="235"/>
    <n v="1"/>
    <m/>
    <m/>
    <m/>
    <m/>
    <m/>
    <m/>
    <n v="234"/>
    <n v="1"/>
    <m/>
    <m/>
    <m/>
    <m/>
    <m/>
    <m/>
    <m/>
    <n v="1"/>
    <b v="1"/>
    <n v="1"/>
    <b v="1"/>
    <b v="1"/>
    <s v="Prevalidated"/>
    <x v="0"/>
    <x v="0"/>
    <x v="0"/>
    <x v="0"/>
    <x v="0"/>
    <x v="0"/>
    <n v="0"/>
    <s v=""/>
    <n v="0"/>
    <s v=""/>
    <s v=""/>
    <n v="0"/>
    <n v="0"/>
    <s v=""/>
    <s v="Prevalidated - TSSR in Process"/>
    <x v="2"/>
  </r>
  <r>
    <s v="ANMD_0091"/>
    <x v="0"/>
    <x v="2"/>
    <n v="6"/>
    <x v="2"/>
    <n v="96.104039999999998"/>
    <n v="21.972560000000001"/>
    <s v="Telenor"/>
    <n v="225"/>
    <s v="MDYCMTN004"/>
    <x v="1"/>
    <s v="Prevalidated"/>
    <s v="OK"/>
    <s v="OK"/>
    <s v="OK"/>
    <s v="OK"/>
    <m/>
    <s v="OK"/>
    <n v="236"/>
    <n v="1"/>
    <m/>
    <d v="2018-03-07T00:00:00"/>
    <m/>
    <d v="2018-03-12T00:00:00"/>
    <m/>
    <s v="Approved"/>
    <n v="235"/>
    <n v="1"/>
    <m/>
    <m/>
    <m/>
    <m/>
    <m/>
    <m/>
    <m/>
    <n v="1"/>
    <b v="1"/>
    <n v="1"/>
    <b v="1"/>
    <b v="1"/>
    <s v="Prevalidated"/>
    <x v="0"/>
    <x v="0"/>
    <x v="0"/>
    <x v="0"/>
    <x v="0"/>
    <x v="0"/>
    <n v="0"/>
    <s v=""/>
    <s v="Approved"/>
    <s v="In Process"/>
    <n v="0"/>
    <n v="0"/>
    <n v="0"/>
    <s v=""/>
    <s v="Prevalidated - TSSR Done"/>
    <x v="4"/>
  </r>
  <r>
    <s v="ANMD_0093"/>
    <x v="0"/>
    <x v="2"/>
    <n v="6"/>
    <x v="2"/>
    <n v="96.112989999999996"/>
    <n v="21.98048"/>
    <s v="Telenor"/>
    <n v="226"/>
    <s v="MDYCMTN035"/>
    <x v="1"/>
    <s v="Prevalidation Rejected"/>
    <s v="Rejected"/>
    <s v="OK"/>
    <s v="OK"/>
    <m/>
    <m/>
    <s v="OK"/>
    <n v="237"/>
    <n v="1"/>
    <m/>
    <d v="2018-03-07T00:00:00"/>
    <m/>
    <d v="2018-03-12T00:00:00"/>
    <m/>
    <s v="Approved"/>
    <n v="236"/>
    <n v="1"/>
    <m/>
    <m/>
    <m/>
    <m/>
    <m/>
    <m/>
    <m/>
    <n v="1"/>
    <b v="1"/>
    <n v="1"/>
    <b v="1"/>
    <b v="1"/>
    <s v="Prevalidation Rejected"/>
    <x v="0"/>
    <x v="0"/>
    <x v="0"/>
    <x v="0"/>
    <x v="0"/>
    <x v="0"/>
    <n v="0"/>
    <s v=""/>
    <s v=""/>
    <s v=""/>
    <s v=""/>
    <n v="0"/>
    <n v="0"/>
    <s v=""/>
    <s v="Prevalidation Rejected"/>
    <x v="0"/>
  </r>
  <r>
    <s v="ANMD_0105"/>
    <x v="0"/>
    <x v="2"/>
    <n v="6"/>
    <x v="2"/>
    <n v="96.099080000000001"/>
    <n v="21.933440000000001"/>
    <s v="Telenor"/>
    <n v="227"/>
    <s v="MDYCMTZ023"/>
    <x v="1"/>
    <s v="Prevalidated"/>
    <s v="OK"/>
    <s v="OK"/>
    <s v="OK"/>
    <s v="OK"/>
    <m/>
    <s v="OK"/>
    <n v="238"/>
    <n v="1"/>
    <m/>
    <d v="2018-03-13T00:00:00"/>
    <m/>
    <d v="2018-03-14T00:00:00"/>
    <m/>
    <s v="Approved"/>
    <n v="237"/>
    <n v="1"/>
    <m/>
    <m/>
    <m/>
    <m/>
    <m/>
    <m/>
    <m/>
    <n v="1"/>
    <b v="1"/>
    <n v="1"/>
    <b v="1"/>
    <b v="1"/>
    <s v="Prevalidated"/>
    <x v="0"/>
    <x v="0"/>
    <x v="0"/>
    <x v="0"/>
    <x v="0"/>
    <x v="0"/>
    <n v="0"/>
    <s v=""/>
    <s v="Approved"/>
    <s v="In Process"/>
    <n v="0"/>
    <n v="0"/>
    <n v="0"/>
    <s v=""/>
    <s v="Prevalidated - TSSR Done"/>
    <x v="4"/>
  </r>
  <r>
    <s v="AYYN_0520"/>
    <x v="2"/>
    <x v="0"/>
    <n v="35"/>
    <x v="7"/>
    <n v="96.267070000000004"/>
    <n v="16.83447"/>
    <s v="Telenor"/>
    <n v="229"/>
    <s v="YAM7610"/>
    <x v="3"/>
    <s v="Commercial Approval Requested"/>
    <s v="OK"/>
    <s v="OK"/>
    <s v="OK"/>
    <s v="Review"/>
    <s v="OK"/>
    <s v="OK"/>
    <n v="239"/>
    <n v="1"/>
    <d v="2018-06-02T00:00:00"/>
    <d v="2018-06-04T00:00:00"/>
    <d v="2018-06-04T00:00:00"/>
    <d v="2018-06-04T00:00:00"/>
    <m/>
    <s v="Approved"/>
    <n v="238"/>
    <n v="1"/>
    <m/>
    <m/>
    <m/>
    <m/>
    <m/>
    <m/>
    <m/>
    <n v="1"/>
    <b v="1"/>
    <n v="1"/>
    <b v="1"/>
    <b v="1"/>
    <s v="Commercial Approval Requested"/>
    <x v="0"/>
    <x v="0"/>
    <x v="0"/>
    <x v="0"/>
    <x v="0"/>
    <x v="0"/>
    <n v="0"/>
    <s v=""/>
    <s v=""/>
    <s v=""/>
    <s v=""/>
    <n v="1"/>
    <n v="1"/>
    <s v="Work Completed"/>
    <s v="Commercial Approval Requested"/>
    <x v="6"/>
  </r>
  <r>
    <s v="AYYN_0110"/>
    <x v="2"/>
    <x v="3"/>
    <n v="30"/>
    <x v="7"/>
    <n v="96.098460000000003"/>
    <n v="16.90812"/>
    <s v="Telenor"/>
    <n v="230"/>
    <s v="YAW7657"/>
    <x v="3"/>
    <s v="Prevalidated"/>
    <s v="OK"/>
    <s v="OK"/>
    <s v="OK"/>
    <s v="OK"/>
    <s v="OK"/>
    <s v="OK"/>
    <n v="124"/>
    <n v="1"/>
    <d v="2018-06-02T00:00:00"/>
    <d v="2018-06-04T00:00:00"/>
    <d v="2018-06-04T00:00:00"/>
    <d v="2018-06-04T00:00:00"/>
    <m/>
    <s v="Approved"/>
    <n v="123"/>
    <n v="1"/>
    <d v="2018-06-15T00:00:00"/>
    <s v="NTP Received"/>
    <m/>
    <m/>
    <m/>
    <m/>
    <m/>
    <n v="1"/>
    <b v="1"/>
    <n v="1"/>
    <b v="1"/>
    <b v="1"/>
    <s v="Prevalidated"/>
    <x v="0"/>
    <x v="0"/>
    <x v="0"/>
    <x v="0"/>
    <x v="0"/>
    <x v="0"/>
    <n v="0"/>
    <s v="Submitted"/>
    <s v="Approved"/>
    <s v="In Process"/>
    <s v="NTP Received"/>
    <n v="0"/>
    <n v="0"/>
    <s v=""/>
    <s v="NTP Received"/>
    <x v="8"/>
  </r>
  <r>
    <s v="ANSG_0446"/>
    <x v="0"/>
    <x v="0"/>
    <n v="60"/>
    <x v="3"/>
    <n v="94.930620000000005"/>
    <n v="24.863890000000001"/>
    <s v="MPT-Telenor"/>
    <n v="231"/>
    <s v="SAW0353"/>
    <x v="3"/>
    <s v="Prevalidation Rejected"/>
    <s v="Rejected"/>
    <m/>
    <m/>
    <s v="OK"/>
    <m/>
    <s v="OK"/>
    <n v="90"/>
    <n v="1"/>
    <m/>
    <m/>
    <m/>
    <m/>
    <m/>
    <m/>
    <n v="89"/>
    <n v="1"/>
    <m/>
    <m/>
    <m/>
    <m/>
    <m/>
    <m/>
    <m/>
    <n v="1"/>
    <b v="1"/>
    <n v="1"/>
    <b v="1"/>
    <b v="1"/>
    <s v="Prevalidation Rejected"/>
    <x v="0"/>
    <x v="0"/>
    <x v="0"/>
    <x v="0"/>
    <x v="0"/>
    <x v="0"/>
    <n v="0"/>
    <s v=""/>
    <s v=""/>
    <s v=""/>
    <s v=""/>
    <n v="0"/>
    <n v="0"/>
    <s v=""/>
    <s v="Prevalidation Rejected"/>
    <x v="0"/>
  </r>
  <r>
    <s v="ANNP_0210"/>
    <x v="1"/>
    <x v="0"/>
    <n v="35"/>
    <x v="8"/>
    <n v="96.093687000000003"/>
    <n v="19.705279999999998"/>
    <s v="Telenor-MPT"/>
    <n v="232"/>
    <s v="NPW2259"/>
    <x v="3"/>
    <s v="Prevalidated"/>
    <s v="OK"/>
    <s v="OK"/>
    <s v="OK"/>
    <s v="OK"/>
    <s v="OK"/>
    <s v="OK"/>
    <n v="71"/>
    <n v="1"/>
    <d v="2018-06-12T00:00:00"/>
    <d v="2018-06-12T00:00:00"/>
    <d v="2018-06-12T00:00:00"/>
    <d v="2018-06-12T00:00:00"/>
    <m/>
    <s v="Approved"/>
    <n v="70"/>
    <n v="1"/>
    <d v="2018-06-27T00:00:00"/>
    <s v="NTP Received"/>
    <m/>
    <m/>
    <m/>
    <m/>
    <m/>
    <n v="1"/>
    <b v="1"/>
    <n v="1"/>
    <b v="1"/>
    <b v="1"/>
    <s v="Prevalidated"/>
    <x v="0"/>
    <x v="0"/>
    <x v="0"/>
    <x v="0"/>
    <x v="0"/>
    <x v="0"/>
    <n v="0"/>
    <s v="Submitted"/>
    <s v="Approved"/>
    <s v="In Process"/>
    <s v="NTP Received"/>
    <n v="0"/>
    <n v="0"/>
    <s v=""/>
    <s v="NTP Received"/>
    <x v="8"/>
  </r>
  <r>
    <s v="AYYN_0441"/>
    <x v="2"/>
    <x v="0"/>
    <n v="35"/>
    <x v="7"/>
    <n v="96.148870000000002"/>
    <n v="16.908709999999999"/>
    <s v="Telenor-MPT-Amara-Mytel"/>
    <n v="233"/>
    <s v="YAW4463"/>
    <x v="3"/>
    <s v="Commercial Approval Requested"/>
    <s v="OK"/>
    <s v="OK"/>
    <s v="OK"/>
    <s v="Review"/>
    <s v="OK"/>
    <s v="OK"/>
    <n v="149"/>
    <n v="1"/>
    <m/>
    <m/>
    <m/>
    <m/>
    <m/>
    <m/>
    <n v="148"/>
    <n v="1"/>
    <m/>
    <m/>
    <m/>
    <m/>
    <m/>
    <m/>
    <m/>
    <n v="1"/>
    <b v="1"/>
    <n v="1"/>
    <b v="1"/>
    <b v="1"/>
    <s v="Commercial Approval Requested"/>
    <x v="0"/>
    <x v="0"/>
    <x v="0"/>
    <x v="0"/>
    <x v="0"/>
    <x v="0"/>
    <n v="0"/>
    <s v=""/>
    <s v=""/>
    <s v=""/>
    <s v=""/>
    <n v="0"/>
    <n v="0"/>
    <s v=""/>
    <s v="Commercial Approval Requested"/>
    <x v="6"/>
  </r>
  <r>
    <s v="ANSG_0364"/>
    <x v="0"/>
    <x v="0"/>
    <n v="60"/>
    <x v="3"/>
    <n v="95.215819999999994"/>
    <n v="22.050450000000001"/>
    <s v="Telenor-MPT"/>
    <n v="234"/>
    <s v="SAW0705"/>
    <x v="3"/>
    <s v="Commercial Approval Requested"/>
    <s v="OK"/>
    <s v="OK"/>
    <s v="OK"/>
    <s v="Review"/>
    <s v="OK"/>
    <s v="Review"/>
    <n v="80"/>
    <n v="1"/>
    <d v="2018-06-09T00:00:00"/>
    <d v="2018-06-12T00:00:00"/>
    <d v="2018-06-12T00:00:00"/>
    <d v="2018-06-12T00:00:00"/>
    <m/>
    <s v="Approved"/>
    <n v="79"/>
    <n v="1"/>
    <m/>
    <m/>
    <m/>
    <m/>
    <m/>
    <m/>
    <m/>
    <n v="1"/>
    <b v="1"/>
    <n v="1"/>
    <b v="1"/>
    <b v="1"/>
    <s v="Commercial Approval Requested"/>
    <x v="0"/>
    <x v="0"/>
    <x v="0"/>
    <x v="0"/>
    <x v="0"/>
    <x v="0"/>
    <n v="0"/>
    <s v=""/>
    <s v=""/>
    <s v=""/>
    <s v=""/>
    <n v="1"/>
    <n v="1"/>
    <s v="Work Completed"/>
    <s v="Commercial Approval Requested"/>
    <x v="6"/>
  </r>
  <r>
    <s v="ACAY_0102"/>
    <x v="2"/>
    <x v="0"/>
    <n v="60"/>
    <x v="11"/>
    <n v="95.498159999999999"/>
    <n v="16.452259999999999"/>
    <s v="Telenor-MPT-Mytel"/>
    <n v="235"/>
    <s v="AYW5275"/>
    <x v="3"/>
    <s v="Commercial Approval Requested"/>
    <s v="OK"/>
    <s v="OK"/>
    <s v="Review"/>
    <s v="Review"/>
    <s v="OK"/>
    <s v="OK"/>
    <n v="6"/>
    <n v="1"/>
    <d v="2018-06-08T00:00:00"/>
    <d v="2018-06-08T00:00:00"/>
    <d v="2018-06-08T00:00:00"/>
    <d v="2018-06-08T00:00:00"/>
    <m/>
    <s v="Approved"/>
    <n v="6"/>
    <n v="1"/>
    <m/>
    <m/>
    <d v="2018-06-18T00:00:00"/>
    <d v="2018-06-18T00:00:00"/>
    <m/>
    <m/>
    <m/>
    <n v="1"/>
    <b v="1"/>
    <n v="1"/>
    <b v="1"/>
    <b v="1"/>
    <s v="Commercial Approval Requested"/>
    <x v="0"/>
    <x v="0"/>
    <x v="0"/>
    <x v="0"/>
    <x v="0"/>
    <x v="0"/>
    <n v="0"/>
    <s v=""/>
    <s v=""/>
    <s v=""/>
    <s v=""/>
    <n v="0"/>
    <n v="0"/>
    <s v=""/>
    <s v="Commercial Approval Requested"/>
    <x v="6"/>
  </r>
  <r>
    <s v="ASKH_3000"/>
    <x v="1"/>
    <x v="0"/>
    <n v="60"/>
    <x v="12"/>
    <n v="97.238169999999997"/>
    <n v="19.35614"/>
    <s v="MPT"/>
    <n v="236"/>
    <s v="KYW6046"/>
    <x v="3"/>
    <s v="Prevalidated"/>
    <s v="OK"/>
    <s v="OK"/>
    <s v="OK"/>
    <s v="OK"/>
    <s v="OK"/>
    <s v="OK"/>
    <n v="96"/>
    <n v="1"/>
    <m/>
    <m/>
    <m/>
    <m/>
    <m/>
    <m/>
    <n v="95"/>
    <n v="1"/>
    <m/>
    <m/>
    <m/>
    <m/>
    <m/>
    <m/>
    <m/>
    <n v="1"/>
    <b v="1"/>
    <n v="1"/>
    <b v="1"/>
    <b v="1"/>
    <s v="Prevalidated"/>
    <x v="0"/>
    <x v="0"/>
    <x v="0"/>
    <x v="0"/>
    <x v="0"/>
    <x v="0"/>
    <n v="0"/>
    <s v=""/>
    <n v="0"/>
    <s v=""/>
    <s v=""/>
    <n v="0"/>
    <n v="0"/>
    <s v=""/>
    <s v="Prevalidated - TSSR in Process"/>
    <x v="2"/>
  </r>
  <r>
    <s v="ANSG_0348"/>
    <x v="0"/>
    <x v="0"/>
    <n v="45"/>
    <x v="3"/>
    <n v="95.099779999999996"/>
    <n v="22.173539999999999"/>
    <s v="Telenor-MPT-Mytel"/>
    <n v="237"/>
    <s v="SAW0704"/>
    <x v="3"/>
    <s v="Prevalidated"/>
    <s v="OK"/>
    <s v="OK"/>
    <s v="OK"/>
    <s v="OK"/>
    <s v="OK"/>
    <s v="OK"/>
    <n v="75"/>
    <n v="1"/>
    <d v="2018-06-09T00:00:00"/>
    <d v="2018-06-12T00:00:00"/>
    <d v="2018-06-12T00:00:00"/>
    <d v="2018-06-12T00:00:00"/>
    <m/>
    <s v="Approved"/>
    <n v="74"/>
    <n v="1"/>
    <d v="2018-06-25T00:00:00"/>
    <s v="NTP Received"/>
    <m/>
    <m/>
    <m/>
    <m/>
    <m/>
    <n v="1"/>
    <b v="1"/>
    <n v="1"/>
    <b v="1"/>
    <b v="1"/>
    <s v="Prevalidated"/>
    <x v="0"/>
    <x v="0"/>
    <x v="0"/>
    <x v="0"/>
    <x v="0"/>
    <x v="0"/>
    <n v="0"/>
    <s v="Submitted"/>
    <s v="Approved"/>
    <s v="In Process"/>
    <s v="NTP Received"/>
    <n v="1"/>
    <n v="1"/>
    <s v="Work Completed"/>
    <s v="Work Completed"/>
    <x v="5"/>
  </r>
  <r>
    <s v="ANMD_0154"/>
    <x v="0"/>
    <x v="0"/>
    <n v="60"/>
    <x v="2"/>
    <n v="96.231350000000006"/>
    <n v="21.876259999999998"/>
    <s v="Telenor-Mytel"/>
    <n v="238"/>
    <s v="MAW2956"/>
    <x v="3"/>
    <s v="Commercial Approval Requested"/>
    <s v="OK"/>
    <s v="OK"/>
    <s v="OK"/>
    <s v="Review"/>
    <s v="OK"/>
    <s v="Review"/>
    <n v="47"/>
    <n v="1"/>
    <d v="2018-06-09T00:00:00"/>
    <d v="2018-06-11T00:00:00"/>
    <d v="2018-06-11T00:00:00"/>
    <d v="2018-06-11T00:00:00"/>
    <m/>
    <s v="Approved"/>
    <n v="46"/>
    <n v="1"/>
    <m/>
    <m/>
    <d v="2018-05-25T00:00:00"/>
    <d v="2018-05-25T00:00:00"/>
    <m/>
    <m/>
    <m/>
    <n v="1"/>
    <b v="1"/>
    <n v="1"/>
    <b v="1"/>
    <b v="1"/>
    <s v="Commercial Approval Requested"/>
    <x v="0"/>
    <x v="0"/>
    <x v="0"/>
    <x v="0"/>
    <x v="0"/>
    <x v="0"/>
    <n v="0"/>
    <s v=""/>
    <s v=""/>
    <s v=""/>
    <s v=""/>
    <n v="0"/>
    <n v="0"/>
    <s v=""/>
    <s v="Commercial Approval Requested"/>
    <x v="6"/>
  </r>
  <r>
    <s v="ANMG_0011"/>
    <x v="0"/>
    <x v="0"/>
    <n v="60"/>
    <x v="9"/>
    <n v="94.996099999999998"/>
    <n v="20.742629999999998"/>
    <s v="Telenor-MPT"/>
    <n v="239"/>
    <s v="MWW3525"/>
    <x v="3"/>
    <s v="Commercial Approval Requested"/>
    <s v="OK"/>
    <s v="OK"/>
    <s v="OK"/>
    <s v="Review"/>
    <s v="OK"/>
    <s v="OK"/>
    <n v="60"/>
    <n v="1"/>
    <d v="2018-06-25T00:00:00"/>
    <d v="2018-06-25T00:00:00"/>
    <d v="2018-07-02T00:00:00"/>
    <d v="2018-08-09T00:00:00"/>
    <m/>
    <s v="Approved"/>
    <n v="59"/>
    <n v="1"/>
    <m/>
    <m/>
    <m/>
    <m/>
    <m/>
    <m/>
    <m/>
    <n v="1"/>
    <b v="1"/>
    <n v="1"/>
    <b v="1"/>
    <b v="1"/>
    <s v="Commercial Approval Requested"/>
    <x v="0"/>
    <x v="0"/>
    <x v="0"/>
    <x v="0"/>
    <x v="0"/>
    <x v="0"/>
    <n v="0"/>
    <s v=""/>
    <s v=""/>
    <s v=""/>
    <s v=""/>
    <n v="0"/>
    <n v="0"/>
    <s v=""/>
    <s v="Commercial Approval Requested"/>
    <x v="6"/>
  </r>
  <r>
    <s v="ANMG_0113"/>
    <x v="0"/>
    <x v="0"/>
    <n v="50"/>
    <x v="9"/>
    <n v="94.740579999999994"/>
    <n v="20.217970000000001"/>
    <s v="Telenor-Mytel"/>
    <n v="240"/>
    <s v="MWW3516"/>
    <x v="3"/>
    <s v="Commercial Approval Requested"/>
    <s v="OK"/>
    <s v="OK"/>
    <s v="OK"/>
    <s v="Review"/>
    <s v="OK"/>
    <s v="Review"/>
    <n v="64"/>
    <n v="1"/>
    <d v="2018-06-26T00:00:00"/>
    <d v="2018-06-26T00:00:00"/>
    <d v="2018-07-02T00:00:00"/>
    <m/>
    <m/>
    <m/>
    <n v="63"/>
    <n v="1"/>
    <m/>
    <m/>
    <m/>
    <m/>
    <m/>
    <m/>
    <m/>
    <n v="1"/>
    <b v="1"/>
    <n v="1"/>
    <b v="1"/>
    <b v="1"/>
    <s v="Commercial Approval Requested"/>
    <x v="0"/>
    <x v="0"/>
    <x v="0"/>
    <x v="0"/>
    <x v="0"/>
    <x v="0"/>
    <n v="0"/>
    <s v=""/>
    <s v=""/>
    <s v=""/>
    <s v=""/>
    <n v="0"/>
    <n v="0"/>
    <s v=""/>
    <s v="Commercial Approval Requested"/>
    <x v="6"/>
  </r>
  <r>
    <s v="AYYN_0517"/>
    <x v="2"/>
    <x v="0"/>
    <n v="35"/>
    <x v="7"/>
    <n v="96.268259999999998"/>
    <n v="16.8415"/>
    <s v="Telenor-MPT"/>
    <n v="241"/>
    <s v="YAW7769"/>
    <x v="3"/>
    <s v="Commercial Approval Requested"/>
    <s v="OK"/>
    <s v="OK"/>
    <s v="OK"/>
    <s v="Review"/>
    <s v="OK"/>
    <s v="OK"/>
    <n v="155"/>
    <n v="1"/>
    <d v="2018-06-15T00:00:00"/>
    <d v="2018-06-13T00:00:00"/>
    <d v="2018-06-13T00:00:00"/>
    <d v="2018-06-13T00:00:00"/>
    <m/>
    <s v="Approved"/>
    <n v="154"/>
    <n v="1"/>
    <m/>
    <m/>
    <m/>
    <m/>
    <m/>
    <m/>
    <m/>
    <n v="1"/>
    <b v="1"/>
    <n v="1"/>
    <b v="1"/>
    <b v="1"/>
    <s v="Commercial Approval Requested"/>
    <x v="0"/>
    <x v="0"/>
    <x v="0"/>
    <x v="0"/>
    <x v="0"/>
    <x v="0"/>
    <n v="0"/>
    <s v=""/>
    <s v=""/>
    <s v=""/>
    <s v=""/>
    <n v="0"/>
    <n v="0"/>
    <s v=""/>
    <s v="Commercial Approval Requested"/>
    <x v="6"/>
  </r>
  <r>
    <s v="ANMD_0089"/>
    <x v="0"/>
    <x v="2"/>
    <n v="6"/>
    <x v="2"/>
    <n v="96.063800000000001"/>
    <n v="21.98387"/>
    <s v="Telenor"/>
    <n v="242"/>
    <s v="MDYCMTN019_2"/>
    <x v="1"/>
    <s v="Prevalidated"/>
    <s v="OK"/>
    <s v="OK"/>
    <s v="OK"/>
    <s v="OK"/>
    <m/>
    <s v="OK"/>
    <n v="240"/>
    <n v="1"/>
    <m/>
    <m/>
    <m/>
    <m/>
    <m/>
    <m/>
    <n v="239"/>
    <n v="1"/>
    <m/>
    <m/>
    <m/>
    <m/>
    <m/>
    <m/>
    <m/>
    <n v="1"/>
    <b v="1"/>
    <n v="1"/>
    <b v="1"/>
    <b v="1"/>
    <s v="Prevalidated"/>
    <x v="0"/>
    <x v="0"/>
    <x v="0"/>
    <x v="0"/>
    <x v="0"/>
    <x v="0"/>
    <n v="0"/>
    <s v=""/>
    <n v="0"/>
    <s v=""/>
    <s v=""/>
    <n v="0"/>
    <n v="0"/>
    <s v=""/>
    <s v="Prevalidated - TSSR in Process"/>
    <x v="2"/>
  </r>
  <r>
    <s v="ANMD_0118"/>
    <x v="0"/>
    <x v="2"/>
    <n v="6"/>
    <x v="2"/>
    <n v="96.080060000000003"/>
    <n v="21.963609999999999"/>
    <s v="Telenor"/>
    <n v="244"/>
    <s v="MDYMHAM042"/>
    <x v="1"/>
    <s v="Prevalidated"/>
    <s v="OK"/>
    <s v="OK"/>
    <s v="OK"/>
    <s v="OK"/>
    <m/>
    <s v="OK"/>
    <n v="241"/>
    <n v="1"/>
    <m/>
    <d v="2018-04-10T00:00:00"/>
    <m/>
    <d v="2018-04-10T00:00:00"/>
    <m/>
    <s v="Approved"/>
    <n v="240"/>
    <n v="1"/>
    <m/>
    <m/>
    <m/>
    <m/>
    <m/>
    <m/>
    <m/>
    <n v="1"/>
    <b v="1"/>
    <n v="1"/>
    <b v="1"/>
    <b v="1"/>
    <s v="Prevalidated"/>
    <x v="0"/>
    <x v="0"/>
    <x v="0"/>
    <x v="0"/>
    <x v="0"/>
    <x v="0"/>
    <n v="0"/>
    <s v=""/>
    <s v="Approved"/>
    <s v="In Process"/>
    <n v="0"/>
    <n v="0"/>
    <n v="0"/>
    <s v=""/>
    <s v="Prevalidated - TSSR Done"/>
    <x v="4"/>
  </r>
  <r>
    <s v="ACAY_3003"/>
    <x v="2"/>
    <x v="0"/>
    <n v="50"/>
    <x v="11"/>
    <n v="95.692139999999995"/>
    <n v="17.09252"/>
    <s v="MPT"/>
    <n v="246"/>
    <s v="AYW5573"/>
    <x v="3"/>
    <s v="Commercial Approval Requested"/>
    <s v="OK"/>
    <s v="OK"/>
    <s v="OK"/>
    <s v="Review"/>
    <s v="OK"/>
    <s v="OK"/>
    <n v="242"/>
    <n v="1"/>
    <d v="2018-06-18T00:00:00"/>
    <d v="2018-06-19T00:00:00"/>
    <d v="2018-06-25T00:00:00"/>
    <d v="2018-06-25T00:00:00"/>
    <m/>
    <s v="Approved"/>
    <n v="241"/>
    <n v="1"/>
    <m/>
    <m/>
    <m/>
    <m/>
    <m/>
    <m/>
    <m/>
    <n v="1"/>
    <b v="1"/>
    <n v="1"/>
    <b v="1"/>
    <b v="1"/>
    <s v="Commercial Approval Requested"/>
    <x v="0"/>
    <x v="0"/>
    <x v="0"/>
    <x v="0"/>
    <x v="0"/>
    <x v="0"/>
    <n v="0"/>
    <s v=""/>
    <s v=""/>
    <s v=""/>
    <s v=""/>
    <n v="1"/>
    <n v="1"/>
    <s v="Work Completed"/>
    <s v="Commercial Approval Requested"/>
    <x v="6"/>
  </r>
  <r>
    <s v="ASMO_0253"/>
    <x v="2"/>
    <x v="0"/>
    <n v="50"/>
    <x v="6"/>
    <n v="97.631699999999995"/>
    <n v="16.47748"/>
    <s v="Telenor-Mytel"/>
    <n v="247"/>
    <s v="MOW6291"/>
    <x v="3"/>
    <s v="Prevalidation Rejected"/>
    <s v="OK"/>
    <s v="OK"/>
    <s v="OK"/>
    <s v="Review"/>
    <s v="OK"/>
    <s v="Rejected"/>
    <n v="243"/>
    <n v="1"/>
    <d v="2018-07-03T00:00:00"/>
    <d v="2018-07-03T00:00:00"/>
    <d v="2018-07-04T00:00:00"/>
    <d v="2018-07-04T00:00:00"/>
    <m/>
    <s v="Approved"/>
    <n v="242"/>
    <n v="1"/>
    <m/>
    <m/>
    <m/>
    <m/>
    <m/>
    <m/>
    <m/>
    <n v="1"/>
    <b v="1"/>
    <n v="1"/>
    <b v="1"/>
    <b v="1"/>
    <s v="Prevalidation Rejected"/>
    <x v="0"/>
    <x v="0"/>
    <x v="0"/>
    <x v="0"/>
    <x v="0"/>
    <x v="0"/>
    <n v="0"/>
    <s v=""/>
    <s v=""/>
    <s v=""/>
    <s v=""/>
    <n v="0"/>
    <n v="0"/>
    <s v=""/>
    <s v="Prevalidation Rejected"/>
    <x v="0"/>
  </r>
  <r>
    <s v="ANMG_0027"/>
    <x v="0"/>
    <x v="0"/>
    <n v="60"/>
    <x v="9"/>
    <n v="95.005920000000003"/>
    <n v="20.121030000000001"/>
    <s v="Telenor"/>
    <n v="248"/>
    <s v="MWW3486"/>
    <x v="3"/>
    <s v="Commercial Approval Requested"/>
    <s v="OK"/>
    <s v="OK"/>
    <s v="OK"/>
    <s v="Review"/>
    <s v="OK"/>
    <s v="OK"/>
    <n v="244"/>
    <n v="1"/>
    <d v="2018-07-02T00:00:00"/>
    <d v="2018-07-02T00:00:00"/>
    <d v="2018-07-05T00:00:00"/>
    <d v="2018-07-31T00:00:00"/>
    <m/>
    <s v="Approved"/>
    <n v="243"/>
    <n v="1"/>
    <m/>
    <m/>
    <m/>
    <m/>
    <m/>
    <m/>
    <m/>
    <n v="1"/>
    <b v="1"/>
    <n v="1"/>
    <b v="1"/>
    <b v="1"/>
    <s v="Commercial Approval Requested"/>
    <x v="0"/>
    <x v="0"/>
    <x v="0"/>
    <x v="0"/>
    <x v="0"/>
    <x v="0"/>
    <n v="0"/>
    <s v=""/>
    <s v=""/>
    <s v=""/>
    <s v=""/>
    <n v="0"/>
    <n v="0"/>
    <s v=""/>
    <s v="Commercial Approval Requested"/>
    <x v="6"/>
  </r>
  <r>
    <s v="ANSH_0013"/>
    <x v="1"/>
    <x v="0"/>
    <n v="60"/>
    <x v="4"/>
    <n v="98.615170000000006"/>
    <n v="21.25742"/>
    <s v="RFTE"/>
    <n v="249"/>
    <s v="SHW1978"/>
    <x v="3"/>
    <s v="Commercial Approval Requested"/>
    <s v="OK"/>
    <s v="OK"/>
    <s v="OK"/>
    <s v="Review"/>
    <s v="OK"/>
    <s v="OK"/>
    <n v="245"/>
    <n v="1"/>
    <m/>
    <m/>
    <m/>
    <m/>
    <m/>
    <m/>
    <n v="244"/>
    <n v="1"/>
    <m/>
    <m/>
    <m/>
    <m/>
    <m/>
    <m/>
    <m/>
    <n v="1"/>
    <b v="1"/>
    <n v="1"/>
    <b v="1"/>
    <b v="1"/>
    <s v="Commercial Approval Requested"/>
    <x v="0"/>
    <x v="0"/>
    <x v="0"/>
    <x v="0"/>
    <x v="0"/>
    <x v="0"/>
    <n v="0"/>
    <s v=""/>
    <s v=""/>
    <s v=""/>
    <s v=""/>
    <n v="0"/>
    <n v="0"/>
    <s v=""/>
    <s v="Commercial Approval Requested"/>
    <x v="6"/>
  </r>
  <r>
    <s v="AYYN_0419"/>
    <x v="2"/>
    <x v="2"/>
    <n v="6"/>
    <x v="7"/>
    <n v="96.160480000000007"/>
    <n v="16.777979999999999"/>
    <s v="Telenor"/>
    <n v="250"/>
    <s v="YGNKTDA015"/>
    <x v="1"/>
    <s v="Prevalidated"/>
    <s v="OK"/>
    <s v="OK"/>
    <s v="OK"/>
    <s v="OK"/>
    <s v="OK"/>
    <s v="OK"/>
    <n v="246"/>
    <n v="1"/>
    <m/>
    <m/>
    <m/>
    <m/>
    <m/>
    <m/>
    <n v="245"/>
    <n v="1"/>
    <m/>
    <m/>
    <m/>
    <m/>
    <m/>
    <m/>
    <m/>
    <n v="1"/>
    <b v="1"/>
    <n v="1"/>
    <b v="1"/>
    <b v="1"/>
    <s v="Prevalidated"/>
    <x v="0"/>
    <x v="0"/>
    <x v="0"/>
    <x v="0"/>
    <x v="0"/>
    <x v="0"/>
    <n v="0"/>
    <s v=""/>
    <n v="0"/>
    <s v=""/>
    <s v=""/>
    <n v="0"/>
    <n v="0"/>
    <s v=""/>
    <s v="Prevalidated - TSSR in Process"/>
    <x v="2"/>
  </r>
  <r>
    <s v="AYYN_0100"/>
    <x v="2"/>
    <x v="3"/>
    <n v="30"/>
    <x v="7"/>
    <n v="96.162769999999995"/>
    <n v="16.925180000000001"/>
    <s v="Telenor-Amara"/>
    <n v="251"/>
    <s v="YGN0496"/>
    <x v="0"/>
    <s v="Prevalidated"/>
    <s v="OK"/>
    <s v="OK"/>
    <s v="OK"/>
    <s v="OK"/>
    <s v="OK"/>
    <s v="OK"/>
    <n v="247"/>
    <n v="1"/>
    <m/>
    <m/>
    <m/>
    <m/>
    <m/>
    <m/>
    <n v="246"/>
    <n v="1"/>
    <m/>
    <m/>
    <m/>
    <m/>
    <m/>
    <m/>
    <m/>
    <n v="1"/>
    <b v="1"/>
    <n v="1"/>
    <b v="1"/>
    <b v="1"/>
    <s v="Prevalidated"/>
    <x v="0"/>
    <x v="0"/>
    <x v="0"/>
    <x v="0"/>
    <x v="0"/>
    <x v="0"/>
    <n v="0"/>
    <s v=""/>
    <n v="0"/>
    <s v=""/>
    <s v=""/>
    <n v="0"/>
    <n v="0"/>
    <s v=""/>
    <s v="Prevalidated - TSSR in Process"/>
    <x v="2"/>
  </r>
  <r>
    <s v="AYYN_0141"/>
    <x v="2"/>
    <x v="2"/>
    <n v="6"/>
    <x v="7"/>
    <n v="96.148089999999996"/>
    <n v="16.772400000000001"/>
    <s v="Telenor-Ooredoo"/>
    <n v="252"/>
    <s v="YGNLTHA011"/>
    <x v="1"/>
    <s v="Prevalidated"/>
    <s v="OK"/>
    <s v="OK"/>
    <s v="OK"/>
    <s v="OK"/>
    <s v="OK"/>
    <s v="OK"/>
    <n v="248"/>
    <n v="1"/>
    <m/>
    <m/>
    <m/>
    <m/>
    <m/>
    <m/>
    <n v="247"/>
    <n v="1"/>
    <m/>
    <m/>
    <m/>
    <m/>
    <m/>
    <m/>
    <m/>
    <n v="1"/>
    <b v="1"/>
    <n v="1"/>
    <b v="1"/>
    <b v="1"/>
    <s v="Prevalidated"/>
    <x v="0"/>
    <x v="0"/>
    <x v="0"/>
    <x v="0"/>
    <x v="0"/>
    <x v="0"/>
    <n v="0"/>
    <s v=""/>
    <n v="0"/>
    <s v=""/>
    <s v=""/>
    <n v="0"/>
    <n v="0"/>
    <s v=""/>
    <s v="Prevalidated - TSSR in Process"/>
    <x v="2"/>
  </r>
  <r>
    <s v="ANMD_0175"/>
    <x v="0"/>
    <x v="0"/>
    <n v="35"/>
    <x v="2"/>
    <n v="96.485579999999999"/>
    <n v="22.030460000000001"/>
    <s v="Telenor-Ooredoo-MPT"/>
    <n v="253"/>
    <s v="No ID yet"/>
    <x v="0"/>
    <s v="Prevalidation Rejected"/>
    <m/>
    <s v="OK"/>
    <s v="Review"/>
    <s v="OK"/>
    <m/>
    <s v="OK"/>
    <n v="249"/>
    <n v="1"/>
    <m/>
    <m/>
    <m/>
    <m/>
    <m/>
    <m/>
    <n v="254"/>
    <n v="1"/>
    <m/>
    <m/>
    <m/>
    <m/>
    <m/>
    <m/>
    <m/>
    <n v="1"/>
    <b v="1"/>
    <n v="1"/>
    <b v="1"/>
    <b v="1"/>
    <s v="Prevalidation Rejected"/>
    <x v="0"/>
    <x v="0"/>
    <x v="0"/>
    <x v="0"/>
    <x v="0"/>
    <x v="0"/>
    <n v="0"/>
    <s v=""/>
    <s v=""/>
    <s v=""/>
    <s v=""/>
    <n v="0"/>
    <n v="0"/>
    <s v=""/>
    <s v="Prevalidation Rejected"/>
    <x v="0"/>
  </r>
  <r>
    <s v="AYYN_0339"/>
    <x v="2"/>
    <x v="2"/>
    <n v="6"/>
    <x v="7"/>
    <n v="96.119919999999993"/>
    <n v="16.867509999999999"/>
    <s v="Telenor"/>
    <n v="254"/>
    <s v="YGNMYGE008"/>
    <x v="1"/>
    <s v="Prevalidation Rejected"/>
    <s v="Rejected"/>
    <s v="OK"/>
    <s v="OK"/>
    <s v="OK"/>
    <s v="OK"/>
    <s v="OK"/>
    <n v="250"/>
    <n v="1"/>
    <m/>
    <m/>
    <m/>
    <m/>
    <m/>
    <m/>
    <n v="255"/>
    <n v="1"/>
    <m/>
    <m/>
    <m/>
    <m/>
    <m/>
    <m/>
    <m/>
    <n v="1"/>
    <b v="1"/>
    <n v="1"/>
    <b v="1"/>
    <b v="1"/>
    <s v="Prevalidation Rejected"/>
    <x v="0"/>
    <x v="0"/>
    <x v="0"/>
    <x v="0"/>
    <x v="0"/>
    <x v="0"/>
    <n v="0"/>
    <s v=""/>
    <s v=""/>
    <s v=""/>
    <s v=""/>
    <n v="0"/>
    <n v="0"/>
    <s v=""/>
    <s v="Prevalidation Rejected"/>
    <x v="0"/>
  </r>
  <r>
    <s v="ANMD_0078"/>
    <x v="0"/>
    <x v="2"/>
    <n v="6"/>
    <x v="2"/>
    <n v="96.078540000000004"/>
    <n v="21.991879999999998"/>
    <s v="Telenor-Ooredoo"/>
    <n v="255"/>
    <s v="MDYAMTZ006"/>
    <x v="1"/>
    <s v="Under Prevalidation"/>
    <s v="OK"/>
    <s v="OK"/>
    <s v="OK"/>
    <s v="OK"/>
    <m/>
    <s v="OK"/>
    <n v="251"/>
    <n v="1"/>
    <m/>
    <m/>
    <m/>
    <m/>
    <m/>
    <m/>
    <n v="256"/>
    <n v="1"/>
    <m/>
    <m/>
    <m/>
    <m/>
    <m/>
    <m/>
    <m/>
    <n v="1"/>
    <b v="1"/>
    <n v="1"/>
    <b v="1"/>
    <b v="1"/>
    <s v="Under Prevalidation"/>
    <x v="1"/>
    <x v="1"/>
    <x v="2"/>
    <x v="1"/>
    <x v="2"/>
    <x v="1"/>
    <n v="5"/>
    <s v=""/>
    <n v="0"/>
    <s v=""/>
    <s v=""/>
    <n v="0"/>
    <n v="0"/>
    <s v=""/>
    <s v="Under Prevalidation"/>
    <x v="6"/>
  </r>
  <r>
    <s v="ANMD_0273"/>
    <x v="0"/>
    <x v="2"/>
    <n v="6"/>
    <x v="2"/>
    <n v="96.110633000000007"/>
    <n v="21.988139"/>
    <s v="Telenor"/>
    <n v="256"/>
    <s v="MDYAMTZ023"/>
    <x v="1"/>
    <s v="Prevalidated"/>
    <s v="OK"/>
    <s v="OK"/>
    <s v="OK"/>
    <s v="OK"/>
    <m/>
    <s v="Review"/>
    <n v="252"/>
    <n v="1"/>
    <m/>
    <m/>
    <m/>
    <m/>
    <m/>
    <m/>
    <n v="257"/>
    <n v="1"/>
    <m/>
    <m/>
    <m/>
    <m/>
    <m/>
    <m/>
    <m/>
    <n v="1"/>
    <b v="1"/>
    <n v="1"/>
    <b v="1"/>
    <b v="1"/>
    <s v="Prevalidated"/>
    <x v="0"/>
    <x v="0"/>
    <x v="0"/>
    <x v="0"/>
    <x v="0"/>
    <x v="0"/>
    <n v="0"/>
    <s v=""/>
    <n v="0"/>
    <s v=""/>
    <s v=""/>
    <n v="0"/>
    <n v="0"/>
    <s v=""/>
    <s v="Prevalidated - TSSR in Process"/>
    <x v="2"/>
  </r>
  <r>
    <s v="AYYN_0416"/>
    <x v="2"/>
    <x v="2"/>
    <n v="6"/>
    <x v="7"/>
    <n v="96.187830000000005"/>
    <n v="16.78087"/>
    <s v="Telenor-Ooredoo"/>
    <n v="257"/>
    <s v="YGNDWBN001"/>
    <x v="1"/>
    <s v="Prevalidation Rejected"/>
    <s v="Rejected"/>
    <s v="OK"/>
    <m/>
    <s v="OK"/>
    <s v="Rejected"/>
    <s v="OK"/>
    <n v="253"/>
    <n v="1"/>
    <m/>
    <m/>
    <m/>
    <m/>
    <m/>
    <m/>
    <n v="258"/>
    <n v="1"/>
    <m/>
    <m/>
    <m/>
    <m/>
    <m/>
    <m/>
    <m/>
    <n v="1"/>
    <b v="1"/>
    <n v="1"/>
    <b v="1"/>
    <b v="1"/>
    <s v="Prevalidation Rejected"/>
    <x v="0"/>
    <x v="0"/>
    <x v="0"/>
    <x v="0"/>
    <x v="0"/>
    <x v="0"/>
    <n v="0"/>
    <s v=""/>
    <s v=""/>
    <s v=""/>
    <s v=""/>
    <n v="0"/>
    <n v="0"/>
    <s v=""/>
    <s v="Prevalidation Rejected"/>
    <x v="0"/>
  </r>
  <r>
    <s v="AYYN_0413"/>
    <x v="2"/>
    <x v="2"/>
    <n v="6"/>
    <x v="7"/>
    <n v="96.198689999999999"/>
    <n v="16.78387"/>
    <s v="Telenor"/>
    <n v="258"/>
    <s v="YGNTKTA008"/>
    <x v="1"/>
    <s v="Prevalidated"/>
    <s v="OK"/>
    <s v="OK"/>
    <s v="OK"/>
    <s v="OK"/>
    <s v="OK"/>
    <s v="OK"/>
    <n v="254"/>
    <n v="1"/>
    <m/>
    <m/>
    <m/>
    <m/>
    <m/>
    <m/>
    <n v="259"/>
    <n v="1"/>
    <m/>
    <m/>
    <m/>
    <m/>
    <m/>
    <m/>
    <m/>
    <n v="1"/>
    <b v="1"/>
    <n v="1"/>
    <b v="1"/>
    <b v="1"/>
    <s v="Prevalidated"/>
    <x v="0"/>
    <x v="0"/>
    <x v="0"/>
    <x v="0"/>
    <x v="0"/>
    <x v="0"/>
    <n v="0"/>
    <s v=""/>
    <n v="0"/>
    <s v=""/>
    <s v=""/>
    <n v="0"/>
    <n v="0"/>
    <s v=""/>
    <s v="Prevalidated - TSSR in Process"/>
    <x v="2"/>
  </r>
  <r>
    <s v="ANMD_0122"/>
    <x v="0"/>
    <x v="2"/>
    <n v="6"/>
    <x v="2"/>
    <n v="96.108279999999993"/>
    <n v="21.959620000000001"/>
    <s v="Telenor"/>
    <n v="259"/>
    <s v="MAW2969"/>
    <x v="3"/>
    <s v="Commercial Approval Requested"/>
    <s v="OK"/>
    <s v="OK"/>
    <s v="Review"/>
    <s v="Review"/>
    <m/>
    <s v="OK"/>
    <n v="255"/>
    <n v="1"/>
    <m/>
    <m/>
    <m/>
    <m/>
    <m/>
    <m/>
    <n v="260"/>
    <n v="1"/>
    <m/>
    <m/>
    <m/>
    <m/>
    <m/>
    <m/>
    <m/>
    <n v="1"/>
    <b v="1"/>
    <n v="1"/>
    <b v="1"/>
    <b v="1"/>
    <s v="Commercial Approval Requested"/>
    <x v="0"/>
    <x v="0"/>
    <x v="0"/>
    <x v="0"/>
    <x v="0"/>
    <x v="0"/>
    <n v="0"/>
    <s v=""/>
    <s v=""/>
    <s v=""/>
    <s v=""/>
    <n v="0"/>
    <n v="0"/>
    <s v=""/>
    <s v="Commercial Approval Requested"/>
    <x v="6"/>
  </r>
  <r>
    <s v="ANMD_0181"/>
    <x v="0"/>
    <x v="0"/>
    <n v="45"/>
    <x v="2"/>
    <n v="96.053700000000006"/>
    <n v="21.8201"/>
    <s v="Telenor-Mytel"/>
    <n v="260"/>
    <s v="MAW2836"/>
    <x v="3"/>
    <s v="Commercial Approval Requested"/>
    <s v="OK"/>
    <s v="OK"/>
    <s v="OK"/>
    <s v="Review"/>
    <m/>
    <s v="OK"/>
    <n v="256"/>
    <n v="1"/>
    <m/>
    <m/>
    <m/>
    <m/>
    <m/>
    <m/>
    <n v="261"/>
    <n v="1"/>
    <m/>
    <m/>
    <m/>
    <m/>
    <m/>
    <m/>
    <m/>
    <n v="1"/>
    <b v="1"/>
    <n v="1"/>
    <b v="1"/>
    <b v="1"/>
    <s v="Commercial Approval Requested"/>
    <x v="0"/>
    <x v="0"/>
    <x v="0"/>
    <x v="0"/>
    <x v="0"/>
    <x v="0"/>
    <n v="0"/>
    <s v=""/>
    <s v=""/>
    <s v=""/>
    <s v=""/>
    <n v="0"/>
    <n v="0"/>
    <s v=""/>
    <s v="Commercial Approval Requested"/>
    <x v="6"/>
  </r>
  <r>
    <s v="ANSH_0044"/>
    <x v="2"/>
    <x v="0"/>
    <n v="50"/>
    <x v="4"/>
    <n v="98.102320000000006"/>
    <n v="21.363700000000001"/>
    <s v="Mytel"/>
    <n v="261"/>
    <s v="SHW1986"/>
    <x v="3"/>
    <s v="Commercial Approval Requested"/>
    <s v="OK"/>
    <s v="OK"/>
    <s v="OK"/>
    <s v="Review"/>
    <m/>
    <s v="OK"/>
    <n v="257"/>
    <n v="1"/>
    <m/>
    <m/>
    <m/>
    <m/>
    <m/>
    <m/>
    <n v="262"/>
    <n v="1"/>
    <m/>
    <m/>
    <m/>
    <m/>
    <m/>
    <m/>
    <m/>
    <n v="1"/>
    <b v="1"/>
    <n v="1"/>
    <b v="1"/>
    <b v="1"/>
    <s v="Commercial Approval Requested"/>
    <x v="0"/>
    <x v="0"/>
    <x v="0"/>
    <x v="0"/>
    <x v="0"/>
    <x v="0"/>
    <n v="0"/>
    <s v=""/>
    <s v=""/>
    <s v=""/>
    <s v=""/>
    <n v="0"/>
    <n v="0"/>
    <s v=""/>
    <s v="Commercial Approval Requested"/>
    <x v="6"/>
  </r>
  <r>
    <s v="ANMD_0080"/>
    <x v="0"/>
    <x v="0"/>
    <n v="35"/>
    <x v="2"/>
    <n v="96.070260000000005"/>
    <n v="22.002685"/>
    <s v="Telenor-MPT"/>
    <n v="265"/>
    <s v="MAW2380"/>
    <x v="3"/>
    <s v="Under Prevalidation"/>
    <s v="OK"/>
    <s v="OK"/>
    <m/>
    <m/>
    <s v="OK"/>
    <s v="OK"/>
    <n v="258"/>
    <n v="1"/>
    <d v="2018-08-10T00:00:00"/>
    <d v="2018-08-10T00:00:00"/>
    <d v="2018-08-10T00:00:00"/>
    <d v="2018-08-10T00:00:00"/>
    <m/>
    <s v="Approved"/>
    <n v="263"/>
    <n v="1"/>
    <m/>
    <m/>
    <m/>
    <m/>
    <m/>
    <m/>
    <m/>
    <n v="1"/>
    <b v="1"/>
    <n v="1"/>
    <b v="1"/>
    <b v="1"/>
    <s v="Under Prevalidation"/>
    <x v="1"/>
    <x v="1"/>
    <x v="1"/>
    <x v="2"/>
    <x v="1"/>
    <x v="1"/>
    <n v="4"/>
    <s v="Submitted"/>
    <s v="Approved"/>
    <s v=""/>
    <s v=""/>
    <n v="0"/>
    <n v="0"/>
    <s v=""/>
    <s v="Under Prevalidation"/>
    <x v="6"/>
  </r>
  <r>
    <s v="AYYN_0021"/>
    <x v="2"/>
    <x v="0"/>
    <n v="50"/>
    <x v="7"/>
    <n v="96.32047"/>
    <n v="16.54984"/>
    <s v="Telenor"/>
    <n v="266"/>
    <s v="YGN0821"/>
    <x v="0"/>
    <s v="Prevalidated"/>
    <s v="OK"/>
    <s v="OK"/>
    <s v="OK"/>
    <s v="OK"/>
    <s v="OK"/>
    <s v="OK"/>
    <n v="259"/>
    <n v="1"/>
    <m/>
    <m/>
    <d v="2018-08-14T00:00:00"/>
    <d v="2018-08-14T00:00:00"/>
    <m/>
    <s v="Approved"/>
    <n v="264"/>
    <n v="1"/>
    <m/>
    <m/>
    <m/>
    <m/>
    <m/>
    <m/>
    <m/>
    <n v="1"/>
    <b v="1"/>
    <n v="1"/>
    <b v="1"/>
    <b v="1"/>
    <s v="Prevalidated"/>
    <x v="0"/>
    <x v="0"/>
    <x v="0"/>
    <x v="0"/>
    <x v="0"/>
    <x v="0"/>
    <n v="0"/>
    <s v="Submitted"/>
    <s v="Approved"/>
    <s v="In Process"/>
    <n v="0"/>
    <n v="0"/>
    <n v="0"/>
    <s v=""/>
    <s v="Prevalidated - TSSR Done"/>
    <x v="4"/>
  </r>
  <r>
    <s v="AYYN_0530"/>
    <x v="2"/>
    <x v="2"/>
    <n v="6"/>
    <x v="7"/>
    <n v="96.207785999999999"/>
    <n v="16.855550999999998"/>
    <s v="Telenor-Amara"/>
    <n v="267"/>
    <s v="YGN1353"/>
    <x v="0"/>
    <s v="Rejected"/>
    <s v="Rejected"/>
    <s v="OK"/>
    <s v="Review"/>
    <s v="OK"/>
    <s v="OK"/>
    <s v="OK"/>
    <n v="260"/>
    <n v="1"/>
    <m/>
    <m/>
    <m/>
    <m/>
    <m/>
    <m/>
    <n v="265"/>
    <n v="1"/>
    <m/>
    <m/>
    <m/>
    <m/>
    <m/>
    <m/>
    <m/>
    <n v="1"/>
    <b v="1"/>
    <n v="1"/>
    <b v="1"/>
    <b v="1"/>
    <s v="Rejected"/>
    <x v="0"/>
    <x v="0"/>
    <x v="0"/>
    <x v="0"/>
    <x v="0"/>
    <x v="0"/>
    <n v="0"/>
    <s v=""/>
    <s v=""/>
    <s v=""/>
    <s v=""/>
    <n v="0"/>
    <n v="0"/>
    <s v=""/>
    <s v="Rejected"/>
    <x v="11"/>
  </r>
  <r>
    <s v="ANSG_0482"/>
    <x v="0"/>
    <x v="0"/>
    <n v="60"/>
    <x v="3"/>
    <n v="94.940709999999996"/>
    <n v="21.846091000000001"/>
    <s v="Telenor"/>
    <n v="268"/>
    <s v="SGG0351"/>
    <x v="0"/>
    <s v="Prevalidated"/>
    <s v="OK"/>
    <s v="OK"/>
    <s v="OK"/>
    <s v="OK"/>
    <s v="OK"/>
    <s v="OK"/>
    <n v="261"/>
    <n v="1"/>
    <m/>
    <m/>
    <d v="2018-08-14T00:00:00"/>
    <d v="2018-08-14T00:00:00"/>
    <m/>
    <s v="Approved"/>
    <n v="266"/>
    <n v="1"/>
    <m/>
    <m/>
    <m/>
    <m/>
    <m/>
    <m/>
    <m/>
    <n v="1"/>
    <b v="1"/>
    <n v="1"/>
    <b v="1"/>
    <b v="1"/>
    <s v="Prevalidated"/>
    <x v="0"/>
    <x v="0"/>
    <x v="0"/>
    <x v="0"/>
    <x v="0"/>
    <x v="0"/>
    <n v="0"/>
    <s v="Submitted"/>
    <s v="Approved"/>
    <s v="In Process"/>
    <n v="0"/>
    <n v="0"/>
    <n v="0"/>
    <s v=""/>
    <s v="Prevalidated - TSSR Done"/>
    <x v="4"/>
  </r>
  <r>
    <s v="AYYN_0323"/>
    <x v="2"/>
    <x v="0"/>
    <n v="35"/>
    <x v="7"/>
    <n v="96.117239999999995"/>
    <n v="16.90043"/>
    <s v="Telenor"/>
    <n v="269"/>
    <s v="YGN1545"/>
    <x v="0"/>
    <s v="Prevalidated"/>
    <s v="OK"/>
    <s v="OK"/>
    <s v="Review"/>
    <s v="OK"/>
    <s v="OK"/>
    <s v="OK"/>
    <n v="262"/>
    <n v="1"/>
    <m/>
    <m/>
    <m/>
    <m/>
    <m/>
    <s v="Approved"/>
    <n v="267"/>
    <n v="1"/>
    <m/>
    <m/>
    <m/>
    <m/>
    <m/>
    <m/>
    <m/>
    <n v="1"/>
    <b v="1"/>
    <n v="1"/>
    <b v="1"/>
    <b v="1"/>
    <s v="Prevalidated"/>
    <x v="0"/>
    <x v="0"/>
    <x v="0"/>
    <x v="0"/>
    <x v="0"/>
    <x v="0"/>
    <n v="0"/>
    <s v=""/>
    <s v="Approved"/>
    <s v="In Process"/>
    <n v="0"/>
    <n v="0"/>
    <n v="0"/>
    <s v=""/>
    <s v="Prevalidated - TSSR Done"/>
    <x v="4"/>
  </r>
  <r>
    <s v="ANMG_0076"/>
    <x v="1"/>
    <x v="0"/>
    <n v="60"/>
    <x v="9"/>
    <n v="95.177049999999994"/>
    <n v="19.31887"/>
    <s v="Telenor"/>
    <n v="270"/>
    <s v="MGY0061"/>
    <x v="0"/>
    <s v="Prevalidated"/>
    <s v="OK"/>
    <s v="OK"/>
    <s v="OK"/>
    <s v="OK"/>
    <s v="OK"/>
    <s v="OK"/>
    <n v="263"/>
    <n v="1"/>
    <m/>
    <m/>
    <d v="2018-08-14T00:00:00"/>
    <d v="2018-08-14T00:00:00"/>
    <m/>
    <s v="Approved"/>
    <n v="268"/>
    <n v="1"/>
    <m/>
    <m/>
    <m/>
    <m/>
    <m/>
    <m/>
    <m/>
    <n v="1"/>
    <b v="1"/>
    <n v="1"/>
    <b v="1"/>
    <b v="1"/>
    <s v="Prevalidated"/>
    <x v="0"/>
    <x v="0"/>
    <x v="0"/>
    <x v="0"/>
    <x v="0"/>
    <x v="0"/>
    <n v="0"/>
    <s v="Submitted"/>
    <s v="Approved"/>
    <s v="In Process"/>
    <n v="0"/>
    <n v="0"/>
    <n v="0"/>
    <s v=""/>
    <s v="Prevalidated - TSSR Done"/>
    <x v="4"/>
  </r>
  <r>
    <s v="AYYN_0499"/>
    <x v="2"/>
    <x v="0"/>
    <n v="35"/>
    <x v="7"/>
    <n v="96.189175000000006"/>
    <n v="16.857748999999998"/>
    <s v="Telenor-Amara"/>
    <n v="271"/>
    <s v="YGN1337"/>
    <x v="0"/>
    <s v="Commercial Approval Pending"/>
    <s v="OK"/>
    <s v="OK"/>
    <s v="Rejected"/>
    <s v="OK"/>
    <s v="OK"/>
    <s v="OK"/>
    <n v="264"/>
    <n v="1"/>
    <m/>
    <m/>
    <m/>
    <m/>
    <m/>
    <m/>
    <n v="269"/>
    <n v="1"/>
    <m/>
    <m/>
    <m/>
    <m/>
    <m/>
    <m/>
    <m/>
    <n v="1"/>
    <b v="1"/>
    <n v="1"/>
    <b v="1"/>
    <b v="1"/>
    <s v="Commercial Approval Pending"/>
    <x v="0"/>
    <x v="0"/>
    <x v="0"/>
    <x v="0"/>
    <x v="0"/>
    <x v="0"/>
    <n v="0"/>
    <s v=""/>
    <s v=""/>
    <s v=""/>
    <s v=""/>
    <n v="0"/>
    <n v="0"/>
    <s v=""/>
    <s v="Commercial Approval Pending"/>
    <x v="12"/>
  </r>
  <r>
    <s v="ASMO_0254"/>
    <x v="2"/>
    <x v="0"/>
    <n v="35"/>
    <x v="6"/>
    <n v="97.723060000000004"/>
    <n v="16.260819999999999"/>
    <s v="Telenor"/>
    <n v="272"/>
    <s v="MON0014"/>
    <x v="0"/>
    <s v="Rejected"/>
    <s v="OK"/>
    <s v="OK"/>
    <s v="OK"/>
    <s v="Rejected"/>
    <s v="OK"/>
    <s v="Rejected"/>
    <n v="265"/>
    <n v="1"/>
    <m/>
    <m/>
    <m/>
    <m/>
    <m/>
    <m/>
    <n v="270"/>
    <n v="1"/>
    <m/>
    <m/>
    <m/>
    <m/>
    <m/>
    <m/>
    <m/>
    <n v="1"/>
    <b v="1"/>
    <n v="1"/>
    <b v="1"/>
    <b v="1"/>
    <s v="Rejected"/>
    <x v="0"/>
    <x v="0"/>
    <x v="0"/>
    <x v="0"/>
    <x v="0"/>
    <x v="0"/>
    <n v="0"/>
    <s v=""/>
    <s v=""/>
    <s v=""/>
    <s v=""/>
    <n v="0"/>
    <n v="0"/>
    <s v=""/>
    <s v="Rejected"/>
    <x v="11"/>
  </r>
  <r>
    <s v="ANNP_0329"/>
    <x v="1"/>
    <x v="0"/>
    <n v="60"/>
    <x v="8"/>
    <n v="96.261160000000004"/>
    <n v="19.936029999999999"/>
    <s v="Telenor"/>
    <n v="273"/>
    <s v="NPW0281"/>
    <x v="0"/>
    <s v="Prevalidated"/>
    <s v="OK"/>
    <s v="OK"/>
    <s v="OK"/>
    <s v="OK"/>
    <s v="OK"/>
    <s v="OK"/>
    <n v="266"/>
    <n v="1"/>
    <m/>
    <m/>
    <d v="2018-08-14T00:00:00"/>
    <d v="2018-08-14T00:00:00"/>
    <m/>
    <s v="Approved"/>
    <n v="271"/>
    <n v="1"/>
    <m/>
    <m/>
    <m/>
    <m/>
    <m/>
    <m/>
    <m/>
    <n v="1"/>
    <b v="1"/>
    <n v="1"/>
    <b v="1"/>
    <b v="1"/>
    <s v="Prevalidated"/>
    <x v="0"/>
    <x v="0"/>
    <x v="0"/>
    <x v="0"/>
    <x v="0"/>
    <x v="0"/>
    <n v="0"/>
    <s v="Submitted"/>
    <s v="Approved"/>
    <s v="In Process"/>
    <n v="0"/>
    <n v="0"/>
    <n v="0"/>
    <s v=""/>
    <s v="Prevalidated - TSSR Done"/>
    <x v="4"/>
  </r>
  <r>
    <s v="AYYN_0229"/>
    <x v="2"/>
    <x v="0"/>
    <n v="35"/>
    <x v="7"/>
    <n v="96.241739999999993"/>
    <n v="16.767330000000001"/>
    <s v="Telenor-Ooredoo-MPT"/>
    <n v="274"/>
    <s v="No ID yet"/>
    <x v="0"/>
    <s v="Commercial Approval Pending"/>
    <m/>
    <s v="OK"/>
    <m/>
    <m/>
    <m/>
    <m/>
    <m/>
    <m/>
    <m/>
    <m/>
    <m/>
    <m/>
    <m/>
    <m/>
    <m/>
    <m/>
    <m/>
    <m/>
    <m/>
    <m/>
    <m/>
    <m/>
    <m/>
    <n v="0"/>
    <b v="1"/>
    <n v="0"/>
    <b v="1"/>
    <b v="1"/>
    <s v="Commercial Approval Pending"/>
    <x v="0"/>
    <x v="0"/>
    <x v="0"/>
    <x v="0"/>
    <x v="0"/>
    <x v="0"/>
    <n v="0"/>
    <s v=""/>
    <s v=""/>
    <s v=""/>
    <s v=""/>
    <n v="0"/>
    <n v="0"/>
    <s v=""/>
    <s v="Commercial Approval Pending"/>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E0CDD4-277E-4E96-B5BD-C6368965E7C8}"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3:B10" firstHeaderRow="1" firstDataRow="1" firstDataCol="1" rowPageCount="1" colPageCount="1"/>
  <pivotFields count="57">
    <pivotField dataField="1" showAll="0"/>
    <pivotField showAll="0">
      <items count="4">
        <item x="0"/>
        <item x="1"/>
        <item x="2"/>
        <item t="default"/>
      </items>
    </pivotField>
    <pivotField showAll="0">
      <items count="7">
        <item x="5"/>
        <item x="0"/>
        <item x="1"/>
        <item x="2"/>
        <item x="4"/>
        <item x="3"/>
        <item t="default"/>
      </items>
    </pivotField>
    <pivotField showAll="0"/>
    <pivotField showAll="0">
      <items count="15">
        <item x="6"/>
        <item x="11"/>
        <item x="10"/>
        <item x="1"/>
        <item x="12"/>
        <item x="5"/>
        <item x="9"/>
        <item x="2"/>
        <item x="8"/>
        <item x="0"/>
        <item x="3"/>
        <item x="4"/>
        <item x="13"/>
        <item x="7"/>
        <item t="default"/>
      </items>
    </pivotField>
    <pivotField showAll="0"/>
    <pivotField showAll="0"/>
    <pivotField showAll="0"/>
    <pivotField showAll="0"/>
    <pivotField showAll="0"/>
    <pivotField axis="axisPage" multipleItemSelectionAllowed="1" showAll="0">
      <items count="5">
        <item h="1" x="1"/>
        <item h="1" x="2"/>
        <item h="1"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4">
        <item h="1" x="3"/>
        <item x="1"/>
        <item h="1" x="7"/>
        <item x="4"/>
        <item x="2"/>
        <item h="1" x="0"/>
        <item x="6"/>
        <item x="9"/>
        <item x="5"/>
        <item x="8"/>
        <item h="1" x="10"/>
        <item h="1" x="11"/>
        <item h="1" x="12"/>
        <item t="default"/>
      </items>
    </pivotField>
  </pivotFields>
  <rowFields count="1">
    <field x="56"/>
  </rowFields>
  <rowItems count="7">
    <i>
      <x v="3"/>
    </i>
    <i>
      <x v="4"/>
    </i>
    <i>
      <x v="6"/>
    </i>
    <i>
      <x v="7"/>
    </i>
    <i>
      <x v="8"/>
    </i>
    <i>
      <x v="9"/>
    </i>
    <i t="grand">
      <x/>
    </i>
  </rowItems>
  <colItems count="1">
    <i/>
  </colItems>
  <pageFields count="1">
    <pageField fld="10" hier="-1"/>
  </pageFields>
  <dataFields count="1">
    <dataField name="Count of AT Site ID" fld="0" subtotal="count" baseField="0" baseItem="0"/>
  </dataFields>
  <chartFormats count="30">
    <chartFormat chart="0" format="2" series="1">
      <pivotArea type="data" outline="0" fieldPosition="0">
        <references count="1">
          <reference field="10" count="1" selected="0">
            <x v="0"/>
          </reference>
        </references>
      </pivotArea>
    </chartFormat>
    <chartFormat chart="0" format="3" series="1">
      <pivotArea type="data" outline="0" fieldPosition="0">
        <references count="1">
          <reference field="10" count="1" selected="0">
            <x v="1"/>
          </reference>
        </references>
      </pivotArea>
    </chartFormat>
    <chartFormat chart="0" format="4" series="1">
      <pivotArea type="data" outline="0" fieldPosition="0">
        <references count="1">
          <reference field="10" count="1" selected="0">
            <x v="2"/>
          </reference>
        </references>
      </pivotArea>
    </chartFormat>
    <chartFormat chart="0" format="5" series="1">
      <pivotArea type="data" outline="0" fieldPosition="0">
        <references count="1">
          <reference field="10" count="1" selected="0">
            <x v="3"/>
          </reference>
        </references>
      </pivotArea>
    </chartFormat>
    <chartFormat chart="0" format="6" series="1">
      <pivotArea type="data" outline="0" fieldPosition="0">
        <references count="1">
          <reference field="4294967294" count="1" selected="0">
            <x v="0"/>
          </reference>
        </references>
      </pivotArea>
    </chartFormat>
    <chartFormat chart="0" format="15">
      <pivotArea type="data" outline="0" fieldPosition="0">
        <references count="2">
          <reference field="4294967294" count="1" selected="0">
            <x v="0"/>
          </reference>
          <reference field="56" count="1" selected="0">
            <x v="1"/>
          </reference>
        </references>
      </pivotArea>
    </chartFormat>
    <chartFormat chart="0" format="16">
      <pivotArea type="data" outline="0" fieldPosition="0">
        <references count="2">
          <reference field="4294967294" count="1" selected="0">
            <x v="0"/>
          </reference>
          <reference field="56" count="1" selected="0">
            <x v="2"/>
          </reference>
        </references>
      </pivotArea>
    </chartFormat>
    <chartFormat chart="0" format="17">
      <pivotArea type="data" outline="0" fieldPosition="0">
        <references count="2">
          <reference field="4294967294" count="1" selected="0">
            <x v="0"/>
          </reference>
          <reference field="56" count="1" selected="0">
            <x v="6"/>
          </reference>
        </references>
      </pivotArea>
    </chartFormat>
    <chartFormat chart="0" format="18">
      <pivotArea type="data" outline="0" fieldPosition="0">
        <references count="2">
          <reference field="4294967294" count="1" selected="0">
            <x v="0"/>
          </reference>
          <reference field="56" count="1" selected="0">
            <x v="3"/>
          </reference>
        </references>
      </pivotArea>
    </chartFormat>
    <chartFormat chart="0" format="19">
      <pivotArea type="data" outline="0" fieldPosition="0">
        <references count="2">
          <reference field="4294967294" count="1" selected="0">
            <x v="0"/>
          </reference>
          <reference field="56" count="1" selected="0">
            <x v="4"/>
          </reference>
        </references>
      </pivotArea>
    </chartFormat>
    <chartFormat chart="0" format="20">
      <pivotArea type="data" outline="0" fieldPosition="0">
        <references count="2">
          <reference field="4294967294" count="1" selected="0">
            <x v="0"/>
          </reference>
          <reference field="56" count="1" selected="0">
            <x v="5"/>
          </reference>
        </references>
      </pivotArea>
    </chartFormat>
    <chartFormat chart="2" format="26" series="1">
      <pivotArea type="data" outline="0" fieldPosition="0">
        <references count="1">
          <reference field="4294967294" count="1" selected="0">
            <x v="0"/>
          </reference>
        </references>
      </pivotArea>
    </chartFormat>
    <chartFormat chart="2" format="27">
      <pivotArea type="data" outline="0" fieldPosition="0">
        <references count="2">
          <reference field="4294967294" count="1" selected="0">
            <x v="0"/>
          </reference>
          <reference field="56" count="1" selected="0">
            <x v="1"/>
          </reference>
        </references>
      </pivotArea>
    </chartFormat>
    <chartFormat chart="2" format="28">
      <pivotArea type="data" outline="0" fieldPosition="0">
        <references count="2">
          <reference field="4294967294" count="1" selected="0">
            <x v="0"/>
          </reference>
          <reference field="56" count="1" selected="0">
            <x v="3"/>
          </reference>
        </references>
      </pivotArea>
    </chartFormat>
    <chartFormat chart="2" format="29">
      <pivotArea type="data" outline="0" fieldPosition="0">
        <references count="2">
          <reference field="4294967294" count="1" selected="0">
            <x v="0"/>
          </reference>
          <reference field="56" count="1" selected="0">
            <x v="4"/>
          </reference>
        </references>
      </pivotArea>
    </chartFormat>
    <chartFormat chart="2" format="30">
      <pivotArea type="data" outline="0" fieldPosition="0">
        <references count="2">
          <reference field="4294967294" count="1" selected="0">
            <x v="0"/>
          </reference>
          <reference field="56" count="1" selected="0">
            <x v="6"/>
          </reference>
        </references>
      </pivotArea>
    </chartFormat>
    <chartFormat chart="0" format="21">
      <pivotArea type="data" outline="0" fieldPosition="0">
        <references count="2">
          <reference field="4294967294" count="1" selected="0">
            <x v="0"/>
          </reference>
          <reference field="56" count="1" selected="0">
            <x v="8"/>
          </reference>
        </references>
      </pivotArea>
    </chartFormat>
    <chartFormat chart="0" format="22">
      <pivotArea type="data" outline="0" fieldPosition="0">
        <references count="2">
          <reference field="4294967294" count="1" selected="0">
            <x v="0"/>
          </reference>
          <reference field="56" count="1" selected="0">
            <x v="7"/>
          </reference>
        </references>
      </pivotArea>
    </chartFormat>
    <chartFormat chart="9" format="44" series="1">
      <pivotArea type="data" outline="0" fieldPosition="0">
        <references count="1">
          <reference field="4294967294" count="1" selected="0">
            <x v="0"/>
          </reference>
        </references>
      </pivotArea>
    </chartFormat>
    <chartFormat chart="9" format="45">
      <pivotArea type="data" outline="0" fieldPosition="0">
        <references count="2">
          <reference field="4294967294" count="1" selected="0">
            <x v="0"/>
          </reference>
          <reference field="56" count="1" selected="0">
            <x v="1"/>
          </reference>
        </references>
      </pivotArea>
    </chartFormat>
    <chartFormat chart="9" format="46">
      <pivotArea type="data" outline="0" fieldPosition="0">
        <references count="2">
          <reference field="4294967294" count="1" selected="0">
            <x v="0"/>
          </reference>
          <reference field="56" count="1" selected="0">
            <x v="3"/>
          </reference>
        </references>
      </pivotArea>
    </chartFormat>
    <chartFormat chart="9" format="47">
      <pivotArea type="data" outline="0" fieldPosition="0">
        <references count="2">
          <reference field="4294967294" count="1" selected="0">
            <x v="0"/>
          </reference>
          <reference field="56" count="1" selected="0">
            <x v="4"/>
          </reference>
        </references>
      </pivotArea>
    </chartFormat>
    <chartFormat chart="9" format="48">
      <pivotArea type="data" outline="0" fieldPosition="0">
        <references count="2">
          <reference field="4294967294" count="1" selected="0">
            <x v="0"/>
          </reference>
          <reference field="56" count="1" selected="0">
            <x v="6"/>
          </reference>
        </references>
      </pivotArea>
    </chartFormat>
    <chartFormat chart="9" format="49">
      <pivotArea type="data" outline="0" fieldPosition="0">
        <references count="2">
          <reference field="4294967294" count="1" selected="0">
            <x v="0"/>
          </reference>
          <reference field="56" count="1" selected="0">
            <x v="7"/>
          </reference>
        </references>
      </pivotArea>
    </chartFormat>
    <chartFormat chart="9" format="50">
      <pivotArea type="data" outline="0" fieldPosition="0">
        <references count="2">
          <reference field="4294967294" count="1" selected="0">
            <x v="0"/>
          </reference>
          <reference field="56" count="1" selected="0">
            <x v="8"/>
          </reference>
        </references>
      </pivotArea>
    </chartFormat>
    <chartFormat chart="2" format="31">
      <pivotArea type="data" outline="0" fieldPosition="0">
        <references count="2">
          <reference field="4294967294" count="1" selected="0">
            <x v="0"/>
          </reference>
          <reference field="56" count="1" selected="0">
            <x v="7"/>
          </reference>
        </references>
      </pivotArea>
    </chartFormat>
    <chartFormat chart="2" format="32">
      <pivotArea type="data" outline="0" fieldPosition="0">
        <references count="2">
          <reference field="4294967294" count="1" selected="0">
            <x v="0"/>
          </reference>
          <reference field="56" count="1" selected="0">
            <x v="8"/>
          </reference>
        </references>
      </pivotArea>
    </chartFormat>
    <chartFormat chart="9" format="51">
      <pivotArea type="data" outline="0" fieldPosition="0">
        <references count="2">
          <reference field="4294967294" count="1" selected="0">
            <x v="0"/>
          </reference>
          <reference field="56" count="1" selected="0">
            <x v="9"/>
          </reference>
        </references>
      </pivotArea>
    </chartFormat>
    <chartFormat chart="2" format="33">
      <pivotArea type="data" outline="0" fieldPosition="0">
        <references count="2">
          <reference field="4294967294" count="1" selected="0">
            <x v="0"/>
          </reference>
          <reference field="56" count="1" selected="0">
            <x v="9"/>
          </reference>
        </references>
      </pivotArea>
    </chartFormat>
    <chartFormat chart="0" format="23">
      <pivotArea type="data" outline="0" fieldPosition="0">
        <references count="2">
          <reference field="4294967294" count="1" selected="0">
            <x v="0"/>
          </reference>
          <reference field="56"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2C48B8-1F11-43D4-84D7-C1EED0668092}" name="PivotTable1" cacheId="5"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1">
  <location ref="A5:D7" firstHeaderRow="1" firstDataRow="2" firstDataCol="1" rowPageCount="3" colPageCount="1"/>
  <pivotFields count="57">
    <pivotField dataField="1" showAll="0"/>
    <pivotField axis="axisPage" multipleItemSelectionAllowed="1" showAll="0">
      <items count="4">
        <item x="0"/>
        <item x="1"/>
        <item x="2"/>
        <item t="default"/>
      </items>
    </pivotField>
    <pivotField showAll="0">
      <items count="7">
        <item x="5"/>
        <item x="0"/>
        <item x="1"/>
        <item x="2"/>
        <item x="4"/>
        <item x="3"/>
        <item t="default"/>
      </items>
    </pivotField>
    <pivotField showAll="0"/>
    <pivotField showAll="0">
      <items count="15">
        <item x="6"/>
        <item x="11"/>
        <item x="10"/>
        <item x="1"/>
        <item x="12"/>
        <item x="5"/>
        <item x="9"/>
        <item x="2"/>
        <item x="8"/>
        <item x="0"/>
        <item x="3"/>
        <item x="4"/>
        <item x="13"/>
        <item x="7"/>
        <item t="default"/>
      </items>
    </pivotField>
    <pivotField showAll="0"/>
    <pivotField showAll="0"/>
    <pivotField showAll="0"/>
    <pivotField showAll="0"/>
    <pivotField showAll="0"/>
    <pivotField axis="axisPage" multipleItemSelectionAllowed="1" showAll="0">
      <items count="5">
        <item h="1" x="1"/>
        <item h="1" x="2"/>
        <item h="1"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h="1" x="0"/>
        <item x="1"/>
        <item m="1" x="3"/>
        <item x="2"/>
        <item t="default"/>
      </items>
    </pivotField>
    <pivotField showAll="0"/>
    <pivotField showAll="0"/>
    <pivotField showAll="0"/>
    <pivotField showAll="0"/>
    <pivotField showAll="0"/>
    <pivotField showAll="0"/>
    <pivotField showAll="0"/>
    <pivotField showAll="0"/>
    <pivotField showAll="0"/>
    <pivotField axis="axisPage" multipleItemSelectionAllowed="1" showAll="0">
      <items count="14">
        <item h="1" x="3"/>
        <item h="1" x="1"/>
        <item h="1" x="7"/>
        <item h="1" x="4"/>
        <item h="1" x="2"/>
        <item h="1" x="0"/>
        <item x="6"/>
        <item h="1" x="9"/>
        <item h="1" x="5"/>
        <item h="1" x="8"/>
        <item h="1" x="10"/>
        <item h="1" x="11"/>
        <item h="1" x="12"/>
        <item t="default"/>
      </items>
    </pivotField>
  </pivotFields>
  <rowItems count="1">
    <i/>
  </rowItems>
  <colFields count="1">
    <field x="46"/>
  </colFields>
  <colItems count="3">
    <i>
      <x v="1"/>
    </i>
    <i>
      <x v="3"/>
    </i>
    <i t="grand">
      <x/>
    </i>
  </colItems>
  <pageFields count="3">
    <pageField fld="10" hier="-1"/>
    <pageField fld="56" hier="-1"/>
    <pageField fld="1" hier="-1"/>
  </pageFields>
  <dataFields count="1">
    <dataField name="Count of AT Site ID" fld="0" subtotal="count" baseField="0" baseItem="0"/>
  </dataFields>
  <chartFormats count="20">
    <chartFormat chart="0" format="2" series="1">
      <pivotArea type="data" outline="0" fieldPosition="0">
        <references count="1">
          <reference field="10" count="1" selected="0">
            <x v="0"/>
          </reference>
        </references>
      </pivotArea>
    </chartFormat>
    <chartFormat chart="0" format="3" series="1">
      <pivotArea type="data" outline="0" fieldPosition="0">
        <references count="1">
          <reference field="10" count="1" selected="0">
            <x v="1"/>
          </reference>
        </references>
      </pivotArea>
    </chartFormat>
    <chartFormat chart="0" format="4" series="1">
      <pivotArea type="data" outline="0" fieldPosition="0">
        <references count="1">
          <reference field="10" count="1" selected="0">
            <x v="2"/>
          </reference>
        </references>
      </pivotArea>
    </chartFormat>
    <chartFormat chart="0" format="5" series="1">
      <pivotArea type="data" outline="0" fieldPosition="0">
        <references count="1">
          <reference field="10" count="1" selected="0">
            <x v="3"/>
          </reference>
        </references>
      </pivotArea>
    </chartFormat>
    <chartFormat chart="1" format="57" series="1">
      <pivotArea type="data" outline="0" fieldPosition="0">
        <references count="1">
          <reference field="4294967294" count="1" selected="0">
            <x v="0"/>
          </reference>
        </references>
      </pivotArea>
    </chartFormat>
    <chartFormat chart="7" format="66" series="1">
      <pivotArea type="data" outline="0" fieldPosition="0">
        <references count="1">
          <reference field="4294967294" count="1" selected="0">
            <x v="0"/>
          </reference>
        </references>
      </pivotArea>
    </chartFormat>
    <chartFormat chart="8" format="71" series="1">
      <pivotArea type="data" outline="0" fieldPosition="0">
        <references count="1">
          <reference field="4294967294" count="1" selected="0">
            <x v="0"/>
          </reference>
        </references>
      </pivotArea>
    </chartFormat>
    <chartFormat chart="9" format="78" series="1">
      <pivotArea type="data" outline="0" fieldPosition="0">
        <references count="1">
          <reference field="4294967294" count="1" selected="0">
            <x v="0"/>
          </reference>
        </references>
      </pivotArea>
    </chartFormat>
    <chartFormat chart="10" format="83" series="1">
      <pivotArea type="data" outline="0" fieldPosition="0">
        <references count="1">
          <reference field="4294967294" count="1" selected="0">
            <x v="0"/>
          </reference>
        </references>
      </pivotArea>
    </chartFormat>
    <chartFormat chart="16" format="89" series="1">
      <pivotArea type="data" outline="0" fieldPosition="0">
        <references count="1">
          <reference field="4294967294" count="1" selected="0">
            <x v="0"/>
          </reference>
        </references>
      </pivotArea>
    </chartFormat>
    <chartFormat chart="18" format="100" series="1">
      <pivotArea type="data" outline="0" fieldPosition="0">
        <references count="1">
          <reference field="4294967294" count="1" selected="0">
            <x v="0"/>
          </reference>
        </references>
      </pivotArea>
    </chartFormat>
    <chartFormat chart="16" format="92" series="1">
      <pivotArea type="data" outline="0" fieldPosition="0">
        <references count="2">
          <reference field="4294967294" count="1" selected="0">
            <x v="0"/>
          </reference>
          <reference field="46" count="1" selected="0">
            <x v="1"/>
          </reference>
        </references>
      </pivotArea>
    </chartFormat>
    <chartFormat chart="16" format="93" series="1">
      <pivotArea type="data" outline="0" fieldPosition="0">
        <references count="2">
          <reference field="4294967294" count="1" selected="0">
            <x v="0"/>
          </reference>
          <reference field="46" count="1" selected="0">
            <x v="2"/>
          </reference>
        </references>
      </pivotArea>
    </chartFormat>
    <chartFormat chart="16" format="94" series="1">
      <pivotArea type="data" outline="0" fieldPosition="0">
        <references count="2">
          <reference field="4294967294" count="1" selected="0">
            <x v="0"/>
          </reference>
          <reference field="46" count="1" selected="0">
            <x v="3"/>
          </reference>
        </references>
      </pivotArea>
    </chartFormat>
    <chartFormat chart="18" format="101" series="1">
      <pivotArea type="data" outline="0" fieldPosition="0">
        <references count="2">
          <reference field="4294967294" count="1" selected="0">
            <x v="0"/>
          </reference>
          <reference field="46" count="1" selected="0">
            <x v="1"/>
          </reference>
        </references>
      </pivotArea>
    </chartFormat>
    <chartFormat chart="18" format="102" series="1">
      <pivotArea type="data" outline="0" fieldPosition="0">
        <references count="2">
          <reference field="4294967294" count="1" selected="0">
            <x v="0"/>
          </reference>
          <reference field="46" count="1" selected="0">
            <x v="2"/>
          </reference>
        </references>
      </pivotArea>
    </chartFormat>
    <chartFormat chart="18" format="103" series="1">
      <pivotArea type="data" outline="0" fieldPosition="0">
        <references count="2">
          <reference field="4294967294" count="1" selected="0">
            <x v="0"/>
          </reference>
          <reference field="46" count="1" selected="0">
            <x v="3"/>
          </reference>
        </references>
      </pivotArea>
    </chartFormat>
    <chartFormat chart="37" format="131" series="1">
      <pivotArea type="data" outline="0" fieldPosition="0">
        <references count="2">
          <reference field="4294967294" count="1" selected="0">
            <x v="0"/>
          </reference>
          <reference field="46" count="1" selected="0">
            <x v="1"/>
          </reference>
        </references>
      </pivotArea>
    </chartFormat>
    <chartFormat chart="37" format="132" series="1">
      <pivotArea type="data" outline="0" fieldPosition="0">
        <references count="2">
          <reference field="4294967294" count="1" selected="0">
            <x v="0"/>
          </reference>
          <reference field="46" count="1" selected="0">
            <x v="2"/>
          </reference>
        </references>
      </pivotArea>
    </chartFormat>
    <chartFormat chart="37" format="133" series="1">
      <pivotArea type="data" outline="0" fieldPosition="0">
        <references count="2">
          <reference field="4294967294" count="1" selected="0">
            <x v="0"/>
          </reference>
          <reference field="4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C93E7A-76BA-4C57-A860-A59497E5FFC0}" name="PivotTable1" cacheId="5"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2">
  <location ref="A5:D7" firstHeaderRow="1" firstDataRow="2" firstDataCol="1" rowPageCount="3" colPageCount="1"/>
  <pivotFields count="57">
    <pivotField dataField="1" showAll="0"/>
    <pivotField axis="axisPage" multipleItemSelectionAllowed="1" showAll="0">
      <items count="4">
        <item x="0"/>
        <item x="1"/>
        <item x="2"/>
        <item t="default"/>
      </items>
    </pivotField>
    <pivotField showAll="0"/>
    <pivotField showAll="0"/>
    <pivotField showAll="0"/>
    <pivotField showAll="0"/>
    <pivotField showAll="0"/>
    <pivotField showAll="0"/>
    <pivotField showAll="0"/>
    <pivotField showAll="0"/>
    <pivotField axis="axisPage" multipleItemSelectionAllowed="1" showAll="0">
      <items count="5">
        <item x="1"/>
        <item x="2"/>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h="1" m="1" x="3"/>
        <item h="1" x="0"/>
        <item x="1"/>
        <item x="2"/>
        <item t="default"/>
      </items>
    </pivotField>
    <pivotField showAll="0"/>
    <pivotField showAll="0"/>
    <pivotField showAll="0"/>
    <pivotField showAll="0"/>
    <pivotField showAll="0"/>
    <pivotField showAll="0"/>
    <pivotField showAll="0"/>
    <pivotField showAll="0"/>
    <pivotField showAll="0"/>
    <pivotField showAll="0"/>
    <pivotField axis="axisPage" multipleItemSelectionAllowed="1" showAll="0">
      <items count="14">
        <item h="1" x="3"/>
        <item h="1" x="1"/>
        <item h="1" x="7"/>
        <item h="1" x="4"/>
        <item h="1" x="2"/>
        <item h="1" x="0"/>
        <item x="6"/>
        <item h="1" x="9"/>
        <item h="1" x="5"/>
        <item h="1" x="8"/>
        <item h="1" x="10"/>
        <item h="1" x="11"/>
        <item h="1" x="12"/>
        <item t="default"/>
      </items>
    </pivotField>
  </pivotFields>
  <rowItems count="1">
    <i/>
  </rowItems>
  <colFields count="1">
    <field x="45"/>
  </colFields>
  <colItems count="3">
    <i>
      <x v="2"/>
    </i>
    <i>
      <x v="3"/>
    </i>
    <i t="grand">
      <x/>
    </i>
  </colItems>
  <pageFields count="3">
    <pageField fld="10" hier="-1"/>
    <pageField fld="56" hier="-1"/>
    <pageField fld="1" hier="-1"/>
  </pageFields>
  <dataFields count="1">
    <dataField name="Count of AT Site ID" fld="0" subtotal="count" baseField="0" baseItem="0"/>
  </dataFields>
  <chartFormats count="14">
    <chartFormat chart="0" format="2" series="1">
      <pivotArea type="data" outline="0" fieldPosition="0">
        <references count="1">
          <reference field="10" count="1" selected="0">
            <x v="0"/>
          </reference>
        </references>
      </pivotArea>
    </chartFormat>
    <chartFormat chart="0" format="3" series="1">
      <pivotArea type="data" outline="0" fieldPosition="0">
        <references count="1">
          <reference field="10" count="1" selected="0">
            <x v="1"/>
          </reference>
        </references>
      </pivotArea>
    </chartFormat>
    <chartFormat chart="0" format="4" series="1">
      <pivotArea type="data" outline="0" fieldPosition="0">
        <references count="1">
          <reference field="10" count="1" selected="0">
            <x v="2"/>
          </reference>
        </references>
      </pivotArea>
    </chartFormat>
    <chartFormat chart="0" format="5" series="1">
      <pivotArea type="data" outline="0" fieldPosition="0">
        <references count="1">
          <reference field="10" count="1" selected="0">
            <x v="3"/>
          </reference>
        </references>
      </pivotArea>
    </chartFormat>
    <chartFormat chart="1" format="57" series="1">
      <pivotArea type="data" outline="0" fieldPosition="0">
        <references count="1">
          <reference field="4294967294" count="1" selected="0">
            <x v="0"/>
          </reference>
        </references>
      </pivotArea>
    </chartFormat>
    <chartFormat chart="7" format="66" series="1">
      <pivotArea type="data" outline="0" fieldPosition="0">
        <references count="1">
          <reference field="4294967294" count="1" selected="0">
            <x v="0"/>
          </reference>
        </references>
      </pivotArea>
    </chartFormat>
    <chartFormat chart="8" format="71" series="1">
      <pivotArea type="data" outline="0" fieldPosition="0">
        <references count="1">
          <reference field="4294967294" count="1" selected="0">
            <x v="0"/>
          </reference>
        </references>
      </pivotArea>
    </chartFormat>
    <chartFormat chart="9" format="78" series="1">
      <pivotArea type="data" outline="0" fieldPosition="0">
        <references count="1">
          <reference field="4294967294" count="1" selected="0">
            <x v="0"/>
          </reference>
        </references>
      </pivotArea>
    </chartFormat>
    <chartFormat chart="10" format="83" series="1">
      <pivotArea type="data" outline="0" fieldPosition="0">
        <references count="1">
          <reference field="4294967294" count="1" selected="0">
            <x v="0"/>
          </reference>
        </references>
      </pivotArea>
    </chartFormat>
    <chartFormat chart="16" format="89" series="1">
      <pivotArea type="data" outline="0" fieldPosition="0">
        <references count="1">
          <reference field="4294967294" count="1" selected="0">
            <x v="0"/>
          </reference>
        </references>
      </pivotArea>
    </chartFormat>
    <chartFormat chart="18" format="100" series="1">
      <pivotArea type="data" outline="0" fieldPosition="0">
        <references count="1">
          <reference field="4294967294" count="1" selected="0">
            <x v="0"/>
          </reference>
        </references>
      </pivotArea>
    </chartFormat>
    <chartFormat chart="39" format="98" series="1">
      <pivotArea type="data" outline="0" fieldPosition="0">
        <references count="1">
          <reference field="4294967294" count="1" selected="0">
            <x v="0"/>
          </reference>
        </references>
      </pivotArea>
    </chartFormat>
    <chartFormat chart="39" format="99" series="1">
      <pivotArea type="data" outline="0" fieldPosition="0">
        <references count="2">
          <reference field="4294967294" count="1" selected="0">
            <x v="0"/>
          </reference>
          <reference field="45" count="1" selected="0">
            <x v="2"/>
          </reference>
        </references>
      </pivotArea>
    </chartFormat>
    <chartFormat chart="39" format="101" series="1">
      <pivotArea type="data" outline="0" fieldPosition="0">
        <references count="2">
          <reference field="4294967294" count="1" selected="0">
            <x v="0"/>
          </reference>
          <reference field="4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F6DBAE4-A9BA-415C-9D99-B487AF8FAE68}" name="PivotTable1" cacheId="5"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1">
  <location ref="A5:D7" firstHeaderRow="1" firstDataRow="2" firstDataCol="1" rowPageCount="3" colPageCount="1"/>
  <pivotFields count="57">
    <pivotField dataField="1" showAll="0"/>
    <pivotField axis="axisPage" multipleItemSelectionAllowed="1" showAll="0">
      <items count="4">
        <item x="0"/>
        <item x="1"/>
        <item x="2"/>
        <item t="default"/>
      </items>
    </pivotField>
    <pivotField showAll="0"/>
    <pivotField showAll="0"/>
    <pivotField showAll="0"/>
    <pivotField showAll="0"/>
    <pivotField showAll="0"/>
    <pivotField showAll="0"/>
    <pivotField showAll="0"/>
    <pivotField showAll="0"/>
    <pivotField axis="axisPage" multipleItemSelectionAllowed="1" showAll="0">
      <items count="5">
        <item x="1"/>
        <item x="2"/>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4">
        <item h="1"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4">
        <item h="1" x="3"/>
        <item h="1" x="1"/>
        <item h="1" x="7"/>
        <item h="1" x="4"/>
        <item h="1" x="2"/>
        <item h="1" x="0"/>
        <item x="6"/>
        <item h="1" x="9"/>
        <item h="1" x="5"/>
        <item h="1" x="8"/>
        <item h="1" x="10"/>
        <item h="1" x="11"/>
        <item h="1" x="12"/>
        <item t="default"/>
      </items>
    </pivotField>
  </pivotFields>
  <rowItems count="1">
    <i/>
  </rowItems>
  <colFields count="1">
    <field x="44"/>
  </colFields>
  <colItems count="3">
    <i>
      <x v="1"/>
    </i>
    <i>
      <x v="2"/>
    </i>
    <i t="grand">
      <x/>
    </i>
  </colItems>
  <pageFields count="3">
    <pageField fld="10" hier="-1"/>
    <pageField fld="56" hier="-1"/>
    <pageField fld="1" hier="-1"/>
  </pageFields>
  <dataFields count="1">
    <dataField name="Count of AT Site ID" fld="0" subtotal="count" baseField="0" baseItem="0"/>
  </dataFields>
  <chartFormats count="15">
    <chartFormat chart="0" format="2" series="1">
      <pivotArea type="data" outline="0" fieldPosition="0">
        <references count="1">
          <reference field="10" count="1" selected="0">
            <x v="0"/>
          </reference>
        </references>
      </pivotArea>
    </chartFormat>
    <chartFormat chart="0" format="3" series="1">
      <pivotArea type="data" outline="0" fieldPosition="0">
        <references count="1">
          <reference field="10" count="1" selected="0">
            <x v="1"/>
          </reference>
        </references>
      </pivotArea>
    </chartFormat>
    <chartFormat chart="0" format="4" series="1">
      <pivotArea type="data" outline="0" fieldPosition="0">
        <references count="1">
          <reference field="10" count="1" selected="0">
            <x v="2"/>
          </reference>
        </references>
      </pivotArea>
    </chartFormat>
    <chartFormat chart="0" format="5" series="1">
      <pivotArea type="data" outline="0" fieldPosition="0">
        <references count="1">
          <reference field="10" count="1" selected="0">
            <x v="3"/>
          </reference>
        </references>
      </pivotArea>
    </chartFormat>
    <chartFormat chart="1" format="57" series="1">
      <pivotArea type="data" outline="0" fieldPosition="0">
        <references count="1">
          <reference field="4294967294" count="1" selected="0">
            <x v="0"/>
          </reference>
        </references>
      </pivotArea>
    </chartFormat>
    <chartFormat chart="7" format="66" series="1">
      <pivotArea type="data" outline="0" fieldPosition="0">
        <references count="1">
          <reference field="4294967294" count="1" selected="0">
            <x v="0"/>
          </reference>
        </references>
      </pivotArea>
    </chartFormat>
    <chartFormat chart="8" format="71" series="1">
      <pivotArea type="data" outline="0" fieldPosition="0">
        <references count="1">
          <reference field="4294967294" count="1" selected="0">
            <x v="0"/>
          </reference>
        </references>
      </pivotArea>
    </chartFormat>
    <chartFormat chart="9" format="78" series="1">
      <pivotArea type="data" outline="0" fieldPosition="0">
        <references count="1">
          <reference field="4294967294" count="1" selected="0">
            <x v="0"/>
          </reference>
        </references>
      </pivotArea>
    </chartFormat>
    <chartFormat chart="10" format="83" series="1">
      <pivotArea type="data" outline="0" fieldPosition="0">
        <references count="1">
          <reference field="4294967294" count="1" selected="0">
            <x v="0"/>
          </reference>
        </references>
      </pivotArea>
    </chartFormat>
    <chartFormat chart="16" format="89" series="1">
      <pivotArea type="data" outline="0" fieldPosition="0">
        <references count="1">
          <reference field="4294967294" count="1" selected="0">
            <x v="0"/>
          </reference>
        </references>
      </pivotArea>
    </chartFormat>
    <chartFormat chart="18" format="100" series="1">
      <pivotArea type="data" outline="0" fieldPosition="0">
        <references count="1">
          <reference field="4294967294" count="1" selected="0">
            <x v="0"/>
          </reference>
        </references>
      </pivotArea>
    </chartFormat>
    <chartFormat chart="39" format="98" series="1">
      <pivotArea type="data" outline="0" fieldPosition="0">
        <references count="1">
          <reference field="4294967294" count="1" selected="0">
            <x v="0"/>
          </reference>
        </references>
      </pivotArea>
    </chartFormat>
    <chartFormat chart="40" format="105" series="1">
      <pivotArea type="data" outline="0" fieldPosition="0">
        <references count="1">
          <reference field="4294967294" count="1" selected="0">
            <x v="0"/>
          </reference>
        </references>
      </pivotArea>
    </chartFormat>
    <chartFormat chart="40" format="106" series="1">
      <pivotArea type="data" outline="0" fieldPosition="0">
        <references count="2">
          <reference field="4294967294" count="1" selected="0">
            <x v="0"/>
          </reference>
          <reference field="44" count="1" selected="0">
            <x v="1"/>
          </reference>
        </references>
      </pivotArea>
    </chartFormat>
    <chartFormat chart="40" format="107" series="1">
      <pivotArea type="data" outline="0" fieldPosition="0">
        <references count="2">
          <reference field="4294967294" count="1" selected="0">
            <x v="0"/>
          </reference>
          <reference field="4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15ACF7-0B4B-45CF-8282-9FAB2FC20AA5}" name="PivotTable1" cacheId="5"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2">
  <location ref="A5:D7" firstHeaderRow="1" firstDataRow="2" firstDataCol="1" rowPageCount="3" colPageCount="1"/>
  <pivotFields count="57">
    <pivotField dataField="1" showAll="0"/>
    <pivotField axis="axisPage" multipleItemSelectionAllowed="1" showAll="0">
      <items count="4">
        <item x="0"/>
        <item x="1"/>
        <item x="2"/>
        <item t="default"/>
      </items>
    </pivotField>
    <pivotField showAll="0"/>
    <pivotField showAll="0"/>
    <pivotField showAll="0"/>
    <pivotField showAll="0"/>
    <pivotField showAll="0"/>
    <pivotField showAll="0"/>
    <pivotField showAll="0"/>
    <pivotField showAll="0"/>
    <pivotField axis="axisPage" multipleItemSelectionAllowed="1" showAll="0">
      <items count="5">
        <item x="1"/>
        <item x="2"/>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4">
        <item h="1"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4">
        <item h="1" x="3"/>
        <item h="1" x="1"/>
        <item h="1" x="7"/>
        <item h="1" x="4"/>
        <item h="1" x="2"/>
        <item h="1" x="0"/>
        <item x="6"/>
        <item h="1" x="9"/>
        <item h="1" x="5"/>
        <item h="1" x="8"/>
        <item h="1" x="10"/>
        <item h="1" x="11"/>
        <item h="1" x="12"/>
        <item t="default"/>
      </items>
    </pivotField>
  </pivotFields>
  <rowItems count="1">
    <i/>
  </rowItems>
  <colFields count="1">
    <field x="43"/>
  </colFields>
  <colItems count="3">
    <i>
      <x v="1"/>
    </i>
    <i>
      <x v="2"/>
    </i>
    <i t="grand">
      <x/>
    </i>
  </colItems>
  <pageFields count="3">
    <pageField fld="10" hier="-1"/>
    <pageField fld="56" hier="-1"/>
    <pageField fld="1" hier="-1"/>
  </pageFields>
  <dataFields count="1">
    <dataField name="Count of AT Site ID" fld="0" subtotal="count" baseField="0" baseItem="0"/>
  </dataFields>
  <chartFormats count="16">
    <chartFormat chart="0" format="2" series="1">
      <pivotArea type="data" outline="0" fieldPosition="0">
        <references count="1">
          <reference field="10" count="1" selected="0">
            <x v="0"/>
          </reference>
        </references>
      </pivotArea>
    </chartFormat>
    <chartFormat chart="0" format="3" series="1">
      <pivotArea type="data" outline="0" fieldPosition="0">
        <references count="1">
          <reference field="10" count="1" selected="0">
            <x v="1"/>
          </reference>
        </references>
      </pivotArea>
    </chartFormat>
    <chartFormat chart="0" format="4" series="1">
      <pivotArea type="data" outline="0" fieldPosition="0">
        <references count="1">
          <reference field="10" count="1" selected="0">
            <x v="2"/>
          </reference>
        </references>
      </pivotArea>
    </chartFormat>
    <chartFormat chart="0" format="5" series="1">
      <pivotArea type="data" outline="0" fieldPosition="0">
        <references count="1">
          <reference field="10" count="1" selected="0">
            <x v="3"/>
          </reference>
        </references>
      </pivotArea>
    </chartFormat>
    <chartFormat chart="1" format="57" series="1">
      <pivotArea type="data" outline="0" fieldPosition="0">
        <references count="1">
          <reference field="4294967294" count="1" selected="0">
            <x v="0"/>
          </reference>
        </references>
      </pivotArea>
    </chartFormat>
    <chartFormat chart="7" format="66" series="1">
      <pivotArea type="data" outline="0" fieldPosition="0">
        <references count="1">
          <reference field="4294967294" count="1" selected="0">
            <x v="0"/>
          </reference>
        </references>
      </pivotArea>
    </chartFormat>
    <chartFormat chart="8" format="71" series="1">
      <pivotArea type="data" outline="0" fieldPosition="0">
        <references count="1">
          <reference field="4294967294" count="1" selected="0">
            <x v="0"/>
          </reference>
        </references>
      </pivotArea>
    </chartFormat>
    <chartFormat chart="9" format="78" series="1">
      <pivotArea type="data" outline="0" fieldPosition="0">
        <references count="1">
          <reference field="4294967294" count="1" selected="0">
            <x v="0"/>
          </reference>
        </references>
      </pivotArea>
    </chartFormat>
    <chartFormat chart="10" format="83" series="1">
      <pivotArea type="data" outline="0" fieldPosition="0">
        <references count="1">
          <reference field="4294967294" count="1" selected="0">
            <x v="0"/>
          </reference>
        </references>
      </pivotArea>
    </chartFormat>
    <chartFormat chart="16" format="89" series="1">
      <pivotArea type="data" outline="0" fieldPosition="0">
        <references count="1">
          <reference field="4294967294" count="1" selected="0">
            <x v="0"/>
          </reference>
        </references>
      </pivotArea>
    </chartFormat>
    <chartFormat chart="18" format="100" series="1">
      <pivotArea type="data" outline="0" fieldPosition="0">
        <references count="1">
          <reference field="4294967294" count="1" selected="0">
            <x v="0"/>
          </reference>
        </references>
      </pivotArea>
    </chartFormat>
    <chartFormat chart="39" format="98" series="1">
      <pivotArea type="data" outline="0" fieldPosition="0">
        <references count="1">
          <reference field="4294967294" count="1" selected="0">
            <x v="0"/>
          </reference>
        </references>
      </pivotArea>
    </chartFormat>
    <chartFormat chart="40" format="105" series="1">
      <pivotArea type="data" outline="0" fieldPosition="0">
        <references count="1">
          <reference field="4294967294" count="1" selected="0">
            <x v="0"/>
          </reference>
        </references>
      </pivotArea>
    </chartFormat>
    <chartFormat chart="41" format="110" series="1">
      <pivotArea type="data" outline="0" fieldPosition="0">
        <references count="1">
          <reference field="4294967294" count="1" selected="0">
            <x v="0"/>
          </reference>
        </references>
      </pivotArea>
    </chartFormat>
    <chartFormat chart="41" format="111" series="1">
      <pivotArea type="data" outline="0" fieldPosition="0">
        <references count="2">
          <reference field="4294967294" count="1" selected="0">
            <x v="0"/>
          </reference>
          <reference field="43" count="1" selected="0">
            <x v="1"/>
          </reference>
        </references>
      </pivotArea>
    </chartFormat>
    <chartFormat chart="41" format="112" series="1">
      <pivotArea type="data" outline="0" fieldPosition="0">
        <references count="2">
          <reference field="4294967294" count="1" selected="0">
            <x v="0"/>
          </reference>
          <reference field="4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C548B2-5DF3-413C-B56A-77C070E00D9F}" name="PivotTable1" cacheId="5"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3">
  <location ref="A5:C7" firstHeaderRow="1" firstDataRow="2" firstDataCol="1" rowPageCount="3" colPageCount="1"/>
  <pivotFields count="57">
    <pivotField dataField="1" showAll="0"/>
    <pivotField axis="axisPage" multipleItemSelectionAllowed="1" showAll="0">
      <items count="4">
        <item x="0"/>
        <item x="1"/>
        <item x="2"/>
        <item t="default"/>
      </items>
    </pivotField>
    <pivotField showAll="0"/>
    <pivotField showAll="0"/>
    <pivotField showAll="0"/>
    <pivotField showAll="0"/>
    <pivotField showAll="0"/>
    <pivotField showAll="0"/>
    <pivotField showAll="0"/>
    <pivotField showAll="0"/>
    <pivotField axis="axisPage" multipleItemSelectionAllowed="1" showAll="0">
      <items count="5">
        <item x="1"/>
        <item x="2"/>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4">
        <item h="1" x="0"/>
        <item x="1"/>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4">
        <item h="1" x="3"/>
        <item h="1" x="1"/>
        <item h="1" x="7"/>
        <item h="1" x="4"/>
        <item h="1" x="2"/>
        <item h="1" x="0"/>
        <item x="6"/>
        <item h="1" x="9"/>
        <item h="1" x="5"/>
        <item h="1" x="8"/>
        <item h="1" x="10"/>
        <item h="1" x="11"/>
        <item h="1" x="12"/>
        <item t="default"/>
      </items>
    </pivotField>
  </pivotFields>
  <rowItems count="1">
    <i/>
  </rowItems>
  <colFields count="1">
    <field x="42"/>
  </colFields>
  <colItems count="2">
    <i>
      <x v="1"/>
    </i>
    <i t="grand">
      <x/>
    </i>
  </colItems>
  <pageFields count="3">
    <pageField fld="10" hier="-1"/>
    <pageField fld="56" hier="-1"/>
    <pageField fld="1" hier="-1"/>
  </pageFields>
  <dataFields count="1">
    <dataField name="Count of AT Site ID" fld="0" subtotal="count" baseField="0" baseItem="0"/>
  </dataFields>
  <chartFormats count="18">
    <chartFormat chart="0" format="2" series="1">
      <pivotArea type="data" outline="0" fieldPosition="0">
        <references count="1">
          <reference field="10" count="1" selected="0">
            <x v="0"/>
          </reference>
        </references>
      </pivotArea>
    </chartFormat>
    <chartFormat chart="0" format="3" series="1">
      <pivotArea type="data" outline="0" fieldPosition="0">
        <references count="1">
          <reference field="10" count="1" selected="0">
            <x v="1"/>
          </reference>
        </references>
      </pivotArea>
    </chartFormat>
    <chartFormat chart="0" format="4" series="1">
      <pivotArea type="data" outline="0" fieldPosition="0">
        <references count="1">
          <reference field="10" count="1" selected="0">
            <x v="2"/>
          </reference>
        </references>
      </pivotArea>
    </chartFormat>
    <chartFormat chart="0" format="5" series="1">
      <pivotArea type="data" outline="0" fieldPosition="0">
        <references count="1">
          <reference field="10" count="1" selected="0">
            <x v="3"/>
          </reference>
        </references>
      </pivotArea>
    </chartFormat>
    <chartFormat chart="1" format="57" series="1">
      <pivotArea type="data" outline="0" fieldPosition="0">
        <references count="1">
          <reference field="4294967294" count="1" selected="0">
            <x v="0"/>
          </reference>
        </references>
      </pivotArea>
    </chartFormat>
    <chartFormat chart="7" format="66" series="1">
      <pivotArea type="data" outline="0" fieldPosition="0">
        <references count="1">
          <reference field="4294967294" count="1" selected="0">
            <x v="0"/>
          </reference>
        </references>
      </pivotArea>
    </chartFormat>
    <chartFormat chart="8" format="71" series="1">
      <pivotArea type="data" outline="0" fieldPosition="0">
        <references count="1">
          <reference field="4294967294" count="1" selected="0">
            <x v="0"/>
          </reference>
        </references>
      </pivotArea>
    </chartFormat>
    <chartFormat chart="9" format="78" series="1">
      <pivotArea type="data" outline="0" fieldPosition="0">
        <references count="1">
          <reference field="4294967294" count="1" selected="0">
            <x v="0"/>
          </reference>
        </references>
      </pivotArea>
    </chartFormat>
    <chartFormat chart="10" format="83" series="1">
      <pivotArea type="data" outline="0" fieldPosition="0">
        <references count="1">
          <reference field="4294967294" count="1" selected="0">
            <x v="0"/>
          </reference>
        </references>
      </pivotArea>
    </chartFormat>
    <chartFormat chart="16" format="89" series="1">
      <pivotArea type="data" outline="0" fieldPosition="0">
        <references count="1">
          <reference field="4294967294" count="1" selected="0">
            <x v="0"/>
          </reference>
        </references>
      </pivotArea>
    </chartFormat>
    <chartFormat chart="18" format="100" series="1">
      <pivotArea type="data" outline="0" fieldPosition="0">
        <references count="1">
          <reference field="4294967294" count="1" selected="0">
            <x v="0"/>
          </reference>
        </references>
      </pivotArea>
    </chartFormat>
    <chartFormat chart="39" format="98" series="1">
      <pivotArea type="data" outline="0" fieldPosition="0">
        <references count="1">
          <reference field="4294967294" count="1" selected="0">
            <x v="0"/>
          </reference>
        </references>
      </pivotArea>
    </chartFormat>
    <chartFormat chart="40" format="105" series="1">
      <pivotArea type="data" outline="0" fieldPosition="0">
        <references count="1">
          <reference field="4294967294" count="1" selected="0">
            <x v="0"/>
          </reference>
        </references>
      </pivotArea>
    </chartFormat>
    <chartFormat chart="41" format="110" series="1">
      <pivotArea type="data" outline="0" fieldPosition="0">
        <references count="1">
          <reference field="4294967294" count="1" selected="0">
            <x v="0"/>
          </reference>
        </references>
      </pivotArea>
    </chartFormat>
    <chartFormat chart="42" format="115" series="1">
      <pivotArea type="data" outline="0" fieldPosition="0">
        <references count="1">
          <reference field="4294967294" count="1" selected="0">
            <x v="0"/>
          </reference>
        </references>
      </pivotArea>
    </chartFormat>
    <chartFormat chart="42" format="116" series="1">
      <pivotArea type="data" outline="0" fieldPosition="0">
        <references count="2">
          <reference field="4294967294" count="1" selected="0">
            <x v="0"/>
          </reference>
          <reference field="42" count="1" selected="0">
            <x v="1"/>
          </reference>
        </references>
      </pivotArea>
    </chartFormat>
    <chartFormat chart="42" format="117" series="1">
      <pivotArea type="data" outline="0" fieldPosition="0">
        <references count="2">
          <reference field="4294967294" count="1" selected="0">
            <x v="0"/>
          </reference>
          <reference field="42" count="1" selected="0">
            <x v="2"/>
          </reference>
        </references>
      </pivotArea>
    </chartFormat>
    <chartFormat chart="42" format="118">
      <pivotArea type="data" outline="0" fieldPosition="0">
        <references count="2">
          <reference field="4294967294" count="1" selected="0">
            <x v="0"/>
          </reference>
          <reference field="4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71FB67F-0218-4131-9FA5-8FE7DFBBB7BC}" name="PivotTable1" cacheId="5"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4">
  <location ref="A5:D7" firstHeaderRow="1" firstDataRow="2" firstDataCol="1" rowPageCount="3" colPageCount="1"/>
  <pivotFields count="57">
    <pivotField dataField="1" showAll="0"/>
    <pivotField axis="axisPage" multipleItemSelectionAllowed="1" showAll="0">
      <items count="4">
        <item x="0"/>
        <item x="1"/>
        <item x="2"/>
        <item t="default"/>
      </items>
    </pivotField>
    <pivotField showAll="0"/>
    <pivotField showAll="0"/>
    <pivotField showAll="0"/>
    <pivotField showAll="0"/>
    <pivotField showAll="0"/>
    <pivotField showAll="0"/>
    <pivotField showAll="0"/>
    <pivotField showAll="0"/>
    <pivotField axis="axisPage" multipleItemSelectionAllowed="1" showAll="0">
      <items count="5">
        <item x="1"/>
        <item x="2"/>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0"/>
        <item x="1"/>
        <item m="1" x="2"/>
        <item m="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4">
        <item h="1" x="3"/>
        <item h="1" x="1"/>
        <item h="1" x="7"/>
        <item h="1" x="4"/>
        <item h="1" x="2"/>
        <item h="1" x="0"/>
        <item x="6"/>
        <item h="1" x="9"/>
        <item h="1" x="5"/>
        <item h="1" x="8"/>
        <item h="1" x="10"/>
        <item h="1" x="11"/>
        <item h="1" x="12"/>
        <item t="default"/>
      </items>
    </pivotField>
  </pivotFields>
  <rowItems count="1">
    <i/>
  </rowItems>
  <colFields count="1">
    <field x="41"/>
  </colFields>
  <colItems count="3">
    <i>
      <x/>
    </i>
    <i>
      <x v="1"/>
    </i>
    <i t="grand">
      <x/>
    </i>
  </colItems>
  <pageFields count="3">
    <pageField fld="10" hier="-1"/>
    <pageField fld="56" hier="-1"/>
    <pageField fld="1" hier="-1"/>
  </pageFields>
  <dataFields count="1">
    <dataField name="Count of AT Site ID" fld="0" subtotal="count" baseField="0" baseItem="0"/>
  </dataFields>
  <chartFormats count="19">
    <chartFormat chart="0" format="2" series="1">
      <pivotArea type="data" outline="0" fieldPosition="0">
        <references count="1">
          <reference field="10" count="1" selected="0">
            <x v="0"/>
          </reference>
        </references>
      </pivotArea>
    </chartFormat>
    <chartFormat chart="0" format="3" series="1">
      <pivotArea type="data" outline="0" fieldPosition="0">
        <references count="1">
          <reference field="10" count="1" selected="0">
            <x v="1"/>
          </reference>
        </references>
      </pivotArea>
    </chartFormat>
    <chartFormat chart="0" format="4" series="1">
      <pivotArea type="data" outline="0" fieldPosition="0">
        <references count="1">
          <reference field="10" count="1" selected="0">
            <x v="2"/>
          </reference>
        </references>
      </pivotArea>
    </chartFormat>
    <chartFormat chart="0" format="5" series="1">
      <pivotArea type="data" outline="0" fieldPosition="0">
        <references count="1">
          <reference field="10" count="1" selected="0">
            <x v="3"/>
          </reference>
        </references>
      </pivotArea>
    </chartFormat>
    <chartFormat chart="1" format="57" series="1">
      <pivotArea type="data" outline="0" fieldPosition="0">
        <references count="1">
          <reference field="4294967294" count="1" selected="0">
            <x v="0"/>
          </reference>
        </references>
      </pivotArea>
    </chartFormat>
    <chartFormat chart="7" format="66" series="1">
      <pivotArea type="data" outline="0" fieldPosition="0">
        <references count="1">
          <reference field="4294967294" count="1" selected="0">
            <x v="0"/>
          </reference>
        </references>
      </pivotArea>
    </chartFormat>
    <chartFormat chart="8" format="71" series="1">
      <pivotArea type="data" outline="0" fieldPosition="0">
        <references count="1">
          <reference field="4294967294" count="1" selected="0">
            <x v="0"/>
          </reference>
        </references>
      </pivotArea>
    </chartFormat>
    <chartFormat chart="9" format="78" series="1">
      <pivotArea type="data" outline="0" fieldPosition="0">
        <references count="1">
          <reference field="4294967294" count="1" selected="0">
            <x v="0"/>
          </reference>
        </references>
      </pivotArea>
    </chartFormat>
    <chartFormat chart="10" format="83" series="1">
      <pivotArea type="data" outline="0" fieldPosition="0">
        <references count="1">
          <reference field="4294967294" count="1" selected="0">
            <x v="0"/>
          </reference>
        </references>
      </pivotArea>
    </chartFormat>
    <chartFormat chart="16" format="89" series="1">
      <pivotArea type="data" outline="0" fieldPosition="0">
        <references count="1">
          <reference field="4294967294" count="1" selected="0">
            <x v="0"/>
          </reference>
        </references>
      </pivotArea>
    </chartFormat>
    <chartFormat chart="18" format="100" series="1">
      <pivotArea type="data" outline="0" fieldPosition="0">
        <references count="1">
          <reference field="4294967294" count="1" selected="0">
            <x v="0"/>
          </reference>
        </references>
      </pivotArea>
    </chartFormat>
    <chartFormat chart="39" format="98" series="1">
      <pivotArea type="data" outline="0" fieldPosition="0">
        <references count="1">
          <reference field="4294967294" count="1" selected="0">
            <x v="0"/>
          </reference>
        </references>
      </pivotArea>
    </chartFormat>
    <chartFormat chart="40" format="105" series="1">
      <pivotArea type="data" outline="0" fieldPosition="0">
        <references count="1">
          <reference field="4294967294" count="1" selected="0">
            <x v="0"/>
          </reference>
        </references>
      </pivotArea>
    </chartFormat>
    <chartFormat chart="41" format="110" series="1">
      <pivotArea type="data" outline="0" fieldPosition="0">
        <references count="1">
          <reference field="4294967294" count="1" selected="0">
            <x v="0"/>
          </reference>
        </references>
      </pivotArea>
    </chartFormat>
    <chartFormat chart="42" format="115" series="1">
      <pivotArea type="data" outline="0" fieldPosition="0">
        <references count="1">
          <reference field="4294967294" count="1" selected="0">
            <x v="0"/>
          </reference>
        </references>
      </pivotArea>
    </chartFormat>
    <chartFormat chart="43" format="122" series="1">
      <pivotArea type="data" outline="0" fieldPosition="0">
        <references count="1">
          <reference field="4294967294" count="1" selected="0">
            <x v="0"/>
          </reference>
        </references>
      </pivotArea>
    </chartFormat>
    <chartFormat chart="43" format="123" series="1">
      <pivotArea type="data" outline="0" fieldPosition="0">
        <references count="2">
          <reference field="4294967294" count="1" selected="0">
            <x v="0"/>
          </reference>
          <reference field="41" count="1" selected="0">
            <x v="1"/>
          </reference>
        </references>
      </pivotArea>
    </chartFormat>
    <chartFormat chart="43" format="124" series="1">
      <pivotArea type="data" outline="0" fieldPosition="0">
        <references count="2">
          <reference field="4294967294" count="1" selected="0">
            <x v="0"/>
          </reference>
          <reference field="41" count="1" selected="0">
            <x v="2"/>
          </reference>
        </references>
      </pivotArea>
    </chartFormat>
    <chartFormat chart="43" format="125" series="1">
      <pivotArea type="data" outline="0" fieldPosition="0">
        <references count="2">
          <reference field="4294967294" count="1" selected="0">
            <x v="0"/>
          </reference>
          <reference field="4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1" xr16:uid="{00000000-0016-0000-0300-000000000000}" autoFormatId="16" applyNumberFormats="0" applyBorderFormats="0" applyFontFormats="0" applyPatternFormats="0" applyAlignmentFormats="0" applyWidthHeightFormats="0">
  <queryTableRefresh nextId="74" unboundColumnsRight="22">
    <queryTableFields count="57">
      <queryTableField id="1" name="AT Site ID" tableColumnId="1"/>
      <queryTableField id="50" name="Regional_Manager" tableColumnId="44"/>
      <queryTableField id="51" name="Tower Type" tableColumnId="45"/>
      <queryTableField id="52" name="Actual Tower Height" tableColumnId="46"/>
      <queryTableField id="53" name="Region" tableColumnId="47"/>
      <queryTableField id="54" name="Actual Long" tableColumnId="48"/>
      <queryTableField id="55" name="Actual Lat" tableColumnId="49"/>
      <queryTableField id="56" name="Tenants_on_Site" tableColumnId="50"/>
      <queryTableField id="21" name="05_id" tableColumnId="21"/>
      <queryTableField id="2" name="New_Colo_ID" tableColumnId="2"/>
      <queryTableField id="45" name="Operator" tableColumnId="36"/>
      <queryTableField id="3" name="Prevalidation Status" tableColumnId="3"/>
      <queryTableField id="4" name="SAQ_Result" tableColumnId="4"/>
      <queryTableField id="5" name="RF_Result" tableColumnId="5"/>
      <queryTableField id="6" name="Structural_Result" tableColumnId="6"/>
      <queryTableField id="7" name="Power_Result" tableColumnId="7"/>
      <queryTableField id="8" name="CW_Result" tableColumnId="8"/>
      <queryTableField id="9" name="Community_Result" tableColumnId="9"/>
      <queryTableField id="22" name="02tss.02tss_id" tableColumnId="22"/>
      <queryTableField id="10" name="02tss.Rev" tableColumnId="10"/>
      <queryTableField id="11" name="02tss.Plan_Date" tableColumnId="11"/>
      <queryTableField id="12" name="02tss.TSS_Actual_Date" tableColumnId="12"/>
      <queryTableField id="13" name="02tss.TSSR_From_Engineer" tableColumnId="13"/>
      <queryTableField id="14" name="02tss.TSSR_Approved_Operator" tableColumnId="14"/>
      <queryTableField id="15" name="02tss.Plan_RFI_Date" tableColumnId="15"/>
      <queryTableField id="16" name="02tss.TSS_Result" tableColumnId="16"/>
      <queryTableField id="23" name="10colo_app.10coloapp_id" tableColumnId="23"/>
      <queryTableField id="17" name="10colo_app.Rev" tableColumnId="17"/>
      <queryTableField id="18" name="10colo_app.Colo_App_Date" tableColumnId="18"/>
      <queryTableField id="19" name="10colo_app.Colo_App_Result" tableColumnId="19"/>
      <queryTableField id="64" name="10colo_app.RFI_Forecast_Date" tableColumnId="42"/>
      <queryTableField id="65" name="10colo_app.RFI_Submission_Date" tableColumnId="51"/>
      <queryTableField id="66" name="10colo_app.RFI_Approval_Date" tableColumnId="52"/>
      <queryTableField id="67" name="10colo_app.RFI_Status" tableColumnId="53"/>
      <queryTableField id="73" name="10colo_app.On_Air_Date" tableColumnId="54"/>
      <queryTableField id="29" dataBound="0" tableColumnId="26"/>
      <queryTableField id="28" dataBound="0" tableColumnId="25"/>
      <queryTableField id="20" dataBound="0" tableColumnId="20"/>
      <queryTableField id="27" dataBound="0" tableColumnId="24"/>
      <queryTableField id="30" dataBound="0" tableColumnId="27"/>
      <queryTableField id="31" dataBound="0" tableColumnId="28"/>
      <queryTableField id="32" dataBound="0" tableColumnId="29"/>
      <queryTableField id="33" dataBound="0" tableColumnId="30"/>
      <queryTableField id="34" dataBound="0" tableColumnId="31"/>
      <queryTableField id="35" dataBound="0" tableColumnId="32"/>
      <queryTableField id="36" dataBound="0" tableColumnId="33"/>
      <queryTableField id="37" dataBound="0" tableColumnId="34"/>
      <queryTableField id="38" dataBound="0" tableColumnId="35"/>
      <queryTableField id="41" dataBound="0" tableColumnId="38"/>
      <queryTableField id="40" dataBound="0" tableColumnId="37"/>
      <queryTableField id="43" dataBound="0" tableColumnId="40"/>
      <queryTableField id="42" dataBound="0" tableColumnId="39"/>
      <queryTableField id="69" dataBound="0" tableColumnId="55"/>
      <queryTableField id="70" dataBound="0" tableColumnId="56"/>
      <queryTableField id="71" dataBound="0" tableColumnId="57"/>
      <queryTableField id="47" dataBound="0" tableColumnId="41"/>
      <queryTableField id="49" dataBound="0" tableColumnId="4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9BE1EFC-9F8D-456C-8869-B06A0D5DC676}" autoFormatId="16" applyNumberFormats="0" applyBorderFormats="0" applyFontFormats="0" applyPatternFormats="0" applyAlignmentFormats="0" applyWidthHeightFormats="0">
  <queryTableRefresh nextId="16">
    <queryTableFields count="15">
      <queryTableField id="1" name="20work_order_id" tableColumnId="1"/>
      <queryTableField id="2" name="05_id" tableColumnId="2"/>
      <queryTableField id="3" name="Work_Category" tableColumnId="3"/>
      <queryTableField id="4" name="Vendor_Name" tableColumnId="4"/>
      <queryTableField id="5" name="PR" tableColumnId="5"/>
      <queryTableField id="6" name="PR_Date" tableColumnId="6"/>
      <queryTableField id="7" name="PO" tableColumnId="7"/>
      <queryTableField id="8" name="PO_Date" tableColumnId="8"/>
      <queryTableField id="9" name="Plan_Delivery" tableColumnId="9"/>
      <queryTableField id="10" name="Plan_Start" tableColumnId="10"/>
      <queryTableField id="11" name="Plan_End" tableColumnId="11"/>
      <queryTableField id="12" name="Actual_Delivery" tableColumnId="12"/>
      <queryTableField id="13" name="Actual_Start" tableColumnId="13"/>
      <queryTableField id="14" name="Actual_End" tableColumnId="14"/>
      <queryTableField id="15" name="Remarks"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CC26586F-F81A-435C-9015-88D91712D50B}" sourceName="Operator">
  <pivotTables>
    <pivotTable tabId="20" name="PivotTable1"/>
    <pivotTable tabId="29" name="PivotTable1"/>
  </pivotTables>
  <data>
    <tabular pivotCacheId="831440869">
      <items count="4">
        <i x="1"/>
        <i x="2"/>
        <i x="0"/>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al_Manager" xr10:uid="{CC0AD8A9-1567-4C99-816E-1E5B6B84690E}" sourceName="Regional_Manager">
  <pivotTables>
    <pivotTable tabId="20" name="PivotTable1"/>
    <pivotTable tabId="29" name="PivotTable1"/>
  </pivotTables>
  <data>
    <tabular pivotCacheId="831440869">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_Type" xr10:uid="{8D667D6E-B793-41EF-8923-9068ABE8F384}" sourceName="Tower Type">
  <pivotTables>
    <pivotTable tabId="20" name="PivotTable1"/>
    <pivotTable tabId="29" name="PivotTable1"/>
  </pivotTables>
  <data>
    <tabular pivotCacheId="831440869">
      <items count="6">
        <i x="0" s="1"/>
        <i x="2" s="1"/>
        <i x="3" s="1"/>
        <i x="5" s="1" nd="1"/>
        <i x="1" s="1" nd="1"/>
        <i x="4"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8461F44-BBFC-494F-BEBC-D78493CEA315}" sourceName="Region">
  <pivotTables>
    <pivotTable tabId="20" name="PivotTable1"/>
    <pivotTable tabId="29" name="PivotTable1"/>
  </pivotTables>
  <data>
    <tabular pivotCacheId="831440869">
      <items count="14">
        <i x="6" s="1"/>
        <i x="11" s="1"/>
        <i x="10" s="1"/>
        <i x="12" s="1"/>
        <i x="5" s="1"/>
        <i x="9" s="1"/>
        <i x="2" s="1"/>
        <i x="8" s="1"/>
        <i x="3" s="1"/>
        <i x="4" s="1"/>
        <i x="13" s="1"/>
        <i x="7" s="1"/>
        <i x="1" s="1" nd="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1" xr10:uid="{FECC0DFF-7090-4135-BBB9-E8B481A7F618}" sourceName="Operator">
  <pivotTables>
    <pivotTable tabId="37" name="PivotTable1"/>
  </pivotTables>
  <data>
    <tabular pivotCacheId="831440869">
      <items count="4">
        <i x="1" s="1"/>
        <i x="3" s="1"/>
        <i x="2" s="1" nd="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11" xr10:uid="{722A1EC6-96C8-475C-8943-3EFA3A2AC780}" sourceName="Operator">
  <pivotTables>
    <pivotTable tabId="38" name="PivotTable1"/>
  </pivotTables>
  <data>
    <tabular pivotCacheId="831440869">
      <items count="4">
        <i x="1" s="1"/>
        <i x="3" s="1"/>
        <i x="2" s="1" nd="1"/>
        <i x="0"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111" xr10:uid="{563202C3-CFD2-4CC1-95C5-731A570785D0}" sourceName="Operator">
  <pivotTables>
    <pivotTable tabId="39" name="PivotTable1"/>
  </pivotTables>
  <data>
    <tabular pivotCacheId="831440869">
      <items count="4">
        <i x="1" s="1"/>
        <i x="3" s="1"/>
        <i x="2" s="1" nd="1"/>
        <i x="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1111" xr10:uid="{8BCC5B6E-D3C2-4B7A-B3FC-0BDAADA42E5E}" sourceName="Operator">
  <pivotTables>
    <pivotTable tabId="40" name="PivotTable1"/>
  </pivotTables>
  <data>
    <tabular pivotCacheId="831440869">
      <items count="4">
        <i x="1" s="1"/>
        <i x="3" s="1"/>
        <i x="2" s="1" nd="1"/>
        <i x="0"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11111" xr10:uid="{E786A49F-7904-4935-8E17-15102CE3DCC8}" sourceName="Operator">
  <pivotTables>
    <pivotTable tabId="41" name="PivotTable1"/>
  </pivotTables>
  <data>
    <tabular pivotCacheId="831440869">
      <items count="4">
        <i x="1" s="1"/>
        <i x="3" s="1"/>
        <i x="2" s="1" nd="1"/>
        <i x="0"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Q_Result2" xr10:uid="{062A3AAE-8E80-49F1-A0C5-0E5D81B51CF4}" sourceName="SAQ_Result2">
  <pivotTables>
    <pivotTable tabId="41" name="PivotTable1"/>
  </pivotTables>
  <data>
    <tabular pivotCacheId="831440869">
      <items count="4">
        <i x="0" s="1"/>
        <i x="1" s="1"/>
        <i x="2"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7" xr10:uid="{0C3E3077-D3D1-4EFC-81B5-77336008ECF2}" cache="Slicer_Operator" caption="Operator" rowHeight="241300"/>
  <slicer name="Regional_Manager" xr10:uid="{C3200650-D075-424C-A8B7-CE23A88F29E2}" cache="Slicer_Regional_Manager" caption="Regional_Manager" style="SlicerStyleLight2" rowHeight="241300"/>
  <slicer name="Tower Type" xr10:uid="{0104BBD9-F309-442C-A4DC-C2C15131099C}" cache="Slicer_Tower_Type" caption="Tower Type" style="SlicerStyleLight6" rowHeight="241300"/>
  <slicer name="Region" xr10:uid="{533F7FBF-170C-4580-9F7E-A08C378FC1D8}" cache="Slicer_Region" caption="Region" style="SlicerStyleLight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xr10:uid="{DCD79C2D-D3C6-483C-92A7-3EC0502B816B}" cache="Slicer_Operator" caption="Operator"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6" xr10:uid="{4DFBB84C-B7F5-4381-B5B8-981DEB98D135}" cache="Slicer_Operator" caption="Operator"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8" xr10:uid="{0D5E4C15-A039-4E02-BB64-B6415F2A590E}" cache="Slicer_Operator1" caption="Operator"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9" xr10:uid="{7086DD13-E68D-4995-8170-C68C6BCDDCB1}" cache="Slicer_Operator11" caption="Operator"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10" xr10:uid="{F13141F6-F956-405B-A237-FD996A061B7A}" cache="Slicer_Operator111" caption="Operator"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11" xr10:uid="{6E785F01-3469-4876-B6D1-7D10A0F4CB19}" cache="Slicer_Operator1111" caption="Operator" rowHeight="2413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12" xr10:uid="{2E7EC352-C92C-4775-868A-4319828D202F}" cache="Slicer_Operator11111" caption="Operator" rowHeight="241300"/>
  <slicer name="SAQ_Result2" xr10:uid="{D6EFFC90-A4B7-4F66-AD1D-05D41A8E3E25}" cache="Slicer_SAQ_Result2" caption="SAQ_Result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2274EB-0563-4406-918F-5B15A502C556}" name="_01towers" displayName="_01towers" ref="A1:BE268" tableType="queryTable" totalsRowShown="0">
  <autoFilter ref="A1:BE268" xr:uid="{FA64F79D-2F64-4DE2-A83F-46532AB924E7}">
    <filterColumn colId="11">
      <filters>
        <filter val="Commercial Approval Requested"/>
      </filters>
    </filterColumn>
  </autoFilter>
  <tableColumns count="57">
    <tableColumn id="1" xr3:uid="{1991EBD9-1BFE-4D96-906E-D51E79DE26C8}" uniqueName="1" name="AT Site ID" queryTableFieldId="1" dataDxfId="61"/>
    <tableColumn id="44" xr3:uid="{B146FEA3-AD71-492E-AA0D-0AA93E8F3535}" uniqueName="44" name="Regional_Manager" queryTableFieldId="50" dataDxfId="60"/>
    <tableColumn id="45" xr3:uid="{730F2BE3-55BD-4EF1-8A66-42B063A7E142}" uniqueName="45" name="Tower Type" queryTableFieldId="51" dataDxfId="59"/>
    <tableColumn id="46" xr3:uid="{6F5436DA-2304-4815-B1DD-EC19C1604DD1}" uniqueName="46" name="Actual Tower Height" queryTableFieldId="52"/>
    <tableColumn id="47" xr3:uid="{3E736EEA-1E8C-46D5-BFA9-741BD44839F4}" uniqueName="47" name="Region" queryTableFieldId="53" dataDxfId="58"/>
    <tableColumn id="48" xr3:uid="{4954A88A-16A7-4D90-A9BE-5311B7A7B4EC}" uniqueName="48" name="Actual Long" queryTableFieldId="54"/>
    <tableColumn id="49" xr3:uid="{5DEED64E-2FBD-4FDB-8DB5-4EE8C1F4B422}" uniqueName="49" name="Actual Lat" queryTableFieldId="55"/>
    <tableColumn id="50" xr3:uid="{B9F4FE9F-AEBE-4227-8385-AC79D48686B0}" uniqueName="50" name="Tenants_on_Site" queryTableFieldId="56" dataDxfId="57"/>
    <tableColumn id="21" xr3:uid="{3ED6D1D4-6697-4BB7-B394-D66454440704}" uniqueName="21" name="05_id" queryTableFieldId="21"/>
    <tableColumn id="2" xr3:uid="{D0C2D040-60FC-4DD0-BDB1-A083D8665DCC}" uniqueName="2" name="New_Colo_ID" queryTableFieldId="2" dataDxfId="56"/>
    <tableColumn id="36" xr3:uid="{D22B7586-BCB7-4521-984C-DAA9E9A0B802}" uniqueName="36" name="Operator" queryTableFieldId="45" dataDxfId="55"/>
    <tableColumn id="3" xr3:uid="{D1908441-62D4-4466-AD4B-FAE88DCE9194}" uniqueName="3" name="Prevalidation Status" queryTableFieldId="3" dataDxfId="54"/>
    <tableColumn id="4" xr3:uid="{F5795523-4AF4-4CFB-BBC8-7B7E931C05A0}" uniqueName="4" name="SAQ_Result" queryTableFieldId="4" dataDxfId="53"/>
    <tableColumn id="5" xr3:uid="{918AB2CF-FABA-42F5-A477-8458365EF55F}" uniqueName="5" name="RF_Result" queryTableFieldId="5" dataDxfId="52"/>
    <tableColumn id="6" xr3:uid="{640AECC3-1E6B-424D-8CC3-0D3B47B3332A}" uniqueName="6" name="Structural_Result" queryTableFieldId="6" dataDxfId="51"/>
    <tableColumn id="7" xr3:uid="{42777881-E4EC-4483-8F0E-DD680B3A75CA}" uniqueName="7" name="Power_Result" queryTableFieldId="7" dataDxfId="50"/>
    <tableColumn id="8" xr3:uid="{AD096A8E-D091-4A7C-BF9B-0F56DF4D10B2}" uniqueName="8" name="CW_Result" queryTableFieldId="8" dataDxfId="49"/>
    <tableColumn id="9" xr3:uid="{5C516E63-8230-43B1-B34E-F8EE42E4A5BA}" uniqueName="9" name="Community_Result" queryTableFieldId="9" dataDxfId="48"/>
    <tableColumn id="22" xr3:uid="{644D2713-BF06-4C64-8A49-E99907AF1509}" uniqueName="22" name="02tss.02tss_id" queryTableFieldId="22"/>
    <tableColumn id="10" xr3:uid="{4F66ED4D-764D-4C32-A242-044BBEC55C6B}" uniqueName="10" name="02tss.Rev" queryTableFieldId="10"/>
    <tableColumn id="11" xr3:uid="{D6AF04F1-21C1-455A-9600-78D73B9D1709}" uniqueName="11" name="02tss.Plan_Date" queryTableFieldId="11" dataDxfId="47"/>
    <tableColumn id="12" xr3:uid="{BC0D4B0A-10AC-4E27-965B-931F0393114B}" uniqueName="12" name="02tss.TSS_Actual_Date" queryTableFieldId="12" dataDxfId="46"/>
    <tableColumn id="13" xr3:uid="{8642DD5D-0CF3-4C17-B24B-B3F1A3A4906A}" uniqueName="13" name="02tss.TSSR_From_Engineer" queryTableFieldId="13" dataDxfId="45"/>
    <tableColumn id="14" xr3:uid="{6D826ECF-3E33-4800-B8FE-89870D786C9B}" uniqueName="14" name="02tss.TSSR_Approved_Operator" queryTableFieldId="14" dataDxfId="44"/>
    <tableColumn id="15" xr3:uid="{23E2502D-6670-4251-B118-8601243B0FD8}" uniqueName="15" name="02tss.Plan_RFI_Date" queryTableFieldId="15" dataDxfId="43"/>
    <tableColumn id="16" xr3:uid="{C7E7CD0D-BB89-4F51-B3B4-5FE895866790}" uniqueName="16" name="02tss.TSS_Result" queryTableFieldId="16" dataDxfId="42"/>
    <tableColumn id="23" xr3:uid="{AD0381FE-A165-4CF4-A502-47EB6E9B9D76}" uniqueName="23" name="10colo_app.10coloapp_id" queryTableFieldId="23"/>
    <tableColumn id="17" xr3:uid="{1C4835B8-D3DD-4736-B3C8-D342EA153C38}" uniqueName="17" name="10colo_app.Rev" queryTableFieldId="17"/>
    <tableColumn id="18" xr3:uid="{03592F14-A5DB-4979-9A54-769D62D824A5}" uniqueName="18" name="10colo_app.Colo_App_Date" queryTableFieldId="18" dataDxfId="41"/>
    <tableColumn id="19" xr3:uid="{F0F51436-0AB0-4A4E-A2BE-86B391146EB2}" uniqueName="19" name="10colo_app.Colo_App_Result" queryTableFieldId="19" dataDxfId="40"/>
    <tableColumn id="42" xr3:uid="{40FA6755-1217-4E3C-8F54-69EA3427DE5D}" uniqueName="42" name="10colo_app.RFI_Forecast_Date" queryTableFieldId="64" dataDxfId="39"/>
    <tableColumn id="51" xr3:uid="{B22642C7-194F-4984-9214-E925EDFC5241}" uniqueName="51" name="10colo_app.RFI_Submission_Date" queryTableFieldId="65" dataDxfId="38"/>
    <tableColumn id="52" xr3:uid="{3449A89B-30DE-4262-B91A-B1A9A2CC83EB}" uniqueName="52" name="10colo_app.RFI_Approval_Date" queryTableFieldId="66" dataDxfId="37"/>
    <tableColumn id="53" xr3:uid="{D9EFA13B-ECCE-4D50-B163-775B18369BC9}" uniqueName="53" name="10colo_app.RFI_Status" queryTableFieldId="67" dataDxfId="36"/>
    <tableColumn id="54" xr3:uid="{CE84954C-4A74-4392-A27B-6E881426EEF0}" uniqueName="54" name="10colo_app.On_Air_Date" queryTableFieldId="73" dataDxfId="35"/>
    <tableColumn id="26" xr3:uid="{0E9B6911-961D-4670-97D0-F55B8397D346}" uniqueName="26" name="Count Rev TSS" queryTableFieldId="29" dataDxfId="34">
      <calculatedColumnFormula>_xlfn.MAXIFS(_01towers[02tss.Rev],_01towers[05_id],_01towers[[#This Row],[05_id]])</calculatedColumnFormula>
    </tableColumn>
    <tableColumn id="25" xr3:uid="{12A9498B-F515-4F77-A67A-7583B5FE22A4}" uniqueName="25" name="Test Rev TSS" queryTableFieldId="28" dataDxfId="33">
      <calculatedColumnFormula>IF(_01towers[[#This Row],[Count Rev TSS]]=_01towers[[#This Row],[02tss.Rev]],TRUE,FALSE)</calculatedColumnFormula>
    </tableColumn>
    <tableColumn id="20" xr3:uid="{442825B5-1E16-4A1F-8042-B185A76A14C8}" uniqueName="20" name="Count Rev Colo App" queryTableFieldId="20" dataDxfId="32">
      <calculatedColumnFormula>_xlfn.MAXIFS(_01towers[10colo_app.Rev],_01towers[05_id],_01towers[[#This Row],[05_id]])</calculatedColumnFormula>
    </tableColumn>
    <tableColumn id="24" xr3:uid="{139B0CC5-B052-44F4-9DE5-4E960EA64CC7}" uniqueName="24" name="Test Rev Colo" queryTableFieldId="27" dataDxfId="31">
      <calculatedColumnFormula>IF(_01towers[[#This Row],[Count Rev Colo App]]=_01towers[[#This Row],[10colo_app.Rev]],TRUE,FALSE)</calculatedColumnFormula>
    </tableColumn>
    <tableColumn id="27" xr3:uid="{ACA9CA36-AFEB-4C54-B55E-D26E4444DED4}" uniqueName="27" name="Test Active" queryTableFieldId="30" dataDxfId="30">
      <calculatedColumnFormula>IF(AND(_01towers[[#This Row],[Test Rev Colo]]=TRUE,_01towers[[#This Row],[Test Rev TSS]]=TRUE),TRUE,FALSE)</calculatedColumnFormula>
    </tableColumn>
    <tableColumn id="28" xr3:uid="{E0E5823D-110C-4DAF-A63B-B610553908BD}" uniqueName="28" name="Active Prevalidation Status" queryTableFieldId="31" dataDxfId="29">
      <calculatedColumnFormula>IF(_01towers[[#This Row],[Test Active]]=TRUE,_01towers[[#This Row],[Prevalidation Status]],"")</calculatedColumnFormula>
    </tableColumn>
    <tableColumn id="29" xr3:uid="{15AAC3A7-B86C-4002-8DD1-B25D03B1C171}" uniqueName="29" name="SAQ_Result2" queryTableFieldId="32" dataDxfId="28">
      <calculatedColumnFormula>IF(_01towers[[#This Row],[Active Prevalidation Status]]="Under Prevalidation",
IF(M2="","Review",M2),"")</calculatedColumnFormula>
    </tableColumn>
    <tableColumn id="30" xr3:uid="{F0F06A13-E1C3-48CB-9F5B-BC335366B122}" uniqueName="30" name="RF_Result3" queryTableFieldId="33" dataDxfId="27">
      <calculatedColumnFormula>IF(_01towers[[#This Row],[Active Prevalidation Status]]="Under Prevalidation",
IF(N2="","Review",N2),"")</calculatedColumnFormula>
    </tableColumn>
    <tableColumn id="31" xr3:uid="{B38E97EE-EB87-40A8-B6BE-15C362289B06}" uniqueName="31" name="Structural_Result4" queryTableFieldId="34" dataDxfId="26">
      <calculatedColumnFormula>IF(_01towers[[#This Row],[Active Prevalidation Status]]="Under Prevalidation",
IF(O2="","Review",O2),"")</calculatedColumnFormula>
    </tableColumn>
    <tableColumn id="32" xr3:uid="{88E02E1D-DF4B-4806-82BC-891AD0AA4D80}" uniqueName="32" name="Power_Result5" queryTableFieldId="35" dataDxfId="25">
      <calculatedColumnFormula>IF(_01towers[[#This Row],[Active Prevalidation Status]]="Under Prevalidation",
IF(P2="","Review",P2),"")</calculatedColumnFormula>
    </tableColumn>
    <tableColumn id="33" xr3:uid="{5D70508D-D6AF-4BFB-99B0-76CD92DD115C}" uniqueName="33" name="CW_Result6" queryTableFieldId="36" dataDxfId="24">
      <calculatedColumnFormula>IF(_01towers[[#This Row],[Active Prevalidation Status]]="Under Prevalidation",
IF(Q2="","Review",Q2),"")</calculatedColumnFormula>
    </tableColumn>
    <tableColumn id="34" xr3:uid="{C17BA29B-08FD-4DE0-A361-5B04BB7A0188}" uniqueName="34" name="Community_Result2" queryTableFieldId="37" dataDxfId="23">
      <calculatedColumnFormula>IF(_01towers[[#This Row],[Active Prevalidation Status]]="Under Prevalidation",
IF(R2="","Review",R2),"")</calculatedColumnFormula>
    </tableColumn>
    <tableColumn id="35" xr3:uid="{47F4C3C7-4E14-445F-BEDA-40DF8E6B58A0}" uniqueName="35" name="Count Ok" queryTableFieldId="38" dataDxfId="22">
      <calculatedColumnFormula>COUNTIF(_01towers[[#This Row],[SAQ_Result2]:[Community_Result2]],"OK")</calculatedColumnFormula>
    </tableColumn>
    <tableColumn id="38" xr3:uid="{9DAF2C3E-987F-4F43-B63B-0B23BEED44D4}" uniqueName="38" name="Active TSS Submitted" queryTableFieldId="41" dataDxfId="21">
      <calculatedColumnFormula>IF(AND(OR(_01towers[[#This Row],[Active Prevalidation Status]]="Under Prevalidation",_01towers[[#This Row],[Active Prevalidation Status]]="Prevalidated"),_01towers[[#This Row],[02tss.TSSR_From_Engineer]]&gt;0),"Submitted","")</calculatedColumnFormula>
    </tableColumn>
    <tableColumn id="37" xr3:uid="{CF407B46-5F15-4624-9BD5-5CC27EAB0BD5}" uniqueName="37" name="Active TSS Result" queryTableFieldId="40" dataDxfId="20">
      <calculatedColumnFormula>IF(OR(_01towers[[#This Row],[Active Prevalidation Status]]="Under Prevalidation",_01towers[[#This Row],[Active Prevalidation Status]]="Prevalidated"),_01towers[[#This Row],[02tss.TSS_Result]],"")</calculatedColumnFormula>
    </tableColumn>
    <tableColumn id="40" xr3:uid="{14933D2E-EF1A-4FBC-AC5A-98D2CBDFE387}" uniqueName="40" name="Active Colo in Process" queryTableFieldId="43" dataDxfId="19">
      <calculatedColumnFormula>IF(AND(_01towers[[#This Row],[Active TSS Result]]="Approved",_01towers[[#This Row],[Active Prevalidation Status]]="Prevalidated"),"In Process","")</calculatedColumnFormula>
    </tableColumn>
    <tableColumn id="39" xr3:uid="{184ED9E7-8A9A-4306-8CCC-1991E79B37B3}" uniqueName="39" name="Active Colo Application Result" queryTableFieldId="42" dataDxfId="18">
      <calculatedColumnFormula>IF(AND(_01towers[[#This Row],[Active TSS Result]]="Approved",_01towers[[#This Row],[Active Prevalidation Status]]="Prevalidated"),_01towers[[#This Row],[10colo_app.Colo_App_Result]],"")</calculatedColumnFormula>
    </tableColumn>
    <tableColumn id="55" xr3:uid="{CFB30B7E-473B-4CF6-B0CE-F7EA343F8260}" uniqueName="55" name="Count Work Orders" queryTableFieldId="69" dataDxfId="17">
      <calculatedColumnFormula>COUNTIF(_20work_order[05_id],_01towers[[#This Row],[05_id]])</calculatedColumnFormula>
    </tableColumn>
    <tableColumn id="56" xr3:uid="{15800B00-C73A-45B0-B558-DF677DB8AD75}" uniqueName="56" name="Completed Work Orders" queryTableFieldId="70" dataDxfId="16">
      <calculatedColumnFormula>COUNTIFS(_20work_order[05_id],_01towers[[#This Row],[05_id]],_20work_order[Actual_End],"&gt;0")</calculatedColumnFormula>
    </tableColumn>
    <tableColumn id="57" xr3:uid="{5ACDE5D2-A2E7-41E2-84E7-2E8AE83059E2}" uniqueName="57" name="WIP Readiness" queryTableFieldId="71" dataDxfId="15">
      <calculatedColumnFormula>IF(_01towers[[#This Row],[Completed Work Orders]]&gt;0,"Work Completed",
IF(_01towers[[#This Row],[Count Work Orders]]&gt;0,"Work in Progress",""))</calculatedColumnFormula>
    </tableColumn>
    <tableColumn id="41" xr3:uid="{B9A358E6-3BA2-441F-BEF1-429E14428F3F}" uniqueName="41" name="Final Colo Status full" queryTableFieldId="47" dataDxfId="14">
      <calculatedColumnFormula>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calculatedColumnFormula>
    </tableColumn>
    <tableColumn id="43" xr3:uid="{C4383BDA-6057-4413-A307-845678BAC91C}" uniqueName="43" name="Final Colo Status Summarized" queryTableFieldId="49" dataDxfId="13">
      <calculatedColumnFormula>_xlfn.SWITCH(_01towers[[#This Row],[Final Colo Status full]],"Commercial Approval Requested","Under Prevalidation",_01towers[[#This Row],[Final Colo Status full]])</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BE8BC64-1FBE-4B2D-A52E-CC56E0133628}" name="_20work_order" displayName="_20work_order" ref="A1:O47" tableType="queryTable" totalsRowShown="0">
  <autoFilter ref="A1:O47" xr:uid="{2010722E-C092-48F1-BCEC-175FBF120AE4}"/>
  <tableColumns count="15">
    <tableColumn id="1" xr3:uid="{03C2AC3C-0C5F-4994-A8E1-A3744915CAFF}" uniqueName="1" name="20work_order_id" queryTableFieldId="1"/>
    <tableColumn id="2" xr3:uid="{EDAD883E-87B7-42B1-8B54-93D332B0C3D3}" uniqueName="2" name="05_id" queryTableFieldId="2"/>
    <tableColumn id="3" xr3:uid="{97BC07BB-DEB6-4FA4-8EE1-729228EAE78F}" uniqueName="3" name="Work_Category" queryTableFieldId="3" dataDxfId="12"/>
    <tableColumn id="4" xr3:uid="{7CDEA460-FB90-4717-9AE4-127891CE81AB}" uniqueName="4" name="Vendor_Name" queryTableFieldId="4" dataDxfId="11"/>
    <tableColumn id="5" xr3:uid="{CF16F9E2-BCB4-4466-A67D-06DA1A65A0DC}" uniqueName="5" name="PR" queryTableFieldId="5" dataDxfId="10"/>
    <tableColumn id="6" xr3:uid="{F0FA0650-532D-4EB1-A73A-A105C7F219CD}" uniqueName="6" name="PR_Date" queryTableFieldId="6" dataDxfId="9"/>
    <tableColumn id="7" xr3:uid="{BE64A541-2B58-4D39-AC86-0EB64E60A95B}" uniqueName="7" name="PO" queryTableFieldId="7" dataDxfId="8"/>
    <tableColumn id="8" xr3:uid="{CD8ACA1E-FCA7-411C-AE37-58CF920BBAD2}" uniqueName="8" name="PO_Date" queryTableFieldId="8" dataDxfId="7"/>
    <tableColumn id="9" xr3:uid="{8B7B952E-2A30-453E-803F-F26FF05A5944}" uniqueName="9" name="Plan_Delivery" queryTableFieldId="9" dataDxfId="6"/>
    <tableColumn id="10" xr3:uid="{FA83D809-356E-495A-91D7-6F14AC02D3D0}" uniqueName="10" name="Plan_Start" queryTableFieldId="10" dataDxfId="5"/>
    <tableColumn id="11" xr3:uid="{762FF996-3C95-41D7-8998-A3966E8F5E5F}" uniqueName="11" name="Plan_End" queryTableFieldId="11" dataDxfId="4"/>
    <tableColumn id="12" xr3:uid="{A8D06DAC-C2E7-4A44-897B-B25C3C6A4A98}" uniqueName="12" name="Actual_Delivery" queryTableFieldId="12" dataDxfId="3"/>
    <tableColumn id="13" xr3:uid="{90664FEC-8CCA-4A2A-8BCC-D393A5A6A802}" uniqueName="13" name="Actual_Start" queryTableFieldId="13" dataDxfId="2"/>
    <tableColumn id="14" xr3:uid="{84AF16AB-F256-4EE6-BA65-FC062B277780}" uniqueName="14" name="Actual_End" queryTableFieldId="14" dataDxfId="1"/>
    <tableColumn id="15" xr3:uid="{850D8DFB-A90E-48EC-B3E7-6CA2ADD94927}" uniqueName="15" name="Remarks" queryTableFieldId="1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8.xml"/><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9.xml"/><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10.xml"/><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11.xml"/><Relationship Id="rId1" Type="http://schemas.openxmlformats.org/officeDocument/2006/relationships/pivotTable" Target="../pivotTables/pivotTable5.xml"/></Relationships>
</file>

<file path=xl/worksheets/_rels/sheet14.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12.xml"/><Relationship Id="rId1" Type="http://schemas.openxmlformats.org/officeDocument/2006/relationships/pivotTable" Target="../pivotTables/pivotTable6.xml"/></Relationships>
</file>

<file path=xl/worksheets/_rels/sheet15.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13.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CBF78-6120-41C3-AD27-83684DA727C8}">
  <sheetPr codeName="Sheet6"/>
  <dimension ref="A1:DU73"/>
  <sheetViews>
    <sheetView tabSelected="1" topLeftCell="F14" zoomScaleNormal="100" workbookViewId="0">
      <selection activeCell="AG22" sqref="AG22"/>
    </sheetView>
  </sheetViews>
  <sheetFormatPr defaultColWidth="0" defaultRowHeight="15" customHeight="1" zeroHeight="1" x14ac:dyDescent="0.35"/>
  <cols>
    <col min="1" max="1" width="9.1796875" style="6" hidden="1" customWidth="1"/>
    <col min="2" max="80" width="2.7265625" style="6" customWidth="1"/>
    <col min="81" max="87" width="9.1796875" style="6" customWidth="1"/>
    <col min="88" max="125" width="0" style="6" hidden="1" customWidth="1"/>
    <col min="126" max="16384" width="9.1796875" style="6" hidden="1"/>
  </cols>
  <sheetData>
    <row r="1" spans="1:88" ht="15" hidden="1" customHeight="1" x14ac:dyDescent="0.35">
      <c r="V1"/>
      <c r="W1"/>
      <c r="X1"/>
      <c r="Y1"/>
      <c r="Z1"/>
      <c r="AA1"/>
      <c r="AB1"/>
      <c r="AC1"/>
      <c r="AD1"/>
      <c r="AE1"/>
      <c r="AF1"/>
      <c r="AG1"/>
      <c r="AH1"/>
      <c r="AI1"/>
      <c r="AJ1"/>
      <c r="AK1"/>
      <c r="AL1"/>
      <c r="AM1"/>
      <c r="AN1"/>
      <c r="AO1"/>
      <c r="AP1"/>
      <c r="AQ1"/>
      <c r="AR1"/>
      <c r="AS1"/>
      <c r="AT1"/>
      <c r="AU1"/>
      <c r="AV1"/>
      <c r="AW1"/>
      <c r="AX1"/>
      <c r="AY1"/>
      <c r="AZ1"/>
      <c r="BA1"/>
      <c r="BB1"/>
      <c r="BC1"/>
      <c r="BD1"/>
      <c r="BE1"/>
      <c r="BF1"/>
      <c r="BG1"/>
      <c r="BH1"/>
      <c r="BI1"/>
    </row>
    <row r="2" spans="1:88" ht="15" customHeight="1" x14ac:dyDescent="0.35">
      <c r="A2" s="6">
        <v>1</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row>
    <row r="3" spans="1:88" ht="15" customHeight="1" x14ac:dyDescent="0.35">
      <c r="A3" s="6">
        <v>2</v>
      </c>
      <c r="B3"/>
      <c r="C3"/>
      <c r="D3"/>
      <c r="E3"/>
      <c r="F3"/>
      <c r="G3"/>
      <c r="H3" s="10"/>
      <c r="I3" s="10"/>
      <c r="J3" s="10"/>
      <c r="K3" s="10"/>
      <c r="L3" s="10"/>
      <c r="M3" s="10"/>
      <c r="N3" s="10"/>
      <c r="O3" s="10"/>
      <c r="P3" s="10"/>
      <c r="Q3" s="10"/>
      <c r="R3" s="10"/>
      <c r="S3" s="10"/>
      <c r="T3" s="10"/>
      <c r="U3" s="10"/>
      <c r="V3" s="113" t="str">
        <f>"Colocation Project: "&amp;'Graph Infos'!C48 &amp;" in Process"</f>
        <v>Colocation Project: 182 in Process</v>
      </c>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c r="BA3" s="113"/>
      <c r="BB3" s="113"/>
      <c r="BC3" s="113"/>
      <c r="BD3" s="113"/>
      <c r="BE3" s="113"/>
      <c r="BF3" s="113"/>
      <c r="BG3" s="113"/>
      <c r="BH3" s="113"/>
      <c r="BI3" s="113"/>
      <c r="BJ3" s="10"/>
      <c r="BK3" s="10"/>
      <c r="BL3" s="114">
        <f ca="1">NOW()</f>
        <v>43473.436218287039</v>
      </c>
      <c r="BM3" s="114"/>
      <c r="BN3" s="114"/>
      <c r="BO3" s="114"/>
      <c r="BP3" s="114"/>
      <c r="BQ3" s="114"/>
      <c r="BR3" s="114"/>
      <c r="BS3" s="114"/>
      <c r="BT3" s="114"/>
      <c r="BU3" s="114"/>
      <c r="BV3" s="114"/>
      <c r="BW3" s="21"/>
      <c r="BX3" s="21"/>
      <c r="BY3" s="21"/>
      <c r="BZ3" s="53"/>
      <c r="CA3" s="54"/>
    </row>
    <row r="4" spans="1:88" ht="15" customHeight="1" x14ac:dyDescent="0.35">
      <c r="A4" s="6">
        <v>3</v>
      </c>
      <c r="B4"/>
      <c r="C4"/>
      <c r="D4"/>
      <c r="E4"/>
      <c r="F4"/>
      <c r="G4"/>
      <c r="H4" s="10"/>
      <c r="I4" s="10"/>
      <c r="J4" s="10"/>
      <c r="K4" s="10"/>
      <c r="L4" s="10"/>
      <c r="M4" s="10"/>
      <c r="N4" s="10"/>
      <c r="O4" s="10"/>
      <c r="P4" s="10"/>
      <c r="Q4" s="10"/>
      <c r="R4" s="10"/>
      <c r="S4" s="10"/>
      <c r="T4" s="10"/>
      <c r="U4" s="10"/>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c r="BA4" s="113"/>
      <c r="BB4" s="113"/>
      <c r="BC4" s="113"/>
      <c r="BD4" s="113"/>
      <c r="BE4" s="113"/>
      <c r="BF4" s="113"/>
      <c r="BG4" s="113"/>
      <c r="BH4" s="113"/>
      <c r="BI4" s="113"/>
      <c r="BJ4" s="10"/>
      <c r="BK4" s="10"/>
      <c r="BL4" s="114"/>
      <c r="BM4" s="114"/>
      <c r="BN4" s="114"/>
      <c r="BO4" s="114"/>
      <c r="BP4" s="114"/>
      <c r="BQ4" s="114"/>
      <c r="BR4" s="114"/>
      <c r="BS4" s="114"/>
      <c r="BT4" s="114"/>
      <c r="BU4" s="114"/>
      <c r="BV4" s="114"/>
      <c r="BW4" s="21"/>
      <c r="BX4" s="21"/>
      <c r="BY4" s="21"/>
      <c r="BZ4" s="53"/>
      <c r="CA4" s="54"/>
    </row>
    <row r="5" spans="1:88" ht="15" customHeight="1" x14ac:dyDescent="0.35">
      <c r="A5" s="6">
        <v>4</v>
      </c>
      <c r="B5"/>
      <c r="C5"/>
      <c r="D5"/>
      <c r="E5"/>
      <c r="F5"/>
      <c r="G5"/>
      <c r="H5" s="10"/>
      <c r="I5" s="10"/>
      <c r="J5" s="10"/>
      <c r="K5" s="10"/>
      <c r="L5" s="10"/>
      <c r="M5" s="10"/>
      <c r="N5" s="10"/>
      <c r="O5" s="10"/>
      <c r="P5" s="10"/>
      <c r="Q5" s="10"/>
      <c r="R5" s="10"/>
      <c r="S5" s="10"/>
      <c r="T5" s="10"/>
      <c r="U5" s="10"/>
      <c r="V5" s="113"/>
      <c r="W5" s="113"/>
      <c r="X5" s="113"/>
      <c r="Y5" s="113"/>
      <c r="Z5" s="113"/>
      <c r="AA5" s="113"/>
      <c r="AB5" s="113"/>
      <c r="AC5" s="113"/>
      <c r="AD5" s="113"/>
      <c r="AE5" s="113"/>
      <c r="AF5" s="113"/>
      <c r="AG5" s="113"/>
      <c r="AH5" s="113"/>
      <c r="AI5" s="113"/>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13"/>
      <c r="BI5" s="113"/>
      <c r="BJ5" s="10"/>
      <c r="BK5" s="10"/>
      <c r="BL5" s="10"/>
      <c r="BM5" s="10"/>
      <c r="BN5" s="10"/>
      <c r="BO5" s="10"/>
      <c r="BP5" s="10"/>
      <c r="BQ5"/>
      <c r="BR5"/>
      <c r="BS5"/>
      <c r="BT5"/>
      <c r="BU5"/>
      <c r="BV5"/>
      <c r="BW5"/>
      <c r="BX5"/>
      <c r="BY5"/>
    </row>
    <row r="6" spans="1:88" ht="15" customHeight="1" x14ac:dyDescent="0.35">
      <c r="A6" s="6">
        <v>5</v>
      </c>
      <c r="B6"/>
      <c r="C6"/>
      <c r="D6"/>
      <c r="E6"/>
      <c r="F6"/>
      <c r="G6"/>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c r="BR6"/>
      <c r="BS6"/>
      <c r="BT6"/>
      <c r="BU6"/>
      <c r="BV6"/>
      <c r="BW6"/>
      <c r="BX6"/>
      <c r="BY6"/>
    </row>
    <row r="7" spans="1:88" ht="15" customHeight="1" x14ac:dyDescent="0.35">
      <c r="A7" s="6">
        <v>6</v>
      </c>
      <c r="B7"/>
      <c r="C7"/>
      <c r="D7"/>
      <c r="E7"/>
      <c r="F7"/>
      <c r="G7"/>
      <c r="H7"/>
      <c r="I7"/>
      <c r="J7"/>
      <c r="K7"/>
      <c r="L7"/>
      <c r="M7"/>
      <c r="N7"/>
      <c r="O7"/>
      <c r="P7"/>
      <c r="Q7"/>
      <c r="R7"/>
      <c r="S7"/>
      <c r="T7"/>
      <c r="U7"/>
      <c r="V7"/>
      <c r="W7"/>
      <c r="X7"/>
      <c r="Y7"/>
      <c r="Z7"/>
      <c r="AA7"/>
      <c r="AB7"/>
      <c r="AC7"/>
      <c r="AD7"/>
      <c r="AE7"/>
      <c r="AF7"/>
      <c r="AG7"/>
      <c r="AH7"/>
      <c r="AI7" s="25"/>
      <c r="AJ7" s="25"/>
      <c r="AK7" s="25"/>
      <c r="AL7" s="25"/>
      <c r="AM7" s="25"/>
      <c r="AN7" s="25"/>
      <c r="AO7" s="25"/>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c r="BT7"/>
      <c r="BU7"/>
      <c r="BV7"/>
      <c r="BW7"/>
      <c r="BX7"/>
      <c r="BY7"/>
    </row>
    <row r="8" spans="1:88" ht="15" customHeight="1" x14ac:dyDescent="0.35">
      <c r="A8" s="6">
        <v>7</v>
      </c>
      <c r="B8"/>
      <c r="C8"/>
      <c r="D8"/>
      <c r="E8"/>
      <c r="F8"/>
      <c r="G8"/>
      <c r="H8"/>
      <c r="I8"/>
      <c r="J8"/>
      <c r="K8"/>
      <c r="L8"/>
      <c r="M8"/>
      <c r="N8"/>
      <c r="O8"/>
      <c r="P8"/>
      <c r="Q8"/>
      <c r="R8"/>
      <c r="S8"/>
      <c r="T8"/>
      <c r="U8"/>
      <c r="V8"/>
      <c r="W8"/>
      <c r="X8"/>
      <c r="Y8"/>
      <c r="Z8"/>
      <c r="AA8"/>
      <c r="AB8"/>
      <c r="AC8"/>
      <c r="AD8"/>
      <c r="AE8" s="115">
        <f>'Graph Infos'!$C$36</f>
        <v>1</v>
      </c>
      <c r="AF8" s="115"/>
      <c r="AG8" s="115"/>
      <c r="AH8" s="117" t="str">
        <f>"Sites "&amp;'Graph Infos'!$B$36</f>
        <v>Sites RFI</v>
      </c>
      <c r="AI8" s="117"/>
      <c r="AJ8" s="117"/>
      <c r="AK8" s="117"/>
      <c r="AL8" s="117"/>
      <c r="AM8" s="117"/>
      <c r="AN8" s="117"/>
      <c r="AO8" s="117"/>
      <c r="AP8" s="117"/>
      <c r="AQ8" s="117"/>
      <c r="AR8" s="117"/>
      <c r="AS8" s="117"/>
      <c r="AT8" s="117"/>
      <c r="AU8" s="117"/>
      <c r="AV8" s="117"/>
      <c r="AW8" s="117"/>
      <c r="AX8" s="117"/>
      <c r="AY8" s="117"/>
      <c r="AZ8" s="117"/>
      <c r="BA8" s="117"/>
      <c r="BB8" s="117"/>
      <c r="BC8" s="117"/>
      <c r="BD8" s="117"/>
      <c r="BE8" s="117"/>
      <c r="BF8" s="117"/>
      <c r="BG8" s="117"/>
      <c r="BH8" s="117"/>
      <c r="BI8" s="24"/>
      <c r="BJ8" s="24"/>
      <c r="BK8" s="24"/>
      <c r="BL8" s="24"/>
      <c r="BM8" s="24"/>
      <c r="BN8" s="24"/>
      <c r="BO8" s="24"/>
      <c r="BP8" s="24"/>
      <c r="BQ8" s="24"/>
      <c r="BR8" s="24"/>
      <c r="BS8"/>
      <c r="BT8"/>
      <c r="BU8"/>
      <c r="BV8"/>
      <c r="BW8"/>
      <c r="BX8"/>
      <c r="BY8"/>
    </row>
    <row r="9" spans="1:88" ht="15" customHeight="1" x14ac:dyDescent="0.35">
      <c r="A9" s="6">
        <v>12</v>
      </c>
      <c r="B9"/>
      <c r="C9"/>
      <c r="D9"/>
      <c r="E9"/>
      <c r="F9"/>
      <c r="G9"/>
      <c r="H9"/>
      <c r="I9"/>
      <c r="J9"/>
      <c r="K9"/>
      <c r="L9"/>
      <c r="M9"/>
      <c r="N9"/>
      <c r="O9"/>
      <c r="P9"/>
      <c r="Q9"/>
      <c r="R9"/>
      <c r="S9"/>
      <c r="T9"/>
      <c r="U9"/>
      <c r="V9"/>
      <c r="W9"/>
      <c r="X9"/>
      <c r="Y9"/>
      <c r="Z9"/>
      <c r="AA9"/>
      <c r="AB9"/>
      <c r="AC9"/>
      <c r="AD9"/>
      <c r="AE9" s="115"/>
      <c r="AF9" s="115"/>
      <c r="AG9" s="115"/>
      <c r="AH9" s="117"/>
      <c r="AI9" s="117"/>
      <c r="AJ9" s="117"/>
      <c r="AK9" s="117"/>
      <c r="AL9" s="117"/>
      <c r="AM9" s="117"/>
      <c r="AN9" s="117"/>
      <c r="AO9" s="117"/>
      <c r="AP9" s="117"/>
      <c r="AQ9" s="117"/>
      <c r="AR9" s="117"/>
      <c r="AS9" s="117"/>
      <c r="AT9" s="117"/>
      <c r="AU9" s="117"/>
      <c r="AV9" s="117"/>
      <c r="AW9" s="117"/>
      <c r="AX9" s="117"/>
      <c r="AY9" s="117"/>
      <c r="AZ9" s="117"/>
      <c r="BA9" s="117"/>
      <c r="BB9" s="117"/>
      <c r="BC9" s="117"/>
      <c r="BD9" s="117"/>
      <c r="BE9" s="117"/>
      <c r="BF9" s="117"/>
      <c r="BG9" s="117"/>
      <c r="BH9" s="117"/>
      <c r="BI9" s="24"/>
      <c r="BJ9" s="24"/>
      <c r="BK9" s="24"/>
      <c r="BL9" s="24"/>
      <c r="BM9" s="24"/>
      <c r="BN9" s="24"/>
      <c r="BO9" s="24"/>
      <c r="BP9" s="24"/>
      <c r="BQ9" s="24"/>
      <c r="BR9" s="24"/>
      <c r="BS9"/>
      <c r="BT9"/>
      <c r="BU9"/>
      <c r="BV9"/>
      <c r="BW9"/>
      <c r="BX9"/>
      <c r="BY9"/>
    </row>
    <row r="10" spans="1:88" ht="15" customHeight="1" x14ac:dyDescent="0.35">
      <c r="A10" s="6">
        <v>13</v>
      </c>
      <c r="B10"/>
      <c r="C10"/>
      <c r="D10"/>
      <c r="E10"/>
      <c r="F10"/>
      <c r="G10"/>
      <c r="H10"/>
      <c r="I10"/>
      <c r="J10"/>
      <c r="K10"/>
      <c r="L10"/>
      <c r="M10" s="13"/>
      <c r="N10" s="13"/>
      <c r="O10" s="13"/>
      <c r="P10" s="13"/>
      <c r="Q10" s="13"/>
      <c r="R10" s="13"/>
      <c r="S10" s="13"/>
      <c r="T10" s="13"/>
      <c r="U10" s="13"/>
      <c r="V10" s="13"/>
      <c r="W10" s="13"/>
      <c r="X10" s="13"/>
      <c r="Y10" s="13"/>
      <c r="Z10" s="13"/>
      <c r="AA10" s="13"/>
      <c r="AB10" s="13"/>
      <c r="AC10" s="13"/>
      <c r="AD10" s="13"/>
      <c r="AE10" s="115"/>
      <c r="AF10" s="115"/>
      <c r="AG10" s="115"/>
      <c r="AH10" s="117"/>
      <c r="AI10" s="117"/>
      <c r="AJ10" s="117"/>
      <c r="AK10" s="117"/>
      <c r="AL10" s="117"/>
      <c r="AM10" s="117"/>
      <c r="AN10" s="117"/>
      <c r="AO10" s="117"/>
      <c r="AP10" s="117"/>
      <c r="AQ10" s="117"/>
      <c r="AR10" s="117"/>
      <c r="AS10" s="117"/>
      <c r="AT10" s="117"/>
      <c r="AU10" s="117"/>
      <c r="AV10" s="117"/>
      <c r="AW10" s="117"/>
      <c r="AX10" s="117"/>
      <c r="AY10" s="117"/>
      <c r="AZ10" s="117"/>
      <c r="BA10" s="117"/>
      <c r="BB10" s="117"/>
      <c r="BC10" s="117"/>
      <c r="BD10" s="117"/>
      <c r="BE10" s="117"/>
      <c r="BF10" s="117"/>
      <c r="BG10" s="117"/>
      <c r="BH10" s="117"/>
      <c r="BI10" s="34"/>
      <c r="BJ10" s="34"/>
      <c r="BK10" s="34"/>
      <c r="BL10" s="34"/>
      <c r="BM10" s="34"/>
      <c r="BN10" s="34"/>
      <c r="BO10" s="34"/>
      <c r="BP10" s="34"/>
      <c r="BQ10" s="34"/>
      <c r="BR10" s="34"/>
      <c r="BS10" s="34"/>
      <c r="BT10" s="38"/>
      <c r="BU10" s="38"/>
      <c r="BV10" s="35"/>
      <c r="BW10" s="35"/>
      <c r="BX10" s="35"/>
      <c r="BY10" s="35"/>
      <c r="BZ10" s="55"/>
    </row>
    <row r="11" spans="1:88" ht="15" customHeight="1" x14ac:dyDescent="0.35">
      <c r="A11" s="6">
        <v>14</v>
      </c>
      <c r="B11"/>
      <c r="C11"/>
      <c r="D11"/>
      <c r="E11"/>
      <c r="F11"/>
      <c r="G11"/>
      <c r="H11"/>
      <c r="I11"/>
      <c r="J11"/>
      <c r="K11"/>
      <c r="L11"/>
      <c r="M11" s="13"/>
      <c r="N11" s="13"/>
      <c r="O11" s="13"/>
      <c r="P11" s="13"/>
      <c r="Q11" s="13"/>
      <c r="R11" s="13"/>
      <c r="S11" s="13"/>
      <c r="T11" s="13"/>
      <c r="U11" s="13"/>
      <c r="V11" s="13"/>
      <c r="W11" s="13"/>
      <c r="X11" s="13"/>
      <c r="Y11" s="13"/>
      <c r="Z11" s="13"/>
      <c r="AA11" s="13"/>
      <c r="AB11" s="13"/>
      <c r="AC11" s="13"/>
      <c r="AD11" s="13"/>
      <c r="AE11" s="13"/>
      <c r="AF11" s="13"/>
      <c r="AG11" s="13"/>
      <c r="AH11" s="116">
        <f>'Graph Infos'!$C$37</f>
        <v>21</v>
      </c>
      <c r="AI11" s="116"/>
      <c r="AJ11" s="116"/>
      <c r="AK11" s="118" t="str">
        <f>'Graph Infos'!$B$37&amp;" Sites"</f>
        <v>Work Completed Sites</v>
      </c>
      <c r="AL11" s="118"/>
      <c r="AM11" s="118"/>
      <c r="AN11" s="118"/>
      <c r="AO11" s="118"/>
      <c r="AP11" s="118"/>
      <c r="AQ11" s="118"/>
      <c r="AR11" s="118"/>
      <c r="AS11" s="118"/>
      <c r="AT11" s="118"/>
      <c r="AU11" s="118"/>
      <c r="AV11" s="118"/>
      <c r="AW11" s="118"/>
      <c r="AX11" s="118"/>
      <c r="AY11" s="118"/>
      <c r="AZ11" s="118"/>
      <c r="BA11" s="118"/>
      <c r="BB11" s="118"/>
      <c r="BC11" s="118"/>
      <c r="BD11" s="118"/>
      <c r="BE11" s="118"/>
      <c r="BF11" s="118"/>
      <c r="BG11" s="118"/>
      <c r="BH11" s="118"/>
      <c r="BI11" s="34"/>
      <c r="BJ11" s="34"/>
      <c r="BK11" s="34"/>
      <c r="BL11" s="34"/>
      <c r="BM11" s="34"/>
      <c r="BN11" s="34"/>
      <c r="BO11" s="34"/>
      <c r="BP11" s="34"/>
      <c r="BQ11" s="34"/>
      <c r="BR11" s="34"/>
      <c r="BS11" s="34"/>
      <c r="BT11" s="38"/>
      <c r="BU11" s="38"/>
      <c r="BV11" s="35"/>
      <c r="BW11" s="35"/>
      <c r="BX11" s="35"/>
      <c r="BY11" s="35"/>
      <c r="BZ11" s="55"/>
    </row>
    <row r="12" spans="1:88" ht="15" customHeight="1" x14ac:dyDescent="0.35">
      <c r="A12" s="6">
        <v>15</v>
      </c>
      <c r="B12"/>
      <c r="C12"/>
      <c r="D12"/>
      <c r="E12"/>
      <c r="F12"/>
      <c r="G12"/>
      <c r="H12"/>
      <c r="I12"/>
      <c r="J12"/>
      <c r="K12"/>
      <c r="L12"/>
      <c r="M12" s="13"/>
      <c r="N12" s="13"/>
      <c r="O12" s="13"/>
      <c r="P12" s="13"/>
      <c r="Q12" s="13"/>
      <c r="R12" s="13"/>
      <c r="S12" s="13"/>
      <c r="T12" s="13"/>
      <c r="U12" s="13"/>
      <c r="V12" s="13"/>
      <c r="W12" s="13"/>
      <c r="X12" s="13"/>
      <c r="Y12" s="13"/>
      <c r="Z12" s="13"/>
      <c r="AA12" s="13"/>
      <c r="AB12" s="13"/>
      <c r="AC12" s="13"/>
      <c r="AD12"/>
      <c r="AE12"/>
      <c r="AF12" s="13"/>
      <c r="AG12" s="13"/>
      <c r="AH12" s="116"/>
      <c r="AI12" s="116"/>
      <c r="AJ12" s="116"/>
      <c r="AK12" s="118"/>
      <c r="AL12" s="118"/>
      <c r="AM12" s="118"/>
      <c r="AN12" s="118"/>
      <c r="AO12" s="118"/>
      <c r="AP12" s="118"/>
      <c r="AQ12" s="118"/>
      <c r="AR12" s="118"/>
      <c r="AS12" s="118"/>
      <c r="AT12" s="118"/>
      <c r="AU12" s="118"/>
      <c r="AV12" s="118"/>
      <c r="AW12" s="118"/>
      <c r="AX12" s="118"/>
      <c r="AY12" s="118"/>
      <c r="AZ12" s="118"/>
      <c r="BA12" s="118"/>
      <c r="BB12" s="118"/>
      <c r="BC12" s="118"/>
      <c r="BD12" s="118"/>
      <c r="BE12" s="118"/>
      <c r="BF12" s="118"/>
      <c r="BG12" s="118"/>
      <c r="BH12" s="118"/>
      <c r="BI12" s="34"/>
      <c r="BJ12" s="34"/>
      <c r="BK12" s="34"/>
      <c r="BL12" s="34"/>
      <c r="BM12" s="34"/>
      <c r="BN12" s="34"/>
      <c r="BO12" s="34"/>
      <c r="BP12" s="34"/>
      <c r="BQ12" s="34"/>
      <c r="BR12" s="34"/>
      <c r="BS12" s="34"/>
      <c r="BT12" s="38"/>
      <c r="BU12" s="38"/>
      <c r="BV12" s="35"/>
      <c r="BW12" s="35"/>
      <c r="BX12" s="35"/>
      <c r="BY12" s="35"/>
      <c r="BZ12" s="55"/>
    </row>
    <row r="13" spans="1:88" ht="15" customHeight="1" x14ac:dyDescent="0.35">
      <c r="B13"/>
      <c r="C13"/>
      <c r="D13"/>
      <c r="E13"/>
      <c r="F13"/>
      <c r="G13"/>
      <c r="H13"/>
      <c r="I13"/>
      <c r="J13"/>
      <c r="K13"/>
      <c r="L13"/>
      <c r="M13"/>
      <c r="N13"/>
      <c r="O13"/>
      <c r="P13"/>
      <c r="Q13"/>
      <c r="R13"/>
      <c r="S13"/>
      <c r="T13"/>
      <c r="U13"/>
      <c r="V13"/>
      <c r="W13"/>
      <c r="X13"/>
      <c r="Y13"/>
      <c r="Z13"/>
      <c r="AA13"/>
      <c r="AB13"/>
      <c r="AC13"/>
      <c r="AD13"/>
      <c r="AE13" s="9"/>
      <c r="AF13" s="9"/>
      <c r="AG13" s="9"/>
      <c r="AH13" s="116"/>
      <c r="AI13" s="116"/>
      <c r="AJ13" s="116"/>
      <c r="AK13" s="118"/>
      <c r="AL13" s="118"/>
      <c r="AM13" s="118"/>
      <c r="AN13" s="118"/>
      <c r="AO13" s="118"/>
      <c r="AP13" s="118"/>
      <c r="AQ13" s="118"/>
      <c r="AR13" s="118"/>
      <c r="AS13" s="118"/>
      <c r="AT13" s="118"/>
      <c r="AU13" s="118"/>
      <c r="AV13" s="118"/>
      <c r="AW13" s="118"/>
      <c r="AX13" s="118"/>
      <c r="AY13" s="118"/>
      <c r="AZ13" s="118"/>
      <c r="BA13" s="118"/>
      <c r="BB13" s="118"/>
      <c r="BC13" s="118"/>
      <c r="BD13" s="118"/>
      <c r="BE13" s="118"/>
      <c r="BF13" s="118"/>
      <c r="BG13" s="118"/>
      <c r="BH13" s="118"/>
      <c r="BI13" s="32"/>
      <c r="BJ13" s="32"/>
      <c r="BK13" s="32"/>
      <c r="BL13" s="32"/>
      <c r="BM13" s="32"/>
      <c r="BN13" s="32"/>
      <c r="BO13" s="32"/>
      <c r="BP13" s="32"/>
      <c r="BQ13" s="32"/>
      <c r="BR13" s="32"/>
      <c r="BS13" s="32"/>
      <c r="BT13" s="39"/>
      <c r="BU13" s="39"/>
      <c r="BV13" s="35"/>
      <c r="BW13" s="35"/>
      <c r="BX13" s="35"/>
      <c r="BY13" s="35"/>
      <c r="BZ13" s="55"/>
    </row>
    <row r="14" spans="1:88" ht="15" customHeight="1" x14ac:dyDescent="0.35">
      <c r="B14"/>
      <c r="C14"/>
      <c r="D14"/>
      <c r="E14"/>
      <c r="F14"/>
      <c r="G14"/>
      <c r="H14"/>
      <c r="I14"/>
      <c r="J14"/>
      <c r="K14"/>
      <c r="L14"/>
      <c r="M14" s="9"/>
      <c r="N14" s="119" t="str">
        <f>'Graph Infos'!G$35&amp;": "&amp; 'Graph Infos'!G$48 &amp;" Sites"</f>
        <v>Mytel: 33 Sites</v>
      </c>
      <c r="O14" s="119"/>
      <c r="P14" s="119"/>
      <c r="Q14" s="119"/>
      <c r="R14" s="119"/>
      <c r="S14" s="119"/>
      <c r="T14" s="119"/>
      <c r="U14" s="119"/>
      <c r="V14" s="119"/>
      <c r="W14" s="119"/>
      <c r="X14"/>
      <c r="Y14"/>
      <c r="Z14"/>
      <c r="AA14"/>
      <c r="AB14"/>
      <c r="AC14"/>
      <c r="AD14"/>
      <c r="AE14" s="9"/>
      <c r="AF14" s="9"/>
      <c r="AG14" s="9"/>
      <c r="AH14" s="30"/>
      <c r="AI14" s="30"/>
      <c r="AJ14" s="120">
        <f>'Graph Infos'!$C$38</f>
        <v>1</v>
      </c>
      <c r="AK14" s="120"/>
      <c r="AL14" s="120"/>
      <c r="AM14" s="110" t="str">
        <f>'Graph Infos'!$B$38&amp;" Sites"</f>
        <v>Work in Progress Sites</v>
      </c>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33"/>
      <c r="BJ14" s="33"/>
      <c r="BK14" s="33"/>
      <c r="BL14" s="33"/>
      <c r="BM14" s="33"/>
      <c r="BN14" s="32"/>
      <c r="BO14" s="32"/>
      <c r="BP14" s="32"/>
      <c r="BQ14" s="32"/>
      <c r="BR14" s="32"/>
      <c r="BS14" s="32"/>
      <c r="BT14" s="39"/>
      <c r="BU14" s="39"/>
      <c r="BV14" s="35"/>
      <c r="BW14" s="35"/>
      <c r="BX14" s="35"/>
      <c r="BY14" s="35"/>
      <c r="BZ14" s="55"/>
    </row>
    <row r="15" spans="1:88" ht="15" customHeight="1" x14ac:dyDescent="0.35">
      <c r="B15"/>
      <c r="C15"/>
      <c r="D15"/>
      <c r="E15"/>
      <c r="F15"/>
      <c r="G15"/>
      <c r="H15"/>
      <c r="I15"/>
      <c r="J15"/>
      <c r="K15"/>
      <c r="L15"/>
      <c r="M15"/>
      <c r="N15" s="119"/>
      <c r="O15" s="119"/>
      <c r="P15" s="119"/>
      <c r="Q15" s="119"/>
      <c r="R15" s="119"/>
      <c r="S15" s="119"/>
      <c r="T15" s="119"/>
      <c r="U15" s="119"/>
      <c r="V15" s="119"/>
      <c r="W15" s="119"/>
      <c r="X15"/>
      <c r="Y15"/>
      <c r="Z15"/>
      <c r="AA15"/>
      <c r="AB15"/>
      <c r="AC15"/>
      <c r="AD15"/>
      <c r="AE15"/>
      <c r="AF15"/>
      <c r="AG15"/>
      <c r="AH15"/>
      <c r="AI15" s="30"/>
      <c r="AJ15" s="120"/>
      <c r="AK15" s="120"/>
      <c r="AL15" s="12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34"/>
      <c r="BJ15" s="34"/>
      <c r="BK15" s="34"/>
      <c r="BL15" s="34"/>
      <c r="BM15" s="34"/>
      <c r="BN15" s="34"/>
      <c r="BO15" s="34"/>
      <c r="BP15"/>
      <c r="BQ15"/>
      <c r="BR15" s="26"/>
      <c r="BS15" s="26"/>
      <c r="BT15" s="26"/>
      <c r="BU15" s="26"/>
      <c r="BV15" s="26"/>
      <c r="BW15" s="26"/>
      <c r="BX15" s="26"/>
      <c r="BY15" s="24"/>
      <c r="BZ15" s="42"/>
      <c r="CA15" s="42"/>
      <c r="CB15" s="42"/>
      <c r="CC15" s="42"/>
      <c r="CD15" s="42"/>
      <c r="CE15" s="42"/>
      <c r="CF15" s="42"/>
      <c r="CG15" s="42"/>
      <c r="CH15" s="42"/>
      <c r="CI15" s="42"/>
      <c r="CJ15" s="24"/>
    </row>
    <row r="16" spans="1:88" ht="15" customHeight="1" x14ac:dyDescent="0.35">
      <c r="B16"/>
      <c r="C16"/>
      <c r="D16"/>
      <c r="E16"/>
      <c r="F16"/>
      <c r="G16"/>
      <c r="H16"/>
      <c r="I16"/>
      <c r="J16"/>
      <c r="K16"/>
      <c r="L16"/>
      <c r="M16"/>
      <c r="N16" s="119" t="str">
        <f>'Graph Infos'!F$35&amp;": "&amp; 'Graph Infos'!F$48 &amp;" Sites"</f>
        <v>OML: 133 Sites</v>
      </c>
      <c r="O16" s="119"/>
      <c r="P16" s="119"/>
      <c r="Q16" s="119"/>
      <c r="R16" s="119"/>
      <c r="S16" s="119"/>
      <c r="T16" s="119"/>
      <c r="U16" s="119"/>
      <c r="V16" s="119"/>
      <c r="W16" s="119"/>
      <c r="X16" s="22"/>
      <c r="Y16" s="22"/>
      <c r="Z16" s="22"/>
      <c r="AA16" s="22"/>
      <c r="AB16"/>
      <c r="AC16"/>
      <c r="AD16"/>
      <c r="AE16"/>
      <c r="AF16"/>
      <c r="AG16"/>
      <c r="AH16"/>
      <c r="AI16" s="31"/>
      <c r="AJ16" s="120"/>
      <c r="AK16" s="120"/>
      <c r="AL16" s="12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34"/>
      <c r="BJ16" s="34"/>
      <c r="BK16" s="34"/>
      <c r="BL16" s="34"/>
      <c r="BM16" s="34"/>
      <c r="BN16" s="34"/>
      <c r="BO16" s="34"/>
      <c r="BP16"/>
      <c r="BQ16"/>
      <c r="BR16" s="26"/>
      <c r="BS16" s="26"/>
      <c r="BT16" s="26"/>
      <c r="BU16" s="26"/>
      <c r="BV16" s="26"/>
      <c r="BW16" s="26"/>
      <c r="BX16" s="26"/>
      <c r="BY16" s="24"/>
      <c r="BZ16" s="42"/>
      <c r="CA16" s="42"/>
      <c r="CB16" s="42"/>
      <c r="CC16" s="42"/>
      <c r="CD16" s="42"/>
      <c r="CE16" s="42"/>
      <c r="CF16" s="42"/>
      <c r="CG16" s="42"/>
      <c r="CH16" s="42"/>
      <c r="CI16" s="42"/>
      <c r="CJ16" s="24"/>
    </row>
    <row r="17" spans="1:88" ht="15" customHeight="1" x14ac:dyDescent="0.35">
      <c r="B17"/>
      <c r="C17"/>
      <c r="D17"/>
      <c r="E17"/>
      <c r="F17"/>
      <c r="G17"/>
      <c r="H17"/>
      <c r="I17"/>
      <c r="J17"/>
      <c r="K17"/>
      <c r="L17"/>
      <c r="M17"/>
      <c r="N17" s="119"/>
      <c r="O17" s="119"/>
      <c r="P17" s="119"/>
      <c r="Q17" s="119"/>
      <c r="R17" s="119"/>
      <c r="S17" s="119"/>
      <c r="T17" s="119"/>
      <c r="U17" s="119"/>
      <c r="V17" s="119"/>
      <c r="W17" s="119"/>
      <c r="X17" s="22"/>
      <c r="Y17" s="22"/>
      <c r="Z17" s="22"/>
      <c r="AA17" s="22"/>
      <c r="AB17"/>
      <c r="AC17"/>
      <c r="AD17" s="12"/>
      <c r="AE17" s="12"/>
      <c r="AF17" s="12"/>
      <c r="AG17" s="12"/>
      <c r="AH17" s="12"/>
      <c r="AI17" s="31"/>
      <c r="AJ17" s="111">
        <f>'Graph Infos'!$C$39</f>
        <v>18</v>
      </c>
      <c r="AK17" s="111"/>
      <c r="AL17" s="111"/>
      <c r="AM17" s="112" t="str">
        <f>'Graph Infos'!$B$39</f>
        <v>Colo Application Approved</v>
      </c>
      <c r="AN17" s="112"/>
      <c r="AO17" s="112"/>
      <c r="AP17" s="112"/>
      <c r="AQ17" s="112"/>
      <c r="AR17" s="112"/>
      <c r="AS17" s="112"/>
      <c r="AT17" s="112"/>
      <c r="AU17" s="112"/>
      <c r="AV17" s="112"/>
      <c r="AW17" s="112"/>
      <c r="AX17" s="112"/>
      <c r="AY17" s="112"/>
      <c r="AZ17" s="112"/>
      <c r="BA17" s="112"/>
      <c r="BB17" s="112"/>
      <c r="BC17" s="112"/>
      <c r="BD17" s="112"/>
      <c r="BE17" s="112"/>
      <c r="BF17" s="112"/>
      <c r="BG17" s="112"/>
      <c r="BH17" s="112"/>
      <c r="BI17" s="34"/>
      <c r="BJ17" s="34"/>
      <c r="BK17" s="34"/>
      <c r="BL17" s="34"/>
      <c r="BM17" s="34"/>
      <c r="BN17" s="34"/>
      <c r="BO17" s="34"/>
      <c r="BP17" s="27"/>
      <c r="BQ17" s="27"/>
      <c r="BR17" s="27"/>
      <c r="BS17" s="27"/>
      <c r="BT17" s="27"/>
      <c r="BU17" s="27"/>
      <c r="BV17" s="27"/>
      <c r="BW17" s="27"/>
      <c r="BX17" s="27"/>
      <c r="BY17" s="34"/>
      <c r="BZ17" s="43"/>
      <c r="CA17" s="43"/>
      <c r="CB17" s="43"/>
      <c r="CC17" s="43"/>
      <c r="CD17" s="43"/>
      <c r="CE17" s="43"/>
      <c r="CF17" s="43"/>
      <c r="CG17" s="43"/>
      <c r="CH17" s="43"/>
      <c r="CI17" s="43"/>
      <c r="CJ17" s="34"/>
    </row>
    <row r="18" spans="1:88" ht="15" customHeight="1" x14ac:dyDescent="0.35">
      <c r="B18"/>
      <c r="C18"/>
      <c r="D18"/>
      <c r="E18"/>
      <c r="F18"/>
      <c r="G18"/>
      <c r="H18"/>
      <c r="I18"/>
      <c r="J18"/>
      <c r="K18"/>
      <c r="L18"/>
      <c r="M18" s="12"/>
      <c r="N18" s="119" t="str">
        <f>'Graph Infos'!E$35&amp;": "&amp; 'Graph Infos'!E$48 &amp;" Sites"</f>
        <v>MPT: 7 Sites</v>
      </c>
      <c r="O18" s="119"/>
      <c r="P18" s="119"/>
      <c r="Q18" s="119"/>
      <c r="R18" s="119"/>
      <c r="S18" s="119"/>
      <c r="T18" s="119"/>
      <c r="U18" s="119"/>
      <c r="V18" s="119"/>
      <c r="W18" s="119"/>
      <c r="X18" s="22"/>
      <c r="Y18" s="22"/>
      <c r="Z18" s="22"/>
      <c r="AA18" s="22"/>
      <c r="AB18" s="12"/>
      <c r="AC18" s="12"/>
      <c r="AD18" s="12"/>
      <c r="AE18" s="12"/>
      <c r="AF18" s="12"/>
      <c r="AG18" s="12"/>
      <c r="AH18" s="25"/>
      <c r="AI18" s="25"/>
      <c r="AJ18" s="111"/>
      <c r="AK18" s="111"/>
      <c r="AL18" s="111"/>
      <c r="AM18" s="112"/>
      <c r="AN18" s="112"/>
      <c r="AO18" s="112"/>
      <c r="AP18" s="112"/>
      <c r="AQ18" s="112"/>
      <c r="AR18" s="112"/>
      <c r="AS18" s="112"/>
      <c r="AT18" s="112"/>
      <c r="AU18" s="112"/>
      <c r="AV18" s="112"/>
      <c r="AW18" s="112"/>
      <c r="AX18" s="112"/>
      <c r="AY18" s="112"/>
      <c r="AZ18" s="112"/>
      <c r="BA18" s="112"/>
      <c r="BB18" s="112"/>
      <c r="BC18" s="112"/>
      <c r="BD18" s="112"/>
      <c r="BE18" s="112"/>
      <c r="BF18" s="112"/>
      <c r="BG18" s="112"/>
      <c r="BH18" s="112"/>
      <c r="BI18" s="121">
        <f>'Graph Infos'!$C$40</f>
        <v>13</v>
      </c>
      <c r="BJ18" s="121"/>
      <c r="BK18" s="122" t="str">
        <f>'Graph Infos'!$B$40</f>
        <v>NTP Received</v>
      </c>
      <c r="BL18" s="122"/>
      <c r="BM18" s="122"/>
      <c r="BN18" s="122"/>
      <c r="BO18" s="122"/>
      <c r="BP18" s="122"/>
      <c r="BQ18" s="122"/>
      <c r="BR18" s="122"/>
      <c r="BS18" s="122"/>
      <c r="BT18" s="122"/>
      <c r="BU18" s="122"/>
      <c r="BV18" s="122"/>
      <c r="BW18" s="122"/>
      <c r="BX18" s="27"/>
      <c r="BY18" s="32"/>
      <c r="BZ18" s="44"/>
      <c r="CA18" s="44"/>
      <c r="CB18" s="44"/>
      <c r="CC18" s="44"/>
      <c r="CD18" s="44"/>
      <c r="CE18" s="43"/>
      <c r="CF18" s="43"/>
      <c r="CG18" s="43"/>
      <c r="CH18" s="43"/>
      <c r="CI18" s="43"/>
      <c r="CJ18" s="34"/>
    </row>
    <row r="19" spans="1:88" ht="15" customHeight="1" x14ac:dyDescent="0.35">
      <c r="B19"/>
      <c r="C19"/>
      <c r="D19"/>
      <c r="E19"/>
      <c r="F19"/>
      <c r="G19"/>
      <c r="H19"/>
      <c r="I19"/>
      <c r="J19"/>
      <c r="K19"/>
      <c r="L19"/>
      <c r="M19" s="12"/>
      <c r="N19" s="119"/>
      <c r="O19" s="119"/>
      <c r="P19" s="119"/>
      <c r="Q19" s="119"/>
      <c r="R19" s="119"/>
      <c r="S19" s="119"/>
      <c r="T19" s="119"/>
      <c r="U19" s="119"/>
      <c r="V19" s="119"/>
      <c r="W19" s="119"/>
      <c r="X19" s="22"/>
      <c r="Y19" s="22"/>
      <c r="Z19" s="22"/>
      <c r="AA19" s="22"/>
      <c r="AB19" s="12"/>
      <c r="AC19" s="12"/>
      <c r="AD19"/>
      <c r="AE19"/>
      <c r="AF19"/>
      <c r="AG19"/>
      <c r="AH19" s="25"/>
      <c r="AI19" s="25"/>
      <c r="AJ19" s="111"/>
      <c r="AK19" s="111"/>
      <c r="AL19" s="111"/>
      <c r="AM19" s="112"/>
      <c r="AN19" s="112"/>
      <c r="AO19" s="112"/>
      <c r="AP19" s="112"/>
      <c r="AQ19" s="112"/>
      <c r="AR19" s="112"/>
      <c r="AS19" s="112"/>
      <c r="AT19" s="112"/>
      <c r="AU19" s="112"/>
      <c r="AV19" s="112"/>
      <c r="AW19" s="112"/>
      <c r="AX19" s="112"/>
      <c r="AY19" s="112"/>
      <c r="AZ19" s="112"/>
      <c r="BA19" s="112"/>
      <c r="BB19" s="112"/>
      <c r="BC19" s="112"/>
      <c r="BD19" s="112"/>
      <c r="BE19" s="112"/>
      <c r="BF19" s="112"/>
      <c r="BG19" s="112"/>
      <c r="BH19" s="112"/>
      <c r="BI19" s="121"/>
      <c r="BJ19" s="121"/>
      <c r="BK19" s="122"/>
      <c r="BL19" s="122"/>
      <c r="BM19" s="122"/>
      <c r="BN19" s="122"/>
      <c r="BO19" s="122"/>
      <c r="BP19" s="122"/>
      <c r="BQ19" s="122"/>
      <c r="BR19" s="122"/>
      <c r="BS19" s="122"/>
      <c r="BT19" s="122"/>
      <c r="BU19" s="122"/>
      <c r="BV19" s="122"/>
      <c r="BW19" s="122"/>
      <c r="BX19" s="32"/>
      <c r="BY19" s="32"/>
      <c r="BZ19" s="44"/>
      <c r="CA19" s="44"/>
      <c r="CB19" s="44"/>
      <c r="CC19" s="44"/>
      <c r="CD19" s="44"/>
      <c r="CE19" s="43"/>
      <c r="CF19" s="43"/>
      <c r="CG19" s="43"/>
      <c r="CH19" s="43"/>
      <c r="CI19" s="43"/>
      <c r="CJ19" s="34"/>
    </row>
    <row r="20" spans="1:88" ht="15" customHeight="1" x14ac:dyDescent="0.35">
      <c r="B20"/>
      <c r="C20"/>
      <c r="D20"/>
      <c r="E20"/>
      <c r="F20"/>
      <c r="G20"/>
      <c r="H20"/>
      <c r="I20"/>
      <c r="J20"/>
      <c r="K20"/>
      <c r="L20" s="9"/>
      <c r="M20"/>
      <c r="N20" s="119" t="str">
        <f>'Graph Infos'!D$35&amp;": "&amp; 'Graph Infos'!D$48 &amp;" Sites"</f>
        <v>Amara: 10 Sites</v>
      </c>
      <c r="O20" s="119"/>
      <c r="P20" s="119"/>
      <c r="Q20" s="119"/>
      <c r="R20" s="119"/>
      <c r="S20" s="119"/>
      <c r="T20" s="119"/>
      <c r="U20" s="119"/>
      <c r="V20" s="119"/>
      <c r="W20" s="119"/>
      <c r="X20" s="23"/>
      <c r="Y20" s="23"/>
      <c r="Z20" s="23"/>
      <c r="AA20" s="23"/>
      <c r="AB20"/>
      <c r="AC20"/>
      <c r="AD20" s="12"/>
      <c r="AE20" s="12"/>
      <c r="AF20" s="12"/>
      <c r="AG20" s="12"/>
      <c r="AH20" s="46"/>
      <c r="AI20" s="46"/>
      <c r="AJ20" s="126">
        <f>'Graph Infos'!$C$41</f>
        <v>13</v>
      </c>
      <c r="AK20" s="126"/>
      <c r="AL20" s="126"/>
      <c r="AM20" s="127" t="str">
        <f>'Graph Infos'!$B$41</f>
        <v>Prevalidated - TSSR Done</v>
      </c>
      <c r="AN20" s="127"/>
      <c r="AO20" s="127"/>
      <c r="AP20" s="127"/>
      <c r="AQ20" s="127"/>
      <c r="AR20" s="127"/>
      <c r="AS20" s="127"/>
      <c r="AT20" s="127"/>
      <c r="AU20" s="127"/>
      <c r="AV20" s="127"/>
      <c r="AW20" s="127"/>
      <c r="AX20" s="127"/>
      <c r="AY20" s="127"/>
      <c r="AZ20" s="127"/>
      <c r="BA20" s="127"/>
      <c r="BB20" s="127"/>
      <c r="BC20" s="127"/>
      <c r="BD20" s="127"/>
      <c r="BE20" s="127"/>
      <c r="BF20" s="127"/>
      <c r="BG20" s="127"/>
      <c r="BH20" s="127"/>
      <c r="BI20" s="47"/>
      <c r="BJ20" s="47"/>
      <c r="BK20" s="32"/>
      <c r="BL20" s="32"/>
      <c r="BM20" s="32"/>
      <c r="BN20" s="32"/>
      <c r="BO20" s="32"/>
      <c r="BP20" s="32"/>
      <c r="BQ20" s="32"/>
      <c r="BR20" s="32"/>
      <c r="BS20" s="32"/>
      <c r="BT20" s="32"/>
      <c r="BU20" s="32"/>
      <c r="BV20" s="32"/>
      <c r="BW20" s="32"/>
      <c r="BX20" s="32"/>
      <c r="BY20" s="32"/>
      <c r="BZ20" s="44"/>
      <c r="CA20" s="44"/>
      <c r="CB20" s="44"/>
      <c r="CC20" s="44"/>
      <c r="CD20" s="44"/>
      <c r="CE20" s="44"/>
      <c r="CF20" s="44"/>
      <c r="CG20" s="44"/>
      <c r="CH20" s="44"/>
      <c r="CI20" s="44"/>
      <c r="CJ20" s="32"/>
    </row>
    <row r="21" spans="1:88" ht="15" customHeight="1" x14ac:dyDescent="0.35">
      <c r="B21"/>
      <c r="C21"/>
      <c r="D21"/>
      <c r="E21"/>
      <c r="F21"/>
      <c r="G21"/>
      <c r="H21"/>
      <c r="I21"/>
      <c r="J21"/>
      <c r="K21"/>
      <c r="L21"/>
      <c r="M21" s="12"/>
      <c r="N21" s="119"/>
      <c r="O21" s="119"/>
      <c r="P21" s="119"/>
      <c r="Q21" s="119"/>
      <c r="R21" s="119"/>
      <c r="S21" s="119"/>
      <c r="T21" s="119"/>
      <c r="U21" s="119"/>
      <c r="V21" s="119"/>
      <c r="W21" s="119"/>
      <c r="X21" s="23"/>
      <c r="Y21" s="23"/>
      <c r="Z21" s="23"/>
      <c r="AA21" s="23"/>
      <c r="AB21" s="12"/>
      <c r="AC21" s="12"/>
      <c r="AD21" s="12"/>
      <c r="AE21" s="12"/>
      <c r="AF21" s="12"/>
      <c r="AG21" s="12"/>
      <c r="AH21" s="46"/>
      <c r="AI21" s="46"/>
      <c r="AJ21" s="126"/>
      <c r="AK21" s="126"/>
      <c r="AL21" s="126"/>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48"/>
      <c r="BJ21" s="49"/>
      <c r="BK21" s="33"/>
      <c r="BL21" s="33"/>
      <c r="BM21" s="33"/>
      <c r="BN21" s="33"/>
      <c r="BO21" s="33"/>
      <c r="BP21" s="33"/>
      <c r="BQ21" s="33"/>
      <c r="BR21" s="33"/>
      <c r="BS21" s="33"/>
      <c r="BT21" s="33"/>
      <c r="BU21" s="33"/>
      <c r="BV21" s="33"/>
      <c r="BW21" s="33"/>
      <c r="BX21" s="33"/>
      <c r="BY21" s="33"/>
      <c r="BZ21" s="45"/>
      <c r="CA21" s="45"/>
      <c r="CB21" s="45"/>
      <c r="CC21" s="45"/>
      <c r="CD21" s="45"/>
      <c r="CE21" s="45"/>
      <c r="CF21" s="45"/>
      <c r="CG21" s="45"/>
      <c r="CH21" s="45"/>
      <c r="CI21" s="45"/>
      <c r="CJ21" s="33"/>
    </row>
    <row r="22" spans="1:88" ht="15" customHeight="1" x14ac:dyDescent="0.35">
      <c r="A22" s="6">
        <v>27</v>
      </c>
      <c r="B22"/>
      <c r="C22"/>
      <c r="D22"/>
      <c r="E22"/>
      <c r="F22"/>
      <c r="G22"/>
      <c r="H22"/>
      <c r="I22"/>
      <c r="J22"/>
      <c r="K22"/>
      <c r="L22"/>
      <c r="M22" s="12"/>
      <c r="N22" s="119" t="str">
        <f>'Graph Infos'!H$35&amp;": "&amp; 'Graph Infos'!H$48 &amp;" Sites"</f>
        <v>TN: 0 Sites</v>
      </c>
      <c r="O22" s="119"/>
      <c r="P22" s="119"/>
      <c r="Q22" s="119"/>
      <c r="R22" s="119"/>
      <c r="S22" s="119"/>
      <c r="T22" s="119"/>
      <c r="U22" s="119"/>
      <c r="V22" s="119"/>
      <c r="W22" s="119"/>
      <c r="X22" s="23"/>
      <c r="Y22" s="23"/>
      <c r="Z22" s="23"/>
      <c r="AA22" s="23"/>
      <c r="AB22" s="12"/>
      <c r="AC22" s="12"/>
      <c r="AD22"/>
      <c r="AE22"/>
      <c r="AF22"/>
      <c r="AG22"/>
      <c r="AH22" s="46"/>
      <c r="AI22" s="46"/>
      <c r="AJ22" s="126"/>
      <c r="AK22" s="126"/>
      <c r="AL22" s="126"/>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48"/>
      <c r="BJ22" s="49"/>
      <c r="BK22" s="33"/>
      <c r="BL22" s="33"/>
      <c r="BM22" s="33"/>
      <c r="BN22" s="33"/>
      <c r="BO22" s="33"/>
      <c r="BP22" s="33"/>
      <c r="BQ22" s="33"/>
      <c r="BR22" s="33"/>
      <c r="BS22" s="33"/>
      <c r="BT22" s="33"/>
      <c r="BU22" s="33"/>
      <c r="BV22" s="33"/>
      <c r="BW22" s="33"/>
      <c r="BX22" s="49"/>
      <c r="BY22" s="49"/>
      <c r="BZ22" s="45"/>
      <c r="CA22" s="45"/>
      <c r="CB22" s="45"/>
      <c r="CC22" s="45"/>
      <c r="CD22" s="45"/>
      <c r="CE22" s="45"/>
      <c r="CF22" s="45"/>
      <c r="CG22" s="45"/>
      <c r="CH22" s="45"/>
      <c r="CI22" s="45"/>
      <c r="CJ22" s="33"/>
    </row>
    <row r="23" spans="1:88" ht="15" customHeight="1" x14ac:dyDescent="0.35">
      <c r="A23" s="6">
        <v>28</v>
      </c>
      <c r="B23"/>
      <c r="C23"/>
      <c r="D23"/>
      <c r="E23"/>
      <c r="F23"/>
      <c r="G23"/>
      <c r="H23"/>
      <c r="I23"/>
      <c r="J23"/>
      <c r="K23"/>
      <c r="L23"/>
      <c r="M23"/>
      <c r="N23" s="119"/>
      <c r="O23" s="119"/>
      <c r="P23" s="119"/>
      <c r="Q23" s="119"/>
      <c r="R23" s="119"/>
      <c r="S23" s="119"/>
      <c r="T23" s="119"/>
      <c r="U23" s="119"/>
      <c r="V23" s="119"/>
      <c r="W23" s="119"/>
      <c r="X23" s="23"/>
      <c r="Y23" s="23"/>
      <c r="Z23" s="23"/>
      <c r="AA23" s="23"/>
      <c r="AB23"/>
      <c r="AC23"/>
      <c r="AD23"/>
      <c r="AE23"/>
      <c r="AF23"/>
      <c r="AG23"/>
      <c r="AH23" s="124">
        <f>'Graph Infos'!$C$42</f>
        <v>66</v>
      </c>
      <c r="AI23" s="124"/>
      <c r="AJ23" s="124"/>
      <c r="AK23" s="125" t="str">
        <f>'Graph Infos'!$B$42</f>
        <v>Prevalidated - TSSR in Process</v>
      </c>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50"/>
      <c r="BH23" s="50"/>
      <c r="BI23" s="48"/>
      <c r="BJ23" s="49"/>
      <c r="BK23" s="33"/>
      <c r="BL23" s="33"/>
      <c r="BM23" s="33"/>
      <c r="BN23" s="33"/>
      <c r="BO23" s="33"/>
      <c r="BP23" s="33"/>
      <c r="BQ23" s="33"/>
      <c r="BR23" s="33"/>
      <c r="BS23" s="33"/>
      <c r="BT23" s="33"/>
      <c r="BU23" s="33"/>
      <c r="BV23" s="33"/>
      <c r="BW23" s="33"/>
      <c r="BX23" s="49"/>
      <c r="BY23" s="49"/>
      <c r="BZ23" s="45"/>
      <c r="CA23" s="45"/>
      <c r="CB23" s="45"/>
      <c r="CC23" s="45"/>
      <c r="CD23" s="45"/>
      <c r="CE23" s="45"/>
      <c r="CF23" s="45"/>
      <c r="CG23" s="45"/>
      <c r="CH23" s="45"/>
      <c r="CI23" s="45"/>
      <c r="CJ23" s="33"/>
    </row>
    <row r="24" spans="1:88" ht="15" customHeight="1" x14ac:dyDescent="0.35">
      <c r="A24" s="6">
        <v>29</v>
      </c>
      <c r="B24"/>
      <c r="C24"/>
      <c r="D24"/>
      <c r="E24"/>
      <c r="F24"/>
      <c r="G24"/>
      <c r="H24"/>
      <c r="I24"/>
      <c r="J24"/>
      <c r="K24"/>
      <c r="L24"/>
      <c r="M24"/>
      <c r="N24"/>
      <c r="O24"/>
      <c r="P24"/>
      <c r="Q24"/>
      <c r="R24"/>
      <c r="S24"/>
      <c r="T24"/>
      <c r="U24"/>
      <c r="V24"/>
      <c r="W24"/>
      <c r="X24"/>
      <c r="Y24"/>
      <c r="Z24"/>
      <c r="AA24"/>
      <c r="AB24"/>
      <c r="AC24"/>
      <c r="AD24"/>
      <c r="AE24"/>
      <c r="AF24"/>
      <c r="AG24"/>
      <c r="AH24" s="124"/>
      <c r="AI24" s="124"/>
      <c r="AJ24" s="124"/>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50"/>
      <c r="BH24" s="50"/>
      <c r="BI24" s="48"/>
      <c r="BJ24" s="48"/>
      <c r="BK24" s="33"/>
      <c r="BL24" s="33"/>
      <c r="BM24" s="33"/>
      <c r="BN24" s="33"/>
      <c r="BO24" s="33"/>
      <c r="BP24" s="33"/>
      <c r="BQ24" s="33"/>
      <c r="BR24" s="33"/>
      <c r="BS24" s="33"/>
      <c r="BT24" s="33"/>
      <c r="BU24" s="33"/>
      <c r="BV24" s="33"/>
      <c r="BW24" s="33"/>
      <c r="BX24" s="49"/>
      <c r="BY24" s="49"/>
      <c r="BZ24" s="45"/>
      <c r="CA24" s="45"/>
      <c r="CB24" s="45"/>
      <c r="CC24" s="45"/>
      <c r="CD24" s="45"/>
      <c r="CE24" s="45"/>
      <c r="CF24" s="45"/>
      <c r="CG24" s="45"/>
      <c r="CH24" s="45"/>
      <c r="CI24" s="45"/>
      <c r="CJ24" s="33"/>
    </row>
    <row r="25" spans="1:88" ht="15" customHeight="1" x14ac:dyDescent="0.35">
      <c r="A25" s="6">
        <v>30</v>
      </c>
      <c r="B25"/>
      <c r="C25"/>
      <c r="D25"/>
      <c r="E25"/>
      <c r="F25"/>
      <c r="G25"/>
      <c r="H25"/>
      <c r="I25"/>
      <c r="J25"/>
      <c r="K25"/>
      <c r="L25"/>
      <c r="M25"/>
      <c r="N25"/>
      <c r="O25"/>
      <c r="P25"/>
      <c r="Q25"/>
      <c r="R25"/>
      <c r="S25"/>
      <c r="T25"/>
      <c r="U25"/>
      <c r="V25"/>
      <c r="W25"/>
      <c r="X25"/>
      <c r="Y25"/>
      <c r="Z25"/>
      <c r="AA25"/>
      <c r="AB25"/>
      <c r="AC25"/>
      <c r="AD25"/>
      <c r="AE25"/>
      <c r="AF25"/>
      <c r="AG25" s="26"/>
      <c r="AH25" s="124"/>
      <c r="AI25" s="124"/>
      <c r="AJ25" s="124"/>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50"/>
      <c r="BH25" s="50"/>
      <c r="BI25" s="51"/>
      <c r="BJ25" s="106">
        <f>'Graph Infos'!$C$43</f>
        <v>69</v>
      </c>
      <c r="BK25" s="106"/>
      <c r="BL25" s="107" t="str">
        <f>'Graph Infos'!$B$43</f>
        <v>Prevalidation Rejected</v>
      </c>
      <c r="BM25" s="107"/>
      <c r="BN25" s="107"/>
      <c r="BO25" s="107"/>
      <c r="BP25" s="107"/>
      <c r="BQ25" s="107"/>
      <c r="BR25" s="107"/>
      <c r="BS25" s="107"/>
      <c r="BT25" s="107"/>
      <c r="BU25" s="107"/>
      <c r="BV25" s="107"/>
      <c r="BW25" s="107"/>
      <c r="BX25" s="107"/>
      <c r="BY25" s="50"/>
      <c r="CA25" s="42"/>
      <c r="CB25" s="42"/>
      <c r="CC25" s="42"/>
      <c r="CD25" s="45"/>
      <c r="CE25" s="45"/>
      <c r="CF25" s="45"/>
      <c r="CG25" s="45"/>
      <c r="CH25" s="45"/>
      <c r="CI25" s="45"/>
      <c r="CJ25" s="33"/>
    </row>
    <row r="26" spans="1:88" ht="15" customHeight="1" x14ac:dyDescent="0.35">
      <c r="A26" s="6">
        <v>31</v>
      </c>
      <c r="B26"/>
      <c r="C26"/>
      <c r="D26"/>
      <c r="E26"/>
      <c r="F26"/>
      <c r="G26"/>
      <c r="H26"/>
      <c r="I26"/>
      <c r="J26"/>
      <c r="K26"/>
      <c r="L26"/>
      <c r="M26"/>
      <c r="N26"/>
      <c r="O26"/>
      <c r="P26"/>
      <c r="Q26"/>
      <c r="R26"/>
      <c r="S26"/>
      <c r="T26"/>
      <c r="U26"/>
      <c r="V26"/>
      <c r="W26"/>
      <c r="X26"/>
      <c r="Y26"/>
      <c r="Z26"/>
      <c r="AA26"/>
      <c r="AB26"/>
      <c r="AC26"/>
      <c r="AD26"/>
      <c r="AE26" s="123">
        <f>'Graph Infos'!$C$45</f>
        <v>50</v>
      </c>
      <c r="AF26" s="123"/>
      <c r="AG26" s="123"/>
      <c r="AH26" s="128" t="str">
        <f>'Graph Infos'!$B$45</f>
        <v>Under Prevalidation</v>
      </c>
      <c r="AI26" s="128"/>
      <c r="AJ26" s="128"/>
      <c r="AK26" s="128"/>
      <c r="AL26" s="128"/>
      <c r="AM26" s="128"/>
      <c r="AN26" s="128"/>
      <c r="AO26" s="128"/>
      <c r="AP26" s="128"/>
      <c r="AQ26" s="128"/>
      <c r="AR26" s="128"/>
      <c r="AS26" s="128"/>
      <c r="AT26" s="128"/>
      <c r="AU26" s="128"/>
      <c r="AV26" s="128"/>
      <c r="AW26" s="51"/>
      <c r="AX26" s="51"/>
      <c r="AY26" s="51"/>
      <c r="AZ26" s="51"/>
      <c r="BA26" s="51"/>
      <c r="BB26" s="51"/>
      <c r="BC26" s="51"/>
      <c r="BD26" s="50"/>
      <c r="BE26" s="50"/>
      <c r="BF26" s="50"/>
      <c r="BG26" s="50"/>
      <c r="BH26" s="50"/>
      <c r="BI26" s="51"/>
      <c r="BJ26" s="106"/>
      <c r="BK26" s="106"/>
      <c r="BL26" s="107"/>
      <c r="BM26" s="107"/>
      <c r="BN26" s="107"/>
      <c r="BO26" s="107"/>
      <c r="BP26" s="107"/>
      <c r="BQ26" s="107"/>
      <c r="BR26" s="107"/>
      <c r="BS26" s="107"/>
      <c r="BT26" s="107"/>
      <c r="BU26" s="107"/>
      <c r="BV26" s="107"/>
      <c r="BW26" s="107"/>
      <c r="BX26" s="107"/>
      <c r="BY26" s="50"/>
      <c r="CA26" s="42"/>
      <c r="CB26" s="42"/>
      <c r="CC26" s="42"/>
      <c r="CD26" s="42"/>
      <c r="CE26" s="42"/>
      <c r="CF26" s="42"/>
      <c r="CG26" s="42"/>
      <c r="CH26" s="42"/>
      <c r="CI26" s="42"/>
      <c r="CJ26" s="24"/>
    </row>
    <row r="27" spans="1:88" ht="15" customHeight="1" x14ac:dyDescent="0.35">
      <c r="A27" s="6">
        <v>32</v>
      </c>
      <c r="B27"/>
      <c r="C27"/>
      <c r="D27"/>
      <c r="E27"/>
      <c r="F27"/>
      <c r="G27"/>
      <c r="H27"/>
      <c r="I27"/>
      <c r="J27"/>
      <c r="K27"/>
      <c r="L27"/>
      <c r="M27"/>
      <c r="N27"/>
      <c r="O27"/>
      <c r="P27"/>
      <c r="Q27"/>
      <c r="R27"/>
      <c r="S27"/>
      <c r="T27"/>
      <c r="U27"/>
      <c r="V27"/>
      <c r="W27"/>
      <c r="X27"/>
      <c r="Y27"/>
      <c r="Z27"/>
      <c r="AA27"/>
      <c r="AB27"/>
      <c r="AC27"/>
      <c r="AD27"/>
      <c r="AE27" s="123"/>
      <c r="AF27" s="123"/>
      <c r="AG27" s="123"/>
      <c r="AH27" s="128"/>
      <c r="AI27" s="128"/>
      <c r="AJ27" s="128"/>
      <c r="AK27" s="128"/>
      <c r="AL27" s="128"/>
      <c r="AM27" s="128"/>
      <c r="AN27" s="128"/>
      <c r="AO27" s="128"/>
      <c r="AP27" s="128"/>
      <c r="AQ27" s="128"/>
      <c r="AR27" s="128"/>
      <c r="AS27" s="128"/>
      <c r="AT27" s="128"/>
      <c r="AU27" s="128"/>
      <c r="AV27" s="128"/>
      <c r="AW27" s="51"/>
      <c r="AX27" s="51"/>
      <c r="AY27" s="51"/>
      <c r="AZ27" s="51"/>
      <c r="BA27" s="51"/>
      <c r="BB27" s="51"/>
      <c r="BC27" s="51"/>
      <c r="BD27" s="50"/>
      <c r="BE27" s="50"/>
      <c r="BF27" s="50"/>
      <c r="BG27" s="50"/>
      <c r="BH27" s="50"/>
      <c r="BI27" s="52"/>
      <c r="BJ27" s="109">
        <f>'Graph Infos'!$C$44</f>
        <v>8</v>
      </c>
      <c r="BK27" s="109"/>
      <c r="BL27" s="108" t="str">
        <f>'Graph Infos'!$B$44</f>
        <v>Dropped by Operator</v>
      </c>
      <c r="BM27" s="108"/>
      <c r="BN27" s="108"/>
      <c r="BO27" s="108"/>
      <c r="BP27" s="108"/>
      <c r="BQ27" s="108"/>
      <c r="BR27" s="108"/>
      <c r="BS27" s="108"/>
      <c r="BT27" s="108"/>
      <c r="BU27" s="108"/>
      <c r="BV27" s="108"/>
      <c r="BW27" s="108"/>
      <c r="BX27" s="108"/>
      <c r="BY27" s="50"/>
    </row>
    <row r="28" spans="1:88" ht="15" customHeight="1" x14ac:dyDescent="0.35">
      <c r="A28" s="6">
        <v>33</v>
      </c>
      <c r="B28"/>
      <c r="C28"/>
      <c r="D28"/>
      <c r="E28"/>
      <c r="F28"/>
      <c r="G28"/>
      <c r="H28"/>
      <c r="I28"/>
      <c r="J28"/>
      <c r="K28"/>
      <c r="L28"/>
      <c r="M28"/>
      <c r="N28"/>
      <c r="O28"/>
      <c r="P28"/>
      <c r="Q28"/>
      <c r="R28"/>
      <c r="S28"/>
      <c r="T28"/>
      <c r="U28"/>
      <c r="V28"/>
      <c r="W28"/>
      <c r="X28"/>
      <c r="Y28"/>
      <c r="Z28"/>
      <c r="AA28"/>
      <c r="AB28"/>
      <c r="AC28"/>
      <c r="AD28"/>
      <c r="AE28" s="123"/>
      <c r="AF28" s="123"/>
      <c r="AG28" s="123"/>
      <c r="AH28" s="128"/>
      <c r="AI28" s="128"/>
      <c r="AJ28" s="128"/>
      <c r="AK28" s="128"/>
      <c r="AL28" s="128"/>
      <c r="AM28" s="128"/>
      <c r="AN28" s="128"/>
      <c r="AO28" s="128"/>
      <c r="AP28" s="128"/>
      <c r="AQ28" s="128"/>
      <c r="AR28" s="128"/>
      <c r="AS28" s="128"/>
      <c r="AT28" s="128"/>
      <c r="AU28" s="128"/>
      <c r="AV28" s="128"/>
      <c r="AW28" s="51"/>
      <c r="AX28" s="51"/>
      <c r="AY28" s="51"/>
      <c r="AZ28" s="51"/>
      <c r="BA28" s="51"/>
      <c r="BB28" s="51"/>
      <c r="BC28" s="51"/>
      <c r="BD28" s="50"/>
      <c r="BE28" s="50"/>
      <c r="BF28" s="50"/>
      <c r="BG28" s="50"/>
      <c r="BH28" s="50"/>
      <c r="BI28" s="52"/>
      <c r="BJ28" s="109"/>
      <c r="BK28" s="109"/>
      <c r="BL28" s="108"/>
      <c r="BM28" s="108"/>
      <c r="BN28" s="108"/>
      <c r="BO28" s="108"/>
      <c r="BP28" s="108"/>
      <c r="BQ28" s="108"/>
      <c r="BR28" s="108"/>
      <c r="BS28" s="108"/>
      <c r="BT28" s="108"/>
      <c r="BU28" s="108"/>
      <c r="BV28" s="108"/>
      <c r="BW28" s="108"/>
      <c r="BX28" s="108"/>
      <c r="BY28" s="50"/>
    </row>
    <row r="29" spans="1:88" ht="15" customHeight="1" x14ac:dyDescent="0.35">
      <c r="A29" s="6">
        <v>34</v>
      </c>
      <c r="B29"/>
      <c r="C29"/>
      <c r="D29"/>
      <c r="E29"/>
      <c r="F29"/>
      <c r="G29"/>
      <c r="H29"/>
      <c r="I29"/>
      <c r="J29"/>
      <c r="K29"/>
      <c r="L29"/>
      <c r="M29"/>
      <c r="N29"/>
      <c r="O29"/>
      <c r="P29"/>
      <c r="Q29"/>
      <c r="R29"/>
      <c r="S29"/>
      <c r="T29"/>
      <c r="U29"/>
      <c r="V29"/>
      <c r="W29"/>
      <c r="X29"/>
      <c r="Y29"/>
      <c r="Z29"/>
      <c r="AA29"/>
      <c r="AB29"/>
      <c r="AC29"/>
      <c r="AD29"/>
      <c r="AE29"/>
      <c r="AF29"/>
      <c r="AG29"/>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c r="BI29" s="50"/>
      <c r="BJ29" s="50"/>
      <c r="BK29"/>
      <c r="BL29"/>
      <c r="BM29"/>
      <c r="BN29"/>
      <c r="BO29"/>
      <c r="BP29"/>
      <c r="BQ29"/>
      <c r="BR29"/>
      <c r="BS29"/>
      <c r="BT29"/>
      <c r="BU29"/>
      <c r="BV29"/>
      <c r="BW29"/>
      <c r="BX29" s="50"/>
      <c r="BY29" s="50"/>
    </row>
    <row r="30" spans="1:88" ht="15" customHeight="1" x14ac:dyDescent="0.35">
      <c r="A30" s="6">
        <v>35</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s="14"/>
      <c r="AR30"/>
      <c r="AS30" s="14"/>
      <c r="AT30"/>
      <c r="AU30"/>
      <c r="AV30"/>
      <c r="AW30"/>
      <c r="AX30"/>
      <c r="AY30"/>
      <c r="AZ30"/>
      <c r="BA30"/>
      <c r="BB30"/>
      <c r="BC30"/>
      <c r="BD30"/>
      <c r="BE30"/>
      <c r="BF30"/>
      <c r="BG30"/>
      <c r="BH30"/>
      <c r="BI30"/>
      <c r="BJ30"/>
      <c r="BK30"/>
      <c r="BL30"/>
      <c r="BM30"/>
      <c r="BN30"/>
      <c r="BO30"/>
      <c r="BP30"/>
      <c r="BQ30"/>
      <c r="BR30"/>
      <c r="BS30"/>
      <c r="BT30"/>
      <c r="BU30"/>
      <c r="BV30"/>
      <c r="BW30"/>
      <c r="BX30"/>
      <c r="BY30"/>
    </row>
    <row r="31" spans="1:88" ht="15" customHeight="1" x14ac:dyDescent="0.35">
      <c r="B31"/>
      <c r="C31"/>
      <c r="D31"/>
      <c r="E31"/>
      <c r="F31"/>
      <c r="G31"/>
      <c r="H31"/>
      <c r="I31"/>
      <c r="J31"/>
      <c r="K31"/>
      <c r="L31"/>
      <c r="M31"/>
      <c r="N31"/>
      <c r="O31"/>
      <c r="P31" s="14"/>
      <c r="Q31"/>
      <c r="R31"/>
      <c r="S31"/>
      <c r="T31"/>
      <c r="U31"/>
      <c r="V31"/>
      <c r="W31"/>
      <c r="X31"/>
      <c r="Y31"/>
      <c r="Z31"/>
      <c r="AA31"/>
      <c r="AB31"/>
      <c r="AC31"/>
      <c r="AD31"/>
      <c r="AE31"/>
      <c r="AF31"/>
      <c r="AG31"/>
      <c r="AH31"/>
      <c r="AI31"/>
      <c r="AJ31"/>
      <c r="AK31"/>
      <c r="AL31"/>
      <c r="AM31"/>
      <c r="AN31"/>
      <c r="AO31"/>
      <c r="AP31"/>
      <c r="AQ31" s="14"/>
      <c r="AR31"/>
      <c r="AS31" s="14"/>
      <c r="AT31"/>
      <c r="AU31"/>
      <c r="AV31"/>
      <c r="AW31"/>
      <c r="AX31"/>
      <c r="AY31"/>
      <c r="AZ31"/>
      <c r="BA31"/>
      <c r="BB31"/>
      <c r="BC31"/>
      <c r="BD31"/>
      <c r="BE31"/>
      <c r="BF31"/>
      <c r="BG31"/>
      <c r="BH31"/>
      <c r="BI31"/>
      <c r="BJ31"/>
      <c r="BK31"/>
      <c r="BL31"/>
      <c r="BM31"/>
      <c r="BN31"/>
      <c r="BO31"/>
      <c r="BP31"/>
      <c r="BQ31"/>
      <c r="BR31"/>
      <c r="BS31"/>
      <c r="BT31"/>
      <c r="BU31"/>
      <c r="BV31"/>
      <c r="BW31"/>
      <c r="BX31"/>
      <c r="BY31"/>
    </row>
    <row r="32" spans="1:88" ht="15" customHeight="1" x14ac:dyDescent="0.35">
      <c r="B32"/>
      <c r="C32"/>
      <c r="D32"/>
      <c r="E32"/>
      <c r="F32"/>
      <c r="G32"/>
      <c r="H32"/>
      <c r="I32"/>
      <c r="J32"/>
      <c r="K32"/>
      <c r="L32"/>
      <c r="M32"/>
      <c r="N32"/>
      <c r="O32"/>
      <c r="P32" s="14"/>
      <c r="Q32"/>
      <c r="R32"/>
      <c r="S32"/>
      <c r="T32"/>
      <c r="U32"/>
      <c r="V32"/>
      <c r="W32"/>
      <c r="X32"/>
      <c r="Y32"/>
      <c r="Z32"/>
      <c r="AA32"/>
      <c r="AB32"/>
      <c r="AC32"/>
      <c r="AD32"/>
      <c r="AE32"/>
      <c r="AF32"/>
      <c r="AG32"/>
      <c r="AH32"/>
      <c r="AI32"/>
      <c r="AJ32"/>
      <c r="AK32"/>
      <c r="AL32"/>
      <c r="AM32"/>
      <c r="AN32"/>
      <c r="AO32"/>
      <c r="AP32"/>
      <c r="AQ32" s="14"/>
      <c r="AR32"/>
      <c r="AS32" s="14"/>
      <c r="AT32"/>
      <c r="AU32"/>
      <c r="AV32"/>
      <c r="AW32"/>
      <c r="AX32"/>
      <c r="AY32"/>
      <c r="AZ32"/>
      <c r="BA32"/>
      <c r="BB32"/>
      <c r="BC32"/>
      <c r="BD32"/>
      <c r="BE32"/>
      <c r="BF32"/>
      <c r="BG32"/>
      <c r="BH32"/>
      <c r="BI32"/>
      <c r="BJ32"/>
      <c r="BK32"/>
      <c r="BL32"/>
      <c r="BM32"/>
      <c r="BN32"/>
      <c r="BO32"/>
      <c r="BP32"/>
      <c r="BQ32"/>
      <c r="BR32"/>
      <c r="BS32"/>
      <c r="BT32"/>
      <c r="BU32"/>
      <c r="BV32"/>
      <c r="BW32"/>
      <c r="BX32"/>
      <c r="BY32"/>
    </row>
    <row r="33" spans="1:77" ht="15" customHeight="1" x14ac:dyDescent="0.35">
      <c r="B33"/>
      <c r="C33"/>
      <c r="D33"/>
      <c r="E33"/>
      <c r="F33"/>
      <c r="G33"/>
      <c r="H33"/>
      <c r="I33"/>
      <c r="J33"/>
      <c r="K33"/>
      <c r="L33"/>
      <c r="M33"/>
      <c r="N33"/>
      <c r="O33"/>
      <c r="P33" s="14"/>
      <c r="Q33"/>
      <c r="R33"/>
      <c r="S33"/>
      <c r="T33"/>
      <c r="U33"/>
      <c r="V33"/>
      <c r="W33"/>
      <c r="X33"/>
      <c r="Y33"/>
      <c r="Z33"/>
      <c r="AA33"/>
      <c r="AB33"/>
      <c r="AC33"/>
      <c r="AD33"/>
      <c r="AE33"/>
      <c r="AF33"/>
      <c r="AG33"/>
      <c r="AH33"/>
      <c r="AI33"/>
      <c r="AJ33"/>
      <c r="AK33"/>
      <c r="AL33"/>
      <c r="AM33"/>
      <c r="AN33"/>
      <c r="AO33"/>
      <c r="AP33"/>
      <c r="AQ33" s="14"/>
      <c r="AR33"/>
      <c r="AS33" s="14"/>
      <c r="AT33"/>
      <c r="AU33"/>
      <c r="AV33"/>
      <c r="AW33"/>
      <c r="AX33"/>
      <c r="AY33"/>
      <c r="AZ33"/>
      <c r="BA33"/>
      <c r="BB33"/>
      <c r="BC33"/>
      <c r="BD33"/>
      <c r="BE33"/>
      <c r="BF33"/>
      <c r="BG33"/>
      <c r="BH33"/>
      <c r="BI33"/>
      <c r="BJ33"/>
      <c r="BK33"/>
      <c r="BL33"/>
      <c r="BM33"/>
      <c r="BN33"/>
      <c r="BO33"/>
      <c r="BP33"/>
      <c r="BQ33"/>
      <c r="BR33"/>
      <c r="BS33"/>
      <c r="BT33"/>
      <c r="BU33"/>
      <c r="BV33"/>
      <c r="BW33"/>
      <c r="BX33"/>
      <c r="BY33"/>
    </row>
    <row r="34" spans="1:77" ht="15" customHeight="1" x14ac:dyDescent="0.35">
      <c r="B34"/>
      <c r="C34"/>
      <c r="D34"/>
      <c r="E34"/>
      <c r="F34"/>
      <c r="G34"/>
      <c r="H34"/>
      <c r="I34"/>
      <c r="J34"/>
      <c r="K34"/>
      <c r="L34"/>
      <c r="M34"/>
      <c r="N34"/>
      <c r="O34"/>
      <c r="P34" s="14"/>
      <c r="Q34"/>
      <c r="R34"/>
      <c r="S34"/>
      <c r="T34"/>
      <c r="U34"/>
      <c r="V34"/>
      <c r="W34"/>
      <c r="X34"/>
      <c r="Y34"/>
      <c r="Z34"/>
      <c r="AA34"/>
      <c r="AB34"/>
      <c r="AC34"/>
      <c r="AD34"/>
      <c r="AE34"/>
      <c r="AF34"/>
      <c r="AG34"/>
      <c r="AH34"/>
      <c r="AI34"/>
      <c r="AJ34"/>
      <c r="AK34"/>
      <c r="AL34"/>
      <c r="AM34"/>
      <c r="AN34"/>
      <c r="AO34"/>
      <c r="AP34"/>
      <c r="AQ34" s="14"/>
      <c r="AR34"/>
      <c r="AS34" s="14"/>
      <c r="AT34"/>
      <c r="AU34"/>
      <c r="AV34"/>
      <c r="AW34"/>
      <c r="AX34"/>
      <c r="AY34"/>
      <c r="AZ34"/>
      <c r="BA34"/>
      <c r="BB34"/>
      <c r="BC34"/>
      <c r="BD34"/>
      <c r="BE34"/>
      <c r="BF34"/>
      <c r="BG34"/>
      <c r="BH34"/>
      <c r="BI34"/>
      <c r="BJ34"/>
      <c r="BK34"/>
      <c r="BL34"/>
      <c r="BM34"/>
      <c r="BN34"/>
      <c r="BO34"/>
      <c r="BP34"/>
      <c r="BQ34"/>
      <c r="BR34"/>
      <c r="BS34"/>
      <c r="BT34"/>
      <c r="BU34"/>
      <c r="BV34"/>
      <c r="BW34"/>
      <c r="BX34"/>
      <c r="BY34"/>
    </row>
    <row r="35" spans="1:77" ht="15" customHeight="1" x14ac:dyDescent="0.35">
      <c r="A35" s="6">
        <v>36</v>
      </c>
      <c r="B35"/>
      <c r="C35"/>
      <c r="D35"/>
      <c r="E35"/>
      <c r="F35"/>
      <c r="G35"/>
      <c r="H35"/>
      <c r="I35"/>
      <c r="J35"/>
      <c r="K35"/>
      <c r="L35"/>
      <c r="M35"/>
      <c r="N35"/>
      <c r="O35"/>
      <c r="P35" s="14"/>
      <c r="Q35"/>
      <c r="R35"/>
      <c r="S35"/>
      <c r="T35"/>
      <c r="U35"/>
      <c r="V35"/>
      <c r="W35"/>
      <c r="X35"/>
      <c r="Y35"/>
      <c r="Z35"/>
      <c r="AA35"/>
      <c r="AB35"/>
      <c r="AC35"/>
      <c r="AD35"/>
      <c r="AE35"/>
      <c r="AF35"/>
      <c r="AG35"/>
      <c r="AH35"/>
      <c r="AI35"/>
      <c r="AJ35"/>
      <c r="AK35"/>
      <c r="AL35"/>
      <c r="AM35"/>
      <c r="AN35"/>
      <c r="AO35"/>
      <c r="AP35"/>
      <c r="AQ35" s="14"/>
      <c r="AR35"/>
      <c r="AS35" s="14"/>
      <c r="AT35"/>
      <c r="AU35"/>
      <c r="AV35"/>
      <c r="AW35"/>
      <c r="AX35"/>
      <c r="AY35"/>
      <c r="AZ35"/>
      <c r="BA35"/>
      <c r="BB35"/>
      <c r="BC35"/>
      <c r="BD35"/>
      <c r="BE35"/>
      <c r="BF35"/>
      <c r="BG35"/>
      <c r="BH35"/>
      <c r="BI35"/>
      <c r="BJ35"/>
      <c r="BK35"/>
      <c r="BL35"/>
      <c r="BM35"/>
      <c r="BN35"/>
      <c r="BO35"/>
      <c r="BP35"/>
      <c r="BQ35"/>
      <c r="BR35"/>
      <c r="BS35"/>
      <c r="BT35"/>
      <c r="BU35"/>
      <c r="BV35"/>
      <c r="BW35"/>
      <c r="BX35"/>
      <c r="BY35"/>
    </row>
    <row r="36" spans="1:77" ht="15" customHeight="1" x14ac:dyDescent="0.35">
      <c r="A36" s="6">
        <v>37</v>
      </c>
      <c r="B36"/>
      <c r="C36"/>
      <c r="D36"/>
      <c r="E36"/>
      <c r="F36"/>
      <c r="G36"/>
      <c r="H36"/>
      <c r="I36"/>
      <c r="J36"/>
      <c r="K36"/>
      <c r="L36"/>
      <c r="M36"/>
      <c r="N36"/>
      <c r="O36"/>
      <c r="P36" s="14"/>
      <c r="Q36"/>
      <c r="R36"/>
      <c r="S36"/>
      <c r="T36"/>
      <c r="U36"/>
      <c r="V36"/>
      <c r="W36"/>
      <c r="X36"/>
      <c r="Y36"/>
      <c r="Z36"/>
      <c r="AA36"/>
      <c r="AB36"/>
      <c r="AC36"/>
      <c r="AD36"/>
      <c r="AE36"/>
      <c r="AF36"/>
      <c r="AG36"/>
      <c r="AH36"/>
      <c r="AI36"/>
      <c r="AJ36"/>
      <c r="AK36"/>
      <c r="AL36"/>
      <c r="AM36"/>
      <c r="AN36"/>
      <c r="AO36"/>
      <c r="AP36"/>
      <c r="AQ36" s="14"/>
      <c r="AR36"/>
      <c r="AS36" s="14"/>
      <c r="AT36"/>
      <c r="AU36"/>
      <c r="AV36"/>
      <c r="AW36"/>
      <c r="AX36"/>
      <c r="AY36"/>
      <c r="AZ36"/>
      <c r="BA36"/>
      <c r="BB36"/>
      <c r="BC36"/>
      <c r="BD36"/>
      <c r="BE36"/>
      <c r="BF36"/>
      <c r="BG36"/>
      <c r="BH36"/>
      <c r="BI36"/>
      <c r="BJ36"/>
      <c r="BK36"/>
      <c r="BL36"/>
      <c r="BM36"/>
      <c r="BN36"/>
      <c r="BO36"/>
      <c r="BP36"/>
      <c r="BQ36"/>
      <c r="BR36"/>
      <c r="BS36"/>
      <c r="BT36"/>
      <c r="BU36"/>
      <c r="BV36"/>
      <c r="BW36"/>
      <c r="BX36"/>
      <c r="BY36"/>
    </row>
    <row r="37" spans="1:77" ht="15" customHeight="1" x14ac:dyDescent="0.35">
      <c r="A37" s="6">
        <v>38</v>
      </c>
      <c r="B37"/>
      <c r="C37"/>
      <c r="D37"/>
      <c r="E37"/>
      <c r="F37"/>
      <c r="G37"/>
      <c r="H37"/>
      <c r="I37"/>
      <c r="J37"/>
      <c r="K37"/>
      <c r="L37"/>
      <c r="M37"/>
      <c r="N37"/>
      <c r="O37"/>
      <c r="P37" s="14"/>
      <c r="Q37"/>
      <c r="R37"/>
      <c r="S37"/>
      <c r="T37"/>
      <c r="U37"/>
      <c r="V37"/>
      <c r="W37"/>
      <c r="X37"/>
      <c r="Y37"/>
      <c r="Z37"/>
      <c r="AA37"/>
      <c r="AB37"/>
      <c r="AC37"/>
      <c r="AD37"/>
      <c r="AE37"/>
      <c r="AF37"/>
      <c r="AG37"/>
      <c r="AH37"/>
      <c r="AI37"/>
      <c r="AJ37"/>
      <c r="AK37"/>
      <c r="AL37"/>
      <c r="AM37"/>
      <c r="AN37"/>
      <c r="AO37"/>
      <c r="AP37"/>
      <c r="AQ37" s="14"/>
      <c r="AR37"/>
      <c r="AS37" s="14"/>
      <c r="AT37"/>
      <c r="AU37"/>
      <c r="AV37"/>
      <c r="AW37"/>
      <c r="AX37"/>
      <c r="AY37"/>
      <c r="AZ37"/>
      <c r="BA37"/>
      <c r="BB37"/>
      <c r="BC37"/>
      <c r="BD37"/>
      <c r="BE37"/>
      <c r="BF37"/>
      <c r="BG37"/>
      <c r="BH37"/>
      <c r="BI37"/>
      <c r="BJ37"/>
      <c r="BK37"/>
      <c r="BL37"/>
      <c r="BM37"/>
      <c r="BN37"/>
      <c r="BO37"/>
      <c r="BP37"/>
      <c r="BQ37"/>
      <c r="BR37"/>
      <c r="BS37"/>
      <c r="BT37"/>
      <c r="BU37"/>
      <c r="BV37"/>
      <c r="BW37"/>
      <c r="BX37"/>
      <c r="BY37"/>
    </row>
    <row r="38" spans="1:77" ht="15" customHeight="1" x14ac:dyDescent="0.35">
      <c r="A38" s="6">
        <v>39</v>
      </c>
      <c r="B38"/>
      <c r="C38"/>
      <c r="D38"/>
      <c r="E38"/>
      <c r="F38"/>
      <c r="G38"/>
      <c r="H38"/>
      <c r="I38"/>
      <c r="J38"/>
      <c r="K38"/>
      <c r="L38"/>
      <c r="M38"/>
      <c r="N38"/>
      <c r="O38"/>
      <c r="P38" s="14"/>
      <c r="Q38"/>
      <c r="R38"/>
      <c r="S38"/>
      <c r="T38"/>
      <c r="U38"/>
      <c r="V38"/>
      <c r="W38"/>
      <c r="X38"/>
      <c r="Y38"/>
      <c r="Z38"/>
      <c r="AA38"/>
      <c r="AB38"/>
      <c r="AC38"/>
      <c r="AD38"/>
      <c r="AE38"/>
      <c r="AF38"/>
      <c r="AG38"/>
      <c r="AH38"/>
      <c r="AI38"/>
      <c r="AJ38"/>
      <c r="AK38"/>
      <c r="AL38"/>
      <c r="AM38"/>
      <c r="AN38"/>
      <c r="AO38"/>
      <c r="AP38"/>
      <c r="AQ38" s="14"/>
      <c r="AR38"/>
      <c r="AS38" s="14"/>
      <c r="AT38"/>
      <c r="AU38"/>
      <c r="AV38"/>
      <c r="AW38"/>
      <c r="AX38"/>
      <c r="AY38"/>
      <c r="AZ38"/>
      <c r="BA38"/>
      <c r="BB38"/>
      <c r="BC38"/>
      <c r="BD38"/>
      <c r="BE38"/>
      <c r="BF38"/>
      <c r="BG38"/>
      <c r="BH38"/>
      <c r="BI38"/>
      <c r="BJ38"/>
      <c r="BK38"/>
      <c r="BL38"/>
      <c r="BM38"/>
      <c r="BN38"/>
      <c r="BO38"/>
      <c r="BP38"/>
      <c r="BQ38"/>
      <c r="BR38"/>
      <c r="BS38"/>
      <c r="BT38"/>
      <c r="BU38"/>
      <c r="BV38"/>
      <c r="BW38"/>
      <c r="BX38"/>
      <c r="BY38"/>
    </row>
    <row r="39" spans="1:77" ht="15" customHeight="1" x14ac:dyDescent="0.35">
      <c r="A39" s="6">
        <v>40</v>
      </c>
      <c r="B39"/>
      <c r="C39"/>
      <c r="D39"/>
      <c r="E39"/>
      <c r="F39"/>
      <c r="G39"/>
      <c r="H39"/>
      <c r="I39"/>
      <c r="J39"/>
      <c r="K39"/>
      <c r="L39"/>
      <c r="M39"/>
      <c r="N39"/>
      <c r="O39"/>
      <c r="P39" s="14"/>
      <c r="Q39"/>
      <c r="R39"/>
      <c r="S39"/>
      <c r="T39"/>
      <c r="U39"/>
      <c r="V39"/>
      <c r="W39"/>
      <c r="X39"/>
      <c r="Y39"/>
      <c r="Z39"/>
      <c r="AA39"/>
      <c r="AB39"/>
      <c r="AC39"/>
      <c r="AD39"/>
      <c r="AE39"/>
      <c r="AF39"/>
      <c r="AG39"/>
      <c r="AH39"/>
      <c r="AI39"/>
      <c r="AJ39"/>
      <c r="AK39"/>
      <c r="AL39"/>
      <c r="AM39"/>
      <c r="AN39"/>
      <c r="AO39"/>
      <c r="AP39"/>
      <c r="AQ39" s="14"/>
      <c r="AR39"/>
      <c r="AS39" s="14"/>
      <c r="AT39"/>
      <c r="AU39"/>
      <c r="AV39"/>
      <c r="AW39"/>
      <c r="AX39"/>
      <c r="AY39"/>
      <c r="AZ39"/>
      <c r="BA39"/>
      <c r="BB39"/>
      <c r="BC39"/>
      <c r="BD39"/>
      <c r="BE39"/>
      <c r="BF39"/>
      <c r="BG39"/>
      <c r="BH39"/>
      <c r="BI39"/>
      <c r="BJ39"/>
      <c r="BK39"/>
      <c r="BL39"/>
      <c r="BM39"/>
      <c r="BN39"/>
      <c r="BO39"/>
      <c r="BP39"/>
      <c r="BQ39"/>
      <c r="BR39"/>
      <c r="BS39"/>
      <c r="BT39"/>
      <c r="BU39"/>
      <c r="BV39"/>
      <c r="BW39"/>
      <c r="BX39"/>
      <c r="BY39"/>
    </row>
    <row r="40" spans="1:77" ht="15" customHeight="1" x14ac:dyDescent="0.35">
      <c r="A40" s="6">
        <v>41</v>
      </c>
      <c r="B40"/>
      <c r="C40"/>
      <c r="D40"/>
      <c r="E40"/>
      <c r="F40"/>
      <c r="G40"/>
      <c r="H40"/>
      <c r="I40"/>
      <c r="J40"/>
      <c r="K40"/>
      <c r="L40"/>
      <c r="M40"/>
      <c r="N40"/>
      <c r="O40"/>
      <c r="P40" s="14"/>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row>
    <row r="41" spans="1:77" ht="15" customHeight="1" x14ac:dyDescent="0.35">
      <c r="A41" s="6">
        <v>42</v>
      </c>
      <c r="B41" s="7"/>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row>
    <row r="42" spans="1:77" ht="15" customHeight="1" x14ac:dyDescent="0.35"/>
    <row r="43" spans="1:77" ht="15" customHeight="1" x14ac:dyDescent="0.35"/>
    <row r="44" spans="1:77" ht="14.25" customHeight="1" x14ac:dyDescent="0.35"/>
    <row r="45" spans="1:77" ht="15" customHeight="1" x14ac:dyDescent="0.35"/>
    <row r="46" spans="1:77" ht="15" customHeight="1" x14ac:dyDescent="0.35"/>
    <row r="47" spans="1:77" ht="15" customHeight="1" x14ac:dyDescent="0.35"/>
    <row r="48" spans="1:77" ht="15" customHeight="1" x14ac:dyDescent="0.35"/>
    <row r="49" spans="1:2" ht="15" customHeight="1" x14ac:dyDescent="0.35"/>
    <row r="50" spans="1:2" ht="15" customHeight="1" x14ac:dyDescent="0.35">
      <c r="A50" s="6">
        <v>1</v>
      </c>
      <c r="B50" s="6">
        <v>0</v>
      </c>
    </row>
    <row r="51" spans="1:2" ht="15" customHeight="1" x14ac:dyDescent="0.35"/>
    <row r="52" spans="1:2" ht="15" customHeight="1" x14ac:dyDescent="0.35"/>
    <row r="53" spans="1:2" ht="15" customHeight="1" x14ac:dyDescent="0.35"/>
    <row r="54" spans="1:2" ht="15" customHeight="1" x14ac:dyDescent="0.35"/>
    <row r="55" spans="1:2" ht="15" customHeight="1" x14ac:dyDescent="0.35"/>
    <row r="56" spans="1:2" ht="15" customHeight="1" x14ac:dyDescent="0.35"/>
    <row r="57" spans="1:2" ht="15" customHeight="1" x14ac:dyDescent="0.35"/>
    <row r="58" spans="1:2" ht="15" customHeight="1" x14ac:dyDescent="0.35"/>
    <row r="59" spans="1:2" ht="15" customHeight="1" x14ac:dyDescent="0.35"/>
    <row r="60" spans="1:2" ht="15" customHeight="1" x14ac:dyDescent="0.35"/>
    <row r="61" spans="1:2" ht="15" customHeight="1" x14ac:dyDescent="0.35"/>
    <row r="62" spans="1:2" ht="15" customHeight="1" x14ac:dyDescent="0.35"/>
    <row r="63" spans="1:2" ht="15" customHeight="1" x14ac:dyDescent="0.35"/>
    <row r="64" spans="1:2" ht="15" customHeight="1" x14ac:dyDescent="0.35"/>
    <row r="65" ht="15" customHeight="1" x14ac:dyDescent="0.35"/>
    <row r="66" ht="15" customHeight="1" x14ac:dyDescent="0.35"/>
    <row r="67" ht="15" customHeight="1" x14ac:dyDescent="0.35"/>
    <row r="68" ht="15" customHeight="1" x14ac:dyDescent="0.35"/>
    <row r="69" ht="15" customHeight="1" x14ac:dyDescent="0.35"/>
    <row r="70" ht="15" customHeight="1" x14ac:dyDescent="0.35"/>
    <row r="71" ht="15" customHeight="1" x14ac:dyDescent="0.35"/>
    <row r="72" ht="15" customHeight="1" x14ac:dyDescent="0.35"/>
    <row r="73" ht="15" hidden="1" customHeight="1" x14ac:dyDescent="0.35"/>
  </sheetData>
  <sheetProtection selectLockedCells="1"/>
  <mergeCells count="27">
    <mergeCell ref="N20:W21"/>
    <mergeCell ref="AE26:AG28"/>
    <mergeCell ref="AH23:AJ25"/>
    <mergeCell ref="AK23:BF25"/>
    <mergeCell ref="N22:W23"/>
    <mergeCell ref="AJ20:AL22"/>
    <mergeCell ref="AM20:BH22"/>
    <mergeCell ref="AH26:AV28"/>
    <mergeCell ref="AJ17:AL19"/>
    <mergeCell ref="AM17:BH19"/>
    <mergeCell ref="V3:BI5"/>
    <mergeCell ref="BL3:BV4"/>
    <mergeCell ref="AE8:AG10"/>
    <mergeCell ref="AH11:AJ13"/>
    <mergeCell ref="AH8:BH10"/>
    <mergeCell ref="AK11:BH13"/>
    <mergeCell ref="N14:W15"/>
    <mergeCell ref="AJ14:AL16"/>
    <mergeCell ref="N16:W17"/>
    <mergeCell ref="N18:W19"/>
    <mergeCell ref="BI18:BJ19"/>
    <mergeCell ref="BK18:BW19"/>
    <mergeCell ref="BJ25:BK26"/>
    <mergeCell ref="BL25:BX26"/>
    <mergeCell ref="BL27:BX28"/>
    <mergeCell ref="BJ27:BK28"/>
    <mergeCell ref="AM14:BH16"/>
  </mergeCell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F6B56-55F7-4FC6-9FAD-9594A5040CE5}">
  <sheetPr codeName="Sheet8"/>
  <dimension ref="A1:DU73"/>
  <sheetViews>
    <sheetView topLeftCell="B8" zoomScale="130" zoomScaleNormal="130" workbookViewId="0">
      <selection activeCell="B2" sqref="B2"/>
    </sheetView>
  </sheetViews>
  <sheetFormatPr defaultColWidth="0" defaultRowHeight="15" customHeight="1" zeroHeight="1" x14ac:dyDescent="0.35"/>
  <cols>
    <col min="1" max="1" width="9.1796875" style="6" hidden="1" customWidth="1"/>
    <col min="2" max="80" width="2.7265625" style="6" customWidth="1"/>
    <col min="81" max="87" width="9.1796875" style="6" customWidth="1"/>
    <col min="88" max="125" width="0" style="6" hidden="1" customWidth="1"/>
    <col min="126" max="16384" width="9.1796875" style="6" hidden="1"/>
  </cols>
  <sheetData>
    <row r="1" spans="1:88" ht="15" hidden="1" customHeight="1" x14ac:dyDescent="0.35">
      <c r="V1"/>
      <c r="W1"/>
      <c r="X1"/>
      <c r="Y1"/>
      <c r="Z1"/>
      <c r="AA1"/>
      <c r="AB1"/>
      <c r="AC1"/>
      <c r="AD1"/>
      <c r="AE1"/>
      <c r="AF1"/>
      <c r="AG1"/>
      <c r="AH1"/>
      <c r="AI1"/>
      <c r="AJ1"/>
      <c r="AK1"/>
      <c r="AL1"/>
      <c r="AM1"/>
      <c r="AN1"/>
      <c r="AO1"/>
      <c r="AP1"/>
      <c r="AQ1"/>
      <c r="AR1"/>
      <c r="AS1"/>
      <c r="AT1"/>
      <c r="AU1"/>
      <c r="AV1"/>
      <c r="AW1"/>
      <c r="AX1"/>
      <c r="AY1"/>
      <c r="AZ1"/>
      <c r="BA1"/>
      <c r="BB1"/>
      <c r="BC1"/>
      <c r="BD1"/>
      <c r="BE1"/>
      <c r="BF1"/>
      <c r="BG1"/>
      <c r="BH1"/>
      <c r="BI1"/>
    </row>
    <row r="2" spans="1:88" ht="15" customHeight="1" x14ac:dyDescent="0.35">
      <c r="A2" s="6">
        <v>1</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row>
    <row r="3" spans="1:88" ht="15" customHeight="1" x14ac:dyDescent="0.35">
      <c r="A3" s="6">
        <v>2</v>
      </c>
      <c r="B3"/>
      <c r="C3"/>
      <c r="D3"/>
      <c r="E3"/>
      <c r="F3"/>
      <c r="G3"/>
      <c r="H3" s="10"/>
      <c r="I3" s="10"/>
      <c r="J3" s="10"/>
      <c r="K3" s="10"/>
      <c r="L3" s="10"/>
      <c r="M3" s="10"/>
      <c r="N3" s="10"/>
      <c r="O3" s="10"/>
      <c r="P3" s="10"/>
      <c r="Q3" s="10"/>
      <c r="R3" s="10"/>
      <c r="S3" s="10"/>
      <c r="T3" s="10"/>
      <c r="U3" s="10"/>
      <c r="V3" s="113" t="str">
        <f>"Colocation Project: "&amp;'Bar Completion'!B15&amp;" in Process"</f>
        <v>Colocation Project: 183 in Process</v>
      </c>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c r="BA3" s="113"/>
      <c r="BB3" s="113"/>
      <c r="BC3" s="113"/>
      <c r="BD3" s="113"/>
      <c r="BE3" s="113"/>
      <c r="BF3" s="113"/>
      <c r="BG3" s="113"/>
      <c r="BH3" s="113"/>
      <c r="BI3" s="113"/>
      <c r="BJ3" s="10"/>
      <c r="BK3" s="10"/>
      <c r="BL3" s="114">
        <f ca="1">NOW()</f>
        <v>43473.436218287039</v>
      </c>
      <c r="BM3" s="114"/>
      <c r="BN3" s="114"/>
      <c r="BO3" s="114"/>
      <c r="BP3" s="114"/>
      <c r="BQ3" s="114"/>
      <c r="BR3" s="114"/>
      <c r="BS3" s="114"/>
      <c r="BT3" s="114"/>
      <c r="BU3" s="114"/>
      <c r="BV3" s="114"/>
      <c r="BW3" s="21"/>
      <c r="BX3" s="21"/>
      <c r="BY3" s="21"/>
      <c r="BZ3" s="53"/>
      <c r="CA3" s="54"/>
    </row>
    <row r="4" spans="1:88" ht="15" customHeight="1" x14ac:dyDescent="0.35">
      <c r="A4" s="6">
        <v>3</v>
      </c>
      <c r="B4"/>
      <c r="C4"/>
      <c r="D4"/>
      <c r="E4"/>
      <c r="F4"/>
      <c r="G4"/>
      <c r="H4" s="10"/>
      <c r="I4" s="10"/>
      <c r="J4" s="10"/>
      <c r="K4" s="10"/>
      <c r="L4" s="10"/>
      <c r="M4" s="10"/>
      <c r="N4" s="10"/>
      <c r="O4" s="10"/>
      <c r="P4" s="10"/>
      <c r="Q4" s="10"/>
      <c r="R4" s="10"/>
      <c r="S4" s="10"/>
      <c r="T4" s="10"/>
      <c r="U4" s="10"/>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c r="BA4" s="113"/>
      <c r="BB4" s="113"/>
      <c r="BC4" s="113"/>
      <c r="BD4" s="113"/>
      <c r="BE4" s="113"/>
      <c r="BF4" s="113"/>
      <c r="BG4" s="113"/>
      <c r="BH4" s="113"/>
      <c r="BI4" s="113"/>
      <c r="BJ4" s="10"/>
      <c r="BK4" s="10"/>
      <c r="BL4" s="114"/>
      <c r="BM4" s="114"/>
      <c r="BN4" s="114"/>
      <c r="BO4" s="114"/>
      <c r="BP4" s="114"/>
      <c r="BQ4" s="114"/>
      <c r="BR4" s="114"/>
      <c r="BS4" s="114"/>
      <c r="BT4" s="114"/>
      <c r="BU4" s="114"/>
      <c r="BV4" s="114"/>
      <c r="BW4" s="21"/>
      <c r="BX4" s="21"/>
      <c r="BY4" s="21"/>
      <c r="BZ4" s="53"/>
      <c r="CA4" s="54"/>
    </row>
    <row r="5" spans="1:88" ht="15" customHeight="1" x14ac:dyDescent="0.35">
      <c r="A5" s="6">
        <v>4</v>
      </c>
      <c r="B5"/>
      <c r="C5"/>
      <c r="D5"/>
      <c r="E5"/>
      <c r="F5"/>
      <c r="G5"/>
      <c r="H5" s="10"/>
      <c r="I5" s="10"/>
      <c r="J5" s="10"/>
      <c r="K5" s="10"/>
      <c r="L5" s="10"/>
      <c r="M5" s="10"/>
      <c r="N5" s="10"/>
      <c r="O5" s="10"/>
      <c r="P5" s="10"/>
      <c r="Q5" s="10"/>
      <c r="R5" s="10"/>
      <c r="S5" s="10"/>
      <c r="T5" s="10"/>
      <c r="U5" s="10"/>
      <c r="V5" s="113"/>
      <c r="W5" s="113"/>
      <c r="X5" s="113"/>
      <c r="Y5" s="113"/>
      <c r="Z5" s="113"/>
      <c r="AA5" s="113"/>
      <c r="AB5" s="113"/>
      <c r="AC5" s="113"/>
      <c r="AD5" s="113"/>
      <c r="AE5" s="113"/>
      <c r="AF5" s="113"/>
      <c r="AG5" s="113"/>
      <c r="AH5" s="113"/>
      <c r="AI5" s="113"/>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13"/>
      <c r="BI5" s="113"/>
      <c r="BJ5" s="10"/>
      <c r="BK5" s="10"/>
      <c r="BL5" s="10"/>
      <c r="BM5" s="10"/>
      <c r="BN5" s="10"/>
      <c r="BO5" s="10"/>
      <c r="BP5" s="10"/>
      <c r="BQ5"/>
      <c r="BR5"/>
      <c r="BS5"/>
      <c r="BT5"/>
      <c r="BU5"/>
      <c r="BV5"/>
      <c r="BW5"/>
      <c r="BX5"/>
      <c r="BY5"/>
    </row>
    <row r="6" spans="1:88" ht="15" customHeight="1" x14ac:dyDescent="0.35">
      <c r="A6" s="6">
        <v>5</v>
      </c>
      <c r="B6"/>
      <c r="C6"/>
      <c r="D6"/>
      <c r="E6"/>
      <c r="F6"/>
      <c r="G6"/>
      <c r="H6" s="10"/>
      <c r="I6" s="10"/>
      <c r="J6" s="10"/>
      <c r="K6" s="10"/>
      <c r="L6" s="10"/>
      <c r="M6" s="10"/>
      <c r="N6" s="10"/>
      <c r="O6" s="10"/>
      <c r="P6" s="10"/>
      <c r="Q6" s="10"/>
      <c r="R6" s="10"/>
      <c r="S6" s="82"/>
      <c r="T6" s="82"/>
      <c r="U6" s="82"/>
      <c r="V6" s="82"/>
      <c r="W6" s="82"/>
      <c r="X6" s="82"/>
      <c r="Y6" s="82"/>
      <c r="Z6" s="82"/>
      <c r="AA6" s="82"/>
      <c r="AB6" s="82"/>
      <c r="AC6" s="82"/>
      <c r="AD6" s="82"/>
      <c r="AE6" s="82"/>
      <c r="AF6" s="82"/>
      <c r="AG6" s="82"/>
      <c r="AH6" s="82"/>
      <c r="AI6" s="82"/>
      <c r="AJ6" s="82"/>
      <c r="AK6" s="82"/>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c r="BR6"/>
      <c r="BS6"/>
      <c r="BT6"/>
      <c r="BU6"/>
      <c r="BV6"/>
      <c r="BW6"/>
      <c r="BX6"/>
      <c r="BY6"/>
    </row>
    <row r="7" spans="1:88" ht="15" customHeight="1" x14ac:dyDescent="0.35">
      <c r="A7" s="6">
        <v>6</v>
      </c>
      <c r="B7"/>
      <c r="C7"/>
      <c r="D7"/>
      <c r="E7"/>
      <c r="F7"/>
      <c r="G7"/>
      <c r="H7"/>
      <c r="I7"/>
      <c r="J7"/>
      <c r="K7"/>
      <c r="L7"/>
      <c r="M7"/>
      <c r="N7"/>
      <c r="O7"/>
      <c r="P7"/>
      <c r="Q7"/>
      <c r="R7"/>
      <c r="S7" s="50"/>
      <c r="T7" s="50"/>
      <c r="U7" s="50"/>
      <c r="V7" s="50"/>
      <c r="W7" s="50"/>
      <c r="X7" s="50"/>
      <c r="Y7" s="50"/>
      <c r="Z7" s="50"/>
      <c r="AA7" s="50"/>
      <c r="AB7" s="50"/>
      <c r="AC7" s="50"/>
      <c r="AD7" s="50"/>
      <c r="AE7" s="50"/>
      <c r="AF7" s="50"/>
      <c r="AG7" s="50"/>
      <c r="AH7" s="50"/>
      <c r="AI7" s="50"/>
      <c r="AJ7" s="50"/>
      <c r="AK7" s="46"/>
      <c r="AL7" s="25"/>
      <c r="AM7" s="25"/>
      <c r="AN7" s="25"/>
      <c r="AO7" s="25"/>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c r="BT7"/>
      <c r="BU7"/>
      <c r="BV7"/>
      <c r="BW7"/>
      <c r="BX7"/>
      <c r="BY7"/>
    </row>
    <row r="8" spans="1:88" ht="15" customHeight="1" x14ac:dyDescent="0.35">
      <c r="A8" s="6">
        <v>7</v>
      </c>
      <c r="B8"/>
      <c r="C8"/>
      <c r="D8"/>
      <c r="E8"/>
      <c r="F8"/>
      <c r="G8"/>
      <c r="H8"/>
      <c r="I8"/>
      <c r="J8"/>
      <c r="K8"/>
      <c r="L8"/>
      <c r="M8"/>
      <c r="N8"/>
      <c r="O8"/>
      <c r="P8"/>
      <c r="Q8"/>
      <c r="R8"/>
      <c r="S8" s="50"/>
      <c r="T8" s="50"/>
      <c r="U8" s="50"/>
      <c r="V8" s="50"/>
      <c r="W8" s="50"/>
      <c r="X8" s="50"/>
      <c r="Y8" s="50"/>
      <c r="Z8" s="50"/>
      <c r="AA8" s="50"/>
      <c r="AB8" s="50"/>
      <c r="AC8" s="50"/>
      <c r="AD8" s="50"/>
      <c r="AE8" s="50"/>
      <c r="AF8" s="50"/>
      <c r="AG8" s="50"/>
      <c r="AH8" s="50"/>
      <c r="AI8" s="50"/>
      <c r="AJ8" s="50"/>
      <c r="AK8" s="83"/>
      <c r="AL8" s="34"/>
      <c r="AM8" s="34"/>
      <c r="AN8" s="34"/>
      <c r="AO8" s="34"/>
      <c r="AP8" s="34"/>
      <c r="AQ8" s="34"/>
      <c r="AR8" s="34"/>
      <c r="AS8" s="34"/>
      <c r="AT8" s="34"/>
      <c r="AU8" s="34"/>
      <c r="AV8" s="34"/>
      <c r="AW8" s="34"/>
      <c r="AX8" s="34"/>
      <c r="AY8" s="34"/>
      <c r="AZ8" s="34"/>
      <c r="BA8" s="34"/>
      <c r="BB8" s="34"/>
      <c r="BC8" s="34"/>
      <c r="BD8" s="34"/>
      <c r="BE8" s="34"/>
      <c r="BF8" s="34"/>
      <c r="BG8" s="34"/>
      <c r="BH8" s="34"/>
      <c r="BI8" s="24"/>
      <c r="BJ8" s="24"/>
      <c r="BK8" s="24"/>
      <c r="BL8" s="24"/>
      <c r="BM8" s="24"/>
      <c r="BN8" s="24"/>
      <c r="BO8" s="24"/>
      <c r="BP8" s="24"/>
      <c r="BQ8" s="24"/>
      <c r="BR8" s="24"/>
      <c r="BS8"/>
      <c r="BT8"/>
      <c r="BU8"/>
      <c r="BV8"/>
      <c r="BW8"/>
      <c r="BX8"/>
      <c r="BY8"/>
    </row>
    <row r="9" spans="1:88" ht="15" customHeight="1" x14ac:dyDescent="0.35">
      <c r="A9" s="6">
        <v>12</v>
      </c>
      <c r="B9"/>
      <c r="C9"/>
      <c r="D9"/>
      <c r="E9"/>
      <c r="F9"/>
      <c r="G9"/>
      <c r="H9"/>
      <c r="I9"/>
      <c r="J9"/>
      <c r="K9"/>
      <c r="L9"/>
      <c r="M9"/>
      <c r="N9"/>
      <c r="O9"/>
      <c r="P9" s="143" t="s">
        <v>531</v>
      </c>
      <c r="Q9" s="143"/>
      <c r="R9" s="143"/>
      <c r="S9" s="143"/>
      <c r="T9" s="143"/>
      <c r="U9" s="143"/>
      <c r="V9" s="143"/>
      <c r="W9" s="143"/>
      <c r="X9" s="143"/>
      <c r="Y9" s="143"/>
      <c r="Z9" s="143"/>
      <c r="AA9" s="143"/>
      <c r="AB9" s="143"/>
      <c r="AC9" s="143"/>
      <c r="AD9" s="50"/>
      <c r="AE9" s="84"/>
      <c r="AF9" s="84"/>
      <c r="AG9" s="84"/>
      <c r="AH9" s="83"/>
      <c r="AI9" s="83"/>
      <c r="AJ9" s="83"/>
      <c r="AK9" s="83"/>
      <c r="AL9" s="34"/>
      <c r="AM9" s="34"/>
      <c r="AN9" s="34"/>
      <c r="AO9" s="34"/>
      <c r="AP9" s="34"/>
      <c r="AQ9" s="34"/>
      <c r="AR9" s="34"/>
      <c r="AS9" s="34"/>
      <c r="AT9" s="34"/>
      <c r="AU9" s="34"/>
      <c r="AV9" s="34"/>
      <c r="AW9" s="34"/>
      <c r="AX9" s="34"/>
      <c r="AY9" s="34"/>
      <c r="AZ9" s="34"/>
      <c r="BA9" s="34"/>
      <c r="BB9" s="34"/>
      <c r="BC9" s="34"/>
      <c r="BD9" s="34"/>
      <c r="BE9" s="34"/>
      <c r="BF9" s="34"/>
      <c r="BG9" s="34"/>
      <c r="BH9" s="34"/>
      <c r="BI9" s="24"/>
      <c r="BJ9" s="24"/>
      <c r="BK9" s="24"/>
      <c r="BL9" s="24"/>
      <c r="BM9" s="24"/>
      <c r="BN9" s="24"/>
      <c r="BO9" s="24"/>
      <c r="BP9" s="24"/>
      <c r="BQ9" s="24"/>
      <c r="BR9" s="24"/>
      <c r="BS9"/>
      <c r="BT9"/>
      <c r="BU9"/>
      <c r="BV9"/>
      <c r="BW9"/>
      <c r="BX9"/>
      <c r="BY9"/>
    </row>
    <row r="10" spans="1:88" ht="15" customHeight="1" x14ac:dyDescent="0.35">
      <c r="A10" s="6">
        <v>13</v>
      </c>
      <c r="B10"/>
      <c r="C10"/>
      <c r="D10"/>
      <c r="E10"/>
      <c r="F10"/>
      <c r="G10"/>
      <c r="H10"/>
      <c r="I10"/>
      <c r="J10"/>
      <c r="K10"/>
      <c r="L10"/>
      <c r="M10" s="13"/>
      <c r="N10" s="13"/>
      <c r="O10" s="13"/>
      <c r="P10" s="143"/>
      <c r="Q10" s="143"/>
      <c r="R10" s="143"/>
      <c r="S10" s="143"/>
      <c r="T10" s="143"/>
      <c r="U10" s="143"/>
      <c r="V10" s="143"/>
      <c r="W10" s="143"/>
      <c r="X10" s="143"/>
      <c r="Y10" s="143"/>
      <c r="Z10" s="143"/>
      <c r="AA10" s="143"/>
      <c r="AB10" s="143"/>
      <c r="AC10" s="143"/>
      <c r="AD10" s="85"/>
      <c r="AE10" s="84"/>
      <c r="AF10" s="84"/>
      <c r="AG10" s="84"/>
      <c r="AH10" s="83"/>
      <c r="AI10" s="83"/>
      <c r="AJ10" s="83"/>
      <c r="AK10" s="83"/>
      <c r="AL10" s="34"/>
      <c r="AM10" s="34"/>
      <c r="AN10" s="34"/>
      <c r="AO10" s="34"/>
      <c r="AP10" s="34"/>
      <c r="AQ10" s="34"/>
      <c r="AR10" s="34"/>
      <c r="AS10" s="34"/>
      <c r="AT10" s="34"/>
      <c r="AU10" s="34"/>
      <c r="AV10" s="34"/>
      <c r="AW10" s="34"/>
      <c r="AX10" s="34"/>
      <c r="AY10" s="34"/>
      <c r="AZ10" s="34"/>
      <c r="BA10" s="34"/>
      <c r="BB10" s="34"/>
      <c r="BC10" s="83"/>
      <c r="BD10" s="83"/>
      <c r="BE10" s="83"/>
      <c r="BF10" s="96"/>
      <c r="BG10" s="96"/>
      <c r="BH10" s="96"/>
      <c r="BI10" s="96"/>
      <c r="BJ10" s="96"/>
      <c r="BK10" s="96"/>
      <c r="BL10" s="96"/>
      <c r="BM10" s="96"/>
      <c r="BN10" s="96"/>
      <c r="BO10" s="96"/>
      <c r="BP10" s="96"/>
      <c r="BQ10" s="96"/>
      <c r="BR10" s="96"/>
      <c r="BS10" s="96"/>
      <c r="BT10" s="92"/>
      <c r="BU10" s="92"/>
      <c r="BV10" s="93"/>
      <c r="BW10" s="93"/>
      <c r="BX10" s="93"/>
      <c r="BY10" s="35"/>
      <c r="BZ10" s="55"/>
    </row>
    <row r="11" spans="1:88" ht="15" customHeight="1" x14ac:dyDescent="0.35">
      <c r="A11" s="6">
        <v>14</v>
      </c>
      <c r="B11"/>
      <c r="C11"/>
      <c r="D11"/>
      <c r="E11"/>
      <c r="F11" s="50"/>
      <c r="G11" s="134" t="s">
        <v>527</v>
      </c>
      <c r="H11" s="134"/>
      <c r="I11" s="134"/>
      <c r="J11" s="134"/>
      <c r="K11" s="134"/>
      <c r="L11" s="134"/>
      <c r="M11" s="134"/>
      <c r="N11" s="13"/>
      <c r="O11" s="13"/>
      <c r="P11" s="65"/>
      <c r="Q11" s="65"/>
      <c r="R11" s="65"/>
      <c r="S11" s="65"/>
      <c r="T11" s="65"/>
      <c r="U11" s="65"/>
      <c r="V11" s="65"/>
      <c r="W11" s="65"/>
      <c r="X11" s="65"/>
      <c r="Y11" s="65"/>
      <c r="Z11" s="65"/>
      <c r="AA11" s="89"/>
      <c r="AB11" s="89"/>
      <c r="AC11" s="89"/>
      <c r="AD11" s="89"/>
      <c r="AE11" s="89"/>
      <c r="AF11" s="89"/>
      <c r="AG11" s="89"/>
      <c r="AH11" s="89"/>
      <c r="AI11" s="89"/>
      <c r="AJ11" s="89"/>
      <c r="AK11" s="89"/>
      <c r="AL11" s="62"/>
      <c r="AM11" s="62"/>
      <c r="AN11" s="62"/>
      <c r="AO11" s="62"/>
      <c r="AP11" s="62"/>
      <c r="AQ11" s="62"/>
      <c r="AR11" s="62"/>
      <c r="AS11" s="62"/>
      <c r="AT11" s="62"/>
      <c r="AU11" s="62"/>
      <c r="AV11" s="62"/>
      <c r="AW11" s="62"/>
      <c r="AX11" s="62"/>
      <c r="AY11" s="62"/>
      <c r="AZ11" s="62"/>
      <c r="BA11" s="62"/>
      <c r="BB11" s="62"/>
      <c r="BC11" s="94"/>
      <c r="BD11" s="94"/>
      <c r="BE11" s="94"/>
      <c r="BF11" s="96"/>
      <c r="BG11" s="96"/>
      <c r="BH11" s="96"/>
      <c r="BI11" s="96"/>
      <c r="BJ11" s="96"/>
      <c r="BK11" s="96"/>
      <c r="BL11" s="96"/>
      <c r="BM11" s="96"/>
      <c r="BN11" s="96"/>
      <c r="BO11" s="96"/>
      <c r="BP11" s="96"/>
      <c r="BQ11" s="96"/>
      <c r="BR11" s="96"/>
      <c r="BS11" s="96"/>
      <c r="BT11" s="92"/>
      <c r="BU11" s="92"/>
      <c r="BV11" s="93"/>
      <c r="BW11" s="93"/>
      <c r="BX11" s="93"/>
      <c r="BY11" s="35"/>
      <c r="BZ11" s="55"/>
    </row>
    <row r="12" spans="1:88" ht="15" customHeight="1" x14ac:dyDescent="0.5">
      <c r="A12" s="6">
        <v>15</v>
      </c>
      <c r="B12"/>
      <c r="C12"/>
      <c r="D12"/>
      <c r="E12"/>
      <c r="F12" s="50"/>
      <c r="G12" s="134"/>
      <c r="H12" s="134"/>
      <c r="I12" s="134"/>
      <c r="J12" s="134"/>
      <c r="K12" s="134"/>
      <c r="L12" s="134"/>
      <c r="M12" s="134"/>
      <c r="N12" s="13"/>
      <c r="O12" s="13"/>
      <c r="P12" s="65"/>
      <c r="Q12" s="65"/>
      <c r="R12" s="65"/>
      <c r="S12" s="65"/>
      <c r="T12" s="65"/>
      <c r="U12" s="65"/>
      <c r="V12" s="65"/>
      <c r="W12" s="65"/>
      <c r="X12" s="65"/>
      <c r="Y12" s="65"/>
      <c r="Z12" s="65"/>
      <c r="AA12" s="89"/>
      <c r="AB12" s="89"/>
      <c r="AC12" s="89"/>
      <c r="AD12" s="89"/>
      <c r="AE12" s="89"/>
      <c r="AF12" s="89"/>
      <c r="AG12" s="89"/>
      <c r="AH12" s="89"/>
      <c r="AI12" s="89"/>
      <c r="AJ12" s="89"/>
      <c r="AK12" s="89"/>
      <c r="AL12" s="62"/>
      <c r="AM12" s="62"/>
      <c r="AN12" s="62"/>
      <c r="AO12" s="62"/>
      <c r="AP12" s="62"/>
      <c r="AQ12" s="62"/>
      <c r="AR12" s="62"/>
      <c r="AS12" s="62"/>
      <c r="AT12" s="62"/>
      <c r="AU12" s="62"/>
      <c r="AV12" s="62"/>
      <c r="AW12" s="62"/>
      <c r="AX12" s="62"/>
      <c r="AY12" s="62"/>
      <c r="AZ12" s="62"/>
      <c r="BA12" s="62"/>
      <c r="BB12" s="62"/>
      <c r="BC12" s="95"/>
      <c r="BD12" s="95"/>
      <c r="BE12" s="95"/>
      <c r="BF12" s="104"/>
      <c r="BG12" s="104"/>
      <c r="BH12" s="104"/>
      <c r="BI12" s="104"/>
      <c r="BJ12" s="104"/>
      <c r="BK12" s="104"/>
      <c r="BL12" s="104"/>
      <c r="BM12" s="104"/>
      <c r="BN12" s="104"/>
      <c r="BO12" s="104"/>
      <c r="BP12" s="104"/>
      <c r="BQ12" s="104"/>
      <c r="BR12" s="104"/>
      <c r="BS12" s="104"/>
      <c r="BT12" s="50"/>
      <c r="BU12" s="50"/>
      <c r="BV12" s="50"/>
      <c r="BW12" s="50"/>
      <c r="BX12" s="50"/>
      <c r="BY12" s="35"/>
      <c r="BZ12" s="55"/>
    </row>
    <row r="13" spans="1:88" ht="15" customHeight="1" x14ac:dyDescent="0.5">
      <c r="B13"/>
      <c r="C13"/>
      <c r="D13"/>
      <c r="E13"/>
      <c r="F13" s="50"/>
      <c r="G13" s="50"/>
      <c r="H13" s="50"/>
      <c r="I13" s="50"/>
      <c r="J13" s="50"/>
      <c r="K13" s="50"/>
      <c r="L13" s="50"/>
      <c r="M13" s="50"/>
      <c r="N13"/>
      <c r="O13"/>
      <c r="P13"/>
      <c r="Q13"/>
      <c r="R13"/>
      <c r="S13"/>
      <c r="T13"/>
      <c r="U13"/>
      <c r="V13" s="144" t="s">
        <v>570</v>
      </c>
      <c r="W13" s="144"/>
      <c r="X13" s="144"/>
      <c r="Y13" s="144"/>
      <c r="Z13" s="144"/>
      <c r="AA13" s="144"/>
      <c r="AB13" s="144"/>
      <c r="AC13" s="144"/>
      <c r="AD13" s="144"/>
      <c r="AE13" s="144"/>
      <c r="AF13" s="144"/>
      <c r="AG13" s="144"/>
      <c r="AH13" s="144"/>
      <c r="AI13" s="144"/>
      <c r="AJ13" s="61"/>
      <c r="AK13" s="62"/>
      <c r="AL13" s="62"/>
      <c r="AM13" s="62"/>
      <c r="AN13" s="62"/>
      <c r="AO13" s="62"/>
      <c r="AP13" s="62"/>
      <c r="AQ13" s="62"/>
      <c r="AR13" s="62"/>
      <c r="AS13" s="62"/>
      <c r="AT13" s="62"/>
      <c r="AU13" s="62"/>
      <c r="AV13" s="62"/>
      <c r="AW13" s="62"/>
      <c r="AX13" s="62"/>
      <c r="AY13" s="62"/>
      <c r="AZ13" s="62"/>
      <c r="BA13" s="62"/>
      <c r="BB13" s="62"/>
      <c r="BC13" s="95"/>
      <c r="BD13" s="95"/>
      <c r="BE13" s="95"/>
      <c r="BF13" s="104"/>
      <c r="BG13" s="104"/>
      <c r="BH13" s="104"/>
      <c r="BI13" s="104"/>
      <c r="BJ13" s="104"/>
      <c r="BK13" s="104"/>
      <c r="BL13" s="104"/>
      <c r="BM13" s="104"/>
      <c r="BN13" s="104"/>
      <c r="BO13" s="104"/>
      <c r="BP13" s="104"/>
      <c r="BQ13" s="104"/>
      <c r="BR13" s="104"/>
      <c r="BS13" s="104"/>
      <c r="BT13" s="50"/>
      <c r="BU13" s="50"/>
      <c r="BV13" s="50"/>
      <c r="BW13" s="50"/>
      <c r="BX13" s="50"/>
      <c r="BY13" s="35"/>
      <c r="BZ13" s="55"/>
    </row>
    <row r="14" spans="1:88" ht="15" customHeight="1" x14ac:dyDescent="0.5">
      <c r="B14"/>
      <c r="C14"/>
      <c r="D14"/>
      <c r="E14"/>
      <c r="F14" s="50"/>
      <c r="G14" s="50"/>
      <c r="H14" s="50"/>
      <c r="I14" s="50"/>
      <c r="J14" s="50"/>
      <c r="K14" s="50"/>
      <c r="L14" s="50"/>
      <c r="M14" s="50"/>
      <c r="N14" s="56"/>
      <c r="O14" s="56"/>
      <c r="P14" s="56"/>
      <c r="Q14" s="56"/>
      <c r="R14" s="56"/>
      <c r="S14" s="56"/>
      <c r="T14" s="56"/>
      <c r="U14" s="56"/>
      <c r="V14" s="144"/>
      <c r="W14" s="144"/>
      <c r="X14" s="144"/>
      <c r="Y14" s="144"/>
      <c r="Z14" s="144"/>
      <c r="AA14" s="144"/>
      <c r="AB14" s="144"/>
      <c r="AC14" s="144"/>
      <c r="AD14" s="144"/>
      <c r="AE14" s="144"/>
      <c r="AF14" s="144"/>
      <c r="AG14" s="144"/>
      <c r="AH14" s="144"/>
      <c r="AI14" s="144"/>
      <c r="AJ14" s="59"/>
      <c r="AK14" s="59"/>
      <c r="AL14" s="59"/>
      <c r="AM14" s="60"/>
      <c r="AN14" s="60"/>
      <c r="AO14" s="60"/>
      <c r="AP14" s="60"/>
      <c r="AQ14" s="60"/>
      <c r="AR14" s="60"/>
      <c r="AS14" s="60"/>
      <c r="AT14" s="60"/>
      <c r="AU14" s="60"/>
      <c r="AV14" s="60"/>
      <c r="AW14" s="60"/>
      <c r="AX14" s="60"/>
      <c r="AY14" s="60"/>
      <c r="AZ14" s="60"/>
      <c r="BA14" s="60"/>
      <c r="BB14" s="60"/>
      <c r="BC14" s="95"/>
      <c r="BD14" s="95"/>
      <c r="BE14" s="95"/>
      <c r="BF14" s="96"/>
      <c r="BG14" s="96"/>
      <c r="BH14" s="96"/>
      <c r="BI14" s="96"/>
      <c r="BJ14" s="96"/>
      <c r="BK14" s="96"/>
      <c r="BL14" s="96"/>
      <c r="BM14" s="96"/>
      <c r="BN14" s="96"/>
      <c r="BO14" s="96"/>
      <c r="BP14" s="96"/>
      <c r="BQ14" s="96"/>
      <c r="BR14" s="96"/>
      <c r="BS14" s="96"/>
      <c r="BT14" s="50"/>
      <c r="BU14" s="50"/>
      <c r="BV14" s="50"/>
      <c r="BW14" s="50"/>
      <c r="BX14" s="50"/>
      <c r="BY14" s="35"/>
      <c r="BZ14" s="55"/>
    </row>
    <row r="15" spans="1:88" ht="15" customHeight="1" x14ac:dyDescent="0.5">
      <c r="B15"/>
      <c r="C15"/>
      <c r="D15"/>
      <c r="E15"/>
      <c r="F15" s="50"/>
      <c r="G15" s="50"/>
      <c r="H15" s="105"/>
      <c r="I15" s="105"/>
      <c r="J15" s="105"/>
      <c r="K15" s="105"/>
      <c r="L15" s="105"/>
      <c r="M15" s="105"/>
      <c r="N15" s="56"/>
      <c r="O15" s="56"/>
      <c r="P15" s="145" t="s">
        <v>669</v>
      </c>
      <c r="Q15" s="145"/>
      <c r="R15" s="145"/>
      <c r="S15" s="145"/>
      <c r="T15" s="145"/>
      <c r="U15" s="145"/>
      <c r="V15" s="145"/>
      <c r="W15" s="145"/>
      <c r="X15" s="145"/>
      <c r="Y15" s="145"/>
      <c r="Z15" s="145"/>
      <c r="AA15" s="145"/>
      <c r="AB15" s="145"/>
      <c r="AC15" s="145"/>
      <c r="AD15"/>
      <c r="AE15"/>
      <c r="AF15"/>
      <c r="AG15"/>
      <c r="AH15"/>
      <c r="AI15" s="30"/>
      <c r="AJ15" s="59"/>
      <c r="AK15" s="59"/>
      <c r="AL15" s="59"/>
      <c r="AM15" s="60"/>
      <c r="AN15" s="60"/>
      <c r="AO15" s="60"/>
      <c r="AP15" s="60"/>
      <c r="AQ15" s="60"/>
      <c r="AR15" s="60"/>
      <c r="AS15" s="60"/>
      <c r="AT15" s="60"/>
      <c r="AU15" s="60"/>
      <c r="AV15" s="60"/>
      <c r="AW15" s="60"/>
      <c r="AX15" s="60"/>
      <c r="AY15" s="60"/>
      <c r="AZ15" s="60"/>
      <c r="BA15" s="60"/>
      <c r="BB15" s="60"/>
      <c r="BC15" s="95"/>
      <c r="BD15" s="95"/>
      <c r="BE15" s="95"/>
      <c r="BF15" s="96"/>
      <c r="BG15" s="96"/>
      <c r="BH15" s="96"/>
      <c r="BI15" s="96"/>
      <c r="BJ15" s="96"/>
      <c r="BK15" s="96"/>
      <c r="BL15" s="96"/>
      <c r="BM15" s="96"/>
      <c r="BN15" s="96"/>
      <c r="BO15" s="96"/>
      <c r="BP15" s="96"/>
      <c r="BQ15" s="96"/>
      <c r="BR15" s="96"/>
      <c r="BS15" s="96"/>
      <c r="BT15" s="50"/>
      <c r="BU15" s="50"/>
      <c r="BV15" s="50"/>
      <c r="BW15" s="50"/>
      <c r="BX15" s="50"/>
      <c r="BY15" s="24"/>
      <c r="BZ15" s="42"/>
      <c r="CA15" s="42"/>
      <c r="CB15" s="42"/>
      <c r="CC15" s="42"/>
      <c r="CD15" s="42"/>
      <c r="CE15" s="42"/>
      <c r="CF15" s="42"/>
      <c r="CG15" s="42"/>
      <c r="CH15" s="42"/>
      <c r="CI15" s="42"/>
      <c r="CJ15" s="24"/>
    </row>
    <row r="16" spans="1:88" ht="15" customHeight="1" x14ac:dyDescent="0.5">
      <c r="B16"/>
      <c r="C16"/>
      <c r="D16"/>
      <c r="E16"/>
      <c r="F16" s="50"/>
      <c r="G16" s="50"/>
      <c r="H16" s="105"/>
      <c r="I16" s="105"/>
      <c r="J16" s="105"/>
      <c r="K16" s="105"/>
      <c r="L16" s="105"/>
      <c r="M16" s="105"/>
      <c r="N16" s="56"/>
      <c r="O16" s="56"/>
      <c r="P16" s="145"/>
      <c r="Q16" s="145"/>
      <c r="R16" s="145"/>
      <c r="S16" s="145"/>
      <c r="T16" s="145"/>
      <c r="U16" s="145"/>
      <c r="V16" s="145"/>
      <c r="W16" s="145"/>
      <c r="X16" s="145"/>
      <c r="Y16" s="145"/>
      <c r="Z16" s="145"/>
      <c r="AA16" s="145"/>
      <c r="AB16" s="145"/>
      <c r="AC16" s="145"/>
      <c r="AD16"/>
      <c r="AE16"/>
      <c r="AF16"/>
      <c r="AG16"/>
      <c r="AH16"/>
      <c r="AI16" s="31"/>
      <c r="AJ16" s="59"/>
      <c r="AK16" s="59"/>
      <c r="AL16" s="59"/>
      <c r="AM16" s="60"/>
      <c r="AN16" s="60"/>
      <c r="AO16" s="60"/>
      <c r="AP16" s="60"/>
      <c r="AQ16" s="60"/>
      <c r="AR16" s="60"/>
      <c r="AS16" s="60"/>
      <c r="AT16" s="60"/>
      <c r="AU16" s="60"/>
      <c r="AV16" s="60"/>
      <c r="AW16" s="60"/>
      <c r="AX16" s="60"/>
      <c r="AY16" s="60"/>
      <c r="AZ16" s="60"/>
      <c r="BA16" s="60"/>
      <c r="BB16" s="60"/>
      <c r="BC16" s="95"/>
      <c r="BD16" s="95"/>
      <c r="BE16" s="95"/>
      <c r="BF16" s="97"/>
      <c r="BG16" s="97"/>
      <c r="BH16" s="97"/>
      <c r="BI16" s="97"/>
      <c r="BJ16" s="97"/>
      <c r="BK16" s="97"/>
      <c r="BL16" s="97"/>
      <c r="BM16" s="97"/>
      <c r="BN16" s="97"/>
      <c r="BO16" s="97"/>
      <c r="BP16" s="97"/>
      <c r="BQ16" s="97"/>
      <c r="BR16" s="97"/>
      <c r="BS16" s="97"/>
      <c r="BT16" s="50"/>
      <c r="BU16" s="50"/>
      <c r="BV16" s="50"/>
      <c r="BW16" s="50"/>
      <c r="BX16" s="50"/>
      <c r="BY16" s="24"/>
      <c r="BZ16" s="42"/>
      <c r="CA16" s="42"/>
      <c r="CB16" s="42"/>
      <c r="CC16" s="42"/>
      <c r="CD16" s="42"/>
      <c r="CE16" s="42"/>
      <c r="CF16" s="42"/>
      <c r="CG16" s="42"/>
      <c r="CH16" s="42"/>
      <c r="CI16" s="42"/>
      <c r="CJ16" s="24"/>
    </row>
    <row r="17" spans="1:88" ht="15" customHeight="1" x14ac:dyDescent="0.5">
      <c r="B17"/>
      <c r="C17"/>
      <c r="D17"/>
      <c r="E17"/>
      <c r="F17" s="50"/>
      <c r="G17" s="134" t="s">
        <v>514</v>
      </c>
      <c r="H17" s="134"/>
      <c r="I17" s="134"/>
      <c r="J17" s="134"/>
      <c r="K17" s="134"/>
      <c r="L17" s="134"/>
      <c r="M17" s="134"/>
      <c r="N17" s="56"/>
      <c r="O17" s="56"/>
      <c r="P17" s="64"/>
      <c r="Q17" s="65"/>
      <c r="R17" s="65"/>
      <c r="S17" s="65"/>
      <c r="T17" s="65"/>
      <c r="U17" s="65"/>
      <c r="V17" s="65"/>
      <c r="W17" s="65"/>
      <c r="X17" s="65"/>
      <c r="Y17" s="65"/>
      <c r="Z17" s="65"/>
      <c r="AA17" s="90"/>
      <c r="AB17" s="91"/>
      <c r="AC17" s="91"/>
      <c r="AD17" s="91"/>
      <c r="AE17" s="91"/>
      <c r="AF17" s="91"/>
      <c r="AG17" s="91"/>
      <c r="AH17" s="91"/>
      <c r="AI17" s="91"/>
      <c r="AJ17" s="91"/>
      <c r="AK17" s="91"/>
      <c r="AL17" s="64"/>
      <c r="AM17" s="65"/>
      <c r="AN17" s="65"/>
      <c r="AO17" s="65"/>
      <c r="AP17" s="65"/>
      <c r="AQ17" s="64"/>
      <c r="AR17" s="64"/>
      <c r="AS17" s="64"/>
      <c r="AT17" s="64"/>
      <c r="AU17" s="64"/>
      <c r="AV17" s="64"/>
      <c r="AW17" s="64"/>
      <c r="AX17" s="64"/>
      <c r="AY17" s="64"/>
      <c r="AZ17" s="64"/>
      <c r="BA17" s="64"/>
      <c r="BB17" s="32"/>
      <c r="BC17" s="95"/>
      <c r="BD17" s="95"/>
      <c r="BE17" s="95"/>
      <c r="BF17" s="97"/>
      <c r="BG17" s="97"/>
      <c r="BH17" s="97"/>
      <c r="BI17" s="97"/>
      <c r="BJ17" s="97"/>
      <c r="BK17" s="97"/>
      <c r="BL17" s="97"/>
      <c r="BM17" s="97"/>
      <c r="BN17" s="97"/>
      <c r="BO17" s="97"/>
      <c r="BP17" s="97"/>
      <c r="BQ17" s="97"/>
      <c r="BR17" s="97"/>
      <c r="BS17" s="97"/>
      <c r="BT17" s="50"/>
      <c r="BU17" s="50"/>
      <c r="BV17" s="50"/>
      <c r="BW17" s="50"/>
      <c r="BX17" s="50"/>
      <c r="BY17" s="34"/>
      <c r="BZ17" s="43"/>
      <c r="CA17" s="43"/>
      <c r="CB17" s="43"/>
      <c r="CC17" s="43"/>
      <c r="CD17" s="43"/>
      <c r="CE17" s="43"/>
      <c r="CF17" s="43"/>
      <c r="CG17" s="43"/>
      <c r="CH17" s="43"/>
      <c r="CI17" s="43"/>
      <c r="CJ17" s="34"/>
    </row>
    <row r="18" spans="1:88" ht="15" customHeight="1" x14ac:dyDescent="0.5">
      <c r="B18"/>
      <c r="C18"/>
      <c r="D18"/>
      <c r="E18"/>
      <c r="F18" s="50"/>
      <c r="G18" s="134"/>
      <c r="H18" s="134"/>
      <c r="I18" s="134"/>
      <c r="J18" s="134"/>
      <c r="K18" s="134"/>
      <c r="L18" s="134"/>
      <c r="M18" s="134"/>
      <c r="N18" s="56"/>
      <c r="O18" s="56"/>
      <c r="P18" s="65"/>
      <c r="Q18" s="65"/>
      <c r="R18" s="65"/>
      <c r="S18" s="65"/>
      <c r="T18" s="65"/>
      <c r="U18" s="65"/>
      <c r="V18" s="65"/>
      <c r="W18" s="65"/>
      <c r="X18" s="65"/>
      <c r="Y18" s="65"/>
      <c r="Z18" s="65"/>
      <c r="AA18" s="91"/>
      <c r="AB18" s="91"/>
      <c r="AC18" s="91"/>
      <c r="AD18" s="91"/>
      <c r="AE18" s="91"/>
      <c r="AF18" s="91"/>
      <c r="AG18" s="91"/>
      <c r="AH18" s="91"/>
      <c r="AI18" s="91"/>
      <c r="AJ18" s="91"/>
      <c r="AK18" s="91"/>
      <c r="AL18" s="65"/>
      <c r="AM18" s="65"/>
      <c r="AN18" s="65"/>
      <c r="AO18" s="65"/>
      <c r="AP18" s="65"/>
      <c r="AQ18" s="64"/>
      <c r="AR18" s="64"/>
      <c r="AS18" s="64"/>
      <c r="AT18" s="64"/>
      <c r="AU18" s="64"/>
      <c r="AV18" s="64"/>
      <c r="AW18" s="64"/>
      <c r="AX18" s="64"/>
      <c r="AY18" s="64"/>
      <c r="AZ18" s="64"/>
      <c r="BA18" s="64"/>
      <c r="BB18" s="32"/>
      <c r="BC18" s="95"/>
      <c r="BD18" s="95"/>
      <c r="BE18" s="95"/>
      <c r="BF18" s="98"/>
      <c r="BG18" s="98"/>
      <c r="BH18" s="98"/>
      <c r="BI18" s="98"/>
      <c r="BJ18" s="98"/>
      <c r="BK18" s="98"/>
      <c r="BL18" s="98"/>
      <c r="BM18" s="98"/>
      <c r="BN18" s="98"/>
      <c r="BO18" s="98"/>
      <c r="BP18" s="98"/>
      <c r="BQ18" s="98"/>
      <c r="BR18" s="98"/>
      <c r="BS18" s="98"/>
      <c r="BT18" s="50"/>
      <c r="BU18" s="50"/>
      <c r="BV18" s="50"/>
      <c r="BW18" s="50"/>
      <c r="BX18" s="50"/>
      <c r="BY18" s="32"/>
      <c r="BZ18" s="44"/>
      <c r="CA18" s="44"/>
      <c r="CB18" s="44"/>
      <c r="CC18" s="44"/>
      <c r="CD18" s="44"/>
      <c r="CE18" s="43"/>
      <c r="CF18" s="43"/>
      <c r="CG18" s="43"/>
      <c r="CH18" s="43"/>
      <c r="CI18" s="43"/>
      <c r="CJ18" s="34"/>
    </row>
    <row r="19" spans="1:88" ht="15" customHeight="1" x14ac:dyDescent="0.5">
      <c r="B19"/>
      <c r="C19"/>
      <c r="D19"/>
      <c r="E19"/>
      <c r="F19" s="50"/>
      <c r="G19" s="50"/>
      <c r="H19" s="50"/>
      <c r="I19" s="50"/>
      <c r="J19" s="50"/>
      <c r="K19" s="50"/>
      <c r="L19" s="50"/>
      <c r="M19" s="50"/>
      <c r="N19" s="56"/>
      <c r="O19" s="56"/>
      <c r="P19" s="56"/>
      <c r="Q19" s="56"/>
      <c r="R19" s="56"/>
      <c r="S19" s="56"/>
      <c r="T19" s="56"/>
      <c r="U19" s="56"/>
      <c r="V19" s="56"/>
      <c r="W19" s="56"/>
      <c r="X19" s="22"/>
      <c r="Y19" s="22"/>
      <c r="Z19" s="22"/>
      <c r="AA19" s="22"/>
      <c r="AB19" s="12"/>
      <c r="AC19" s="12"/>
      <c r="AD19"/>
      <c r="AE19"/>
      <c r="AF19"/>
      <c r="AG19"/>
      <c r="AH19" s="25"/>
      <c r="AI19" s="25"/>
      <c r="AJ19" s="30"/>
      <c r="AK19" s="30"/>
      <c r="AL19" s="30"/>
      <c r="AM19" s="32"/>
      <c r="AN19" s="32"/>
      <c r="AO19" s="32"/>
      <c r="AP19" s="32"/>
      <c r="AQ19" s="146" t="s">
        <v>657</v>
      </c>
      <c r="AR19" s="146"/>
      <c r="AS19" s="146"/>
      <c r="AT19" s="146"/>
      <c r="AU19" s="146"/>
      <c r="AV19" s="146"/>
      <c r="AW19" s="146"/>
      <c r="AX19" s="146"/>
      <c r="AY19" s="146"/>
      <c r="AZ19" s="146"/>
      <c r="BA19" s="146"/>
      <c r="BB19" s="146"/>
      <c r="BC19" s="146"/>
      <c r="BD19" s="146"/>
      <c r="BE19" s="95"/>
      <c r="BF19" s="98"/>
      <c r="BG19" s="98"/>
      <c r="BH19" s="98"/>
      <c r="BI19" s="98"/>
      <c r="BJ19" s="98"/>
      <c r="BK19" s="98"/>
      <c r="BL19" s="98"/>
      <c r="BM19" s="98"/>
      <c r="BN19" s="98"/>
      <c r="BO19" s="98"/>
      <c r="BP19" s="98"/>
      <c r="BQ19" s="98"/>
      <c r="BR19" s="98"/>
      <c r="BS19" s="98"/>
      <c r="BT19" s="50"/>
      <c r="BU19" s="50"/>
      <c r="BV19" s="50"/>
      <c r="BW19" s="50"/>
      <c r="BX19" s="50"/>
      <c r="BY19" s="32"/>
      <c r="BZ19" s="44"/>
      <c r="CA19" s="44"/>
      <c r="CB19" s="44"/>
      <c r="CC19" s="44"/>
      <c r="CD19" s="44"/>
      <c r="CE19" s="43"/>
      <c r="CF19" s="43"/>
      <c r="CG19" s="43"/>
      <c r="CH19" s="43"/>
      <c r="CI19" s="43"/>
      <c r="CJ19" s="34"/>
    </row>
    <row r="20" spans="1:88" ht="15" customHeight="1" x14ac:dyDescent="0.5">
      <c r="B20"/>
      <c r="C20"/>
      <c r="D20"/>
      <c r="E20"/>
      <c r="F20" s="50"/>
      <c r="G20" s="50"/>
      <c r="H20" s="50"/>
      <c r="I20" s="50"/>
      <c r="J20" s="50"/>
      <c r="K20" s="50"/>
      <c r="L20" s="50"/>
      <c r="M20" s="50"/>
      <c r="N20" s="56"/>
      <c r="O20" s="56"/>
      <c r="P20" s="56"/>
      <c r="Q20" s="56"/>
      <c r="R20" s="56"/>
      <c r="S20" s="56"/>
      <c r="T20" s="56"/>
      <c r="U20" s="56"/>
      <c r="V20" s="56"/>
      <c r="W20" s="56"/>
      <c r="X20" s="23"/>
      <c r="Y20" s="23"/>
      <c r="Z20" s="23"/>
      <c r="AA20" s="23"/>
      <c r="AB20"/>
      <c r="AC20"/>
      <c r="AD20" s="12"/>
      <c r="AE20" s="12"/>
      <c r="AF20" s="12"/>
      <c r="AG20" s="12"/>
      <c r="AH20" s="46"/>
      <c r="AI20" s="46"/>
      <c r="AJ20" s="48"/>
      <c r="AK20" s="48"/>
      <c r="AL20" s="48"/>
      <c r="AM20" s="49"/>
      <c r="AN20" s="49"/>
      <c r="AO20" s="49"/>
      <c r="AP20" s="49"/>
      <c r="AQ20" s="146"/>
      <c r="AR20" s="146"/>
      <c r="AS20" s="146"/>
      <c r="AT20" s="146"/>
      <c r="AU20" s="146"/>
      <c r="AV20" s="146"/>
      <c r="AW20" s="146"/>
      <c r="AX20" s="146"/>
      <c r="AY20" s="146"/>
      <c r="AZ20" s="146"/>
      <c r="BA20" s="146"/>
      <c r="BB20" s="146"/>
      <c r="BC20" s="146"/>
      <c r="BD20" s="146"/>
      <c r="BE20" s="95"/>
      <c r="BF20" s="96"/>
      <c r="BG20" s="96"/>
      <c r="BH20" s="96"/>
      <c r="BI20" s="96"/>
      <c r="BJ20" s="96"/>
      <c r="BK20" s="96"/>
      <c r="BL20" s="96"/>
      <c r="BM20" s="96"/>
      <c r="BN20" s="96"/>
      <c r="BO20" s="96"/>
      <c r="BP20" s="96"/>
      <c r="BQ20" s="96"/>
      <c r="BR20" s="96"/>
      <c r="BS20" s="96"/>
      <c r="BT20" s="50"/>
      <c r="BU20" s="50"/>
      <c r="BV20" s="50"/>
      <c r="BW20" s="50"/>
      <c r="BX20" s="50"/>
      <c r="BY20" s="32"/>
      <c r="BZ20" s="44"/>
      <c r="CA20" s="44"/>
      <c r="CB20" s="44"/>
      <c r="CC20" s="44"/>
      <c r="CD20" s="44"/>
      <c r="CE20" s="44"/>
      <c r="CF20" s="44"/>
      <c r="CG20" s="44"/>
      <c r="CH20" s="44"/>
      <c r="CI20" s="44"/>
      <c r="CJ20" s="32"/>
    </row>
    <row r="21" spans="1:88" ht="15" customHeight="1" x14ac:dyDescent="0.5">
      <c r="B21"/>
      <c r="C21"/>
      <c r="D21"/>
      <c r="E21"/>
      <c r="F21" s="50"/>
      <c r="G21" s="50"/>
      <c r="H21" s="105"/>
      <c r="I21" s="105"/>
      <c r="J21" s="105"/>
      <c r="K21" s="105"/>
      <c r="L21" s="105"/>
      <c r="M21" s="105"/>
      <c r="N21" s="56"/>
      <c r="O21" s="56"/>
      <c r="P21" s="143" t="s">
        <v>64</v>
      </c>
      <c r="Q21" s="143"/>
      <c r="R21" s="143"/>
      <c r="S21" s="143"/>
      <c r="T21" s="143"/>
      <c r="U21" s="143"/>
      <c r="V21" s="143"/>
      <c r="W21" s="143"/>
      <c r="X21" s="143"/>
      <c r="Y21" s="143"/>
      <c r="Z21" s="143"/>
      <c r="AA21" s="143"/>
      <c r="AB21" s="143"/>
      <c r="AC21" s="143"/>
      <c r="AD21" s="12"/>
      <c r="AE21" s="12"/>
      <c r="AF21" s="12"/>
      <c r="AG21" s="12"/>
      <c r="AH21" s="46"/>
      <c r="AI21" s="46"/>
      <c r="AJ21" s="48"/>
      <c r="AK21" s="48"/>
      <c r="AL21" s="48"/>
      <c r="AM21" s="49"/>
      <c r="AN21" s="49"/>
      <c r="AO21" s="49"/>
      <c r="AP21" s="49"/>
      <c r="AQ21" s="147" t="s">
        <v>56</v>
      </c>
      <c r="AR21" s="147"/>
      <c r="AS21" s="147"/>
      <c r="AT21" s="147"/>
      <c r="AU21" s="147"/>
      <c r="AV21" s="147"/>
      <c r="AW21" s="147"/>
      <c r="AX21" s="147"/>
      <c r="AY21" s="147"/>
      <c r="AZ21" s="147"/>
      <c r="BA21" s="147"/>
      <c r="BB21" s="147"/>
      <c r="BC21" s="147"/>
      <c r="BD21" s="147"/>
      <c r="BE21" s="95"/>
      <c r="BF21" s="96"/>
      <c r="BG21" s="96"/>
      <c r="BH21" s="96"/>
      <c r="BI21" s="96"/>
      <c r="BJ21" s="96"/>
      <c r="BK21" s="96"/>
      <c r="BL21" s="96"/>
      <c r="BM21" s="96"/>
      <c r="BN21" s="96"/>
      <c r="BO21" s="96"/>
      <c r="BP21" s="96"/>
      <c r="BQ21" s="96"/>
      <c r="BR21" s="96"/>
      <c r="BS21" s="96"/>
      <c r="BT21" s="50"/>
      <c r="BU21" s="50"/>
      <c r="BV21" s="50"/>
      <c r="BW21" s="50"/>
      <c r="BX21" s="50"/>
      <c r="BY21" s="33"/>
      <c r="BZ21" s="45"/>
      <c r="CA21" s="45"/>
      <c r="CB21" s="45"/>
      <c r="CC21" s="45"/>
      <c r="CD21" s="45"/>
      <c r="CE21" s="45"/>
      <c r="CF21" s="45"/>
      <c r="CG21" s="45"/>
      <c r="CH21" s="45"/>
      <c r="CI21" s="45"/>
      <c r="CJ21" s="33"/>
    </row>
    <row r="22" spans="1:88" ht="15" customHeight="1" x14ac:dyDescent="0.35">
      <c r="A22" s="6">
        <v>27</v>
      </c>
      <c r="B22"/>
      <c r="C22"/>
      <c r="D22"/>
      <c r="E22"/>
      <c r="F22" s="50"/>
      <c r="G22" s="50"/>
      <c r="H22" s="105"/>
      <c r="I22" s="105"/>
      <c r="J22" s="105"/>
      <c r="K22" s="105"/>
      <c r="L22" s="105"/>
      <c r="M22" s="105"/>
      <c r="N22" s="56"/>
      <c r="O22" s="56"/>
      <c r="P22" s="143"/>
      <c r="Q22" s="143"/>
      <c r="R22" s="143"/>
      <c r="S22" s="143"/>
      <c r="T22" s="143"/>
      <c r="U22" s="143"/>
      <c r="V22" s="143"/>
      <c r="W22" s="143"/>
      <c r="X22" s="143"/>
      <c r="Y22" s="143"/>
      <c r="Z22" s="143"/>
      <c r="AA22" s="143"/>
      <c r="AB22" s="143"/>
      <c r="AC22" s="143"/>
      <c r="AD22"/>
      <c r="AE22"/>
      <c r="AF22"/>
      <c r="AG22"/>
      <c r="AH22" s="46"/>
      <c r="AI22" s="46"/>
      <c r="AJ22" s="48"/>
      <c r="AK22" s="48"/>
      <c r="AL22" s="48"/>
      <c r="AM22" s="49"/>
      <c r="AN22" s="49"/>
      <c r="AO22" s="49"/>
      <c r="AP22" s="49"/>
      <c r="AQ22" s="147"/>
      <c r="AR22" s="147"/>
      <c r="AS22" s="147"/>
      <c r="AT22" s="147"/>
      <c r="AU22" s="147"/>
      <c r="AV22" s="147"/>
      <c r="AW22" s="147"/>
      <c r="AX22" s="147"/>
      <c r="AY22" s="147"/>
      <c r="AZ22" s="147"/>
      <c r="BA22" s="147"/>
      <c r="BB22" s="147"/>
      <c r="BC22" s="147"/>
      <c r="BD22" s="147"/>
      <c r="BE22" s="98"/>
      <c r="BF22" s="96"/>
      <c r="BG22" s="96"/>
      <c r="BH22" s="96"/>
      <c r="BI22" s="96"/>
      <c r="BJ22" s="96"/>
      <c r="BK22" s="96"/>
      <c r="BL22" s="96"/>
      <c r="BM22" s="96"/>
      <c r="BN22" s="96"/>
      <c r="BO22" s="96"/>
      <c r="BP22" s="96"/>
      <c r="BQ22" s="96"/>
      <c r="BR22" s="96"/>
      <c r="BS22" s="96"/>
      <c r="BT22" s="33"/>
      <c r="BU22" s="90"/>
      <c r="BV22" s="91"/>
      <c r="BW22" s="91"/>
      <c r="BX22" s="91"/>
      <c r="BY22" s="91"/>
      <c r="BZ22" s="45"/>
      <c r="CA22" s="45"/>
      <c r="CB22" s="45"/>
      <c r="CC22" s="45"/>
      <c r="CD22" s="45"/>
      <c r="CE22" s="45"/>
      <c r="CF22" s="45"/>
      <c r="CG22" s="45"/>
      <c r="CH22" s="45"/>
      <c r="CI22" s="45"/>
      <c r="CJ22" s="33"/>
    </row>
    <row r="23" spans="1:88" ht="15" customHeight="1" x14ac:dyDescent="0.35">
      <c r="A23" s="6">
        <v>28</v>
      </c>
      <c r="B23"/>
      <c r="C23"/>
      <c r="D23"/>
      <c r="E23"/>
      <c r="F23" s="50"/>
      <c r="G23" s="134" t="s">
        <v>658</v>
      </c>
      <c r="H23" s="134"/>
      <c r="I23" s="134"/>
      <c r="J23" s="134"/>
      <c r="K23" s="134"/>
      <c r="L23" s="134"/>
      <c r="M23" s="134"/>
      <c r="N23" s="56"/>
      <c r="O23" s="56"/>
      <c r="P23" s="100"/>
      <c r="Q23" s="101"/>
      <c r="R23" s="101"/>
      <c r="S23" s="101"/>
      <c r="T23" s="101"/>
      <c r="U23" s="101"/>
      <c r="V23" s="101"/>
      <c r="W23" s="101"/>
      <c r="X23" s="101"/>
      <c r="Y23" s="101"/>
      <c r="Z23" s="101"/>
      <c r="AA23" s="23"/>
      <c r="AB23"/>
      <c r="AC23"/>
      <c r="AD23" s="102"/>
      <c r="AE23" s="103"/>
      <c r="AF23" s="103"/>
      <c r="AG23" s="103"/>
      <c r="AH23" s="103"/>
      <c r="AI23" s="103"/>
      <c r="AJ23" s="103"/>
      <c r="AK23" s="103"/>
      <c r="AL23" s="103"/>
      <c r="AM23" s="103"/>
      <c r="AN23" s="103"/>
      <c r="AO23" s="58"/>
      <c r="AP23" s="58"/>
      <c r="AQ23" s="90"/>
      <c r="AR23" s="91"/>
      <c r="AS23" s="91"/>
      <c r="AT23" s="91"/>
      <c r="AU23" s="91"/>
      <c r="AV23" s="91"/>
      <c r="AW23" s="91"/>
      <c r="AX23" s="91"/>
      <c r="AY23" s="91"/>
      <c r="AZ23" s="91"/>
      <c r="BA23" s="91"/>
      <c r="BB23" s="58"/>
      <c r="BC23" s="99"/>
      <c r="BD23" s="99"/>
      <c r="BE23" s="99"/>
      <c r="BF23" s="96"/>
      <c r="BG23" s="96"/>
      <c r="BH23" s="96"/>
      <c r="BI23" s="96"/>
      <c r="BJ23" s="96"/>
      <c r="BK23" s="96"/>
      <c r="BL23" s="96"/>
      <c r="BM23" s="96"/>
      <c r="BN23" s="96"/>
      <c r="BO23" s="96"/>
      <c r="BP23" s="96"/>
      <c r="BQ23" s="96"/>
      <c r="BR23" s="96"/>
      <c r="BS23" s="96"/>
      <c r="BT23" s="33"/>
      <c r="BU23" s="91"/>
      <c r="BV23" s="91"/>
      <c r="BW23" s="91"/>
      <c r="BX23" s="91"/>
      <c r="BY23" s="91"/>
      <c r="BZ23" s="45"/>
      <c r="CA23" s="45"/>
      <c r="CB23" s="45"/>
      <c r="CC23" s="45"/>
      <c r="CD23" s="45"/>
      <c r="CE23" s="45"/>
      <c r="CF23" s="45"/>
      <c r="CG23" s="45"/>
      <c r="CH23" s="45"/>
      <c r="CI23" s="45"/>
      <c r="CJ23" s="33"/>
    </row>
    <row r="24" spans="1:88" ht="15" customHeight="1" x14ac:dyDescent="0.5">
      <c r="A24" s="6">
        <v>29</v>
      </c>
      <c r="B24"/>
      <c r="C24"/>
      <c r="D24"/>
      <c r="E24"/>
      <c r="F24" s="50"/>
      <c r="G24" s="134"/>
      <c r="H24" s="134"/>
      <c r="I24" s="134"/>
      <c r="J24" s="134"/>
      <c r="K24" s="134"/>
      <c r="L24" s="134"/>
      <c r="M24" s="134"/>
      <c r="N24"/>
      <c r="O24"/>
      <c r="P24" s="101"/>
      <c r="Q24" s="101"/>
      <c r="R24" s="101"/>
      <c r="S24" s="101"/>
      <c r="T24" s="101"/>
      <c r="U24" s="101"/>
      <c r="V24" s="101"/>
      <c r="W24" s="101"/>
      <c r="X24" s="101"/>
      <c r="Y24" s="101"/>
      <c r="Z24" s="101"/>
      <c r="AA24"/>
      <c r="AB24"/>
      <c r="AC24"/>
      <c r="AD24" s="103"/>
      <c r="AE24" s="103"/>
      <c r="AF24" s="103"/>
      <c r="AG24" s="103"/>
      <c r="AH24" s="103"/>
      <c r="AI24" s="103"/>
      <c r="AJ24" s="103"/>
      <c r="AK24" s="103"/>
      <c r="AL24" s="103"/>
      <c r="AM24" s="103"/>
      <c r="AN24" s="103"/>
      <c r="AO24" s="58"/>
      <c r="AP24" s="58"/>
      <c r="AQ24" s="91"/>
      <c r="AR24" s="91"/>
      <c r="AS24" s="91"/>
      <c r="AT24" s="91"/>
      <c r="AU24" s="91"/>
      <c r="AV24" s="91"/>
      <c r="AW24" s="91"/>
      <c r="AX24" s="91"/>
      <c r="AY24" s="91"/>
      <c r="AZ24" s="91"/>
      <c r="BA24" s="91"/>
      <c r="BB24" s="58"/>
      <c r="BC24" s="99"/>
      <c r="BD24" s="99"/>
      <c r="BE24" s="99"/>
      <c r="BF24" s="99"/>
      <c r="BG24" s="95"/>
      <c r="BH24" s="95"/>
      <c r="BI24" s="98"/>
      <c r="BJ24" s="98"/>
      <c r="BK24" s="98"/>
      <c r="BL24" s="98"/>
      <c r="BM24" s="98"/>
      <c r="BN24" s="98"/>
      <c r="BO24" s="98"/>
      <c r="BP24" s="98"/>
      <c r="BQ24" s="98"/>
      <c r="BR24" s="49"/>
      <c r="BS24" s="49"/>
      <c r="BT24" s="49"/>
      <c r="BU24" s="49"/>
      <c r="BV24" s="49"/>
      <c r="BW24" s="49"/>
      <c r="BX24" s="49"/>
      <c r="BY24" s="49"/>
      <c r="BZ24" s="45"/>
      <c r="CA24" s="45"/>
      <c r="CB24" s="45"/>
      <c r="CC24" s="45"/>
      <c r="CD24" s="45"/>
      <c r="CE24" s="45"/>
      <c r="CF24" s="45"/>
      <c r="CG24" s="45"/>
      <c r="CH24" s="45"/>
      <c r="CI24" s="45"/>
      <c r="CJ24" s="33"/>
    </row>
    <row r="25" spans="1:88" ht="15" customHeight="1" x14ac:dyDescent="0.35">
      <c r="A25" s="6">
        <v>30</v>
      </c>
      <c r="B25"/>
      <c r="C25"/>
      <c r="D25"/>
      <c r="E25"/>
      <c r="F25" s="50"/>
      <c r="G25" s="50"/>
      <c r="H25" s="50"/>
      <c r="I25" s="50"/>
      <c r="J25" s="50"/>
      <c r="K25" s="50"/>
      <c r="L25" s="50"/>
      <c r="M25" s="50"/>
      <c r="N25"/>
      <c r="O25"/>
      <c r="P25"/>
      <c r="Q25"/>
      <c r="R25"/>
      <c r="S25"/>
      <c r="T25"/>
      <c r="U25"/>
      <c r="V25"/>
      <c r="W25"/>
      <c r="X25"/>
      <c r="Y25"/>
      <c r="Z25"/>
      <c r="AA25"/>
      <c r="AB25"/>
      <c r="AC25"/>
      <c r="AD25"/>
      <c r="AE25"/>
      <c r="AF25"/>
      <c r="AG25" s="26"/>
      <c r="AH25" s="57"/>
      <c r="AI25" s="57"/>
      <c r="AJ25" s="57"/>
      <c r="AK25" s="58"/>
      <c r="AL25" s="58"/>
      <c r="AM25" s="58"/>
      <c r="AN25" s="58"/>
      <c r="AO25" s="58"/>
      <c r="AP25" s="58"/>
      <c r="AQ25" s="58"/>
      <c r="AR25" s="58"/>
      <c r="AS25" s="58"/>
      <c r="AT25" s="58"/>
      <c r="AU25" s="58"/>
      <c r="AV25" s="58"/>
      <c r="AW25" s="141" t="s">
        <v>145</v>
      </c>
      <c r="AX25" s="142"/>
      <c r="AY25" s="142"/>
      <c r="AZ25" s="142"/>
      <c r="BA25" s="142"/>
      <c r="BB25" s="142"/>
      <c r="BC25" s="142"/>
      <c r="BD25" s="142"/>
      <c r="BE25" s="142"/>
      <c r="BF25" s="142"/>
      <c r="BG25" s="142"/>
      <c r="BH25" s="50"/>
      <c r="BI25" s="51"/>
      <c r="BJ25" s="50"/>
      <c r="BK25" s="50"/>
      <c r="BL25" s="50"/>
      <c r="BM25" s="50"/>
      <c r="BN25" s="50"/>
      <c r="BO25" s="50"/>
      <c r="BP25" s="50"/>
      <c r="BQ25" s="50"/>
      <c r="BR25" s="50"/>
      <c r="BS25" s="50"/>
      <c r="BT25" s="50"/>
      <c r="BU25" s="50"/>
      <c r="BV25" s="50"/>
      <c r="BW25" s="50"/>
      <c r="BX25" s="50"/>
      <c r="BY25" s="50"/>
      <c r="CA25" s="42"/>
      <c r="CB25" s="42"/>
      <c r="CC25" s="42"/>
      <c r="CD25" s="45"/>
      <c r="CE25" s="45"/>
      <c r="CF25" s="45"/>
      <c r="CG25" s="45"/>
      <c r="CH25" s="45"/>
      <c r="CI25" s="45"/>
      <c r="CJ25" s="33"/>
    </row>
    <row r="26" spans="1:88" ht="15" customHeight="1" x14ac:dyDescent="0.35">
      <c r="A26" s="6">
        <v>31</v>
      </c>
      <c r="B26"/>
      <c r="C26"/>
      <c r="D26"/>
      <c r="E26"/>
      <c r="F26" s="50"/>
      <c r="G26" s="50"/>
      <c r="H26" s="50"/>
      <c r="I26" s="50"/>
      <c r="J26" s="50"/>
      <c r="K26" s="50"/>
      <c r="L26" s="50"/>
      <c r="M26" s="50"/>
      <c r="N26"/>
      <c r="O26"/>
      <c r="P26"/>
      <c r="Q26"/>
      <c r="R26"/>
      <c r="S26"/>
      <c r="T26"/>
      <c r="U26"/>
      <c r="V26"/>
      <c r="W26"/>
      <c r="X26"/>
      <c r="Y26"/>
      <c r="Z26"/>
      <c r="AA26"/>
      <c r="AB26"/>
      <c r="AC26"/>
      <c r="AD26"/>
      <c r="AE26" s="25"/>
      <c r="AF26" s="25"/>
      <c r="AG26" s="25"/>
      <c r="AH26" s="51"/>
      <c r="AI26" s="51"/>
      <c r="AJ26" s="51"/>
      <c r="AK26" s="51"/>
      <c r="AL26" s="51"/>
      <c r="AM26" s="51"/>
      <c r="AN26" s="51"/>
      <c r="AO26" s="51"/>
      <c r="AP26" s="51"/>
      <c r="AQ26" s="51"/>
      <c r="AR26" s="51"/>
      <c r="AS26" s="51"/>
      <c r="AT26" s="51"/>
      <c r="AU26" s="51"/>
      <c r="AV26" s="51"/>
      <c r="AW26" s="142"/>
      <c r="AX26" s="142"/>
      <c r="AY26" s="142"/>
      <c r="AZ26" s="142"/>
      <c r="BA26" s="142"/>
      <c r="BB26" s="142"/>
      <c r="BC26" s="142"/>
      <c r="BD26" s="142"/>
      <c r="BE26" s="142"/>
      <c r="BF26" s="142"/>
      <c r="BG26" s="142"/>
      <c r="BH26" s="50"/>
      <c r="BI26" s="51"/>
      <c r="BJ26" s="50"/>
      <c r="BK26" s="50"/>
      <c r="BL26" s="50"/>
      <c r="BM26" s="50"/>
      <c r="BN26" s="50"/>
      <c r="BO26" s="50"/>
      <c r="BP26" s="50"/>
      <c r="BQ26" s="50"/>
      <c r="BR26" s="50"/>
      <c r="BS26" s="50"/>
      <c r="BT26" s="50"/>
      <c r="BU26" s="50"/>
      <c r="BV26" s="50"/>
      <c r="BW26" s="50"/>
      <c r="BX26" s="50"/>
      <c r="BY26" s="50"/>
      <c r="CA26" s="42"/>
      <c r="CB26" s="42"/>
      <c r="CC26" s="42"/>
      <c r="CD26" s="42"/>
      <c r="CE26" s="42"/>
      <c r="CF26" s="42"/>
      <c r="CG26" s="42"/>
      <c r="CH26" s="42"/>
      <c r="CI26" s="42"/>
      <c r="CJ26" s="24"/>
    </row>
    <row r="27" spans="1:88" ht="15" customHeight="1" thickBot="1" x14ac:dyDescent="0.4">
      <c r="A27" s="6">
        <v>32</v>
      </c>
      <c r="B27" s="50"/>
      <c r="C27" s="50"/>
      <c r="D27"/>
      <c r="E27"/>
      <c r="F27"/>
      <c r="G27"/>
      <c r="H27"/>
      <c r="I27"/>
      <c r="J27"/>
      <c r="K27"/>
      <c r="L27"/>
      <c r="M27"/>
      <c r="N27"/>
      <c r="O27"/>
      <c r="P27"/>
      <c r="Q27"/>
      <c r="R27"/>
      <c r="S27"/>
      <c r="T27"/>
      <c r="U27"/>
      <c r="V27"/>
      <c r="W27"/>
      <c r="X27"/>
      <c r="Y27"/>
      <c r="Z27"/>
      <c r="AA27"/>
      <c r="AB27"/>
      <c r="AC27"/>
      <c r="AD27"/>
      <c r="AE27" s="25"/>
      <c r="AF27" s="25"/>
      <c r="AG27" s="25"/>
      <c r="AH27" s="51"/>
      <c r="AI27" s="51"/>
      <c r="AJ27" s="51"/>
      <c r="AK27" s="51"/>
      <c r="AL27" s="51"/>
      <c r="AM27" s="51"/>
      <c r="AN27" s="51"/>
      <c r="AO27" s="51"/>
      <c r="AP27" s="51"/>
      <c r="AQ27" s="51"/>
      <c r="AR27" s="51"/>
      <c r="AS27" s="51"/>
      <c r="AT27" s="51"/>
      <c r="AU27" s="51"/>
      <c r="AV27" s="51"/>
      <c r="AW27" s="51"/>
      <c r="AX27" s="51"/>
      <c r="AY27" s="51"/>
      <c r="AZ27" s="51"/>
      <c r="BA27" s="51"/>
      <c r="BB27" s="51"/>
      <c r="BC27" s="51"/>
      <c r="BD27" s="50"/>
      <c r="BE27" s="50"/>
      <c r="BF27" s="50"/>
      <c r="BG27" s="50"/>
      <c r="BH27" s="50"/>
      <c r="BI27" s="52"/>
      <c r="BJ27" s="50"/>
      <c r="BK27" s="50"/>
      <c r="BL27" s="50"/>
      <c r="BM27" s="50"/>
      <c r="BN27" s="50"/>
      <c r="BO27" s="50"/>
      <c r="BP27" s="50"/>
      <c r="BQ27" s="50"/>
      <c r="BR27" s="50"/>
      <c r="BS27" s="50"/>
      <c r="BT27" s="50"/>
      <c r="BU27" s="50"/>
      <c r="BV27" s="50"/>
      <c r="BW27" s="50"/>
      <c r="BX27" s="50"/>
      <c r="BY27" s="50"/>
    </row>
    <row r="28" spans="1:88" ht="15" customHeight="1" x14ac:dyDescent="0.35">
      <c r="A28" s="6">
        <v>33</v>
      </c>
      <c r="B28" s="50"/>
      <c r="C28" s="50"/>
      <c r="D28"/>
      <c r="E28"/>
      <c r="F28"/>
      <c r="G28" s="135" t="str">
        <f>VLOOKUP($H$44,$B$43:$C$46,2,FALSE)</f>
        <v>Amara</v>
      </c>
      <c r="H28" s="136"/>
      <c r="I28" s="136"/>
      <c r="J28" s="136"/>
      <c r="K28" s="136"/>
      <c r="L28" s="136"/>
      <c r="M28" s="136"/>
      <c r="N28" s="136"/>
      <c r="O28" s="139" t="str">
        <f ca="1">"Colocation: "&amp;'Bar Completion Operator'!B15&amp;" Sites"</f>
        <v>Colocation: 10 Sites</v>
      </c>
      <c r="P28" s="139"/>
      <c r="Q28" s="139"/>
      <c r="R28" s="139"/>
      <c r="S28" s="139"/>
      <c r="T28" s="139"/>
      <c r="U28" s="139"/>
      <c r="V28" s="139"/>
      <c r="W28" s="139"/>
      <c r="X28" s="139"/>
      <c r="Y28" s="139"/>
      <c r="Z28" s="139"/>
      <c r="AA28" s="139"/>
      <c r="AB28" s="139"/>
      <c r="AC28" s="139"/>
      <c r="AD28" s="139"/>
      <c r="AE28" s="139"/>
      <c r="AF28" s="139"/>
      <c r="AG28" s="139"/>
      <c r="AH28" s="139"/>
      <c r="AI28" s="139"/>
      <c r="AJ28" s="139"/>
      <c r="AK28" s="139"/>
      <c r="AL28" s="139"/>
      <c r="AM28" s="139"/>
      <c r="AN28" s="139"/>
      <c r="AO28" s="139"/>
      <c r="AP28" s="139"/>
      <c r="AQ28" s="70"/>
      <c r="AR28" s="70"/>
      <c r="AS28" s="70"/>
      <c r="AT28" s="70"/>
      <c r="AU28" s="70"/>
      <c r="AV28" s="70"/>
      <c r="AW28" s="70"/>
      <c r="AX28" s="70"/>
      <c r="AY28" s="70"/>
      <c r="AZ28" s="70"/>
      <c r="BA28" s="70"/>
      <c r="BB28" s="71"/>
      <c r="BC28" s="51"/>
      <c r="BD28" s="50"/>
      <c r="BE28" s="50"/>
      <c r="BF28" s="50"/>
      <c r="BG28" s="50"/>
      <c r="BH28" s="50"/>
      <c r="BI28" s="52"/>
      <c r="BJ28" s="50"/>
      <c r="BK28" s="50"/>
      <c r="BL28" s="50"/>
      <c r="BM28" s="50"/>
      <c r="BN28" s="50"/>
      <c r="BO28" s="50"/>
      <c r="BP28" s="50"/>
      <c r="BQ28" s="50"/>
      <c r="BR28" s="50"/>
      <c r="BS28" s="50"/>
      <c r="BT28" s="50"/>
      <c r="BU28" s="50"/>
      <c r="BV28" s="50"/>
      <c r="BW28" s="50"/>
      <c r="BX28" s="50"/>
      <c r="BY28" s="50"/>
    </row>
    <row r="29" spans="1:88" ht="15" customHeight="1" x14ac:dyDescent="0.35">
      <c r="A29" s="6">
        <v>34</v>
      </c>
      <c r="B29" s="50"/>
      <c r="C29" s="50"/>
      <c r="D29"/>
      <c r="E29"/>
      <c r="F29"/>
      <c r="G29" s="137"/>
      <c r="H29" s="138"/>
      <c r="I29" s="138"/>
      <c r="J29" s="138"/>
      <c r="K29" s="138"/>
      <c r="L29" s="138"/>
      <c r="M29" s="138"/>
      <c r="N29" s="138"/>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74"/>
      <c r="AR29" s="74"/>
      <c r="AS29" s="74"/>
      <c r="AT29" s="74"/>
      <c r="AU29" s="74"/>
      <c r="AV29" s="74"/>
      <c r="AW29" s="74"/>
      <c r="AX29" s="74"/>
      <c r="AY29" s="74"/>
      <c r="AZ29" s="74"/>
      <c r="BA29" s="74"/>
      <c r="BB29" s="75"/>
      <c r="BC29" s="50"/>
      <c r="BD29" s="50"/>
      <c r="BE29" s="50"/>
      <c r="BF29" s="50"/>
      <c r="BG29" s="50"/>
      <c r="BH29" s="50"/>
      <c r="BI29" s="50"/>
      <c r="BJ29" s="50"/>
      <c r="BK29" s="50"/>
      <c r="BL29" s="50"/>
      <c r="BM29" s="50"/>
      <c r="BN29" s="50"/>
      <c r="BO29" s="50"/>
      <c r="BP29" s="50"/>
      <c r="BQ29" s="50"/>
      <c r="BR29" s="50"/>
      <c r="BS29" s="50"/>
      <c r="BT29" s="50"/>
      <c r="BU29" s="50"/>
      <c r="BV29" s="50"/>
      <c r="BW29" s="50"/>
      <c r="BX29" s="50"/>
      <c r="BY29" s="50"/>
    </row>
    <row r="30" spans="1:88" ht="15" customHeight="1" x14ac:dyDescent="0.35">
      <c r="A30" s="6">
        <v>35</v>
      </c>
      <c r="B30" s="50"/>
      <c r="C30" s="50"/>
      <c r="D30"/>
      <c r="E30"/>
      <c r="F30"/>
      <c r="G30" s="72"/>
      <c r="H30" s="73"/>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c r="AH30" s="73"/>
      <c r="AI30" s="73"/>
      <c r="AJ30" s="73"/>
      <c r="AK30" s="73"/>
      <c r="AL30" s="73"/>
      <c r="AM30" s="73"/>
      <c r="AN30" s="73"/>
      <c r="AO30" s="73"/>
      <c r="AP30" s="73"/>
      <c r="AQ30" s="76"/>
      <c r="AR30" s="73"/>
      <c r="AS30" s="76"/>
      <c r="AT30" s="73"/>
      <c r="AU30" s="73"/>
      <c r="AV30" s="73"/>
      <c r="AW30" s="73"/>
      <c r="AX30" s="73"/>
      <c r="AY30" s="73"/>
      <c r="AZ30" s="73"/>
      <c r="BA30" s="73"/>
      <c r="BB30" s="77"/>
      <c r="BC30"/>
      <c r="BD30"/>
      <c r="BE30"/>
      <c r="BF30"/>
      <c r="BG30"/>
      <c r="BH30"/>
      <c r="BI30" s="50"/>
      <c r="BJ30" s="50"/>
      <c r="BK30" s="50"/>
      <c r="BL30" s="50"/>
      <c r="BM30" s="50"/>
      <c r="BN30" s="50"/>
      <c r="BO30" s="50"/>
      <c r="BP30" s="50"/>
      <c r="BQ30" s="50"/>
      <c r="BR30" s="50"/>
      <c r="BS30" s="50"/>
      <c r="BT30" s="50"/>
      <c r="BU30" s="50"/>
      <c r="BV30" s="50"/>
      <c r="BW30" s="50"/>
      <c r="BX30" s="50"/>
      <c r="BY30"/>
    </row>
    <row r="31" spans="1:88" ht="15" customHeight="1" x14ac:dyDescent="0.35">
      <c r="B31" s="50"/>
      <c r="C31" s="50"/>
      <c r="D31"/>
      <c r="E31"/>
      <c r="F31"/>
      <c r="G31" s="72"/>
      <c r="H31" s="129" t="s">
        <v>527</v>
      </c>
      <c r="I31" s="129"/>
      <c r="J31" s="129"/>
      <c r="K31" s="129"/>
      <c r="L31" s="129"/>
      <c r="M31" s="129"/>
      <c r="N31" s="129"/>
      <c r="O31" s="73"/>
      <c r="P31" s="76"/>
      <c r="Q31" s="73"/>
      <c r="R31" s="73"/>
      <c r="S31" s="73"/>
      <c r="T31" s="73"/>
      <c r="U31" s="73"/>
      <c r="V31" s="73"/>
      <c r="W31" s="73"/>
      <c r="X31" s="73"/>
      <c r="Y31" s="73"/>
      <c r="Z31" s="73"/>
      <c r="AA31" s="73"/>
      <c r="AB31" s="73"/>
      <c r="AC31" s="73"/>
      <c r="AD31" s="73"/>
      <c r="AE31" s="73"/>
      <c r="AF31" s="73"/>
      <c r="AG31" s="73"/>
      <c r="AH31" s="73"/>
      <c r="AI31" s="73"/>
      <c r="AJ31" s="73"/>
      <c r="AK31" s="73"/>
      <c r="AL31" s="73"/>
      <c r="AM31" s="73"/>
      <c r="AN31" s="73"/>
      <c r="AO31" s="73"/>
      <c r="AP31" s="73"/>
      <c r="AQ31" s="76"/>
      <c r="AR31" s="73"/>
      <c r="AS31" s="76"/>
      <c r="AT31" s="73"/>
      <c r="AU31" s="73"/>
      <c r="AV31" s="73"/>
      <c r="AW31" s="73"/>
      <c r="AX31" s="73"/>
      <c r="AY31" s="73"/>
      <c r="AZ31" s="73"/>
      <c r="BA31" s="73"/>
      <c r="BB31" s="77"/>
      <c r="BC31"/>
      <c r="BD31"/>
      <c r="BE31"/>
      <c r="BF31"/>
      <c r="BG31"/>
      <c r="BH31"/>
      <c r="BI31" s="50"/>
      <c r="BJ31" s="50"/>
      <c r="BK31" s="50"/>
      <c r="BL31" s="50"/>
      <c r="BM31" s="50"/>
      <c r="BN31" s="50"/>
      <c r="BO31" s="50"/>
      <c r="BP31" s="50"/>
      <c r="BQ31" s="50"/>
      <c r="BR31" s="50"/>
      <c r="BS31" s="50"/>
      <c r="BT31" s="50"/>
      <c r="BU31" s="50"/>
      <c r="BV31" s="50"/>
      <c r="BW31" s="50"/>
      <c r="BX31" s="50"/>
      <c r="BY31"/>
    </row>
    <row r="32" spans="1:88" ht="15" customHeight="1" x14ac:dyDescent="0.35">
      <c r="B32" s="50"/>
      <c r="C32" s="50"/>
      <c r="D32"/>
      <c r="E32"/>
      <c r="F32"/>
      <c r="G32" s="72"/>
      <c r="H32" s="129"/>
      <c r="I32" s="129"/>
      <c r="J32" s="129"/>
      <c r="K32" s="129"/>
      <c r="L32" s="129"/>
      <c r="M32" s="129"/>
      <c r="N32" s="129"/>
      <c r="O32" s="73"/>
      <c r="P32" s="76"/>
      <c r="Q32" s="73"/>
      <c r="R32" s="73"/>
      <c r="S32" s="73"/>
      <c r="T32" s="73"/>
      <c r="U32" s="73"/>
      <c r="V32" s="73"/>
      <c r="W32" s="73"/>
      <c r="X32" s="73"/>
      <c r="Y32" s="73"/>
      <c r="Z32" s="73"/>
      <c r="AA32" s="73"/>
      <c r="AB32" s="73"/>
      <c r="AC32" s="73"/>
      <c r="AD32" s="73"/>
      <c r="AE32" s="73"/>
      <c r="AF32" s="73"/>
      <c r="AG32" s="73"/>
      <c r="AH32" s="73"/>
      <c r="AI32" s="73"/>
      <c r="AJ32" s="73"/>
      <c r="AK32" s="73"/>
      <c r="AL32" s="73"/>
      <c r="AM32" s="73"/>
      <c r="AN32" s="73"/>
      <c r="AO32" s="73"/>
      <c r="AP32" s="73"/>
      <c r="AQ32" s="76"/>
      <c r="AR32" s="73"/>
      <c r="AS32" s="76"/>
      <c r="AT32" s="73"/>
      <c r="AU32" s="73"/>
      <c r="AV32" s="73"/>
      <c r="AW32" s="73"/>
      <c r="AX32" s="73"/>
      <c r="AY32" s="73"/>
      <c r="AZ32" s="73"/>
      <c r="BA32" s="73"/>
      <c r="BB32" s="77"/>
      <c r="BC32"/>
      <c r="BD32"/>
      <c r="BE32"/>
      <c r="BF32"/>
      <c r="BG32"/>
      <c r="BH32"/>
      <c r="BI32" s="50"/>
      <c r="BJ32" s="50"/>
      <c r="BK32" s="50"/>
      <c r="BL32" s="50"/>
      <c r="BM32" s="50"/>
      <c r="BN32" s="50"/>
      <c r="BO32" s="50"/>
      <c r="BP32" s="50"/>
      <c r="BQ32" s="50"/>
      <c r="BR32" s="50"/>
      <c r="BS32" s="50"/>
      <c r="BT32" s="50"/>
      <c r="BU32" s="50"/>
      <c r="BV32" s="50"/>
      <c r="BW32" s="50"/>
      <c r="BX32" s="50"/>
      <c r="BY32"/>
    </row>
    <row r="33" spans="1:77" ht="15" customHeight="1" x14ac:dyDescent="0.35">
      <c r="B33"/>
      <c r="C33"/>
      <c r="D33"/>
      <c r="E33"/>
      <c r="F33"/>
      <c r="G33" s="72"/>
      <c r="H33" s="129"/>
      <c r="I33" s="129"/>
      <c r="J33" s="129"/>
      <c r="K33" s="129"/>
      <c r="L33" s="129"/>
      <c r="M33" s="129"/>
      <c r="N33" s="129"/>
      <c r="O33" s="73"/>
      <c r="P33" s="76"/>
      <c r="Q33" s="73"/>
      <c r="R33" s="73"/>
      <c r="S33" s="73"/>
      <c r="T33" s="73"/>
      <c r="U33" s="73"/>
      <c r="V33" s="73"/>
      <c r="W33" s="73"/>
      <c r="X33" s="73"/>
      <c r="Y33" s="73"/>
      <c r="Z33" s="73"/>
      <c r="AA33" s="73"/>
      <c r="AB33" s="73"/>
      <c r="AC33" s="73"/>
      <c r="AD33" s="73"/>
      <c r="AE33" s="73"/>
      <c r="AF33" s="73"/>
      <c r="AG33" s="73"/>
      <c r="AH33" s="73"/>
      <c r="AI33" s="73"/>
      <c r="AJ33" s="73"/>
      <c r="AK33" s="73"/>
      <c r="AL33" s="73"/>
      <c r="AM33" s="73"/>
      <c r="AN33" s="73"/>
      <c r="AO33" s="73"/>
      <c r="AP33" s="73"/>
      <c r="AQ33" s="76"/>
      <c r="AR33" s="73"/>
      <c r="AS33" s="76"/>
      <c r="AT33" s="73"/>
      <c r="AU33" s="73"/>
      <c r="AV33" s="73"/>
      <c r="AW33" s="73"/>
      <c r="AX33" s="73"/>
      <c r="AY33" s="73"/>
      <c r="AZ33" s="73"/>
      <c r="BA33" s="73"/>
      <c r="BB33" s="77"/>
      <c r="BC33"/>
      <c r="BD33"/>
      <c r="BE33"/>
      <c r="BF33"/>
      <c r="BG33"/>
      <c r="BH33"/>
      <c r="BI33" s="50"/>
      <c r="BJ33" s="50"/>
      <c r="BK33" s="50"/>
      <c r="BL33" s="50"/>
      <c r="BM33" s="50"/>
      <c r="BN33" s="50"/>
      <c r="BO33" s="50"/>
      <c r="BP33" s="50"/>
      <c r="BQ33" s="50"/>
      <c r="BR33" s="50"/>
      <c r="BS33" s="50"/>
      <c r="BT33" s="50"/>
      <c r="BU33" s="50"/>
      <c r="BV33" s="50"/>
      <c r="BW33" s="50"/>
      <c r="BX33" s="50"/>
      <c r="BY33"/>
    </row>
    <row r="34" spans="1:77" ht="15" customHeight="1" x14ac:dyDescent="0.35">
      <c r="B34"/>
      <c r="C34"/>
      <c r="D34"/>
      <c r="E34"/>
      <c r="F34"/>
      <c r="G34" s="72"/>
      <c r="H34" s="129" t="s">
        <v>514</v>
      </c>
      <c r="I34" s="129"/>
      <c r="J34" s="129"/>
      <c r="K34" s="129"/>
      <c r="L34" s="129"/>
      <c r="M34" s="129"/>
      <c r="N34" s="129"/>
      <c r="O34" s="73"/>
      <c r="P34" s="76"/>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c r="AP34" s="73"/>
      <c r="AQ34" s="76"/>
      <c r="AR34" s="73"/>
      <c r="AS34" s="76"/>
      <c r="AT34" s="73"/>
      <c r="AU34" s="73"/>
      <c r="AV34" s="73"/>
      <c r="AW34" s="73"/>
      <c r="AX34" s="73"/>
      <c r="AY34" s="73"/>
      <c r="AZ34" s="73"/>
      <c r="BA34" s="73"/>
      <c r="BB34" s="77"/>
      <c r="BC34"/>
      <c r="BD34"/>
      <c r="BE34"/>
      <c r="BF34"/>
      <c r="BG34"/>
      <c r="BH34"/>
      <c r="BI34"/>
      <c r="BJ34"/>
      <c r="BK34"/>
      <c r="BL34"/>
      <c r="BM34"/>
      <c r="BN34"/>
      <c r="BO34"/>
      <c r="BP34"/>
      <c r="BQ34"/>
      <c r="BR34"/>
      <c r="BS34"/>
      <c r="BT34"/>
      <c r="BU34"/>
      <c r="BV34"/>
      <c r="BW34"/>
      <c r="BX34"/>
      <c r="BY34"/>
    </row>
    <row r="35" spans="1:77" ht="15" customHeight="1" x14ac:dyDescent="0.35">
      <c r="A35" s="6">
        <v>36</v>
      </c>
      <c r="B35"/>
      <c r="C35"/>
      <c r="D35"/>
      <c r="E35"/>
      <c r="F35"/>
      <c r="G35" s="72"/>
      <c r="H35" s="129"/>
      <c r="I35" s="129"/>
      <c r="J35" s="129"/>
      <c r="K35" s="129"/>
      <c r="L35" s="129"/>
      <c r="M35" s="129"/>
      <c r="N35" s="129"/>
      <c r="O35" s="73"/>
      <c r="P35" s="76"/>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c r="AP35" s="73"/>
      <c r="AQ35" s="76"/>
      <c r="AR35" s="73"/>
      <c r="AS35" s="76"/>
      <c r="AT35" s="73"/>
      <c r="AU35" s="73"/>
      <c r="AV35" s="73"/>
      <c r="AW35" s="73"/>
      <c r="AX35" s="73"/>
      <c r="AY35" s="73"/>
      <c r="AZ35" s="73"/>
      <c r="BA35" s="73"/>
      <c r="BB35" s="77"/>
      <c r="BC35"/>
      <c r="BD35"/>
      <c r="BE35"/>
      <c r="BF35"/>
      <c r="BG35"/>
      <c r="BH35"/>
      <c r="BI35"/>
      <c r="BJ35"/>
      <c r="BK35"/>
      <c r="BL35"/>
      <c r="BM35"/>
      <c r="BN35"/>
      <c r="BO35"/>
      <c r="BP35"/>
      <c r="BQ35"/>
      <c r="BR35"/>
      <c r="BS35"/>
      <c r="BT35"/>
      <c r="BU35"/>
      <c r="BV35"/>
      <c r="BW35"/>
      <c r="BX35"/>
      <c r="BY35"/>
    </row>
    <row r="36" spans="1:77" ht="15" customHeight="1" x14ac:dyDescent="0.35">
      <c r="A36" s="6">
        <v>37</v>
      </c>
      <c r="B36"/>
      <c r="C36"/>
      <c r="D36"/>
      <c r="E36"/>
      <c r="F36"/>
      <c r="G36" s="72"/>
      <c r="H36" s="129"/>
      <c r="I36" s="129"/>
      <c r="J36" s="129"/>
      <c r="K36" s="129"/>
      <c r="L36" s="129"/>
      <c r="M36" s="129"/>
      <c r="N36" s="129"/>
      <c r="O36" s="73"/>
      <c r="P36" s="76"/>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6"/>
      <c r="AR36" s="73"/>
      <c r="AS36" s="76"/>
      <c r="AT36" s="73"/>
      <c r="AU36" s="73"/>
      <c r="AV36" s="73"/>
      <c r="AW36" s="73"/>
      <c r="AX36" s="73"/>
      <c r="AY36" s="73"/>
      <c r="AZ36" s="73"/>
      <c r="BA36" s="73"/>
      <c r="BB36" s="77"/>
      <c r="BC36"/>
      <c r="BD36"/>
      <c r="BE36"/>
      <c r="BF36"/>
      <c r="BG36"/>
      <c r="BH36" s="133">
        <f>'[1]Graph Infos'!$C$42</f>
        <v>69</v>
      </c>
      <c r="BI36" s="133"/>
      <c r="BJ36" s="130" t="str">
        <f>'[1]Graph Infos'!$B$42</f>
        <v>Prevalidation Rejected</v>
      </c>
      <c r="BK36" s="130"/>
      <c r="BL36" s="130"/>
      <c r="BM36" s="130"/>
      <c r="BN36" s="130"/>
      <c r="BO36" s="130"/>
      <c r="BP36" s="130"/>
      <c r="BQ36" s="130"/>
      <c r="BR36" s="130"/>
      <c r="BS36" s="130"/>
      <c r="BT36" s="130"/>
      <c r="BU36" s="130"/>
      <c r="BV36" s="130"/>
      <c r="BW36"/>
      <c r="BX36"/>
      <c r="BY36"/>
    </row>
    <row r="37" spans="1:77" ht="15" customHeight="1" x14ac:dyDescent="0.35">
      <c r="A37" s="6">
        <v>38</v>
      </c>
      <c r="B37"/>
      <c r="C37"/>
      <c r="D37"/>
      <c r="E37"/>
      <c r="F37"/>
      <c r="G37" s="72"/>
      <c r="H37" s="129" t="s">
        <v>658</v>
      </c>
      <c r="I37" s="129"/>
      <c r="J37" s="129"/>
      <c r="K37" s="129"/>
      <c r="L37" s="129"/>
      <c r="M37" s="129"/>
      <c r="N37" s="129"/>
      <c r="O37" s="73"/>
      <c r="P37" s="76"/>
      <c r="Q37" s="73"/>
      <c r="R37" s="73"/>
      <c r="S37" s="73"/>
      <c r="T37" s="73"/>
      <c r="U37" s="73"/>
      <c r="V37" s="73"/>
      <c r="W37" s="73"/>
      <c r="X37" s="73"/>
      <c r="Y37" s="73"/>
      <c r="Z37" s="73"/>
      <c r="AA37" s="73"/>
      <c r="AB37" s="73"/>
      <c r="AC37" s="73"/>
      <c r="AD37" s="73"/>
      <c r="AE37" s="73"/>
      <c r="AF37" s="73"/>
      <c r="AG37" s="73"/>
      <c r="AH37" s="73"/>
      <c r="AI37" s="73"/>
      <c r="AJ37" s="73"/>
      <c r="AK37" s="73"/>
      <c r="AL37" s="73"/>
      <c r="AM37" s="73"/>
      <c r="AN37" s="73"/>
      <c r="AO37" s="73"/>
      <c r="AP37" s="73"/>
      <c r="AQ37" s="76"/>
      <c r="AR37" s="73"/>
      <c r="AS37" s="76"/>
      <c r="AT37" s="73"/>
      <c r="AU37" s="73"/>
      <c r="AV37" s="73"/>
      <c r="AW37" s="73"/>
      <c r="AX37" s="73"/>
      <c r="AY37" s="73"/>
      <c r="AZ37" s="73"/>
      <c r="BA37" s="73"/>
      <c r="BB37" s="77"/>
      <c r="BC37"/>
      <c r="BD37"/>
      <c r="BE37"/>
      <c r="BF37"/>
      <c r="BG37"/>
      <c r="BH37" s="133"/>
      <c r="BI37" s="133"/>
      <c r="BJ37" s="130"/>
      <c r="BK37" s="130"/>
      <c r="BL37" s="130"/>
      <c r="BM37" s="130"/>
      <c r="BN37" s="130"/>
      <c r="BO37" s="130"/>
      <c r="BP37" s="130"/>
      <c r="BQ37" s="130"/>
      <c r="BR37" s="130"/>
      <c r="BS37" s="130"/>
      <c r="BT37" s="130"/>
      <c r="BU37" s="130"/>
      <c r="BV37" s="130"/>
      <c r="BW37"/>
      <c r="BX37"/>
      <c r="BY37"/>
    </row>
    <row r="38" spans="1:77" ht="15" customHeight="1" x14ac:dyDescent="0.35">
      <c r="A38" s="6">
        <v>39</v>
      </c>
      <c r="B38"/>
      <c r="C38"/>
      <c r="D38"/>
      <c r="E38"/>
      <c r="F38"/>
      <c r="G38" s="72"/>
      <c r="H38" s="129"/>
      <c r="I38" s="129"/>
      <c r="J38" s="129"/>
      <c r="K38" s="129"/>
      <c r="L38" s="129"/>
      <c r="M38" s="129"/>
      <c r="N38" s="129"/>
      <c r="O38" s="73"/>
      <c r="P38" s="76"/>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6"/>
      <c r="AR38" s="73"/>
      <c r="AS38" s="76"/>
      <c r="AT38" s="73"/>
      <c r="AU38" s="73"/>
      <c r="AV38" s="73"/>
      <c r="AW38" s="73"/>
      <c r="AX38" s="73"/>
      <c r="AY38" s="73"/>
      <c r="AZ38" s="73"/>
      <c r="BA38" s="73"/>
      <c r="BB38" s="77"/>
      <c r="BC38"/>
      <c r="BD38"/>
      <c r="BE38"/>
      <c r="BF38"/>
      <c r="BG38"/>
      <c r="BH38" s="131">
        <f>'[1]Graph Infos'!$C$43</f>
        <v>8</v>
      </c>
      <c r="BI38" s="131"/>
      <c r="BJ38" s="132" t="str">
        <f>'[1]Graph Infos'!$B$43</f>
        <v>Dropped by Operator</v>
      </c>
      <c r="BK38" s="132"/>
      <c r="BL38" s="132"/>
      <c r="BM38" s="132"/>
      <c r="BN38" s="132"/>
      <c r="BO38" s="132"/>
      <c r="BP38" s="132"/>
      <c r="BQ38" s="132"/>
      <c r="BR38" s="132"/>
      <c r="BS38" s="132"/>
      <c r="BT38" s="132"/>
      <c r="BU38" s="132"/>
      <c r="BV38" s="132"/>
      <c r="BW38"/>
      <c r="BX38"/>
      <c r="BY38"/>
    </row>
    <row r="39" spans="1:77" ht="15" customHeight="1" x14ac:dyDescent="0.35">
      <c r="A39" s="6">
        <v>40</v>
      </c>
      <c r="B39"/>
      <c r="C39"/>
      <c r="D39"/>
      <c r="E39"/>
      <c r="F39"/>
      <c r="G39" s="72"/>
      <c r="H39" s="129"/>
      <c r="I39" s="129"/>
      <c r="J39" s="129"/>
      <c r="K39" s="129"/>
      <c r="L39" s="129"/>
      <c r="M39" s="129"/>
      <c r="N39" s="129"/>
      <c r="O39" s="73"/>
      <c r="P39" s="76"/>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6"/>
      <c r="AR39" s="73"/>
      <c r="AS39" s="76"/>
      <c r="AT39" s="73"/>
      <c r="AU39" s="73"/>
      <c r="AV39" s="73"/>
      <c r="AW39" s="73"/>
      <c r="AX39" s="73"/>
      <c r="AY39" s="73"/>
      <c r="AZ39" s="73"/>
      <c r="BA39" s="73"/>
      <c r="BB39" s="77"/>
      <c r="BC39"/>
      <c r="BD39"/>
      <c r="BE39"/>
      <c r="BF39"/>
      <c r="BG39"/>
      <c r="BH39" s="131"/>
      <c r="BI39" s="131"/>
      <c r="BJ39" s="132"/>
      <c r="BK39" s="132"/>
      <c r="BL39" s="132"/>
      <c r="BM39" s="132"/>
      <c r="BN39" s="132"/>
      <c r="BO39" s="132"/>
      <c r="BP39" s="132"/>
      <c r="BQ39" s="132"/>
      <c r="BR39" s="132"/>
      <c r="BS39" s="132"/>
      <c r="BT39" s="132"/>
      <c r="BU39" s="132"/>
      <c r="BV39" s="132"/>
      <c r="BW39"/>
      <c r="BX39"/>
      <c r="BY39"/>
    </row>
    <row r="40" spans="1:77" ht="15" customHeight="1" thickBot="1" x14ac:dyDescent="0.4">
      <c r="A40" s="6">
        <v>41</v>
      </c>
      <c r="B40"/>
      <c r="C40"/>
      <c r="D40"/>
      <c r="E40"/>
      <c r="F40"/>
      <c r="G40" s="78"/>
      <c r="H40" s="79"/>
      <c r="I40" s="79"/>
      <c r="J40" s="79"/>
      <c r="K40" s="79"/>
      <c r="L40" s="79"/>
      <c r="M40" s="79"/>
      <c r="N40" s="79"/>
      <c r="O40" s="79"/>
      <c r="P40" s="80"/>
      <c r="Q40" s="79"/>
      <c r="R40" s="79"/>
      <c r="S40" s="79"/>
      <c r="T40" s="79"/>
      <c r="U40" s="79"/>
      <c r="V40" s="79"/>
      <c r="W40" s="79"/>
      <c r="X40" s="79"/>
      <c r="Y40" s="79"/>
      <c r="Z40" s="79"/>
      <c r="AA40" s="79"/>
      <c r="AB40" s="79"/>
      <c r="AC40" s="79"/>
      <c r="AD40" s="79"/>
      <c r="AE40" s="79"/>
      <c r="AF40" s="79"/>
      <c r="AG40" s="79"/>
      <c r="AH40" s="79"/>
      <c r="AI40" s="79"/>
      <c r="AJ40" s="79"/>
      <c r="AK40" s="79"/>
      <c r="AL40" s="79"/>
      <c r="AM40" s="79"/>
      <c r="AN40" s="79"/>
      <c r="AO40" s="79"/>
      <c r="AP40" s="79"/>
      <c r="AQ40" s="79"/>
      <c r="AR40" s="79"/>
      <c r="AS40" s="79"/>
      <c r="AT40" s="79"/>
      <c r="AU40" s="79"/>
      <c r="AV40" s="79"/>
      <c r="AW40" s="79"/>
      <c r="AX40" s="79"/>
      <c r="AY40" s="79"/>
      <c r="AZ40" s="79"/>
      <c r="BA40" s="79"/>
      <c r="BB40" s="81"/>
      <c r="BC40"/>
      <c r="BD40"/>
      <c r="BE40"/>
      <c r="BF40"/>
      <c r="BG40"/>
      <c r="BH40"/>
      <c r="BI40"/>
      <c r="BJ40"/>
      <c r="BK40"/>
      <c r="BL40"/>
      <c r="BM40"/>
      <c r="BN40"/>
      <c r="BO40"/>
      <c r="BP40"/>
      <c r="BQ40"/>
      <c r="BR40"/>
      <c r="BS40"/>
      <c r="BT40"/>
      <c r="BU40"/>
      <c r="BV40"/>
      <c r="BW40"/>
      <c r="BX40"/>
      <c r="BY40"/>
    </row>
    <row r="41" spans="1:77" ht="15" customHeight="1" x14ac:dyDescent="0.35">
      <c r="A41" s="6">
        <v>42</v>
      </c>
      <c r="B41" s="7"/>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row>
    <row r="42" spans="1:77" ht="15" customHeight="1" x14ac:dyDescent="0.35"/>
    <row r="43" spans="1:77" ht="15" customHeight="1" x14ac:dyDescent="0.35">
      <c r="B43" s="6">
        <v>1</v>
      </c>
      <c r="C43" s="6" t="s">
        <v>121</v>
      </c>
      <c r="H43" s="6" t="s">
        <v>668</v>
      </c>
    </row>
    <row r="44" spans="1:77" ht="14.25" customHeight="1" x14ac:dyDescent="0.35">
      <c r="B44" s="6">
        <v>2</v>
      </c>
      <c r="C44" s="6" t="s">
        <v>124</v>
      </c>
      <c r="H44" s="6">
        <v>1</v>
      </c>
    </row>
    <row r="45" spans="1:77" ht="15" customHeight="1" x14ac:dyDescent="0.35">
      <c r="B45" s="6">
        <v>3</v>
      </c>
      <c r="C45" s="6" t="s">
        <v>136</v>
      </c>
    </row>
    <row r="46" spans="1:77" ht="15" customHeight="1" x14ac:dyDescent="0.35">
      <c r="B46" s="6">
        <v>4</v>
      </c>
      <c r="C46" s="6" t="s">
        <v>55</v>
      </c>
    </row>
    <row r="47" spans="1:77" ht="15" customHeight="1" x14ac:dyDescent="0.35"/>
    <row r="48" spans="1:77" ht="15" customHeight="1" x14ac:dyDescent="0.35"/>
    <row r="49" spans="1:2" ht="15" customHeight="1" x14ac:dyDescent="0.35"/>
    <row r="50" spans="1:2" ht="15" customHeight="1" x14ac:dyDescent="0.35">
      <c r="A50" s="6">
        <v>1</v>
      </c>
      <c r="B50" s="6">
        <v>0</v>
      </c>
    </row>
    <row r="51" spans="1:2" ht="15" customHeight="1" x14ac:dyDescent="0.35"/>
    <row r="52" spans="1:2" ht="15" customHeight="1" x14ac:dyDescent="0.35"/>
    <row r="53" spans="1:2" ht="15" customHeight="1" x14ac:dyDescent="0.35"/>
    <row r="54" spans="1:2" ht="15" customHeight="1" x14ac:dyDescent="0.35"/>
    <row r="55" spans="1:2" ht="15" customHeight="1" x14ac:dyDescent="0.35"/>
    <row r="56" spans="1:2" ht="15" customHeight="1" x14ac:dyDescent="0.35"/>
    <row r="57" spans="1:2" ht="15" customHeight="1" x14ac:dyDescent="0.35"/>
    <row r="58" spans="1:2" ht="15" customHeight="1" x14ac:dyDescent="0.35"/>
    <row r="59" spans="1:2" ht="15" customHeight="1" x14ac:dyDescent="0.35"/>
    <row r="60" spans="1:2" ht="15" customHeight="1" x14ac:dyDescent="0.35"/>
    <row r="61" spans="1:2" ht="15" customHeight="1" x14ac:dyDescent="0.35"/>
    <row r="62" spans="1:2" ht="15" customHeight="1" x14ac:dyDescent="0.35"/>
    <row r="63" spans="1:2" ht="15" customHeight="1" x14ac:dyDescent="0.35"/>
    <row r="64" spans="1:2" ht="15" customHeight="1" x14ac:dyDescent="0.35"/>
    <row r="65" ht="15" customHeight="1" x14ac:dyDescent="0.35"/>
    <row r="66" ht="15" customHeight="1" x14ac:dyDescent="0.35"/>
    <row r="67" ht="15" customHeight="1" x14ac:dyDescent="0.35"/>
    <row r="68" ht="15" customHeight="1" x14ac:dyDescent="0.35"/>
    <row r="69" ht="15" customHeight="1" x14ac:dyDescent="0.35"/>
    <row r="70" ht="15" customHeight="1" x14ac:dyDescent="0.35"/>
    <row r="71" ht="15" customHeight="1" x14ac:dyDescent="0.35"/>
    <row r="72" ht="15" customHeight="1" x14ac:dyDescent="0.35"/>
    <row r="73" ht="15" hidden="1" customHeight="1" x14ac:dyDescent="0.35"/>
  </sheetData>
  <sheetProtection selectLockedCells="1"/>
  <mergeCells count="21">
    <mergeCell ref="V3:BI5"/>
    <mergeCell ref="BL3:BV4"/>
    <mergeCell ref="G11:M12"/>
    <mergeCell ref="G28:N29"/>
    <mergeCell ref="O28:AP29"/>
    <mergeCell ref="G17:M18"/>
    <mergeCell ref="G23:M24"/>
    <mergeCell ref="AW25:BG26"/>
    <mergeCell ref="P9:AC10"/>
    <mergeCell ref="V13:AI14"/>
    <mergeCell ref="P15:AC16"/>
    <mergeCell ref="AQ19:BD20"/>
    <mergeCell ref="P21:AC22"/>
    <mergeCell ref="AQ21:BD22"/>
    <mergeCell ref="H31:N33"/>
    <mergeCell ref="H34:N36"/>
    <mergeCell ref="H37:N39"/>
    <mergeCell ref="BJ36:BV37"/>
    <mergeCell ref="BH38:BI39"/>
    <mergeCell ref="BJ38:BV39"/>
    <mergeCell ref="BH36:BI37"/>
  </mergeCells>
  <pageMargins left="0.7" right="0.7" top="0.75" bottom="0.75" header="0.3" footer="0.3"/>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1FA5C-1FC8-4D9D-BEDD-EF9A30011CA5}">
  <sheetPr codeName="Sheet1">
    <tabColor theme="8"/>
  </sheetPr>
  <dimension ref="E2:O4"/>
  <sheetViews>
    <sheetView zoomScaleNormal="100" workbookViewId="0">
      <selection activeCell="I32" sqref="I32"/>
    </sheetView>
  </sheetViews>
  <sheetFormatPr defaultRowHeight="14.5" x14ac:dyDescent="0.35"/>
  <sheetData>
    <row r="2" spans="5:15" ht="15" customHeight="1" x14ac:dyDescent="0.35">
      <c r="E2" s="148" t="s">
        <v>534</v>
      </c>
      <c r="F2" s="148"/>
      <c r="G2" s="148"/>
      <c r="H2" s="148"/>
      <c r="I2" s="148"/>
      <c r="J2" s="148"/>
      <c r="K2" s="148"/>
      <c r="L2" s="148"/>
      <c r="M2" s="37"/>
      <c r="N2" s="37"/>
      <c r="O2" s="37"/>
    </row>
    <row r="3" spans="5:15" ht="15" customHeight="1" x14ac:dyDescent="0.35">
      <c r="E3" s="148"/>
      <c r="F3" s="148"/>
      <c r="G3" s="148"/>
      <c r="H3" s="148"/>
      <c r="I3" s="148"/>
      <c r="J3" s="148"/>
      <c r="K3" s="148"/>
      <c r="L3" s="148"/>
      <c r="M3" s="37"/>
      <c r="N3" s="37"/>
      <c r="O3" s="37"/>
    </row>
    <row r="4" spans="5:15" ht="15" customHeight="1" x14ac:dyDescent="0.35">
      <c r="G4" s="37"/>
      <c r="H4" s="37"/>
      <c r="I4" s="37"/>
      <c r="J4" s="37"/>
      <c r="K4" s="37"/>
      <c r="L4" s="37"/>
      <c r="M4" s="37"/>
      <c r="N4" s="37"/>
      <c r="O4" s="37"/>
    </row>
  </sheetData>
  <sheetProtection sheet="1" selectLockedCells="1" sort="0" autoFilter="0" pivotTables="0" selectUnlockedCells="1"/>
  <mergeCells count="1">
    <mergeCell ref="E2:L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F300-E2DC-4347-9D30-3C231B1EB197}">
  <sheetPr codeName="Sheet2">
    <tabColor theme="9"/>
  </sheetPr>
  <dimension ref="A1:BE277"/>
  <sheetViews>
    <sheetView topLeftCell="I1" workbookViewId="0">
      <selection activeCell="M1" sqref="M1:R1"/>
    </sheetView>
  </sheetViews>
  <sheetFormatPr defaultRowHeight="14.5" x14ac:dyDescent="0.35"/>
  <cols>
    <col min="1" max="1" width="11.7265625" bestFit="1" customWidth="1"/>
    <col min="2" max="2" width="20.1796875" bestFit="1" customWidth="1"/>
    <col min="3" max="3" width="13.54296875" bestFit="1" customWidth="1"/>
    <col min="4" max="4" width="21.453125" bestFit="1" customWidth="1"/>
    <col min="5" max="5" width="11.81640625" bestFit="1" customWidth="1"/>
    <col min="6" max="6" width="13.453125" bestFit="1" customWidth="1"/>
    <col min="7" max="7" width="11.81640625" bestFit="1" customWidth="1"/>
    <col min="8" max="8" width="29.26953125" bestFit="1" customWidth="1"/>
    <col min="9" max="9" width="8" bestFit="1" customWidth="1"/>
    <col min="10" max="10" width="15.81640625" bestFit="1" customWidth="1"/>
    <col min="11" max="11" width="11.26953125" bestFit="1" customWidth="1"/>
    <col min="12" max="12" width="30.7265625" bestFit="1" customWidth="1"/>
    <col min="13" max="13" width="13.54296875" bestFit="1" customWidth="1"/>
    <col min="14" max="14" width="12" bestFit="1" customWidth="1"/>
    <col min="15" max="15" width="18.54296875" bestFit="1" customWidth="1"/>
    <col min="16" max="16" width="15.7265625" bestFit="1" customWidth="1"/>
    <col min="17" max="17" width="13" bestFit="1" customWidth="1"/>
    <col min="18" max="18" width="20.453125" bestFit="1" customWidth="1"/>
    <col min="19" max="19" width="15.54296875" bestFit="1" customWidth="1"/>
    <col min="20" max="20" width="11.54296875" bestFit="1" customWidth="1"/>
    <col min="21" max="21" width="17.453125" bestFit="1" customWidth="1"/>
    <col min="22" max="22" width="23.26953125" bestFit="1" customWidth="1"/>
    <col min="23" max="23" width="27.26953125" bestFit="1" customWidth="1"/>
    <col min="24" max="24" width="31.7265625" bestFit="1" customWidth="1"/>
    <col min="25" max="25" width="21.26953125" bestFit="1" customWidth="1"/>
    <col min="26" max="26" width="18" bestFit="1" customWidth="1"/>
    <col min="27" max="27" width="26" bestFit="1" customWidth="1"/>
    <col min="28" max="28" width="17.26953125" bestFit="1" customWidth="1"/>
    <col min="29" max="29" width="28.1796875" bestFit="1" customWidth="1"/>
    <col min="30" max="30" width="29.54296875" bestFit="1" customWidth="1"/>
    <col min="31" max="31" width="30.7265625" bestFit="1" customWidth="1"/>
    <col min="32" max="32" width="33.54296875" bestFit="1" customWidth="1"/>
    <col min="33" max="33" width="31.26953125" bestFit="1" customWidth="1"/>
    <col min="34" max="34" width="23.26953125" bestFit="1" customWidth="1"/>
    <col min="35" max="35" width="25.54296875" bestFit="1" customWidth="1"/>
    <col min="36" max="36" width="15.81640625" bestFit="1" customWidth="1"/>
    <col min="37" max="37" width="14.1796875" bestFit="1" customWidth="1"/>
    <col min="38" max="38" width="21" bestFit="1" customWidth="1"/>
    <col min="39" max="39" width="15.1796875" bestFit="1" customWidth="1"/>
    <col min="40" max="40" width="13" bestFit="1" customWidth="1"/>
    <col min="41" max="41" width="30.7265625" bestFit="1" customWidth="1"/>
    <col min="42" max="42" width="14.54296875" bestFit="1" customWidth="1"/>
    <col min="43" max="43" width="13" bestFit="1" customWidth="1"/>
    <col min="44" max="44" width="19.7265625" bestFit="1" customWidth="1"/>
    <col min="45" max="45" width="16.7265625" bestFit="1" customWidth="1"/>
    <col min="46" max="46" width="14" bestFit="1" customWidth="1"/>
    <col min="47" max="47" width="21.453125" bestFit="1" customWidth="1"/>
    <col min="48" max="48" width="11.453125" bestFit="1" customWidth="1"/>
    <col min="49" max="49" width="22.26953125" bestFit="1" customWidth="1"/>
    <col min="50" max="50" width="18.453125" bestFit="1" customWidth="1"/>
    <col min="51" max="51" width="22.81640625" bestFit="1" customWidth="1"/>
    <col min="52" max="52" width="30.453125" bestFit="1" customWidth="1"/>
    <col min="53" max="53" width="20.54296875" bestFit="1" customWidth="1"/>
    <col min="54" max="54" width="25.26953125" bestFit="1" customWidth="1"/>
    <col min="55" max="55" width="16.54296875" bestFit="1" customWidth="1"/>
    <col min="56" max="56" width="30.7265625" bestFit="1" customWidth="1"/>
    <col min="57" max="57" width="29.81640625" bestFit="1" customWidth="1"/>
  </cols>
  <sheetData>
    <row r="1" spans="1:57"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540</v>
      </c>
      <c r="AF1" t="s">
        <v>541</v>
      </c>
      <c r="AG1" t="s">
        <v>542</v>
      </c>
      <c r="AH1" t="s">
        <v>543</v>
      </c>
      <c r="AI1" t="s">
        <v>665</v>
      </c>
      <c r="AJ1" s="16" t="s">
        <v>30</v>
      </c>
      <c r="AK1" s="16" t="s">
        <v>31</v>
      </c>
      <c r="AL1" s="15" t="s">
        <v>32</v>
      </c>
      <c r="AM1" s="15" t="s">
        <v>33</v>
      </c>
      <c r="AN1" s="19" t="s">
        <v>34</v>
      </c>
      <c r="AO1" s="20" t="s">
        <v>35</v>
      </c>
      <c r="AP1" s="20" t="s">
        <v>36</v>
      </c>
      <c r="AQ1" s="20" t="s">
        <v>37</v>
      </c>
      <c r="AR1" s="20" t="s">
        <v>38</v>
      </c>
      <c r="AS1" s="20" t="s">
        <v>39</v>
      </c>
      <c r="AT1" s="20" t="s">
        <v>40</v>
      </c>
      <c r="AU1" s="20" t="s">
        <v>41</v>
      </c>
      <c r="AV1" s="20" t="s">
        <v>42</v>
      </c>
      <c r="AW1" s="18" t="s">
        <v>43</v>
      </c>
      <c r="AX1" s="18" t="s">
        <v>44</v>
      </c>
      <c r="AY1" s="18" t="s">
        <v>45</v>
      </c>
      <c r="AZ1" s="17" t="s">
        <v>46</v>
      </c>
      <c r="BA1" s="6" t="s">
        <v>564</v>
      </c>
      <c r="BB1" s="6" t="s">
        <v>565</v>
      </c>
      <c r="BC1" s="6" t="s">
        <v>566</v>
      </c>
      <c r="BD1" t="s">
        <v>47</v>
      </c>
      <c r="BE1" t="s">
        <v>48</v>
      </c>
    </row>
    <row r="2" spans="1:57" hidden="1" x14ac:dyDescent="0.35">
      <c r="A2" s="40" t="s">
        <v>49</v>
      </c>
      <c r="B2" s="40" t="s">
        <v>50</v>
      </c>
      <c r="C2" s="40" t="s">
        <v>51</v>
      </c>
      <c r="D2">
        <v>50</v>
      </c>
      <c r="E2" s="40" t="s">
        <v>52</v>
      </c>
      <c r="F2">
        <v>93.23836</v>
      </c>
      <c r="G2">
        <v>20.543479999999999</v>
      </c>
      <c r="H2" s="40" t="s">
        <v>53</v>
      </c>
      <c r="I2">
        <v>1</v>
      </c>
      <c r="J2" s="40" t="s">
        <v>54</v>
      </c>
      <c r="K2" s="40" t="s">
        <v>55</v>
      </c>
      <c r="L2" s="40" t="s">
        <v>74</v>
      </c>
      <c r="M2" s="40" t="s">
        <v>57</v>
      </c>
      <c r="N2" s="40" t="s">
        <v>57</v>
      </c>
      <c r="O2" s="40" t="s">
        <v>57</v>
      </c>
      <c r="P2" s="40" t="s">
        <v>57</v>
      </c>
      <c r="Q2" s="40" t="s">
        <v>57</v>
      </c>
      <c r="R2" s="40" t="s">
        <v>58</v>
      </c>
      <c r="S2">
        <v>179</v>
      </c>
      <c r="T2">
        <v>1</v>
      </c>
      <c r="U2" s="1"/>
      <c r="V2" s="1"/>
      <c r="W2" s="1">
        <v>43223</v>
      </c>
      <c r="X2" s="1">
        <v>43223</v>
      </c>
      <c r="Y2" s="1"/>
      <c r="Z2" s="40" t="s">
        <v>59</v>
      </c>
      <c r="AA2">
        <v>178</v>
      </c>
      <c r="AB2">
        <v>1</v>
      </c>
      <c r="AC2" s="1"/>
      <c r="AD2" s="40"/>
      <c r="AE2" s="1"/>
      <c r="AF2" s="1"/>
      <c r="AG2" s="1"/>
      <c r="AH2" s="40"/>
      <c r="AI2" s="1"/>
      <c r="AJ2" s="40">
        <f>_xlfn.MAXIFS(_01towers[02tss.Rev],_01towers[05_id],_01towers[[#This Row],[05_id]])</f>
        <v>1</v>
      </c>
      <c r="AK2" s="40" t="b">
        <f>IF(_01towers[[#This Row],[Count Rev TSS]]=_01towers[[#This Row],[02tss.Rev]],TRUE,FALSE)</f>
        <v>1</v>
      </c>
      <c r="AL2" s="40">
        <f>_xlfn.MAXIFS(_01towers[10colo_app.Rev],_01towers[05_id],_01towers[[#This Row],[05_id]])</f>
        <v>1</v>
      </c>
      <c r="AM2" s="40" t="b">
        <f>IF(_01towers[[#This Row],[Count Rev Colo App]]=_01towers[[#This Row],[10colo_app.Rev]],TRUE,FALSE)</f>
        <v>1</v>
      </c>
      <c r="AN2" s="40" t="b">
        <f>IF(AND(_01towers[[#This Row],[Test Rev Colo]]=TRUE,_01towers[[#This Row],[Test Rev TSS]]=TRUE),TRUE,FALSE)</f>
        <v>1</v>
      </c>
      <c r="AO2" s="40" t="str">
        <f>IF(_01towers[[#This Row],[Test Active]]=TRUE,_01towers[[#This Row],[Prevalidation Status]],"")</f>
        <v>Prevalidation Rejected</v>
      </c>
      <c r="AP2" s="40" t="str">
        <f>IF(_01towers[[#This Row],[Active Prevalidation Status]]="Under Prevalidation",
IF(M2="","Review",M2),"")</f>
        <v/>
      </c>
      <c r="AQ2" s="40" t="str">
        <f>IF(_01towers[[#This Row],[Active Prevalidation Status]]="Under Prevalidation",
IF(N2="","Review",N2),"")</f>
        <v/>
      </c>
      <c r="AR2" s="40" t="str">
        <f>IF(_01towers[[#This Row],[Active Prevalidation Status]]="Under Prevalidation",
IF(O2="","Review",O2),"")</f>
        <v/>
      </c>
      <c r="AS2" s="40" t="str">
        <f>IF(_01towers[[#This Row],[Active Prevalidation Status]]="Under Prevalidation",
IF(P2="","Review",P2),"")</f>
        <v/>
      </c>
      <c r="AT2" s="40" t="str">
        <f>IF(_01towers[[#This Row],[Active Prevalidation Status]]="Under Prevalidation",
IF(Q2="","Review",Q2),"")</f>
        <v/>
      </c>
      <c r="AU2" s="40" t="str">
        <f>IF(_01towers[[#This Row],[Active Prevalidation Status]]="Under Prevalidation",
IF(R2="","Review",R2),"")</f>
        <v/>
      </c>
      <c r="AV2" s="40">
        <f>COUNTIF(_01towers[[#This Row],[SAQ_Result2]:[Community_Result2]],"OK")</f>
        <v>0</v>
      </c>
      <c r="AW2" s="1" t="str">
        <f>IF(AND(OR(_01towers[[#This Row],[Active Prevalidation Status]]="Under Prevalidation",_01towers[[#This Row],[Active Prevalidation Status]]="Prevalidated"),_01towers[[#This Row],[02tss.TSSR_From_Engineer]]&gt;0),"Submitted","")</f>
        <v/>
      </c>
      <c r="AX2" s="40" t="str">
        <f>IF(OR(_01towers[[#This Row],[Active Prevalidation Status]]="Under Prevalidation",_01towers[[#This Row],[Active Prevalidation Status]]="Prevalidated"),_01towers[[#This Row],[02tss.TSS_Result]],"")</f>
        <v/>
      </c>
      <c r="AY2" s="40" t="str">
        <f>IF(AND(_01towers[[#This Row],[Active TSS Result]]="Approved",_01towers[[#This Row],[Active Prevalidation Status]]="Prevalidated"),"In Process","")</f>
        <v/>
      </c>
      <c r="AZ2" s="40" t="str">
        <f>IF(AND(_01towers[[#This Row],[Active TSS Result]]="Approved",_01towers[[#This Row],[Active Prevalidation Status]]="Prevalidated"),_01towers[[#This Row],[10colo_app.Colo_App_Result]],"")</f>
        <v/>
      </c>
      <c r="BA2" s="40">
        <f>COUNTIF(_20work_order[05_id],_01towers[[#This Row],[05_id]])</f>
        <v>0</v>
      </c>
      <c r="BB2" s="40">
        <f>COUNTIFS(_20work_order[05_id],_01towers[[#This Row],[05_id]],_20work_order[Actual_End],"&gt;0")</f>
        <v>0</v>
      </c>
      <c r="BC2" s="40" t="str">
        <f>IF(_01towers[[#This Row],[Completed Work Orders]]&gt;0,"Work Completed",
IF(_01towers[[#This Row],[Count Work Orders]]&gt;0,"Work in Progress",""))</f>
        <v/>
      </c>
      <c r="BD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 s="40" t="str">
        <f>_xlfn.SWITCH(_01towers[[#This Row],[Final Colo Status full]],"Commercial Approval Requested","Under Prevalidation",_01towers[[#This Row],[Final Colo Status full]])</f>
        <v>Prevalidation Rejected</v>
      </c>
    </row>
    <row r="3" spans="1:57" hidden="1" x14ac:dyDescent="0.35">
      <c r="A3" s="40" t="s">
        <v>60</v>
      </c>
      <c r="B3" s="40" t="s">
        <v>50</v>
      </c>
      <c r="C3" s="40" t="s">
        <v>51</v>
      </c>
      <c r="D3">
        <v>40</v>
      </c>
      <c r="E3" s="40" t="s">
        <v>61</v>
      </c>
      <c r="F3">
        <v>96.515940000000001</v>
      </c>
      <c r="G3">
        <v>24.996099999999998</v>
      </c>
      <c r="H3" s="40" t="s">
        <v>62</v>
      </c>
      <c r="I3">
        <v>2</v>
      </c>
      <c r="J3" s="40" t="s">
        <v>63</v>
      </c>
      <c r="K3" s="40" t="s">
        <v>55</v>
      </c>
      <c r="L3" s="40" t="s">
        <v>64</v>
      </c>
      <c r="M3" s="40" t="s">
        <v>57</v>
      </c>
      <c r="N3" s="40" t="s">
        <v>57</v>
      </c>
      <c r="O3" s="40" t="s">
        <v>57</v>
      </c>
      <c r="P3" s="40" t="s">
        <v>57</v>
      </c>
      <c r="Q3" s="40" t="s">
        <v>57</v>
      </c>
      <c r="R3" s="40" t="s">
        <v>57</v>
      </c>
      <c r="S3">
        <v>180</v>
      </c>
      <c r="T3">
        <v>1</v>
      </c>
      <c r="U3" s="1"/>
      <c r="V3" s="1"/>
      <c r="W3" s="1">
        <v>43223</v>
      </c>
      <c r="X3" s="1">
        <v>43223</v>
      </c>
      <c r="Y3" s="1"/>
      <c r="Z3" s="40" t="s">
        <v>59</v>
      </c>
      <c r="AA3">
        <v>179</v>
      </c>
      <c r="AB3">
        <v>1</v>
      </c>
      <c r="AC3" s="1">
        <v>43229</v>
      </c>
      <c r="AD3" s="40" t="s">
        <v>59</v>
      </c>
      <c r="AE3" s="1"/>
      <c r="AF3" s="1"/>
      <c r="AG3" s="1"/>
      <c r="AH3" s="40"/>
      <c r="AI3" s="1"/>
      <c r="AJ3" s="40">
        <f>_xlfn.MAXIFS(_01towers[02tss.Rev],_01towers[05_id],_01towers[[#This Row],[05_id]])</f>
        <v>1</v>
      </c>
      <c r="AK3" s="40" t="b">
        <f>IF(_01towers[[#This Row],[Count Rev TSS]]=_01towers[[#This Row],[02tss.Rev]],TRUE,FALSE)</f>
        <v>1</v>
      </c>
      <c r="AL3" s="40">
        <f>_xlfn.MAXIFS(_01towers[10colo_app.Rev],_01towers[05_id],_01towers[[#This Row],[05_id]])</f>
        <v>1</v>
      </c>
      <c r="AM3" s="40" t="b">
        <f>IF(_01towers[[#This Row],[Count Rev Colo App]]=_01towers[[#This Row],[10colo_app.Rev]],TRUE,FALSE)</f>
        <v>1</v>
      </c>
      <c r="AN3" s="40" t="b">
        <f>IF(AND(_01towers[[#This Row],[Test Rev Colo]]=TRUE,_01towers[[#This Row],[Test Rev TSS]]=TRUE),TRUE,FALSE)</f>
        <v>1</v>
      </c>
      <c r="AO3" s="40" t="str">
        <f>IF(_01towers[[#This Row],[Test Active]]=TRUE,_01towers[[#This Row],[Prevalidation Status]],"")</f>
        <v>Prevalidated</v>
      </c>
      <c r="AP3" s="40" t="str">
        <f>IF(_01towers[[#This Row],[Active Prevalidation Status]]="Under Prevalidation",
IF(M3="","Review",M3),"")</f>
        <v/>
      </c>
      <c r="AQ3" s="40" t="str">
        <f>IF(_01towers[[#This Row],[Active Prevalidation Status]]="Under Prevalidation",
IF(N3="","Review",N3),"")</f>
        <v/>
      </c>
      <c r="AR3" s="40" t="str">
        <f>IF(_01towers[[#This Row],[Active Prevalidation Status]]="Under Prevalidation",
IF(O3="","Review",O3),"")</f>
        <v/>
      </c>
      <c r="AS3" s="40" t="str">
        <f>IF(_01towers[[#This Row],[Active Prevalidation Status]]="Under Prevalidation",
IF(P3="","Review",P3),"")</f>
        <v/>
      </c>
      <c r="AT3" s="40" t="str">
        <f>IF(_01towers[[#This Row],[Active Prevalidation Status]]="Under Prevalidation",
IF(Q3="","Review",Q3),"")</f>
        <v/>
      </c>
      <c r="AU3" s="40" t="str">
        <f>IF(_01towers[[#This Row],[Active Prevalidation Status]]="Under Prevalidation",
IF(R3="","Review",R3),"")</f>
        <v/>
      </c>
      <c r="AV3" s="40">
        <f>COUNTIF(_01towers[[#This Row],[SAQ_Result2]:[Community_Result2]],"OK")</f>
        <v>0</v>
      </c>
      <c r="AW3" s="1" t="str">
        <f>IF(AND(OR(_01towers[[#This Row],[Active Prevalidation Status]]="Under Prevalidation",_01towers[[#This Row],[Active Prevalidation Status]]="Prevalidated"),_01towers[[#This Row],[02tss.TSSR_From_Engineer]]&gt;0),"Submitted","")</f>
        <v>Submitted</v>
      </c>
      <c r="AX3" s="40" t="str">
        <f>IF(OR(_01towers[[#This Row],[Active Prevalidation Status]]="Under Prevalidation",_01towers[[#This Row],[Active Prevalidation Status]]="Prevalidated"),_01towers[[#This Row],[02tss.TSS_Result]],"")</f>
        <v>Approved</v>
      </c>
      <c r="AY3" s="40" t="str">
        <f>IF(AND(_01towers[[#This Row],[Active TSS Result]]="Approved",_01towers[[#This Row],[Active Prevalidation Status]]="Prevalidated"),"In Process","")</f>
        <v>In Process</v>
      </c>
      <c r="AZ3" s="40" t="str">
        <f>IF(AND(_01towers[[#This Row],[Active TSS Result]]="Approved",_01towers[[#This Row],[Active Prevalidation Status]]="Prevalidated"),_01towers[[#This Row],[10colo_app.Colo_App_Result]],"")</f>
        <v>Approved</v>
      </c>
      <c r="BA3" s="40">
        <f>COUNTIF(_20work_order[05_id],_01towers[[#This Row],[05_id]])</f>
        <v>0</v>
      </c>
      <c r="BB3" s="40">
        <f>COUNTIFS(_20work_order[05_id],_01towers[[#This Row],[05_id]],_20work_order[Actual_End],"&gt;0")</f>
        <v>0</v>
      </c>
      <c r="BC3" s="40" t="str">
        <f>IF(_01towers[[#This Row],[Completed Work Orders]]&gt;0,"Work Completed",
IF(_01towers[[#This Row],[Count Work Orders]]&gt;0,"Work in Progress",""))</f>
        <v/>
      </c>
      <c r="BD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3" s="40" t="str">
        <f>_xlfn.SWITCH(_01towers[[#This Row],[Final Colo Status full]],"Commercial Approval Requested","Under Prevalidation",_01towers[[#This Row],[Final Colo Status full]])</f>
        <v>Colo Application Approved</v>
      </c>
    </row>
    <row r="4" spans="1:57" hidden="1" x14ac:dyDescent="0.35">
      <c r="A4" s="40" t="s">
        <v>65</v>
      </c>
      <c r="B4" s="40" t="s">
        <v>50</v>
      </c>
      <c r="C4" s="40" t="s">
        <v>51</v>
      </c>
      <c r="D4">
        <v>50</v>
      </c>
      <c r="E4" s="40" t="s">
        <v>66</v>
      </c>
      <c r="F4">
        <v>96.022090000000006</v>
      </c>
      <c r="G4">
        <v>21.770969999999998</v>
      </c>
      <c r="H4" s="40" t="s">
        <v>62</v>
      </c>
      <c r="I4">
        <v>3</v>
      </c>
      <c r="J4" s="40" t="s">
        <v>67</v>
      </c>
      <c r="K4" s="40" t="s">
        <v>55</v>
      </c>
      <c r="L4" s="40" t="s">
        <v>64</v>
      </c>
      <c r="M4" s="40" t="s">
        <v>57</v>
      </c>
      <c r="N4" s="40" t="s">
        <v>57</v>
      </c>
      <c r="O4" s="40" t="s">
        <v>57</v>
      </c>
      <c r="P4" s="40" t="s">
        <v>57</v>
      </c>
      <c r="Q4" s="40" t="s">
        <v>57</v>
      </c>
      <c r="R4" s="40" t="s">
        <v>57</v>
      </c>
      <c r="S4">
        <v>181</v>
      </c>
      <c r="T4">
        <v>1</v>
      </c>
      <c r="U4" s="1"/>
      <c r="V4" s="1"/>
      <c r="W4" s="1">
        <v>43223</v>
      </c>
      <c r="X4" s="1">
        <v>43223</v>
      </c>
      <c r="Y4" s="1"/>
      <c r="Z4" s="40" t="s">
        <v>59</v>
      </c>
      <c r="AA4">
        <v>180</v>
      </c>
      <c r="AB4">
        <v>1</v>
      </c>
      <c r="AC4" s="1">
        <v>43229</v>
      </c>
      <c r="AD4" s="40" t="s">
        <v>59</v>
      </c>
      <c r="AE4" s="1"/>
      <c r="AF4" s="1"/>
      <c r="AG4" s="1"/>
      <c r="AH4" s="40"/>
      <c r="AI4" s="1"/>
      <c r="AJ4" s="40">
        <f>_xlfn.MAXIFS(_01towers[02tss.Rev],_01towers[05_id],_01towers[[#This Row],[05_id]])</f>
        <v>1</v>
      </c>
      <c r="AK4" s="40" t="b">
        <f>IF(_01towers[[#This Row],[Count Rev TSS]]=_01towers[[#This Row],[02tss.Rev]],TRUE,FALSE)</f>
        <v>1</v>
      </c>
      <c r="AL4" s="40">
        <f>_xlfn.MAXIFS(_01towers[10colo_app.Rev],_01towers[05_id],_01towers[[#This Row],[05_id]])</f>
        <v>1</v>
      </c>
      <c r="AM4" s="40" t="b">
        <f>IF(_01towers[[#This Row],[Count Rev Colo App]]=_01towers[[#This Row],[10colo_app.Rev]],TRUE,FALSE)</f>
        <v>1</v>
      </c>
      <c r="AN4" s="40" t="b">
        <f>IF(AND(_01towers[[#This Row],[Test Rev Colo]]=TRUE,_01towers[[#This Row],[Test Rev TSS]]=TRUE),TRUE,FALSE)</f>
        <v>1</v>
      </c>
      <c r="AO4" s="40" t="str">
        <f>IF(_01towers[[#This Row],[Test Active]]=TRUE,_01towers[[#This Row],[Prevalidation Status]],"")</f>
        <v>Prevalidated</v>
      </c>
      <c r="AP4" s="40" t="str">
        <f>IF(_01towers[[#This Row],[Active Prevalidation Status]]="Under Prevalidation",
IF(M4="","Review",M4),"")</f>
        <v/>
      </c>
      <c r="AQ4" s="40" t="str">
        <f>IF(_01towers[[#This Row],[Active Prevalidation Status]]="Under Prevalidation",
IF(N4="","Review",N4),"")</f>
        <v/>
      </c>
      <c r="AR4" s="40" t="str">
        <f>IF(_01towers[[#This Row],[Active Prevalidation Status]]="Under Prevalidation",
IF(O4="","Review",O4),"")</f>
        <v/>
      </c>
      <c r="AS4" s="40" t="str">
        <f>IF(_01towers[[#This Row],[Active Prevalidation Status]]="Under Prevalidation",
IF(P4="","Review",P4),"")</f>
        <v/>
      </c>
      <c r="AT4" s="40" t="str">
        <f>IF(_01towers[[#This Row],[Active Prevalidation Status]]="Under Prevalidation",
IF(Q4="","Review",Q4),"")</f>
        <v/>
      </c>
      <c r="AU4" s="40" t="str">
        <f>IF(_01towers[[#This Row],[Active Prevalidation Status]]="Under Prevalidation",
IF(R4="","Review",R4),"")</f>
        <v/>
      </c>
      <c r="AV4" s="40">
        <f>COUNTIF(_01towers[[#This Row],[SAQ_Result2]:[Community_Result2]],"OK")</f>
        <v>0</v>
      </c>
      <c r="AW4" s="1" t="str">
        <f>IF(AND(OR(_01towers[[#This Row],[Active Prevalidation Status]]="Under Prevalidation",_01towers[[#This Row],[Active Prevalidation Status]]="Prevalidated"),_01towers[[#This Row],[02tss.TSSR_From_Engineer]]&gt;0),"Submitted","")</f>
        <v>Submitted</v>
      </c>
      <c r="AX4" s="40" t="str">
        <f>IF(OR(_01towers[[#This Row],[Active Prevalidation Status]]="Under Prevalidation",_01towers[[#This Row],[Active Prevalidation Status]]="Prevalidated"),_01towers[[#This Row],[02tss.TSS_Result]],"")</f>
        <v>Approved</v>
      </c>
      <c r="AY4" s="40" t="str">
        <f>IF(AND(_01towers[[#This Row],[Active TSS Result]]="Approved",_01towers[[#This Row],[Active Prevalidation Status]]="Prevalidated"),"In Process","")</f>
        <v>In Process</v>
      </c>
      <c r="AZ4" s="40" t="str">
        <f>IF(AND(_01towers[[#This Row],[Active TSS Result]]="Approved",_01towers[[#This Row],[Active Prevalidation Status]]="Prevalidated"),_01towers[[#This Row],[10colo_app.Colo_App_Result]],"")</f>
        <v>Approved</v>
      </c>
      <c r="BA4" s="40">
        <f>COUNTIF(_20work_order[05_id],_01towers[[#This Row],[05_id]])</f>
        <v>0</v>
      </c>
      <c r="BB4" s="40">
        <f>COUNTIFS(_20work_order[05_id],_01towers[[#This Row],[05_id]],_20work_order[Actual_End],"&gt;0")</f>
        <v>0</v>
      </c>
      <c r="BC4" s="40" t="str">
        <f>IF(_01towers[[#This Row],[Completed Work Orders]]&gt;0,"Work Completed",
IF(_01towers[[#This Row],[Count Work Orders]]&gt;0,"Work in Progress",""))</f>
        <v/>
      </c>
      <c r="BD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4" s="40" t="str">
        <f>_xlfn.SWITCH(_01towers[[#This Row],[Final Colo Status full]],"Commercial Approval Requested","Under Prevalidation",_01towers[[#This Row],[Final Colo Status full]])</f>
        <v>Colo Application Approved</v>
      </c>
    </row>
    <row r="5" spans="1:57" hidden="1" x14ac:dyDescent="0.35">
      <c r="A5" s="40" t="s">
        <v>68</v>
      </c>
      <c r="B5" s="40" t="s">
        <v>50</v>
      </c>
      <c r="C5" s="40" t="s">
        <v>51</v>
      </c>
      <c r="D5">
        <v>35</v>
      </c>
      <c r="E5" s="40" t="s">
        <v>66</v>
      </c>
      <c r="F5">
        <v>96.064970000000002</v>
      </c>
      <c r="G5">
        <v>21.969259999999998</v>
      </c>
      <c r="H5" s="40" t="s">
        <v>69</v>
      </c>
      <c r="I5">
        <v>4</v>
      </c>
      <c r="J5" s="40" t="s">
        <v>70</v>
      </c>
      <c r="K5" s="40" t="s">
        <v>55</v>
      </c>
      <c r="L5" s="40" t="s">
        <v>64</v>
      </c>
      <c r="M5" s="40" t="s">
        <v>57</v>
      </c>
      <c r="N5" s="40" t="s">
        <v>57</v>
      </c>
      <c r="O5" s="40" t="s">
        <v>57</v>
      </c>
      <c r="P5" s="40" t="s">
        <v>57</v>
      </c>
      <c r="Q5" s="40" t="s">
        <v>57</v>
      </c>
      <c r="R5" s="40" t="s">
        <v>57</v>
      </c>
      <c r="S5">
        <v>182</v>
      </c>
      <c r="T5">
        <v>1</v>
      </c>
      <c r="U5" s="1"/>
      <c r="V5" s="1"/>
      <c r="W5" s="1">
        <v>43223</v>
      </c>
      <c r="X5" s="1">
        <v>43223</v>
      </c>
      <c r="Y5" s="1"/>
      <c r="Z5" s="40" t="s">
        <v>59</v>
      </c>
      <c r="AA5">
        <v>181</v>
      </c>
      <c r="AB5">
        <v>1</v>
      </c>
      <c r="AC5" s="1">
        <v>43229</v>
      </c>
      <c r="AD5" s="40" t="s">
        <v>59</v>
      </c>
      <c r="AE5" s="1"/>
      <c r="AF5" s="1"/>
      <c r="AG5" s="1"/>
      <c r="AH5" s="40"/>
      <c r="AI5" s="1"/>
      <c r="AJ5" s="40">
        <f>_xlfn.MAXIFS(_01towers[02tss.Rev],_01towers[05_id],_01towers[[#This Row],[05_id]])</f>
        <v>1</v>
      </c>
      <c r="AK5" s="40" t="b">
        <f>IF(_01towers[[#This Row],[Count Rev TSS]]=_01towers[[#This Row],[02tss.Rev]],TRUE,FALSE)</f>
        <v>1</v>
      </c>
      <c r="AL5" s="40">
        <f>_xlfn.MAXIFS(_01towers[10colo_app.Rev],_01towers[05_id],_01towers[[#This Row],[05_id]])</f>
        <v>1</v>
      </c>
      <c r="AM5" s="40" t="b">
        <f>IF(_01towers[[#This Row],[Count Rev Colo App]]=_01towers[[#This Row],[10colo_app.Rev]],TRUE,FALSE)</f>
        <v>1</v>
      </c>
      <c r="AN5" s="40" t="b">
        <f>IF(AND(_01towers[[#This Row],[Test Rev Colo]]=TRUE,_01towers[[#This Row],[Test Rev TSS]]=TRUE),TRUE,FALSE)</f>
        <v>1</v>
      </c>
      <c r="AO5" s="40" t="str">
        <f>IF(_01towers[[#This Row],[Test Active]]=TRUE,_01towers[[#This Row],[Prevalidation Status]],"")</f>
        <v>Prevalidated</v>
      </c>
      <c r="AP5" s="40" t="str">
        <f>IF(_01towers[[#This Row],[Active Prevalidation Status]]="Under Prevalidation",
IF(M5="","Review",M5),"")</f>
        <v/>
      </c>
      <c r="AQ5" s="40" t="str">
        <f>IF(_01towers[[#This Row],[Active Prevalidation Status]]="Under Prevalidation",
IF(N5="","Review",N5),"")</f>
        <v/>
      </c>
      <c r="AR5" s="40" t="str">
        <f>IF(_01towers[[#This Row],[Active Prevalidation Status]]="Under Prevalidation",
IF(O5="","Review",O5),"")</f>
        <v/>
      </c>
      <c r="AS5" s="40" t="str">
        <f>IF(_01towers[[#This Row],[Active Prevalidation Status]]="Under Prevalidation",
IF(P5="","Review",P5),"")</f>
        <v/>
      </c>
      <c r="AT5" s="40" t="str">
        <f>IF(_01towers[[#This Row],[Active Prevalidation Status]]="Under Prevalidation",
IF(Q5="","Review",Q5),"")</f>
        <v/>
      </c>
      <c r="AU5" s="40" t="str">
        <f>IF(_01towers[[#This Row],[Active Prevalidation Status]]="Under Prevalidation",
IF(R5="","Review",R5),"")</f>
        <v/>
      </c>
      <c r="AV5" s="40">
        <f>COUNTIF(_01towers[[#This Row],[SAQ_Result2]:[Community_Result2]],"OK")</f>
        <v>0</v>
      </c>
      <c r="AW5" s="1" t="str">
        <f>IF(AND(OR(_01towers[[#This Row],[Active Prevalidation Status]]="Under Prevalidation",_01towers[[#This Row],[Active Prevalidation Status]]="Prevalidated"),_01towers[[#This Row],[02tss.TSSR_From_Engineer]]&gt;0),"Submitted","")</f>
        <v>Submitted</v>
      </c>
      <c r="AX5" s="40" t="str">
        <f>IF(OR(_01towers[[#This Row],[Active Prevalidation Status]]="Under Prevalidation",_01towers[[#This Row],[Active Prevalidation Status]]="Prevalidated"),_01towers[[#This Row],[02tss.TSS_Result]],"")</f>
        <v>Approved</v>
      </c>
      <c r="AY5" s="40" t="str">
        <f>IF(AND(_01towers[[#This Row],[Active TSS Result]]="Approved",_01towers[[#This Row],[Active Prevalidation Status]]="Prevalidated"),"In Process","")</f>
        <v>In Process</v>
      </c>
      <c r="AZ5" s="40" t="str">
        <f>IF(AND(_01towers[[#This Row],[Active TSS Result]]="Approved",_01towers[[#This Row],[Active Prevalidation Status]]="Prevalidated"),_01towers[[#This Row],[10colo_app.Colo_App_Result]],"")</f>
        <v>Approved</v>
      </c>
      <c r="BA5" s="40">
        <f>COUNTIF(_20work_order[05_id],_01towers[[#This Row],[05_id]])</f>
        <v>0</v>
      </c>
      <c r="BB5" s="40">
        <f>COUNTIFS(_20work_order[05_id],_01towers[[#This Row],[05_id]],_20work_order[Actual_End],"&gt;0")</f>
        <v>0</v>
      </c>
      <c r="BC5" s="40" t="str">
        <f>IF(_01towers[[#This Row],[Completed Work Orders]]&gt;0,"Work Completed",
IF(_01towers[[#This Row],[Count Work Orders]]&gt;0,"Work in Progress",""))</f>
        <v/>
      </c>
      <c r="BD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5" s="40" t="str">
        <f>_xlfn.SWITCH(_01towers[[#This Row],[Final Colo Status full]],"Commercial Approval Requested","Under Prevalidation",_01towers[[#This Row],[Final Colo Status full]])</f>
        <v>Colo Application Approved</v>
      </c>
    </row>
    <row r="6" spans="1:57" hidden="1" x14ac:dyDescent="0.35">
      <c r="A6" s="40" t="s">
        <v>71</v>
      </c>
      <c r="B6" s="40" t="s">
        <v>50</v>
      </c>
      <c r="C6" s="40" t="s">
        <v>72</v>
      </c>
      <c r="D6">
        <v>30</v>
      </c>
      <c r="E6" s="40" t="s">
        <v>66</v>
      </c>
      <c r="F6">
        <v>94.912430000000001</v>
      </c>
      <c r="G6">
        <v>21.196280000000002</v>
      </c>
      <c r="H6" s="40" t="s">
        <v>53</v>
      </c>
      <c r="I6">
        <v>5</v>
      </c>
      <c r="J6" s="40" t="s">
        <v>73</v>
      </c>
      <c r="K6" s="40" t="s">
        <v>55</v>
      </c>
      <c r="L6" s="40" t="s">
        <v>74</v>
      </c>
      <c r="M6" s="40" t="s">
        <v>57</v>
      </c>
      <c r="N6" s="40" t="s">
        <v>57</v>
      </c>
      <c r="O6" s="40" t="s">
        <v>75</v>
      </c>
      <c r="P6" s="40" t="s">
        <v>57</v>
      </c>
      <c r="Q6" s="40"/>
      <c r="R6" s="40" t="s">
        <v>57</v>
      </c>
      <c r="S6">
        <v>183</v>
      </c>
      <c r="T6">
        <v>1</v>
      </c>
      <c r="U6" s="1"/>
      <c r="V6" s="1"/>
      <c r="W6" s="1"/>
      <c r="X6" s="1"/>
      <c r="Y6" s="1"/>
      <c r="Z6" s="40"/>
      <c r="AA6">
        <v>182</v>
      </c>
      <c r="AB6">
        <v>1</v>
      </c>
      <c r="AC6" s="1"/>
      <c r="AD6" s="40"/>
      <c r="AE6" s="1"/>
      <c r="AF6" s="1"/>
      <c r="AG6" s="1"/>
      <c r="AH6" s="40"/>
      <c r="AI6" s="1"/>
      <c r="AJ6" s="40">
        <f>_xlfn.MAXIFS(_01towers[02tss.Rev],_01towers[05_id],_01towers[[#This Row],[05_id]])</f>
        <v>1</v>
      </c>
      <c r="AK6" s="40" t="b">
        <f>IF(_01towers[[#This Row],[Count Rev TSS]]=_01towers[[#This Row],[02tss.Rev]],TRUE,FALSE)</f>
        <v>1</v>
      </c>
      <c r="AL6" s="40">
        <f>_xlfn.MAXIFS(_01towers[10colo_app.Rev],_01towers[05_id],_01towers[[#This Row],[05_id]])</f>
        <v>1</v>
      </c>
      <c r="AM6" s="40" t="b">
        <f>IF(_01towers[[#This Row],[Count Rev Colo App]]=_01towers[[#This Row],[10colo_app.Rev]],TRUE,FALSE)</f>
        <v>1</v>
      </c>
      <c r="AN6" s="40" t="b">
        <f>IF(AND(_01towers[[#This Row],[Test Rev Colo]]=TRUE,_01towers[[#This Row],[Test Rev TSS]]=TRUE),TRUE,FALSE)</f>
        <v>1</v>
      </c>
      <c r="AO6" s="40" t="str">
        <f>IF(_01towers[[#This Row],[Test Active]]=TRUE,_01towers[[#This Row],[Prevalidation Status]],"")</f>
        <v>Prevalidation Rejected</v>
      </c>
      <c r="AP6" s="40" t="str">
        <f>IF(_01towers[[#This Row],[Active Prevalidation Status]]="Under Prevalidation",
IF(M6="","Review",M6),"")</f>
        <v/>
      </c>
      <c r="AQ6" s="40" t="str">
        <f>IF(_01towers[[#This Row],[Active Prevalidation Status]]="Under Prevalidation",
IF(N6="","Review",N6),"")</f>
        <v/>
      </c>
      <c r="AR6" s="40" t="str">
        <f>IF(_01towers[[#This Row],[Active Prevalidation Status]]="Under Prevalidation",
IF(O6="","Review",O6),"")</f>
        <v/>
      </c>
      <c r="AS6" s="40" t="str">
        <f>IF(_01towers[[#This Row],[Active Prevalidation Status]]="Under Prevalidation",
IF(P6="","Review",P6),"")</f>
        <v/>
      </c>
      <c r="AT6" s="40" t="str">
        <f>IF(_01towers[[#This Row],[Active Prevalidation Status]]="Under Prevalidation",
IF(Q6="","Review",Q6),"")</f>
        <v/>
      </c>
      <c r="AU6" s="40" t="str">
        <f>IF(_01towers[[#This Row],[Active Prevalidation Status]]="Under Prevalidation",
IF(R6="","Review",R6),"")</f>
        <v/>
      </c>
      <c r="AV6" s="40">
        <f>COUNTIF(_01towers[[#This Row],[SAQ_Result2]:[Community_Result2]],"OK")</f>
        <v>0</v>
      </c>
      <c r="AW6" s="1" t="str">
        <f>IF(AND(OR(_01towers[[#This Row],[Active Prevalidation Status]]="Under Prevalidation",_01towers[[#This Row],[Active Prevalidation Status]]="Prevalidated"),_01towers[[#This Row],[02tss.TSSR_From_Engineer]]&gt;0),"Submitted","")</f>
        <v/>
      </c>
      <c r="AX6" s="40" t="str">
        <f>IF(OR(_01towers[[#This Row],[Active Prevalidation Status]]="Under Prevalidation",_01towers[[#This Row],[Active Prevalidation Status]]="Prevalidated"),_01towers[[#This Row],[02tss.TSS_Result]],"")</f>
        <v/>
      </c>
      <c r="AY6" s="40" t="str">
        <f>IF(AND(_01towers[[#This Row],[Active TSS Result]]="Approved",_01towers[[#This Row],[Active Prevalidation Status]]="Prevalidated"),"In Process","")</f>
        <v/>
      </c>
      <c r="AZ6" s="40" t="str">
        <f>IF(AND(_01towers[[#This Row],[Active TSS Result]]="Approved",_01towers[[#This Row],[Active Prevalidation Status]]="Prevalidated"),_01towers[[#This Row],[10colo_app.Colo_App_Result]],"")</f>
        <v/>
      </c>
      <c r="BA6" s="40">
        <f>COUNTIF(_20work_order[05_id],_01towers[[#This Row],[05_id]])</f>
        <v>0</v>
      </c>
      <c r="BB6" s="40">
        <f>COUNTIFS(_20work_order[05_id],_01towers[[#This Row],[05_id]],_20work_order[Actual_End],"&gt;0")</f>
        <v>0</v>
      </c>
      <c r="BC6" s="40" t="str">
        <f>IF(_01towers[[#This Row],[Completed Work Orders]]&gt;0,"Work Completed",
IF(_01towers[[#This Row],[Count Work Orders]]&gt;0,"Work in Progress",""))</f>
        <v/>
      </c>
      <c r="BD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6" s="40" t="str">
        <f>_xlfn.SWITCH(_01towers[[#This Row],[Final Colo Status full]],"Commercial Approval Requested","Under Prevalidation",_01towers[[#This Row],[Final Colo Status full]])</f>
        <v>Prevalidation Rejected</v>
      </c>
    </row>
    <row r="7" spans="1:57" hidden="1" x14ac:dyDescent="0.35">
      <c r="A7" s="40" t="s">
        <v>76</v>
      </c>
      <c r="B7" s="40" t="s">
        <v>50</v>
      </c>
      <c r="C7" s="40" t="s">
        <v>51</v>
      </c>
      <c r="D7">
        <v>60</v>
      </c>
      <c r="E7" s="40" t="s">
        <v>66</v>
      </c>
      <c r="F7">
        <v>96.434119999999993</v>
      </c>
      <c r="G7">
        <v>22.00591</v>
      </c>
      <c r="H7" s="40" t="s">
        <v>53</v>
      </c>
      <c r="I7">
        <v>6</v>
      </c>
      <c r="J7" s="40" t="s">
        <v>77</v>
      </c>
      <c r="K7" s="40" t="s">
        <v>55</v>
      </c>
      <c r="L7" s="40" t="s">
        <v>64</v>
      </c>
      <c r="M7" s="40" t="s">
        <v>57</v>
      </c>
      <c r="N7" s="40" t="s">
        <v>57</v>
      </c>
      <c r="O7" s="40" t="s">
        <v>57</v>
      </c>
      <c r="P7" s="40" t="s">
        <v>57</v>
      </c>
      <c r="Q7" s="40" t="s">
        <v>57</v>
      </c>
      <c r="R7" s="40" t="s">
        <v>57</v>
      </c>
      <c r="S7">
        <v>184</v>
      </c>
      <c r="T7">
        <v>1</v>
      </c>
      <c r="U7" s="1"/>
      <c r="V7" s="1"/>
      <c r="W7" s="1">
        <v>43223</v>
      </c>
      <c r="X7" s="1">
        <v>43223</v>
      </c>
      <c r="Y7" s="1"/>
      <c r="Z7" s="40" t="s">
        <v>59</v>
      </c>
      <c r="AA7">
        <v>183</v>
      </c>
      <c r="AB7">
        <v>1</v>
      </c>
      <c r="AC7" s="1">
        <v>43229</v>
      </c>
      <c r="AD7" s="40" t="s">
        <v>59</v>
      </c>
      <c r="AE7" s="1"/>
      <c r="AF7" s="1"/>
      <c r="AG7" s="1"/>
      <c r="AH7" s="40"/>
      <c r="AI7" s="1"/>
      <c r="AJ7" s="40">
        <f>_xlfn.MAXIFS(_01towers[02tss.Rev],_01towers[05_id],_01towers[[#This Row],[05_id]])</f>
        <v>1</v>
      </c>
      <c r="AK7" s="40" t="b">
        <f>IF(_01towers[[#This Row],[Count Rev TSS]]=_01towers[[#This Row],[02tss.Rev]],TRUE,FALSE)</f>
        <v>1</v>
      </c>
      <c r="AL7" s="40">
        <f>_xlfn.MAXIFS(_01towers[10colo_app.Rev],_01towers[05_id],_01towers[[#This Row],[05_id]])</f>
        <v>1</v>
      </c>
      <c r="AM7" s="40" t="b">
        <f>IF(_01towers[[#This Row],[Count Rev Colo App]]=_01towers[[#This Row],[10colo_app.Rev]],TRUE,FALSE)</f>
        <v>1</v>
      </c>
      <c r="AN7" s="40" t="b">
        <f>IF(AND(_01towers[[#This Row],[Test Rev Colo]]=TRUE,_01towers[[#This Row],[Test Rev TSS]]=TRUE),TRUE,FALSE)</f>
        <v>1</v>
      </c>
      <c r="AO7" s="40" t="str">
        <f>IF(_01towers[[#This Row],[Test Active]]=TRUE,_01towers[[#This Row],[Prevalidation Status]],"")</f>
        <v>Prevalidated</v>
      </c>
      <c r="AP7" s="40" t="str">
        <f>IF(_01towers[[#This Row],[Active Prevalidation Status]]="Under Prevalidation",
IF(M7="","Review",M7),"")</f>
        <v/>
      </c>
      <c r="AQ7" s="40" t="str">
        <f>IF(_01towers[[#This Row],[Active Prevalidation Status]]="Under Prevalidation",
IF(N7="","Review",N7),"")</f>
        <v/>
      </c>
      <c r="AR7" s="40" t="str">
        <f>IF(_01towers[[#This Row],[Active Prevalidation Status]]="Under Prevalidation",
IF(O7="","Review",O7),"")</f>
        <v/>
      </c>
      <c r="AS7" s="40" t="str">
        <f>IF(_01towers[[#This Row],[Active Prevalidation Status]]="Under Prevalidation",
IF(P7="","Review",P7),"")</f>
        <v/>
      </c>
      <c r="AT7" s="40" t="str">
        <f>IF(_01towers[[#This Row],[Active Prevalidation Status]]="Under Prevalidation",
IF(Q7="","Review",Q7),"")</f>
        <v/>
      </c>
      <c r="AU7" s="40" t="str">
        <f>IF(_01towers[[#This Row],[Active Prevalidation Status]]="Under Prevalidation",
IF(R7="","Review",R7),"")</f>
        <v/>
      </c>
      <c r="AV7" s="40">
        <f>COUNTIF(_01towers[[#This Row],[SAQ_Result2]:[Community_Result2]],"OK")</f>
        <v>0</v>
      </c>
      <c r="AW7" s="1" t="str">
        <f>IF(AND(OR(_01towers[[#This Row],[Active Prevalidation Status]]="Under Prevalidation",_01towers[[#This Row],[Active Prevalidation Status]]="Prevalidated"),_01towers[[#This Row],[02tss.TSSR_From_Engineer]]&gt;0),"Submitted","")</f>
        <v>Submitted</v>
      </c>
      <c r="AX7" s="40" t="str">
        <f>IF(OR(_01towers[[#This Row],[Active Prevalidation Status]]="Under Prevalidation",_01towers[[#This Row],[Active Prevalidation Status]]="Prevalidated"),_01towers[[#This Row],[02tss.TSS_Result]],"")</f>
        <v>Approved</v>
      </c>
      <c r="AY7" s="40" t="str">
        <f>IF(AND(_01towers[[#This Row],[Active TSS Result]]="Approved",_01towers[[#This Row],[Active Prevalidation Status]]="Prevalidated"),"In Process","")</f>
        <v>In Process</v>
      </c>
      <c r="AZ7" s="40" t="str">
        <f>IF(AND(_01towers[[#This Row],[Active TSS Result]]="Approved",_01towers[[#This Row],[Active Prevalidation Status]]="Prevalidated"),_01towers[[#This Row],[10colo_app.Colo_App_Result]],"")</f>
        <v>Approved</v>
      </c>
      <c r="BA7" s="40">
        <f>COUNTIF(_20work_order[05_id],_01towers[[#This Row],[05_id]])</f>
        <v>0</v>
      </c>
      <c r="BB7" s="40">
        <f>COUNTIFS(_20work_order[05_id],_01towers[[#This Row],[05_id]],_20work_order[Actual_End],"&gt;0")</f>
        <v>0</v>
      </c>
      <c r="BC7" s="40" t="str">
        <f>IF(_01towers[[#This Row],[Completed Work Orders]]&gt;0,"Work Completed",
IF(_01towers[[#This Row],[Count Work Orders]]&gt;0,"Work in Progress",""))</f>
        <v/>
      </c>
      <c r="BD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7" s="40" t="str">
        <f>_xlfn.SWITCH(_01towers[[#This Row],[Final Colo Status full]],"Commercial Approval Requested","Under Prevalidation",_01towers[[#This Row],[Final Colo Status full]])</f>
        <v>Colo Application Approved</v>
      </c>
    </row>
    <row r="8" spans="1:57" hidden="1" x14ac:dyDescent="0.35">
      <c r="A8" s="40" t="s">
        <v>78</v>
      </c>
      <c r="B8" s="40" t="s">
        <v>50</v>
      </c>
      <c r="C8" s="40" t="s">
        <v>51</v>
      </c>
      <c r="D8">
        <v>45</v>
      </c>
      <c r="E8" s="40" t="s">
        <v>79</v>
      </c>
      <c r="F8">
        <v>95.103070000000002</v>
      </c>
      <c r="G8">
        <v>22.2178</v>
      </c>
      <c r="H8" s="40" t="s">
        <v>53</v>
      </c>
      <c r="I8">
        <v>7</v>
      </c>
      <c r="J8" s="40" t="s">
        <v>80</v>
      </c>
      <c r="K8" s="40" t="s">
        <v>55</v>
      </c>
      <c r="L8" s="40" t="s">
        <v>64</v>
      </c>
      <c r="M8" s="40" t="s">
        <v>57</v>
      </c>
      <c r="N8" s="40" t="s">
        <v>57</v>
      </c>
      <c r="O8" s="40" t="s">
        <v>57</v>
      </c>
      <c r="P8" s="40" t="s">
        <v>57</v>
      </c>
      <c r="Q8" s="40" t="s">
        <v>57</v>
      </c>
      <c r="R8" s="40" t="s">
        <v>57</v>
      </c>
      <c r="S8">
        <v>185</v>
      </c>
      <c r="T8">
        <v>1</v>
      </c>
      <c r="U8" s="1"/>
      <c r="V8" s="1"/>
      <c r="W8" s="1">
        <v>43223</v>
      </c>
      <c r="X8" s="1">
        <v>43223</v>
      </c>
      <c r="Y8" s="1"/>
      <c r="Z8" s="40" t="s">
        <v>59</v>
      </c>
      <c r="AA8">
        <v>184</v>
      </c>
      <c r="AB8">
        <v>1</v>
      </c>
      <c r="AC8" s="1">
        <v>43229</v>
      </c>
      <c r="AD8" s="40" t="s">
        <v>59</v>
      </c>
      <c r="AE8" s="1"/>
      <c r="AF8" s="1"/>
      <c r="AG8" s="1"/>
      <c r="AH8" s="40"/>
      <c r="AI8" s="1"/>
      <c r="AJ8" s="40">
        <f>_xlfn.MAXIFS(_01towers[02tss.Rev],_01towers[05_id],_01towers[[#This Row],[05_id]])</f>
        <v>1</v>
      </c>
      <c r="AK8" s="40" t="b">
        <f>IF(_01towers[[#This Row],[Count Rev TSS]]=_01towers[[#This Row],[02tss.Rev]],TRUE,FALSE)</f>
        <v>1</v>
      </c>
      <c r="AL8" s="40">
        <f>_xlfn.MAXIFS(_01towers[10colo_app.Rev],_01towers[05_id],_01towers[[#This Row],[05_id]])</f>
        <v>1</v>
      </c>
      <c r="AM8" s="40" t="b">
        <f>IF(_01towers[[#This Row],[Count Rev Colo App]]=_01towers[[#This Row],[10colo_app.Rev]],TRUE,FALSE)</f>
        <v>1</v>
      </c>
      <c r="AN8" s="40" t="b">
        <f>IF(AND(_01towers[[#This Row],[Test Rev Colo]]=TRUE,_01towers[[#This Row],[Test Rev TSS]]=TRUE),TRUE,FALSE)</f>
        <v>1</v>
      </c>
      <c r="AO8" s="40" t="str">
        <f>IF(_01towers[[#This Row],[Test Active]]=TRUE,_01towers[[#This Row],[Prevalidation Status]],"")</f>
        <v>Prevalidated</v>
      </c>
      <c r="AP8" s="40" t="str">
        <f>IF(_01towers[[#This Row],[Active Prevalidation Status]]="Under Prevalidation",
IF(M8="","Review",M8),"")</f>
        <v/>
      </c>
      <c r="AQ8" s="40" t="str">
        <f>IF(_01towers[[#This Row],[Active Prevalidation Status]]="Under Prevalidation",
IF(N8="","Review",N8),"")</f>
        <v/>
      </c>
      <c r="AR8" s="40" t="str">
        <f>IF(_01towers[[#This Row],[Active Prevalidation Status]]="Under Prevalidation",
IF(O8="","Review",O8),"")</f>
        <v/>
      </c>
      <c r="AS8" s="40" t="str">
        <f>IF(_01towers[[#This Row],[Active Prevalidation Status]]="Under Prevalidation",
IF(P8="","Review",P8),"")</f>
        <v/>
      </c>
      <c r="AT8" s="40" t="str">
        <f>IF(_01towers[[#This Row],[Active Prevalidation Status]]="Under Prevalidation",
IF(Q8="","Review",Q8),"")</f>
        <v/>
      </c>
      <c r="AU8" s="40" t="str">
        <f>IF(_01towers[[#This Row],[Active Prevalidation Status]]="Under Prevalidation",
IF(R8="","Review",R8),"")</f>
        <v/>
      </c>
      <c r="AV8" s="40">
        <f>COUNTIF(_01towers[[#This Row],[SAQ_Result2]:[Community_Result2]],"OK")</f>
        <v>0</v>
      </c>
      <c r="AW8" s="1" t="str">
        <f>IF(AND(OR(_01towers[[#This Row],[Active Prevalidation Status]]="Under Prevalidation",_01towers[[#This Row],[Active Prevalidation Status]]="Prevalidated"),_01towers[[#This Row],[02tss.TSSR_From_Engineer]]&gt;0),"Submitted","")</f>
        <v>Submitted</v>
      </c>
      <c r="AX8" s="40" t="str">
        <f>IF(OR(_01towers[[#This Row],[Active Prevalidation Status]]="Under Prevalidation",_01towers[[#This Row],[Active Prevalidation Status]]="Prevalidated"),_01towers[[#This Row],[02tss.TSS_Result]],"")</f>
        <v>Approved</v>
      </c>
      <c r="AY8" s="40" t="str">
        <f>IF(AND(_01towers[[#This Row],[Active TSS Result]]="Approved",_01towers[[#This Row],[Active Prevalidation Status]]="Prevalidated"),"In Process","")</f>
        <v>In Process</v>
      </c>
      <c r="AZ8" s="40" t="str">
        <f>IF(AND(_01towers[[#This Row],[Active TSS Result]]="Approved",_01towers[[#This Row],[Active Prevalidation Status]]="Prevalidated"),_01towers[[#This Row],[10colo_app.Colo_App_Result]],"")</f>
        <v>Approved</v>
      </c>
      <c r="BA8" s="40">
        <f>COUNTIF(_20work_order[05_id],_01towers[[#This Row],[05_id]])</f>
        <v>0</v>
      </c>
      <c r="BB8" s="40">
        <f>COUNTIFS(_20work_order[05_id],_01towers[[#This Row],[05_id]],_20work_order[Actual_End],"&gt;0")</f>
        <v>0</v>
      </c>
      <c r="BC8" s="40" t="str">
        <f>IF(_01towers[[#This Row],[Completed Work Orders]]&gt;0,"Work Completed",
IF(_01towers[[#This Row],[Count Work Orders]]&gt;0,"Work in Progress",""))</f>
        <v/>
      </c>
      <c r="BD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8" s="40" t="str">
        <f>_xlfn.SWITCH(_01towers[[#This Row],[Final Colo Status full]],"Commercial Approval Requested","Under Prevalidation",_01towers[[#This Row],[Final Colo Status full]])</f>
        <v>Colo Application Approved</v>
      </c>
    </row>
    <row r="9" spans="1:57" hidden="1" x14ac:dyDescent="0.35">
      <c r="A9" s="40" t="s">
        <v>81</v>
      </c>
      <c r="B9" s="40" t="s">
        <v>50</v>
      </c>
      <c r="C9" s="40" t="s">
        <v>82</v>
      </c>
      <c r="D9">
        <v>6</v>
      </c>
      <c r="E9" s="40" t="s">
        <v>79</v>
      </c>
      <c r="F9">
        <v>95.136480000000006</v>
      </c>
      <c r="G9">
        <v>22.108139999999999</v>
      </c>
      <c r="H9" s="40" t="s">
        <v>69</v>
      </c>
      <c r="I9">
        <v>8</v>
      </c>
      <c r="J9" s="40" t="s">
        <v>83</v>
      </c>
      <c r="K9" s="40" t="s">
        <v>55</v>
      </c>
      <c r="L9" s="40" t="s">
        <v>74</v>
      </c>
      <c r="M9" s="40" t="s">
        <v>57</v>
      </c>
      <c r="N9" s="40"/>
      <c r="O9" s="40" t="s">
        <v>75</v>
      </c>
      <c r="P9" s="40" t="s">
        <v>57</v>
      </c>
      <c r="Q9" s="40"/>
      <c r="R9" s="40" t="s">
        <v>57</v>
      </c>
      <c r="S9">
        <v>186</v>
      </c>
      <c r="T9">
        <v>1</v>
      </c>
      <c r="U9" s="1"/>
      <c r="V9" s="1"/>
      <c r="W9" s="1"/>
      <c r="X9" s="1"/>
      <c r="Y9" s="1"/>
      <c r="Z9" s="40"/>
      <c r="AA9">
        <v>185</v>
      </c>
      <c r="AB9">
        <v>1</v>
      </c>
      <c r="AC9" s="1"/>
      <c r="AD9" s="40"/>
      <c r="AE9" s="1"/>
      <c r="AF9" s="1"/>
      <c r="AG9" s="1"/>
      <c r="AH9" s="40"/>
      <c r="AI9" s="1"/>
      <c r="AJ9" s="40">
        <f>_xlfn.MAXIFS(_01towers[02tss.Rev],_01towers[05_id],_01towers[[#This Row],[05_id]])</f>
        <v>1</v>
      </c>
      <c r="AK9" s="40" t="b">
        <f>IF(_01towers[[#This Row],[Count Rev TSS]]=_01towers[[#This Row],[02tss.Rev]],TRUE,FALSE)</f>
        <v>1</v>
      </c>
      <c r="AL9" s="40">
        <f>_xlfn.MAXIFS(_01towers[10colo_app.Rev],_01towers[05_id],_01towers[[#This Row],[05_id]])</f>
        <v>1</v>
      </c>
      <c r="AM9" s="40" t="b">
        <f>IF(_01towers[[#This Row],[Count Rev Colo App]]=_01towers[[#This Row],[10colo_app.Rev]],TRUE,FALSE)</f>
        <v>1</v>
      </c>
      <c r="AN9" s="40" t="b">
        <f>IF(AND(_01towers[[#This Row],[Test Rev Colo]]=TRUE,_01towers[[#This Row],[Test Rev TSS]]=TRUE),TRUE,FALSE)</f>
        <v>1</v>
      </c>
      <c r="AO9" s="40" t="str">
        <f>IF(_01towers[[#This Row],[Test Active]]=TRUE,_01towers[[#This Row],[Prevalidation Status]],"")</f>
        <v>Prevalidation Rejected</v>
      </c>
      <c r="AP9" s="40" t="str">
        <f>IF(_01towers[[#This Row],[Active Prevalidation Status]]="Under Prevalidation",
IF(M9="","Review",M9),"")</f>
        <v/>
      </c>
      <c r="AQ9" s="40" t="str">
        <f>IF(_01towers[[#This Row],[Active Prevalidation Status]]="Under Prevalidation",
IF(N9="","Review",N9),"")</f>
        <v/>
      </c>
      <c r="AR9" s="40" t="str">
        <f>IF(_01towers[[#This Row],[Active Prevalidation Status]]="Under Prevalidation",
IF(O9="","Review",O9),"")</f>
        <v/>
      </c>
      <c r="AS9" s="40" t="str">
        <f>IF(_01towers[[#This Row],[Active Prevalidation Status]]="Under Prevalidation",
IF(P9="","Review",P9),"")</f>
        <v/>
      </c>
      <c r="AT9" s="40" t="str">
        <f>IF(_01towers[[#This Row],[Active Prevalidation Status]]="Under Prevalidation",
IF(Q9="","Review",Q9),"")</f>
        <v/>
      </c>
      <c r="AU9" s="40" t="str">
        <f>IF(_01towers[[#This Row],[Active Prevalidation Status]]="Under Prevalidation",
IF(R9="","Review",R9),"")</f>
        <v/>
      </c>
      <c r="AV9" s="40">
        <f>COUNTIF(_01towers[[#This Row],[SAQ_Result2]:[Community_Result2]],"OK")</f>
        <v>0</v>
      </c>
      <c r="AW9" s="1" t="str">
        <f>IF(AND(OR(_01towers[[#This Row],[Active Prevalidation Status]]="Under Prevalidation",_01towers[[#This Row],[Active Prevalidation Status]]="Prevalidated"),_01towers[[#This Row],[02tss.TSSR_From_Engineer]]&gt;0),"Submitted","")</f>
        <v/>
      </c>
      <c r="AX9" s="40" t="str">
        <f>IF(OR(_01towers[[#This Row],[Active Prevalidation Status]]="Under Prevalidation",_01towers[[#This Row],[Active Prevalidation Status]]="Prevalidated"),_01towers[[#This Row],[02tss.TSS_Result]],"")</f>
        <v/>
      </c>
      <c r="AY9" s="40" t="str">
        <f>IF(AND(_01towers[[#This Row],[Active TSS Result]]="Approved",_01towers[[#This Row],[Active Prevalidation Status]]="Prevalidated"),"In Process","")</f>
        <v/>
      </c>
      <c r="AZ9" s="40" t="str">
        <f>IF(AND(_01towers[[#This Row],[Active TSS Result]]="Approved",_01towers[[#This Row],[Active Prevalidation Status]]="Prevalidated"),_01towers[[#This Row],[10colo_app.Colo_App_Result]],"")</f>
        <v/>
      </c>
      <c r="BA9" s="40">
        <f>COUNTIF(_20work_order[05_id],_01towers[[#This Row],[05_id]])</f>
        <v>0</v>
      </c>
      <c r="BB9" s="40">
        <f>COUNTIFS(_20work_order[05_id],_01towers[[#This Row],[05_id]],_20work_order[Actual_End],"&gt;0")</f>
        <v>0</v>
      </c>
      <c r="BC9" s="40" t="str">
        <f>IF(_01towers[[#This Row],[Completed Work Orders]]&gt;0,"Work Completed",
IF(_01towers[[#This Row],[Count Work Orders]]&gt;0,"Work in Progress",""))</f>
        <v/>
      </c>
      <c r="BD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9" s="40" t="str">
        <f>_xlfn.SWITCH(_01towers[[#This Row],[Final Colo Status full]],"Commercial Approval Requested","Under Prevalidation",_01towers[[#This Row],[Final Colo Status full]])</f>
        <v>Prevalidation Rejected</v>
      </c>
    </row>
    <row r="10" spans="1:57" hidden="1" x14ac:dyDescent="0.35">
      <c r="A10" s="40" t="s">
        <v>84</v>
      </c>
      <c r="B10" s="40" t="s">
        <v>85</v>
      </c>
      <c r="C10" s="40" t="s">
        <v>51</v>
      </c>
      <c r="D10">
        <v>40</v>
      </c>
      <c r="E10" s="40" t="s">
        <v>86</v>
      </c>
      <c r="F10">
        <v>99.934402000000006</v>
      </c>
      <c r="G10">
        <v>20.475977</v>
      </c>
      <c r="H10" s="40" t="s">
        <v>87</v>
      </c>
      <c r="I10">
        <v>9</v>
      </c>
      <c r="J10" s="40" t="s">
        <v>88</v>
      </c>
      <c r="K10" s="40" t="s">
        <v>55</v>
      </c>
      <c r="L10" s="40" t="s">
        <v>64</v>
      </c>
      <c r="M10" s="40" t="s">
        <v>57</v>
      </c>
      <c r="N10" s="40" t="s">
        <v>57</v>
      </c>
      <c r="O10" s="40" t="s">
        <v>57</v>
      </c>
      <c r="P10" s="40" t="s">
        <v>57</v>
      </c>
      <c r="Q10" s="40" t="s">
        <v>57</v>
      </c>
      <c r="R10" s="40" t="s">
        <v>57</v>
      </c>
      <c r="S10">
        <v>187</v>
      </c>
      <c r="T10">
        <v>1</v>
      </c>
      <c r="U10" s="1"/>
      <c r="V10" s="1"/>
      <c r="W10" s="1"/>
      <c r="X10" s="1"/>
      <c r="Y10" s="1"/>
      <c r="Z10" s="40"/>
      <c r="AA10">
        <v>186</v>
      </c>
      <c r="AB10">
        <v>1</v>
      </c>
      <c r="AC10" s="1"/>
      <c r="AD10" s="40"/>
      <c r="AE10" s="1"/>
      <c r="AF10" s="1"/>
      <c r="AG10" s="1"/>
      <c r="AH10" s="40"/>
      <c r="AI10" s="1"/>
      <c r="AJ10" s="40">
        <f>_xlfn.MAXIFS(_01towers[02tss.Rev],_01towers[05_id],_01towers[[#This Row],[05_id]])</f>
        <v>1</v>
      </c>
      <c r="AK10" s="40" t="b">
        <f>IF(_01towers[[#This Row],[Count Rev TSS]]=_01towers[[#This Row],[02tss.Rev]],TRUE,FALSE)</f>
        <v>1</v>
      </c>
      <c r="AL10" s="40">
        <f>_xlfn.MAXIFS(_01towers[10colo_app.Rev],_01towers[05_id],_01towers[[#This Row],[05_id]])</f>
        <v>1</v>
      </c>
      <c r="AM10" s="40" t="b">
        <f>IF(_01towers[[#This Row],[Count Rev Colo App]]=_01towers[[#This Row],[10colo_app.Rev]],TRUE,FALSE)</f>
        <v>1</v>
      </c>
      <c r="AN10" s="40" t="b">
        <f>IF(AND(_01towers[[#This Row],[Test Rev Colo]]=TRUE,_01towers[[#This Row],[Test Rev TSS]]=TRUE),TRUE,FALSE)</f>
        <v>1</v>
      </c>
      <c r="AO10" s="40" t="str">
        <f>IF(_01towers[[#This Row],[Test Active]]=TRUE,_01towers[[#This Row],[Prevalidation Status]],"")</f>
        <v>Prevalidated</v>
      </c>
      <c r="AP10" s="40" t="str">
        <f>IF(_01towers[[#This Row],[Active Prevalidation Status]]="Under Prevalidation",
IF(M10="","Review",M10),"")</f>
        <v/>
      </c>
      <c r="AQ10" s="40" t="str">
        <f>IF(_01towers[[#This Row],[Active Prevalidation Status]]="Under Prevalidation",
IF(N10="","Review",N10),"")</f>
        <v/>
      </c>
      <c r="AR10" s="40" t="str">
        <f>IF(_01towers[[#This Row],[Active Prevalidation Status]]="Under Prevalidation",
IF(O10="","Review",O10),"")</f>
        <v/>
      </c>
      <c r="AS10" s="40" t="str">
        <f>IF(_01towers[[#This Row],[Active Prevalidation Status]]="Under Prevalidation",
IF(P10="","Review",P10),"")</f>
        <v/>
      </c>
      <c r="AT10" s="40" t="str">
        <f>IF(_01towers[[#This Row],[Active Prevalidation Status]]="Under Prevalidation",
IF(Q10="","Review",Q10),"")</f>
        <v/>
      </c>
      <c r="AU10" s="40" t="str">
        <f>IF(_01towers[[#This Row],[Active Prevalidation Status]]="Under Prevalidation",
IF(R10="","Review",R10),"")</f>
        <v/>
      </c>
      <c r="AV10" s="40">
        <f>COUNTIF(_01towers[[#This Row],[SAQ_Result2]:[Community_Result2]],"OK")</f>
        <v>0</v>
      </c>
      <c r="AW10" s="1" t="str">
        <f>IF(AND(OR(_01towers[[#This Row],[Active Prevalidation Status]]="Under Prevalidation",_01towers[[#This Row],[Active Prevalidation Status]]="Prevalidated"),_01towers[[#This Row],[02tss.TSSR_From_Engineer]]&gt;0),"Submitted","")</f>
        <v/>
      </c>
      <c r="AX10" s="40">
        <f>IF(OR(_01towers[[#This Row],[Active Prevalidation Status]]="Under Prevalidation",_01towers[[#This Row],[Active Prevalidation Status]]="Prevalidated"),_01towers[[#This Row],[02tss.TSS_Result]],"")</f>
        <v>0</v>
      </c>
      <c r="AY10" s="40" t="str">
        <f>IF(AND(_01towers[[#This Row],[Active TSS Result]]="Approved",_01towers[[#This Row],[Active Prevalidation Status]]="Prevalidated"),"In Process","")</f>
        <v/>
      </c>
      <c r="AZ10" s="40" t="str">
        <f>IF(AND(_01towers[[#This Row],[Active TSS Result]]="Approved",_01towers[[#This Row],[Active Prevalidation Status]]="Prevalidated"),_01towers[[#This Row],[10colo_app.Colo_App_Result]],"")</f>
        <v/>
      </c>
      <c r="BA10" s="40">
        <f>COUNTIF(_20work_order[05_id],_01towers[[#This Row],[05_id]])</f>
        <v>1</v>
      </c>
      <c r="BB10" s="40">
        <f>COUNTIFS(_20work_order[05_id],_01towers[[#This Row],[05_id]],_20work_order[Actual_End],"&gt;0")</f>
        <v>1</v>
      </c>
      <c r="BC10" s="40" t="str">
        <f>IF(_01towers[[#This Row],[Completed Work Orders]]&gt;0,"Work Completed",
IF(_01towers[[#This Row],[Count Work Orders]]&gt;0,"Work in Progress",""))</f>
        <v>Work Completed</v>
      </c>
      <c r="BD1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0" s="40" t="str">
        <f>_xlfn.SWITCH(_01towers[[#This Row],[Final Colo Status full]],"Commercial Approval Requested","Under Prevalidation",_01towers[[#This Row],[Final Colo Status full]])</f>
        <v>Prevalidated - TSSR in Process</v>
      </c>
    </row>
    <row r="11" spans="1:57" hidden="1" x14ac:dyDescent="0.35">
      <c r="A11" s="40" t="s">
        <v>89</v>
      </c>
      <c r="B11" s="40" t="s">
        <v>90</v>
      </c>
      <c r="C11" s="40" t="s">
        <v>51</v>
      </c>
      <c r="D11">
        <v>60</v>
      </c>
      <c r="E11" s="40" t="s">
        <v>91</v>
      </c>
      <c r="F11">
        <v>98.240530000000007</v>
      </c>
      <c r="G11">
        <v>16.557009999999998</v>
      </c>
      <c r="H11" s="40" t="s">
        <v>53</v>
      </c>
      <c r="I11">
        <v>10</v>
      </c>
      <c r="J11" s="40" t="s">
        <v>92</v>
      </c>
      <c r="K11" s="40" t="s">
        <v>55</v>
      </c>
      <c r="L11" s="40" t="s">
        <v>64</v>
      </c>
      <c r="M11" s="40" t="s">
        <v>57</v>
      </c>
      <c r="N11" s="40" t="s">
        <v>57</v>
      </c>
      <c r="O11" s="40" t="s">
        <v>57</v>
      </c>
      <c r="P11" s="40" t="s">
        <v>57</v>
      </c>
      <c r="Q11" s="40" t="s">
        <v>57</v>
      </c>
      <c r="R11" s="40" t="s">
        <v>57</v>
      </c>
      <c r="S11">
        <v>188</v>
      </c>
      <c r="T11">
        <v>1</v>
      </c>
      <c r="U11" s="1"/>
      <c r="V11" s="1"/>
      <c r="W11" s="1">
        <v>43223</v>
      </c>
      <c r="X11" s="1">
        <v>43223</v>
      </c>
      <c r="Y11" s="1"/>
      <c r="Z11" s="40" t="s">
        <v>59</v>
      </c>
      <c r="AA11">
        <v>187</v>
      </c>
      <c r="AB11">
        <v>1</v>
      </c>
      <c r="AC11" s="1">
        <v>43249</v>
      </c>
      <c r="AD11" s="40" t="s">
        <v>59</v>
      </c>
      <c r="AE11" s="1"/>
      <c r="AF11" s="1"/>
      <c r="AG11" s="1"/>
      <c r="AH11" s="40"/>
      <c r="AI11" s="1"/>
      <c r="AJ11" s="40">
        <f>_xlfn.MAXIFS(_01towers[02tss.Rev],_01towers[05_id],_01towers[[#This Row],[05_id]])</f>
        <v>1</v>
      </c>
      <c r="AK11" s="40" t="b">
        <f>IF(_01towers[[#This Row],[Count Rev TSS]]=_01towers[[#This Row],[02tss.Rev]],TRUE,FALSE)</f>
        <v>1</v>
      </c>
      <c r="AL11" s="40">
        <f>_xlfn.MAXIFS(_01towers[10colo_app.Rev],_01towers[05_id],_01towers[[#This Row],[05_id]])</f>
        <v>1</v>
      </c>
      <c r="AM11" s="40" t="b">
        <f>IF(_01towers[[#This Row],[Count Rev Colo App]]=_01towers[[#This Row],[10colo_app.Rev]],TRUE,FALSE)</f>
        <v>1</v>
      </c>
      <c r="AN11" s="40" t="b">
        <f>IF(AND(_01towers[[#This Row],[Test Rev Colo]]=TRUE,_01towers[[#This Row],[Test Rev TSS]]=TRUE),TRUE,FALSE)</f>
        <v>1</v>
      </c>
      <c r="AO11" s="40" t="str">
        <f>IF(_01towers[[#This Row],[Test Active]]=TRUE,_01towers[[#This Row],[Prevalidation Status]],"")</f>
        <v>Prevalidated</v>
      </c>
      <c r="AP11" s="40" t="str">
        <f>IF(_01towers[[#This Row],[Active Prevalidation Status]]="Under Prevalidation",
IF(M11="","Review",M11),"")</f>
        <v/>
      </c>
      <c r="AQ11" s="40" t="str">
        <f>IF(_01towers[[#This Row],[Active Prevalidation Status]]="Under Prevalidation",
IF(N11="","Review",N11),"")</f>
        <v/>
      </c>
      <c r="AR11" s="40" t="str">
        <f>IF(_01towers[[#This Row],[Active Prevalidation Status]]="Under Prevalidation",
IF(O11="","Review",O11),"")</f>
        <v/>
      </c>
      <c r="AS11" s="40" t="str">
        <f>IF(_01towers[[#This Row],[Active Prevalidation Status]]="Under Prevalidation",
IF(P11="","Review",P11),"")</f>
        <v/>
      </c>
      <c r="AT11" s="40" t="str">
        <f>IF(_01towers[[#This Row],[Active Prevalidation Status]]="Under Prevalidation",
IF(Q11="","Review",Q11),"")</f>
        <v/>
      </c>
      <c r="AU11" s="40" t="str">
        <f>IF(_01towers[[#This Row],[Active Prevalidation Status]]="Under Prevalidation",
IF(R11="","Review",R11),"")</f>
        <v/>
      </c>
      <c r="AV11" s="40">
        <f>COUNTIF(_01towers[[#This Row],[SAQ_Result2]:[Community_Result2]],"OK")</f>
        <v>0</v>
      </c>
      <c r="AW11" s="1" t="str">
        <f>IF(AND(OR(_01towers[[#This Row],[Active Prevalidation Status]]="Under Prevalidation",_01towers[[#This Row],[Active Prevalidation Status]]="Prevalidated"),_01towers[[#This Row],[02tss.TSSR_From_Engineer]]&gt;0),"Submitted","")</f>
        <v>Submitted</v>
      </c>
      <c r="AX11" s="40" t="str">
        <f>IF(OR(_01towers[[#This Row],[Active Prevalidation Status]]="Under Prevalidation",_01towers[[#This Row],[Active Prevalidation Status]]="Prevalidated"),_01towers[[#This Row],[02tss.TSS_Result]],"")</f>
        <v>Approved</v>
      </c>
      <c r="AY11" s="40" t="str">
        <f>IF(AND(_01towers[[#This Row],[Active TSS Result]]="Approved",_01towers[[#This Row],[Active Prevalidation Status]]="Prevalidated"),"In Process","")</f>
        <v>In Process</v>
      </c>
      <c r="AZ11" s="40" t="str">
        <f>IF(AND(_01towers[[#This Row],[Active TSS Result]]="Approved",_01towers[[#This Row],[Active Prevalidation Status]]="Prevalidated"),_01towers[[#This Row],[10colo_app.Colo_App_Result]],"")</f>
        <v>Approved</v>
      </c>
      <c r="BA11" s="40">
        <f>COUNTIF(_20work_order[05_id],_01towers[[#This Row],[05_id]])</f>
        <v>0</v>
      </c>
      <c r="BB11" s="40">
        <f>COUNTIFS(_20work_order[05_id],_01towers[[#This Row],[05_id]],_20work_order[Actual_End],"&gt;0")</f>
        <v>0</v>
      </c>
      <c r="BC11" s="40" t="str">
        <f>IF(_01towers[[#This Row],[Completed Work Orders]]&gt;0,"Work Completed",
IF(_01towers[[#This Row],[Count Work Orders]]&gt;0,"Work in Progress",""))</f>
        <v/>
      </c>
      <c r="BD1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11" s="40" t="str">
        <f>_xlfn.SWITCH(_01towers[[#This Row],[Final Colo Status full]],"Commercial Approval Requested","Under Prevalidation",_01towers[[#This Row],[Final Colo Status full]])</f>
        <v>Colo Application Approved</v>
      </c>
    </row>
    <row r="12" spans="1:57" hidden="1" x14ac:dyDescent="0.35">
      <c r="A12" s="40" t="s">
        <v>93</v>
      </c>
      <c r="B12" s="40" t="s">
        <v>90</v>
      </c>
      <c r="C12" s="40" t="s">
        <v>51</v>
      </c>
      <c r="D12">
        <v>40</v>
      </c>
      <c r="E12" s="40" t="s">
        <v>94</v>
      </c>
      <c r="F12">
        <v>97.717042000000006</v>
      </c>
      <c r="G12">
        <v>15.979305</v>
      </c>
      <c r="H12" s="40" t="s">
        <v>53</v>
      </c>
      <c r="I12">
        <v>11</v>
      </c>
      <c r="J12" s="40" t="s">
        <v>95</v>
      </c>
      <c r="K12" s="40" t="s">
        <v>55</v>
      </c>
      <c r="L12" s="40" t="s">
        <v>64</v>
      </c>
      <c r="M12" s="40" t="s">
        <v>57</v>
      </c>
      <c r="N12" s="40" t="s">
        <v>57</v>
      </c>
      <c r="O12" s="40" t="s">
        <v>57</v>
      </c>
      <c r="P12" s="40" t="s">
        <v>57</v>
      </c>
      <c r="Q12" s="40" t="s">
        <v>57</v>
      </c>
      <c r="R12" s="40" t="s">
        <v>57</v>
      </c>
      <c r="S12">
        <v>189</v>
      </c>
      <c r="T12">
        <v>1</v>
      </c>
      <c r="U12" s="1"/>
      <c r="V12" s="1"/>
      <c r="W12" s="1">
        <v>43223</v>
      </c>
      <c r="X12" s="1">
        <v>43223</v>
      </c>
      <c r="Y12" s="1"/>
      <c r="Z12" s="40" t="s">
        <v>59</v>
      </c>
      <c r="AA12">
        <v>188</v>
      </c>
      <c r="AB12">
        <v>1</v>
      </c>
      <c r="AC12" s="1">
        <v>43229</v>
      </c>
      <c r="AD12" s="40" t="s">
        <v>59</v>
      </c>
      <c r="AE12" s="1"/>
      <c r="AF12" s="1"/>
      <c r="AG12" s="1"/>
      <c r="AH12" s="40"/>
      <c r="AI12" s="1"/>
      <c r="AJ12" s="40">
        <f>_xlfn.MAXIFS(_01towers[02tss.Rev],_01towers[05_id],_01towers[[#This Row],[05_id]])</f>
        <v>1</v>
      </c>
      <c r="AK12" s="40" t="b">
        <f>IF(_01towers[[#This Row],[Count Rev TSS]]=_01towers[[#This Row],[02tss.Rev]],TRUE,FALSE)</f>
        <v>1</v>
      </c>
      <c r="AL12" s="40">
        <f>_xlfn.MAXIFS(_01towers[10colo_app.Rev],_01towers[05_id],_01towers[[#This Row],[05_id]])</f>
        <v>1</v>
      </c>
      <c r="AM12" s="40" t="b">
        <f>IF(_01towers[[#This Row],[Count Rev Colo App]]=_01towers[[#This Row],[10colo_app.Rev]],TRUE,FALSE)</f>
        <v>1</v>
      </c>
      <c r="AN12" s="40" t="b">
        <f>IF(AND(_01towers[[#This Row],[Test Rev Colo]]=TRUE,_01towers[[#This Row],[Test Rev TSS]]=TRUE),TRUE,FALSE)</f>
        <v>1</v>
      </c>
      <c r="AO12" s="40" t="str">
        <f>IF(_01towers[[#This Row],[Test Active]]=TRUE,_01towers[[#This Row],[Prevalidation Status]],"")</f>
        <v>Prevalidated</v>
      </c>
      <c r="AP12" s="40" t="str">
        <f>IF(_01towers[[#This Row],[Active Prevalidation Status]]="Under Prevalidation",
IF(M12="","Review",M12),"")</f>
        <v/>
      </c>
      <c r="AQ12" s="40" t="str">
        <f>IF(_01towers[[#This Row],[Active Prevalidation Status]]="Under Prevalidation",
IF(N12="","Review",N12),"")</f>
        <v/>
      </c>
      <c r="AR12" s="40" t="str">
        <f>IF(_01towers[[#This Row],[Active Prevalidation Status]]="Under Prevalidation",
IF(O12="","Review",O12),"")</f>
        <v/>
      </c>
      <c r="AS12" s="40" t="str">
        <f>IF(_01towers[[#This Row],[Active Prevalidation Status]]="Under Prevalidation",
IF(P12="","Review",P12),"")</f>
        <v/>
      </c>
      <c r="AT12" s="40" t="str">
        <f>IF(_01towers[[#This Row],[Active Prevalidation Status]]="Under Prevalidation",
IF(Q12="","Review",Q12),"")</f>
        <v/>
      </c>
      <c r="AU12" s="40" t="str">
        <f>IF(_01towers[[#This Row],[Active Prevalidation Status]]="Under Prevalidation",
IF(R12="","Review",R12),"")</f>
        <v/>
      </c>
      <c r="AV12" s="40">
        <f>COUNTIF(_01towers[[#This Row],[SAQ_Result2]:[Community_Result2]],"OK")</f>
        <v>0</v>
      </c>
      <c r="AW12" s="1" t="str">
        <f>IF(AND(OR(_01towers[[#This Row],[Active Prevalidation Status]]="Under Prevalidation",_01towers[[#This Row],[Active Prevalidation Status]]="Prevalidated"),_01towers[[#This Row],[02tss.TSSR_From_Engineer]]&gt;0),"Submitted","")</f>
        <v>Submitted</v>
      </c>
      <c r="AX12" s="40" t="str">
        <f>IF(OR(_01towers[[#This Row],[Active Prevalidation Status]]="Under Prevalidation",_01towers[[#This Row],[Active Prevalidation Status]]="Prevalidated"),_01towers[[#This Row],[02tss.TSS_Result]],"")</f>
        <v>Approved</v>
      </c>
      <c r="AY12" s="40" t="str">
        <f>IF(AND(_01towers[[#This Row],[Active TSS Result]]="Approved",_01towers[[#This Row],[Active Prevalidation Status]]="Prevalidated"),"In Process","")</f>
        <v>In Process</v>
      </c>
      <c r="AZ12" s="40" t="str">
        <f>IF(AND(_01towers[[#This Row],[Active TSS Result]]="Approved",_01towers[[#This Row],[Active Prevalidation Status]]="Prevalidated"),_01towers[[#This Row],[10colo_app.Colo_App_Result]],"")</f>
        <v>Approved</v>
      </c>
      <c r="BA12" s="40">
        <f>COUNTIF(_20work_order[05_id],_01towers[[#This Row],[05_id]])</f>
        <v>0</v>
      </c>
      <c r="BB12" s="40">
        <f>COUNTIFS(_20work_order[05_id],_01towers[[#This Row],[05_id]],_20work_order[Actual_End],"&gt;0")</f>
        <v>0</v>
      </c>
      <c r="BC12" s="40" t="str">
        <f>IF(_01towers[[#This Row],[Completed Work Orders]]&gt;0,"Work Completed",
IF(_01towers[[#This Row],[Count Work Orders]]&gt;0,"Work in Progress",""))</f>
        <v/>
      </c>
      <c r="BD1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12" s="40" t="str">
        <f>_xlfn.SWITCH(_01towers[[#This Row],[Final Colo Status full]],"Commercial Approval Requested","Under Prevalidation",_01towers[[#This Row],[Final Colo Status full]])</f>
        <v>Colo Application Approved</v>
      </c>
    </row>
    <row r="13" spans="1:57" hidden="1" x14ac:dyDescent="0.35">
      <c r="A13" s="40" t="s">
        <v>96</v>
      </c>
      <c r="B13" s="40" t="s">
        <v>90</v>
      </c>
      <c r="C13" s="40" t="s">
        <v>97</v>
      </c>
      <c r="D13">
        <v>30</v>
      </c>
      <c r="E13" s="40" t="s">
        <v>98</v>
      </c>
      <c r="F13">
        <v>96.185356999999996</v>
      </c>
      <c r="G13">
        <v>16.934149000000001</v>
      </c>
      <c r="H13" s="40" t="s">
        <v>99</v>
      </c>
      <c r="I13">
        <v>12</v>
      </c>
      <c r="J13" s="40" t="s">
        <v>100</v>
      </c>
      <c r="K13" s="40" t="s">
        <v>55</v>
      </c>
      <c r="L13" s="40" t="s">
        <v>74</v>
      </c>
      <c r="M13" s="40" t="s">
        <v>57</v>
      </c>
      <c r="N13" s="40" t="s">
        <v>57</v>
      </c>
      <c r="O13" s="40" t="s">
        <v>57</v>
      </c>
      <c r="P13" s="40" t="s">
        <v>57</v>
      </c>
      <c r="Q13" s="40" t="s">
        <v>57</v>
      </c>
      <c r="R13" s="40" t="s">
        <v>57</v>
      </c>
      <c r="S13">
        <v>190</v>
      </c>
      <c r="T13">
        <v>1</v>
      </c>
      <c r="U13" s="1"/>
      <c r="V13" s="1"/>
      <c r="W13" s="1"/>
      <c r="X13" s="1"/>
      <c r="Y13" s="1"/>
      <c r="Z13" s="40"/>
      <c r="AA13">
        <v>189</v>
      </c>
      <c r="AB13">
        <v>1</v>
      </c>
      <c r="AC13" s="1"/>
      <c r="AD13" s="40"/>
      <c r="AE13" s="1"/>
      <c r="AF13" s="1"/>
      <c r="AG13" s="1"/>
      <c r="AH13" s="40"/>
      <c r="AI13" s="1"/>
      <c r="AJ13" s="40">
        <f>_xlfn.MAXIFS(_01towers[02tss.Rev],_01towers[05_id],_01towers[[#This Row],[05_id]])</f>
        <v>1</v>
      </c>
      <c r="AK13" s="40" t="b">
        <f>IF(_01towers[[#This Row],[Count Rev TSS]]=_01towers[[#This Row],[02tss.Rev]],TRUE,FALSE)</f>
        <v>1</v>
      </c>
      <c r="AL13" s="40">
        <f>_xlfn.MAXIFS(_01towers[10colo_app.Rev],_01towers[05_id],_01towers[[#This Row],[05_id]])</f>
        <v>1</v>
      </c>
      <c r="AM13" s="40" t="b">
        <f>IF(_01towers[[#This Row],[Count Rev Colo App]]=_01towers[[#This Row],[10colo_app.Rev]],TRUE,FALSE)</f>
        <v>1</v>
      </c>
      <c r="AN13" s="40" t="b">
        <f>IF(AND(_01towers[[#This Row],[Test Rev Colo]]=TRUE,_01towers[[#This Row],[Test Rev TSS]]=TRUE),TRUE,FALSE)</f>
        <v>1</v>
      </c>
      <c r="AO13" s="40" t="str">
        <f>IF(_01towers[[#This Row],[Test Active]]=TRUE,_01towers[[#This Row],[Prevalidation Status]],"")</f>
        <v>Prevalidation Rejected</v>
      </c>
      <c r="AP13" s="40" t="str">
        <f>IF(_01towers[[#This Row],[Active Prevalidation Status]]="Under Prevalidation",
IF(M13="","Review",M13),"")</f>
        <v/>
      </c>
      <c r="AQ13" s="40" t="str">
        <f>IF(_01towers[[#This Row],[Active Prevalidation Status]]="Under Prevalidation",
IF(N13="","Review",N13),"")</f>
        <v/>
      </c>
      <c r="AR13" s="40" t="str">
        <f>IF(_01towers[[#This Row],[Active Prevalidation Status]]="Under Prevalidation",
IF(O13="","Review",O13),"")</f>
        <v/>
      </c>
      <c r="AS13" s="40" t="str">
        <f>IF(_01towers[[#This Row],[Active Prevalidation Status]]="Under Prevalidation",
IF(P13="","Review",P13),"")</f>
        <v/>
      </c>
      <c r="AT13" s="40" t="str">
        <f>IF(_01towers[[#This Row],[Active Prevalidation Status]]="Under Prevalidation",
IF(Q13="","Review",Q13),"")</f>
        <v/>
      </c>
      <c r="AU13" s="40" t="str">
        <f>IF(_01towers[[#This Row],[Active Prevalidation Status]]="Under Prevalidation",
IF(R13="","Review",R13),"")</f>
        <v/>
      </c>
      <c r="AV13" s="40">
        <f>COUNTIF(_01towers[[#This Row],[SAQ_Result2]:[Community_Result2]],"OK")</f>
        <v>0</v>
      </c>
      <c r="AW13" s="1" t="str">
        <f>IF(AND(OR(_01towers[[#This Row],[Active Prevalidation Status]]="Under Prevalidation",_01towers[[#This Row],[Active Prevalidation Status]]="Prevalidated"),_01towers[[#This Row],[02tss.TSSR_From_Engineer]]&gt;0),"Submitted","")</f>
        <v/>
      </c>
      <c r="AX13" s="40" t="str">
        <f>IF(OR(_01towers[[#This Row],[Active Prevalidation Status]]="Under Prevalidation",_01towers[[#This Row],[Active Prevalidation Status]]="Prevalidated"),_01towers[[#This Row],[02tss.TSS_Result]],"")</f>
        <v/>
      </c>
      <c r="AY13" s="40" t="str">
        <f>IF(AND(_01towers[[#This Row],[Active TSS Result]]="Approved",_01towers[[#This Row],[Active Prevalidation Status]]="Prevalidated"),"In Process","")</f>
        <v/>
      </c>
      <c r="AZ13" s="40" t="str">
        <f>IF(AND(_01towers[[#This Row],[Active TSS Result]]="Approved",_01towers[[#This Row],[Active Prevalidation Status]]="Prevalidated"),_01towers[[#This Row],[10colo_app.Colo_App_Result]],"")</f>
        <v/>
      </c>
      <c r="BA13" s="40">
        <f>COUNTIF(_20work_order[05_id],_01towers[[#This Row],[05_id]])</f>
        <v>0</v>
      </c>
      <c r="BB13" s="40">
        <f>COUNTIFS(_20work_order[05_id],_01towers[[#This Row],[05_id]],_20work_order[Actual_End],"&gt;0")</f>
        <v>0</v>
      </c>
      <c r="BC13" s="40" t="str">
        <f>IF(_01towers[[#This Row],[Completed Work Orders]]&gt;0,"Work Completed",
IF(_01towers[[#This Row],[Count Work Orders]]&gt;0,"Work in Progress",""))</f>
        <v/>
      </c>
      <c r="BD1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3" s="40" t="str">
        <f>_xlfn.SWITCH(_01towers[[#This Row],[Final Colo Status full]],"Commercial Approval Requested","Under Prevalidation",_01towers[[#This Row],[Final Colo Status full]])</f>
        <v>Prevalidation Rejected</v>
      </c>
    </row>
    <row r="14" spans="1:57" hidden="1" x14ac:dyDescent="0.35">
      <c r="A14" s="40" t="s">
        <v>101</v>
      </c>
      <c r="B14" s="40" t="s">
        <v>90</v>
      </c>
      <c r="C14" s="40" t="s">
        <v>51</v>
      </c>
      <c r="D14">
        <v>35</v>
      </c>
      <c r="E14" s="40" t="s">
        <v>98</v>
      </c>
      <c r="F14">
        <v>96.254930000000002</v>
      </c>
      <c r="G14">
        <v>16.881930000000001</v>
      </c>
      <c r="H14" s="40" t="s">
        <v>102</v>
      </c>
      <c r="I14">
        <v>13</v>
      </c>
      <c r="J14" s="40" t="s">
        <v>103</v>
      </c>
      <c r="K14" s="40" t="s">
        <v>55</v>
      </c>
      <c r="L14" s="40" t="s">
        <v>64</v>
      </c>
      <c r="M14" s="40" t="s">
        <v>57</v>
      </c>
      <c r="N14" s="40" t="s">
        <v>57</v>
      </c>
      <c r="O14" s="40" t="s">
        <v>57</v>
      </c>
      <c r="P14" s="40" t="s">
        <v>57</v>
      </c>
      <c r="Q14" s="40" t="s">
        <v>57</v>
      </c>
      <c r="R14" s="40" t="s">
        <v>57</v>
      </c>
      <c r="S14">
        <v>191</v>
      </c>
      <c r="T14">
        <v>1</v>
      </c>
      <c r="U14" s="1"/>
      <c r="V14" s="1"/>
      <c r="W14" s="1">
        <v>43223</v>
      </c>
      <c r="X14" s="1">
        <v>43223</v>
      </c>
      <c r="Y14" s="1"/>
      <c r="Z14" s="40" t="s">
        <v>59</v>
      </c>
      <c r="AA14">
        <v>190</v>
      </c>
      <c r="AB14">
        <v>1</v>
      </c>
      <c r="AC14" s="1">
        <v>43229</v>
      </c>
      <c r="AD14" s="40" t="s">
        <v>59</v>
      </c>
      <c r="AE14" s="1"/>
      <c r="AF14" s="1"/>
      <c r="AG14" s="1"/>
      <c r="AH14" s="40"/>
      <c r="AI14" s="1"/>
      <c r="AJ14" s="40">
        <f>_xlfn.MAXIFS(_01towers[02tss.Rev],_01towers[05_id],_01towers[[#This Row],[05_id]])</f>
        <v>1</v>
      </c>
      <c r="AK14" s="40" t="b">
        <f>IF(_01towers[[#This Row],[Count Rev TSS]]=_01towers[[#This Row],[02tss.Rev]],TRUE,FALSE)</f>
        <v>1</v>
      </c>
      <c r="AL14" s="40">
        <f>_xlfn.MAXIFS(_01towers[10colo_app.Rev],_01towers[05_id],_01towers[[#This Row],[05_id]])</f>
        <v>1</v>
      </c>
      <c r="AM14" s="40" t="b">
        <f>IF(_01towers[[#This Row],[Count Rev Colo App]]=_01towers[[#This Row],[10colo_app.Rev]],TRUE,FALSE)</f>
        <v>1</v>
      </c>
      <c r="AN14" s="40" t="b">
        <f>IF(AND(_01towers[[#This Row],[Test Rev Colo]]=TRUE,_01towers[[#This Row],[Test Rev TSS]]=TRUE),TRUE,FALSE)</f>
        <v>1</v>
      </c>
      <c r="AO14" s="40" t="str">
        <f>IF(_01towers[[#This Row],[Test Active]]=TRUE,_01towers[[#This Row],[Prevalidation Status]],"")</f>
        <v>Prevalidated</v>
      </c>
      <c r="AP14" s="40" t="str">
        <f>IF(_01towers[[#This Row],[Active Prevalidation Status]]="Under Prevalidation",
IF(M14="","Review",M14),"")</f>
        <v/>
      </c>
      <c r="AQ14" s="40" t="str">
        <f>IF(_01towers[[#This Row],[Active Prevalidation Status]]="Under Prevalidation",
IF(N14="","Review",N14),"")</f>
        <v/>
      </c>
      <c r="AR14" s="40" t="str">
        <f>IF(_01towers[[#This Row],[Active Prevalidation Status]]="Under Prevalidation",
IF(O14="","Review",O14),"")</f>
        <v/>
      </c>
      <c r="AS14" s="40" t="str">
        <f>IF(_01towers[[#This Row],[Active Prevalidation Status]]="Under Prevalidation",
IF(P14="","Review",P14),"")</f>
        <v/>
      </c>
      <c r="AT14" s="40" t="str">
        <f>IF(_01towers[[#This Row],[Active Prevalidation Status]]="Under Prevalidation",
IF(Q14="","Review",Q14),"")</f>
        <v/>
      </c>
      <c r="AU14" s="40" t="str">
        <f>IF(_01towers[[#This Row],[Active Prevalidation Status]]="Under Prevalidation",
IF(R14="","Review",R14),"")</f>
        <v/>
      </c>
      <c r="AV14" s="40">
        <f>COUNTIF(_01towers[[#This Row],[SAQ_Result2]:[Community_Result2]],"OK")</f>
        <v>0</v>
      </c>
      <c r="AW14" s="1" t="str">
        <f>IF(AND(OR(_01towers[[#This Row],[Active Prevalidation Status]]="Under Prevalidation",_01towers[[#This Row],[Active Prevalidation Status]]="Prevalidated"),_01towers[[#This Row],[02tss.TSSR_From_Engineer]]&gt;0),"Submitted","")</f>
        <v>Submitted</v>
      </c>
      <c r="AX14" s="40" t="str">
        <f>IF(OR(_01towers[[#This Row],[Active Prevalidation Status]]="Under Prevalidation",_01towers[[#This Row],[Active Prevalidation Status]]="Prevalidated"),_01towers[[#This Row],[02tss.TSS_Result]],"")</f>
        <v>Approved</v>
      </c>
      <c r="AY14" s="40" t="str">
        <f>IF(AND(_01towers[[#This Row],[Active TSS Result]]="Approved",_01towers[[#This Row],[Active Prevalidation Status]]="Prevalidated"),"In Process","")</f>
        <v>In Process</v>
      </c>
      <c r="AZ14" s="40" t="str">
        <f>IF(AND(_01towers[[#This Row],[Active TSS Result]]="Approved",_01towers[[#This Row],[Active Prevalidation Status]]="Prevalidated"),_01towers[[#This Row],[10colo_app.Colo_App_Result]],"")</f>
        <v>Approved</v>
      </c>
      <c r="BA14" s="40">
        <f>COUNTIF(_20work_order[05_id],_01towers[[#This Row],[05_id]])</f>
        <v>0</v>
      </c>
      <c r="BB14" s="40">
        <f>COUNTIFS(_20work_order[05_id],_01towers[[#This Row],[05_id]],_20work_order[Actual_End],"&gt;0")</f>
        <v>0</v>
      </c>
      <c r="BC14" s="40" t="str">
        <f>IF(_01towers[[#This Row],[Completed Work Orders]]&gt;0,"Work Completed",
IF(_01towers[[#This Row],[Count Work Orders]]&gt;0,"Work in Progress",""))</f>
        <v/>
      </c>
      <c r="BD1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14" s="40" t="str">
        <f>_xlfn.SWITCH(_01towers[[#This Row],[Final Colo Status full]],"Commercial Approval Requested","Under Prevalidation",_01towers[[#This Row],[Final Colo Status full]])</f>
        <v>Colo Application Approved</v>
      </c>
    </row>
    <row r="15" spans="1:57" hidden="1" x14ac:dyDescent="0.35">
      <c r="A15" s="40" t="s">
        <v>104</v>
      </c>
      <c r="B15" s="40" t="s">
        <v>90</v>
      </c>
      <c r="C15" s="40" t="s">
        <v>82</v>
      </c>
      <c r="D15">
        <v>6</v>
      </c>
      <c r="E15" s="40" t="s">
        <v>98</v>
      </c>
      <c r="F15">
        <v>96.15061</v>
      </c>
      <c r="G15">
        <v>16.811630000000001</v>
      </c>
      <c r="H15" s="40" t="s">
        <v>53</v>
      </c>
      <c r="I15">
        <v>14</v>
      </c>
      <c r="J15" s="40" t="s">
        <v>105</v>
      </c>
      <c r="K15" s="40" t="s">
        <v>55</v>
      </c>
      <c r="L15" s="40" t="s">
        <v>74</v>
      </c>
      <c r="M15" s="40" t="s">
        <v>57</v>
      </c>
      <c r="N15" s="40" t="s">
        <v>57</v>
      </c>
      <c r="O15" s="40" t="s">
        <v>58</v>
      </c>
      <c r="P15" s="40" t="s">
        <v>57</v>
      </c>
      <c r="Q15" s="40" t="s">
        <v>75</v>
      </c>
      <c r="R15" s="40" t="s">
        <v>58</v>
      </c>
      <c r="S15">
        <v>192</v>
      </c>
      <c r="T15">
        <v>1</v>
      </c>
      <c r="U15" s="1"/>
      <c r="V15" s="1"/>
      <c r="W15" s="1"/>
      <c r="X15" s="1"/>
      <c r="Y15" s="1"/>
      <c r="Z15" s="40"/>
      <c r="AA15">
        <v>191</v>
      </c>
      <c r="AB15">
        <v>1</v>
      </c>
      <c r="AC15" s="1"/>
      <c r="AD15" s="40"/>
      <c r="AE15" s="1"/>
      <c r="AF15" s="1"/>
      <c r="AG15" s="1"/>
      <c r="AH15" s="40"/>
      <c r="AI15" s="1"/>
      <c r="AJ15" s="40">
        <f>_xlfn.MAXIFS(_01towers[02tss.Rev],_01towers[05_id],_01towers[[#This Row],[05_id]])</f>
        <v>1</v>
      </c>
      <c r="AK15" s="40" t="b">
        <f>IF(_01towers[[#This Row],[Count Rev TSS]]=_01towers[[#This Row],[02tss.Rev]],TRUE,FALSE)</f>
        <v>1</v>
      </c>
      <c r="AL15" s="40">
        <f>_xlfn.MAXIFS(_01towers[10colo_app.Rev],_01towers[05_id],_01towers[[#This Row],[05_id]])</f>
        <v>1</v>
      </c>
      <c r="AM15" s="40" t="b">
        <f>IF(_01towers[[#This Row],[Count Rev Colo App]]=_01towers[[#This Row],[10colo_app.Rev]],TRUE,FALSE)</f>
        <v>1</v>
      </c>
      <c r="AN15" s="40" t="b">
        <f>IF(AND(_01towers[[#This Row],[Test Rev Colo]]=TRUE,_01towers[[#This Row],[Test Rev TSS]]=TRUE),TRUE,FALSE)</f>
        <v>1</v>
      </c>
      <c r="AO15" s="40" t="str">
        <f>IF(_01towers[[#This Row],[Test Active]]=TRUE,_01towers[[#This Row],[Prevalidation Status]],"")</f>
        <v>Prevalidation Rejected</v>
      </c>
      <c r="AP15" s="40" t="str">
        <f>IF(_01towers[[#This Row],[Active Prevalidation Status]]="Under Prevalidation",
IF(M15="","Review",M15),"")</f>
        <v/>
      </c>
      <c r="AQ15" s="40" t="str">
        <f>IF(_01towers[[#This Row],[Active Prevalidation Status]]="Under Prevalidation",
IF(N15="","Review",N15),"")</f>
        <v/>
      </c>
      <c r="AR15" s="40" t="str">
        <f>IF(_01towers[[#This Row],[Active Prevalidation Status]]="Under Prevalidation",
IF(O15="","Review",O15),"")</f>
        <v/>
      </c>
      <c r="AS15" s="40" t="str">
        <f>IF(_01towers[[#This Row],[Active Prevalidation Status]]="Under Prevalidation",
IF(P15="","Review",P15),"")</f>
        <v/>
      </c>
      <c r="AT15" s="40" t="str">
        <f>IF(_01towers[[#This Row],[Active Prevalidation Status]]="Under Prevalidation",
IF(Q15="","Review",Q15),"")</f>
        <v/>
      </c>
      <c r="AU15" s="40" t="str">
        <f>IF(_01towers[[#This Row],[Active Prevalidation Status]]="Under Prevalidation",
IF(R15="","Review",R15),"")</f>
        <v/>
      </c>
      <c r="AV15" s="40">
        <f>COUNTIF(_01towers[[#This Row],[SAQ_Result2]:[Community_Result2]],"OK")</f>
        <v>0</v>
      </c>
      <c r="AW15" s="1" t="str">
        <f>IF(AND(OR(_01towers[[#This Row],[Active Prevalidation Status]]="Under Prevalidation",_01towers[[#This Row],[Active Prevalidation Status]]="Prevalidated"),_01towers[[#This Row],[02tss.TSSR_From_Engineer]]&gt;0),"Submitted","")</f>
        <v/>
      </c>
      <c r="AX15" s="40" t="str">
        <f>IF(OR(_01towers[[#This Row],[Active Prevalidation Status]]="Under Prevalidation",_01towers[[#This Row],[Active Prevalidation Status]]="Prevalidated"),_01towers[[#This Row],[02tss.TSS_Result]],"")</f>
        <v/>
      </c>
      <c r="AY15" s="40" t="str">
        <f>IF(AND(_01towers[[#This Row],[Active TSS Result]]="Approved",_01towers[[#This Row],[Active Prevalidation Status]]="Prevalidated"),"In Process","")</f>
        <v/>
      </c>
      <c r="AZ15" s="40" t="str">
        <f>IF(AND(_01towers[[#This Row],[Active TSS Result]]="Approved",_01towers[[#This Row],[Active Prevalidation Status]]="Prevalidated"),_01towers[[#This Row],[10colo_app.Colo_App_Result]],"")</f>
        <v/>
      </c>
      <c r="BA15" s="40">
        <f>COUNTIF(_20work_order[05_id],_01towers[[#This Row],[05_id]])</f>
        <v>0</v>
      </c>
      <c r="BB15" s="40">
        <f>COUNTIFS(_20work_order[05_id],_01towers[[#This Row],[05_id]],_20work_order[Actual_End],"&gt;0")</f>
        <v>0</v>
      </c>
      <c r="BC15" s="40" t="str">
        <f>IF(_01towers[[#This Row],[Completed Work Orders]]&gt;0,"Work Completed",
IF(_01towers[[#This Row],[Count Work Orders]]&gt;0,"Work in Progress",""))</f>
        <v/>
      </c>
      <c r="BD1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5" s="40" t="str">
        <f>_xlfn.SWITCH(_01towers[[#This Row],[Final Colo Status full]],"Commercial Approval Requested","Under Prevalidation",_01towers[[#This Row],[Final Colo Status full]])</f>
        <v>Prevalidation Rejected</v>
      </c>
    </row>
    <row r="16" spans="1:57" hidden="1" x14ac:dyDescent="0.35">
      <c r="A16" s="40" t="s">
        <v>106</v>
      </c>
      <c r="B16" s="40" t="s">
        <v>90</v>
      </c>
      <c r="C16" s="40" t="s">
        <v>82</v>
      </c>
      <c r="D16">
        <v>6</v>
      </c>
      <c r="E16" s="40" t="s">
        <v>98</v>
      </c>
      <c r="F16">
        <v>96.154790000000006</v>
      </c>
      <c r="G16">
        <v>16.776230000000002</v>
      </c>
      <c r="H16" s="40" t="s">
        <v>69</v>
      </c>
      <c r="I16">
        <v>15</v>
      </c>
      <c r="J16" s="40" t="s">
        <v>107</v>
      </c>
      <c r="K16" s="40" t="s">
        <v>55</v>
      </c>
      <c r="L16" s="40" t="s">
        <v>74</v>
      </c>
      <c r="M16" s="40" t="s">
        <v>57</v>
      </c>
      <c r="N16" s="40" t="s">
        <v>57</v>
      </c>
      <c r="O16" s="40" t="s">
        <v>58</v>
      </c>
      <c r="P16" s="40" t="s">
        <v>75</v>
      </c>
      <c r="Q16" s="40" t="s">
        <v>57</v>
      </c>
      <c r="R16" s="40" t="s">
        <v>57</v>
      </c>
      <c r="S16">
        <v>193</v>
      </c>
      <c r="T16">
        <v>1</v>
      </c>
      <c r="U16" s="1"/>
      <c r="V16" s="1"/>
      <c r="W16" s="1"/>
      <c r="X16" s="1"/>
      <c r="Y16" s="1"/>
      <c r="Z16" s="40"/>
      <c r="AA16">
        <v>192</v>
      </c>
      <c r="AB16">
        <v>1</v>
      </c>
      <c r="AC16" s="1"/>
      <c r="AD16" s="40"/>
      <c r="AE16" s="1"/>
      <c r="AF16" s="1"/>
      <c r="AG16" s="1"/>
      <c r="AH16" s="40"/>
      <c r="AI16" s="1"/>
      <c r="AJ16" s="40">
        <f>_xlfn.MAXIFS(_01towers[02tss.Rev],_01towers[05_id],_01towers[[#This Row],[05_id]])</f>
        <v>1</v>
      </c>
      <c r="AK16" s="40" t="b">
        <f>IF(_01towers[[#This Row],[Count Rev TSS]]=_01towers[[#This Row],[02tss.Rev]],TRUE,FALSE)</f>
        <v>1</v>
      </c>
      <c r="AL16" s="40">
        <f>_xlfn.MAXIFS(_01towers[10colo_app.Rev],_01towers[05_id],_01towers[[#This Row],[05_id]])</f>
        <v>1</v>
      </c>
      <c r="AM16" s="40" t="b">
        <f>IF(_01towers[[#This Row],[Count Rev Colo App]]=_01towers[[#This Row],[10colo_app.Rev]],TRUE,FALSE)</f>
        <v>1</v>
      </c>
      <c r="AN16" s="40" t="b">
        <f>IF(AND(_01towers[[#This Row],[Test Rev Colo]]=TRUE,_01towers[[#This Row],[Test Rev TSS]]=TRUE),TRUE,FALSE)</f>
        <v>1</v>
      </c>
      <c r="AO16" s="40" t="str">
        <f>IF(_01towers[[#This Row],[Test Active]]=TRUE,_01towers[[#This Row],[Prevalidation Status]],"")</f>
        <v>Prevalidation Rejected</v>
      </c>
      <c r="AP16" s="40" t="str">
        <f>IF(_01towers[[#This Row],[Active Prevalidation Status]]="Under Prevalidation",
IF(M16="","Review",M16),"")</f>
        <v/>
      </c>
      <c r="AQ16" s="40" t="str">
        <f>IF(_01towers[[#This Row],[Active Prevalidation Status]]="Under Prevalidation",
IF(N16="","Review",N16),"")</f>
        <v/>
      </c>
      <c r="AR16" s="40" t="str">
        <f>IF(_01towers[[#This Row],[Active Prevalidation Status]]="Under Prevalidation",
IF(O16="","Review",O16),"")</f>
        <v/>
      </c>
      <c r="AS16" s="40" t="str">
        <f>IF(_01towers[[#This Row],[Active Prevalidation Status]]="Under Prevalidation",
IF(P16="","Review",P16),"")</f>
        <v/>
      </c>
      <c r="AT16" s="40" t="str">
        <f>IF(_01towers[[#This Row],[Active Prevalidation Status]]="Under Prevalidation",
IF(Q16="","Review",Q16),"")</f>
        <v/>
      </c>
      <c r="AU16" s="40" t="str">
        <f>IF(_01towers[[#This Row],[Active Prevalidation Status]]="Under Prevalidation",
IF(R16="","Review",R16),"")</f>
        <v/>
      </c>
      <c r="AV16" s="40">
        <f>COUNTIF(_01towers[[#This Row],[SAQ_Result2]:[Community_Result2]],"OK")</f>
        <v>0</v>
      </c>
      <c r="AW16" s="1" t="str">
        <f>IF(AND(OR(_01towers[[#This Row],[Active Prevalidation Status]]="Under Prevalidation",_01towers[[#This Row],[Active Prevalidation Status]]="Prevalidated"),_01towers[[#This Row],[02tss.TSSR_From_Engineer]]&gt;0),"Submitted","")</f>
        <v/>
      </c>
      <c r="AX16" s="40" t="str">
        <f>IF(OR(_01towers[[#This Row],[Active Prevalidation Status]]="Under Prevalidation",_01towers[[#This Row],[Active Prevalidation Status]]="Prevalidated"),_01towers[[#This Row],[02tss.TSS_Result]],"")</f>
        <v/>
      </c>
      <c r="AY16" s="40" t="str">
        <f>IF(AND(_01towers[[#This Row],[Active TSS Result]]="Approved",_01towers[[#This Row],[Active Prevalidation Status]]="Prevalidated"),"In Process","")</f>
        <v/>
      </c>
      <c r="AZ16" s="40" t="str">
        <f>IF(AND(_01towers[[#This Row],[Active TSS Result]]="Approved",_01towers[[#This Row],[Active Prevalidation Status]]="Prevalidated"),_01towers[[#This Row],[10colo_app.Colo_App_Result]],"")</f>
        <v/>
      </c>
      <c r="BA16" s="40">
        <f>COUNTIF(_20work_order[05_id],_01towers[[#This Row],[05_id]])</f>
        <v>0</v>
      </c>
      <c r="BB16" s="40">
        <f>COUNTIFS(_20work_order[05_id],_01towers[[#This Row],[05_id]],_20work_order[Actual_End],"&gt;0")</f>
        <v>0</v>
      </c>
      <c r="BC16" s="40" t="str">
        <f>IF(_01towers[[#This Row],[Completed Work Orders]]&gt;0,"Work Completed",
IF(_01towers[[#This Row],[Count Work Orders]]&gt;0,"Work in Progress",""))</f>
        <v/>
      </c>
      <c r="BD1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6" s="40" t="str">
        <f>_xlfn.SWITCH(_01towers[[#This Row],[Final Colo Status full]],"Commercial Approval Requested","Under Prevalidation",_01towers[[#This Row],[Final Colo Status full]])</f>
        <v>Prevalidation Rejected</v>
      </c>
    </row>
    <row r="17" spans="1:57" hidden="1" x14ac:dyDescent="0.35">
      <c r="A17" s="40" t="s">
        <v>108</v>
      </c>
      <c r="B17" s="40" t="s">
        <v>90</v>
      </c>
      <c r="C17" s="40" t="s">
        <v>82</v>
      </c>
      <c r="D17">
        <v>6</v>
      </c>
      <c r="E17" s="40" t="s">
        <v>98</v>
      </c>
      <c r="F17">
        <v>96.154529999999994</v>
      </c>
      <c r="G17">
        <v>16.823519999999998</v>
      </c>
      <c r="H17" s="40" t="s">
        <v>69</v>
      </c>
      <c r="I17">
        <v>16</v>
      </c>
      <c r="J17" s="40" t="s">
        <v>109</v>
      </c>
      <c r="K17" s="40" t="s">
        <v>55</v>
      </c>
      <c r="L17" s="40" t="s">
        <v>74</v>
      </c>
      <c r="M17" s="40" t="s">
        <v>57</v>
      </c>
      <c r="N17" s="40" t="s">
        <v>57</v>
      </c>
      <c r="O17" s="40" t="s">
        <v>75</v>
      </c>
      <c r="P17" s="40" t="s">
        <v>75</v>
      </c>
      <c r="Q17" s="40" t="s">
        <v>75</v>
      </c>
      <c r="R17" s="40" t="s">
        <v>57</v>
      </c>
      <c r="S17">
        <v>194</v>
      </c>
      <c r="T17">
        <v>1</v>
      </c>
      <c r="U17" s="1"/>
      <c r="V17" s="1"/>
      <c r="W17" s="1"/>
      <c r="X17" s="1"/>
      <c r="Y17" s="1"/>
      <c r="Z17" s="40"/>
      <c r="AA17">
        <v>193</v>
      </c>
      <c r="AB17">
        <v>1</v>
      </c>
      <c r="AC17" s="1"/>
      <c r="AD17" s="40"/>
      <c r="AE17" s="1"/>
      <c r="AF17" s="1"/>
      <c r="AG17" s="1"/>
      <c r="AH17" s="40"/>
      <c r="AI17" s="1"/>
      <c r="AJ17" s="40">
        <f>_xlfn.MAXIFS(_01towers[02tss.Rev],_01towers[05_id],_01towers[[#This Row],[05_id]])</f>
        <v>1</v>
      </c>
      <c r="AK17" s="40" t="b">
        <f>IF(_01towers[[#This Row],[Count Rev TSS]]=_01towers[[#This Row],[02tss.Rev]],TRUE,FALSE)</f>
        <v>1</v>
      </c>
      <c r="AL17" s="40">
        <f>_xlfn.MAXIFS(_01towers[10colo_app.Rev],_01towers[05_id],_01towers[[#This Row],[05_id]])</f>
        <v>1</v>
      </c>
      <c r="AM17" s="40" t="b">
        <f>IF(_01towers[[#This Row],[Count Rev Colo App]]=_01towers[[#This Row],[10colo_app.Rev]],TRUE,FALSE)</f>
        <v>1</v>
      </c>
      <c r="AN17" s="40" t="b">
        <f>IF(AND(_01towers[[#This Row],[Test Rev Colo]]=TRUE,_01towers[[#This Row],[Test Rev TSS]]=TRUE),TRUE,FALSE)</f>
        <v>1</v>
      </c>
      <c r="AO17" s="40" t="str">
        <f>IF(_01towers[[#This Row],[Test Active]]=TRUE,_01towers[[#This Row],[Prevalidation Status]],"")</f>
        <v>Prevalidation Rejected</v>
      </c>
      <c r="AP17" s="40" t="str">
        <f>IF(_01towers[[#This Row],[Active Prevalidation Status]]="Under Prevalidation",
IF(M17="","Review",M17),"")</f>
        <v/>
      </c>
      <c r="AQ17" s="40" t="str">
        <f>IF(_01towers[[#This Row],[Active Prevalidation Status]]="Under Prevalidation",
IF(N17="","Review",N17),"")</f>
        <v/>
      </c>
      <c r="AR17" s="40" t="str">
        <f>IF(_01towers[[#This Row],[Active Prevalidation Status]]="Under Prevalidation",
IF(O17="","Review",O17),"")</f>
        <v/>
      </c>
      <c r="AS17" s="40" t="str">
        <f>IF(_01towers[[#This Row],[Active Prevalidation Status]]="Under Prevalidation",
IF(P17="","Review",P17),"")</f>
        <v/>
      </c>
      <c r="AT17" s="40" t="str">
        <f>IF(_01towers[[#This Row],[Active Prevalidation Status]]="Under Prevalidation",
IF(Q17="","Review",Q17),"")</f>
        <v/>
      </c>
      <c r="AU17" s="40" t="str">
        <f>IF(_01towers[[#This Row],[Active Prevalidation Status]]="Under Prevalidation",
IF(R17="","Review",R17),"")</f>
        <v/>
      </c>
      <c r="AV17" s="40">
        <f>COUNTIF(_01towers[[#This Row],[SAQ_Result2]:[Community_Result2]],"OK")</f>
        <v>0</v>
      </c>
      <c r="AW17" s="1" t="str">
        <f>IF(AND(OR(_01towers[[#This Row],[Active Prevalidation Status]]="Under Prevalidation",_01towers[[#This Row],[Active Prevalidation Status]]="Prevalidated"),_01towers[[#This Row],[02tss.TSSR_From_Engineer]]&gt;0),"Submitted","")</f>
        <v/>
      </c>
      <c r="AX17" s="40" t="str">
        <f>IF(OR(_01towers[[#This Row],[Active Prevalidation Status]]="Under Prevalidation",_01towers[[#This Row],[Active Prevalidation Status]]="Prevalidated"),_01towers[[#This Row],[02tss.TSS_Result]],"")</f>
        <v/>
      </c>
      <c r="AY17" s="40" t="str">
        <f>IF(AND(_01towers[[#This Row],[Active TSS Result]]="Approved",_01towers[[#This Row],[Active Prevalidation Status]]="Prevalidated"),"In Process","")</f>
        <v/>
      </c>
      <c r="AZ17" s="40" t="str">
        <f>IF(AND(_01towers[[#This Row],[Active TSS Result]]="Approved",_01towers[[#This Row],[Active Prevalidation Status]]="Prevalidated"),_01towers[[#This Row],[10colo_app.Colo_App_Result]],"")</f>
        <v/>
      </c>
      <c r="BA17" s="40">
        <f>COUNTIF(_20work_order[05_id],_01towers[[#This Row],[05_id]])</f>
        <v>0</v>
      </c>
      <c r="BB17" s="40">
        <f>COUNTIFS(_20work_order[05_id],_01towers[[#This Row],[05_id]],_20work_order[Actual_End],"&gt;0")</f>
        <v>0</v>
      </c>
      <c r="BC17" s="40" t="str">
        <f>IF(_01towers[[#This Row],[Completed Work Orders]]&gt;0,"Work Completed",
IF(_01towers[[#This Row],[Count Work Orders]]&gt;0,"Work in Progress",""))</f>
        <v/>
      </c>
      <c r="BD1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7" s="40" t="str">
        <f>_xlfn.SWITCH(_01towers[[#This Row],[Final Colo Status full]],"Commercial Approval Requested","Under Prevalidation",_01towers[[#This Row],[Final Colo Status full]])</f>
        <v>Prevalidation Rejected</v>
      </c>
    </row>
    <row r="18" spans="1:57" hidden="1" x14ac:dyDescent="0.35">
      <c r="A18" s="40" t="s">
        <v>110</v>
      </c>
      <c r="B18" s="40" t="s">
        <v>90</v>
      </c>
      <c r="C18" s="40" t="s">
        <v>82</v>
      </c>
      <c r="D18">
        <v>6</v>
      </c>
      <c r="E18" s="40" t="s">
        <v>98</v>
      </c>
      <c r="F18">
        <v>96.126400000000004</v>
      </c>
      <c r="G18">
        <v>16.798010000000001</v>
      </c>
      <c r="H18" s="40" t="s">
        <v>69</v>
      </c>
      <c r="I18">
        <v>17</v>
      </c>
      <c r="J18" s="40" t="s">
        <v>111</v>
      </c>
      <c r="K18" s="40" t="s">
        <v>55</v>
      </c>
      <c r="L18" s="40" t="s">
        <v>64</v>
      </c>
      <c r="M18" s="40" t="s">
        <v>57</v>
      </c>
      <c r="N18" s="40" t="s">
        <v>57</v>
      </c>
      <c r="O18" s="40" t="s">
        <v>57</v>
      </c>
      <c r="P18" s="40" t="s">
        <v>57</v>
      </c>
      <c r="Q18" s="40" t="s">
        <v>57</v>
      </c>
      <c r="R18" s="40" t="s">
        <v>57</v>
      </c>
      <c r="S18">
        <v>195</v>
      </c>
      <c r="T18">
        <v>1</v>
      </c>
      <c r="U18" s="1"/>
      <c r="V18" s="1"/>
      <c r="W18" s="1"/>
      <c r="X18" s="1"/>
      <c r="Y18" s="1"/>
      <c r="Z18" s="40"/>
      <c r="AA18">
        <v>194</v>
      </c>
      <c r="AB18">
        <v>1</v>
      </c>
      <c r="AC18" s="1"/>
      <c r="AD18" s="40"/>
      <c r="AE18" s="1"/>
      <c r="AF18" s="1"/>
      <c r="AG18" s="1"/>
      <c r="AH18" s="40"/>
      <c r="AI18" s="1"/>
      <c r="AJ18" s="40">
        <f>_xlfn.MAXIFS(_01towers[02tss.Rev],_01towers[05_id],_01towers[[#This Row],[05_id]])</f>
        <v>1</v>
      </c>
      <c r="AK18" s="40" t="b">
        <f>IF(_01towers[[#This Row],[Count Rev TSS]]=_01towers[[#This Row],[02tss.Rev]],TRUE,FALSE)</f>
        <v>1</v>
      </c>
      <c r="AL18" s="40">
        <f>_xlfn.MAXIFS(_01towers[10colo_app.Rev],_01towers[05_id],_01towers[[#This Row],[05_id]])</f>
        <v>1</v>
      </c>
      <c r="AM18" s="40" t="b">
        <f>IF(_01towers[[#This Row],[Count Rev Colo App]]=_01towers[[#This Row],[10colo_app.Rev]],TRUE,FALSE)</f>
        <v>1</v>
      </c>
      <c r="AN18" s="40" t="b">
        <f>IF(AND(_01towers[[#This Row],[Test Rev Colo]]=TRUE,_01towers[[#This Row],[Test Rev TSS]]=TRUE),TRUE,FALSE)</f>
        <v>1</v>
      </c>
      <c r="AO18" s="40" t="str">
        <f>IF(_01towers[[#This Row],[Test Active]]=TRUE,_01towers[[#This Row],[Prevalidation Status]],"")</f>
        <v>Prevalidated</v>
      </c>
      <c r="AP18" s="40" t="str">
        <f>IF(_01towers[[#This Row],[Active Prevalidation Status]]="Under Prevalidation",
IF(M18="","Review",M18),"")</f>
        <v/>
      </c>
      <c r="AQ18" s="40" t="str">
        <f>IF(_01towers[[#This Row],[Active Prevalidation Status]]="Under Prevalidation",
IF(N18="","Review",N18),"")</f>
        <v/>
      </c>
      <c r="AR18" s="40" t="str">
        <f>IF(_01towers[[#This Row],[Active Prevalidation Status]]="Under Prevalidation",
IF(O18="","Review",O18),"")</f>
        <v/>
      </c>
      <c r="AS18" s="40" t="str">
        <f>IF(_01towers[[#This Row],[Active Prevalidation Status]]="Under Prevalidation",
IF(P18="","Review",P18),"")</f>
        <v/>
      </c>
      <c r="AT18" s="40" t="str">
        <f>IF(_01towers[[#This Row],[Active Prevalidation Status]]="Under Prevalidation",
IF(Q18="","Review",Q18),"")</f>
        <v/>
      </c>
      <c r="AU18" s="40" t="str">
        <f>IF(_01towers[[#This Row],[Active Prevalidation Status]]="Under Prevalidation",
IF(R18="","Review",R18),"")</f>
        <v/>
      </c>
      <c r="AV18" s="40">
        <f>COUNTIF(_01towers[[#This Row],[SAQ_Result2]:[Community_Result2]],"OK")</f>
        <v>0</v>
      </c>
      <c r="AW18" s="1" t="str">
        <f>IF(AND(OR(_01towers[[#This Row],[Active Prevalidation Status]]="Under Prevalidation",_01towers[[#This Row],[Active Prevalidation Status]]="Prevalidated"),_01towers[[#This Row],[02tss.TSSR_From_Engineer]]&gt;0),"Submitted","")</f>
        <v/>
      </c>
      <c r="AX18" s="40">
        <f>IF(OR(_01towers[[#This Row],[Active Prevalidation Status]]="Under Prevalidation",_01towers[[#This Row],[Active Prevalidation Status]]="Prevalidated"),_01towers[[#This Row],[02tss.TSS_Result]],"")</f>
        <v>0</v>
      </c>
      <c r="AY18" s="40" t="str">
        <f>IF(AND(_01towers[[#This Row],[Active TSS Result]]="Approved",_01towers[[#This Row],[Active Prevalidation Status]]="Prevalidated"),"In Process","")</f>
        <v/>
      </c>
      <c r="AZ18" s="40" t="str">
        <f>IF(AND(_01towers[[#This Row],[Active TSS Result]]="Approved",_01towers[[#This Row],[Active Prevalidation Status]]="Prevalidated"),_01towers[[#This Row],[10colo_app.Colo_App_Result]],"")</f>
        <v/>
      </c>
      <c r="BA18" s="40">
        <f>COUNTIF(_20work_order[05_id],_01towers[[#This Row],[05_id]])</f>
        <v>0</v>
      </c>
      <c r="BB18" s="40">
        <f>COUNTIFS(_20work_order[05_id],_01towers[[#This Row],[05_id]],_20work_order[Actual_End],"&gt;0")</f>
        <v>0</v>
      </c>
      <c r="BC18" s="40" t="str">
        <f>IF(_01towers[[#This Row],[Completed Work Orders]]&gt;0,"Work Completed",
IF(_01towers[[#This Row],[Count Work Orders]]&gt;0,"Work in Progress",""))</f>
        <v/>
      </c>
      <c r="BD1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8" s="40" t="str">
        <f>_xlfn.SWITCH(_01towers[[#This Row],[Final Colo Status full]],"Commercial Approval Requested","Under Prevalidation",_01towers[[#This Row],[Final Colo Status full]])</f>
        <v>Prevalidated - TSSR in Process</v>
      </c>
    </row>
    <row r="19" spans="1:57" hidden="1" x14ac:dyDescent="0.35">
      <c r="A19" s="40" t="s">
        <v>112</v>
      </c>
      <c r="B19" s="40" t="s">
        <v>90</v>
      </c>
      <c r="C19" s="40" t="s">
        <v>82</v>
      </c>
      <c r="D19">
        <v>6</v>
      </c>
      <c r="E19" s="40" t="s">
        <v>98</v>
      </c>
      <c r="F19">
        <v>96.130399999999995</v>
      </c>
      <c r="G19">
        <v>16.782769999999999</v>
      </c>
      <c r="H19" s="40" t="s">
        <v>53</v>
      </c>
      <c r="I19">
        <v>18</v>
      </c>
      <c r="J19" s="40" t="s">
        <v>113</v>
      </c>
      <c r="K19" s="40" t="s">
        <v>55</v>
      </c>
      <c r="L19" s="40" t="s">
        <v>64</v>
      </c>
      <c r="M19" s="40" t="s">
        <v>57</v>
      </c>
      <c r="N19" s="40" t="s">
        <v>57</v>
      </c>
      <c r="O19" s="40" t="s">
        <v>57</v>
      </c>
      <c r="P19" s="40" t="s">
        <v>57</v>
      </c>
      <c r="Q19" s="40" t="s">
        <v>57</v>
      </c>
      <c r="R19" s="40" t="s">
        <v>57</v>
      </c>
      <c r="S19">
        <v>196</v>
      </c>
      <c r="T19">
        <v>1</v>
      </c>
      <c r="U19" s="1"/>
      <c r="V19" s="1"/>
      <c r="W19" s="1">
        <v>43223</v>
      </c>
      <c r="X19" s="1">
        <v>43223</v>
      </c>
      <c r="Y19" s="1"/>
      <c r="Z19" s="40" t="s">
        <v>59</v>
      </c>
      <c r="AA19">
        <v>195</v>
      </c>
      <c r="AB19">
        <v>1</v>
      </c>
      <c r="AC19" s="1">
        <v>43229</v>
      </c>
      <c r="AD19" s="40" t="s">
        <v>59</v>
      </c>
      <c r="AE19" s="1"/>
      <c r="AF19" s="1"/>
      <c r="AG19" s="1"/>
      <c r="AH19" s="40"/>
      <c r="AI19" s="1"/>
      <c r="AJ19" s="40">
        <f>_xlfn.MAXIFS(_01towers[02tss.Rev],_01towers[05_id],_01towers[[#This Row],[05_id]])</f>
        <v>1</v>
      </c>
      <c r="AK19" s="40" t="b">
        <f>IF(_01towers[[#This Row],[Count Rev TSS]]=_01towers[[#This Row],[02tss.Rev]],TRUE,FALSE)</f>
        <v>1</v>
      </c>
      <c r="AL19" s="40">
        <f>_xlfn.MAXIFS(_01towers[10colo_app.Rev],_01towers[05_id],_01towers[[#This Row],[05_id]])</f>
        <v>2</v>
      </c>
      <c r="AM19" s="40" t="b">
        <f>IF(_01towers[[#This Row],[Count Rev Colo App]]=_01towers[[#This Row],[10colo_app.Rev]],TRUE,FALSE)</f>
        <v>0</v>
      </c>
      <c r="AN19" s="40" t="b">
        <f>IF(AND(_01towers[[#This Row],[Test Rev Colo]]=TRUE,_01towers[[#This Row],[Test Rev TSS]]=TRUE),TRUE,FALSE)</f>
        <v>0</v>
      </c>
      <c r="AO19" s="40" t="str">
        <f>IF(_01towers[[#This Row],[Test Active]]=TRUE,_01towers[[#This Row],[Prevalidation Status]],"")</f>
        <v/>
      </c>
      <c r="AP19" s="40" t="str">
        <f>IF(_01towers[[#This Row],[Active Prevalidation Status]]="Under Prevalidation",
IF(M19="","Review",M19),"")</f>
        <v/>
      </c>
      <c r="AQ19" s="40" t="str">
        <f>IF(_01towers[[#This Row],[Active Prevalidation Status]]="Under Prevalidation",
IF(N19="","Review",N19),"")</f>
        <v/>
      </c>
      <c r="AR19" s="40" t="str">
        <f>IF(_01towers[[#This Row],[Active Prevalidation Status]]="Under Prevalidation",
IF(O19="","Review",O19),"")</f>
        <v/>
      </c>
      <c r="AS19" s="40" t="str">
        <f>IF(_01towers[[#This Row],[Active Prevalidation Status]]="Under Prevalidation",
IF(P19="","Review",P19),"")</f>
        <v/>
      </c>
      <c r="AT19" s="40" t="str">
        <f>IF(_01towers[[#This Row],[Active Prevalidation Status]]="Under Prevalidation",
IF(Q19="","Review",Q19),"")</f>
        <v/>
      </c>
      <c r="AU19" s="40" t="str">
        <f>IF(_01towers[[#This Row],[Active Prevalidation Status]]="Under Prevalidation",
IF(R19="","Review",R19),"")</f>
        <v/>
      </c>
      <c r="AV19" s="40">
        <f>COUNTIF(_01towers[[#This Row],[SAQ_Result2]:[Community_Result2]],"OK")</f>
        <v>0</v>
      </c>
      <c r="AW19" s="1" t="str">
        <f>IF(AND(OR(_01towers[[#This Row],[Active Prevalidation Status]]="Under Prevalidation",_01towers[[#This Row],[Active Prevalidation Status]]="Prevalidated"),_01towers[[#This Row],[02tss.TSSR_From_Engineer]]&gt;0),"Submitted","")</f>
        <v/>
      </c>
      <c r="AX19" s="40" t="str">
        <f>IF(OR(_01towers[[#This Row],[Active Prevalidation Status]]="Under Prevalidation",_01towers[[#This Row],[Active Prevalidation Status]]="Prevalidated"),_01towers[[#This Row],[02tss.TSS_Result]],"")</f>
        <v/>
      </c>
      <c r="AY19" s="40" t="str">
        <f>IF(AND(_01towers[[#This Row],[Active TSS Result]]="Approved",_01towers[[#This Row],[Active Prevalidation Status]]="Prevalidated"),"In Process","")</f>
        <v/>
      </c>
      <c r="AZ19" s="40" t="str">
        <f>IF(AND(_01towers[[#This Row],[Active TSS Result]]="Approved",_01towers[[#This Row],[Active Prevalidation Status]]="Prevalidated"),_01towers[[#This Row],[10colo_app.Colo_App_Result]],"")</f>
        <v/>
      </c>
      <c r="BA19" s="40">
        <f>COUNTIF(_20work_order[05_id],_01towers[[#This Row],[05_id]])</f>
        <v>0</v>
      </c>
      <c r="BB19" s="40">
        <f>COUNTIFS(_20work_order[05_id],_01towers[[#This Row],[05_id]],_20work_order[Actual_End],"&gt;0")</f>
        <v>0</v>
      </c>
      <c r="BC19" s="40" t="str">
        <f>IF(_01towers[[#This Row],[Completed Work Orders]]&gt;0,"Work Completed",
IF(_01towers[[#This Row],[Count Work Orders]]&gt;0,"Work in Progress",""))</f>
        <v/>
      </c>
      <c r="BD1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
      </c>
      <c r="BE19" s="40" t="str">
        <f>_xlfn.SWITCH(_01towers[[#This Row],[Final Colo Status full]],"Commercial Approval Requested","Under Prevalidation",_01towers[[#This Row],[Final Colo Status full]])</f>
        <v/>
      </c>
    </row>
    <row r="20" spans="1:57" hidden="1" x14ac:dyDescent="0.35">
      <c r="A20" s="40" t="s">
        <v>112</v>
      </c>
      <c r="B20" s="40" t="s">
        <v>90</v>
      </c>
      <c r="C20" s="40" t="s">
        <v>82</v>
      </c>
      <c r="D20">
        <v>6</v>
      </c>
      <c r="E20" s="40" t="s">
        <v>98</v>
      </c>
      <c r="F20">
        <v>96.130399999999995</v>
      </c>
      <c r="G20">
        <v>16.782769999999999</v>
      </c>
      <c r="H20" s="40" t="s">
        <v>53</v>
      </c>
      <c r="I20">
        <v>18</v>
      </c>
      <c r="J20" s="40" t="s">
        <v>113</v>
      </c>
      <c r="K20" s="40" t="s">
        <v>55</v>
      </c>
      <c r="L20" s="40" t="s">
        <v>64</v>
      </c>
      <c r="M20" s="40" t="s">
        <v>57</v>
      </c>
      <c r="N20" s="40" t="s">
        <v>57</v>
      </c>
      <c r="O20" s="40" t="s">
        <v>57</v>
      </c>
      <c r="P20" s="40" t="s">
        <v>57</v>
      </c>
      <c r="Q20" s="40" t="s">
        <v>57</v>
      </c>
      <c r="R20" s="40" t="s">
        <v>57</v>
      </c>
      <c r="S20">
        <v>196</v>
      </c>
      <c r="T20">
        <v>1</v>
      </c>
      <c r="U20" s="1"/>
      <c r="V20" s="1"/>
      <c r="W20" s="1">
        <v>43223</v>
      </c>
      <c r="X20" s="1">
        <v>43223</v>
      </c>
      <c r="Y20" s="1"/>
      <c r="Z20" s="40" t="s">
        <v>59</v>
      </c>
      <c r="AA20">
        <v>248</v>
      </c>
      <c r="AB20">
        <v>2</v>
      </c>
      <c r="AC20" s="1">
        <v>43249</v>
      </c>
      <c r="AD20" s="40" t="s">
        <v>59</v>
      </c>
      <c r="AE20" s="1"/>
      <c r="AF20" s="1"/>
      <c r="AG20" s="1"/>
      <c r="AH20" s="40"/>
      <c r="AI20" s="1"/>
      <c r="AJ20" s="40">
        <f>_xlfn.MAXIFS(_01towers[02tss.Rev],_01towers[05_id],_01towers[[#This Row],[05_id]])</f>
        <v>1</v>
      </c>
      <c r="AK20" s="40" t="b">
        <f>IF(_01towers[[#This Row],[Count Rev TSS]]=_01towers[[#This Row],[02tss.Rev]],TRUE,FALSE)</f>
        <v>1</v>
      </c>
      <c r="AL20" s="40">
        <f>_xlfn.MAXIFS(_01towers[10colo_app.Rev],_01towers[05_id],_01towers[[#This Row],[05_id]])</f>
        <v>2</v>
      </c>
      <c r="AM20" s="40" t="b">
        <f>IF(_01towers[[#This Row],[Count Rev Colo App]]=_01towers[[#This Row],[10colo_app.Rev]],TRUE,FALSE)</f>
        <v>1</v>
      </c>
      <c r="AN20" s="40" t="b">
        <f>IF(AND(_01towers[[#This Row],[Test Rev Colo]]=TRUE,_01towers[[#This Row],[Test Rev TSS]]=TRUE),TRUE,FALSE)</f>
        <v>1</v>
      </c>
      <c r="AO20" s="40" t="str">
        <f>IF(_01towers[[#This Row],[Test Active]]=TRUE,_01towers[[#This Row],[Prevalidation Status]],"")</f>
        <v>Prevalidated</v>
      </c>
      <c r="AP20" s="40" t="str">
        <f>IF(_01towers[[#This Row],[Active Prevalidation Status]]="Under Prevalidation",
IF(M20="","Review",M20),"")</f>
        <v/>
      </c>
      <c r="AQ20" s="40" t="str">
        <f>IF(_01towers[[#This Row],[Active Prevalidation Status]]="Under Prevalidation",
IF(N20="","Review",N20),"")</f>
        <v/>
      </c>
      <c r="AR20" s="40" t="str">
        <f>IF(_01towers[[#This Row],[Active Prevalidation Status]]="Under Prevalidation",
IF(O20="","Review",O20),"")</f>
        <v/>
      </c>
      <c r="AS20" s="40" t="str">
        <f>IF(_01towers[[#This Row],[Active Prevalidation Status]]="Under Prevalidation",
IF(P20="","Review",P20),"")</f>
        <v/>
      </c>
      <c r="AT20" s="40" t="str">
        <f>IF(_01towers[[#This Row],[Active Prevalidation Status]]="Under Prevalidation",
IF(Q20="","Review",Q20),"")</f>
        <v/>
      </c>
      <c r="AU20" s="40" t="str">
        <f>IF(_01towers[[#This Row],[Active Prevalidation Status]]="Under Prevalidation",
IF(R20="","Review",R20),"")</f>
        <v/>
      </c>
      <c r="AV20" s="40">
        <f>COUNTIF(_01towers[[#This Row],[SAQ_Result2]:[Community_Result2]],"OK")</f>
        <v>0</v>
      </c>
      <c r="AW20" s="1" t="str">
        <f>IF(AND(OR(_01towers[[#This Row],[Active Prevalidation Status]]="Under Prevalidation",_01towers[[#This Row],[Active Prevalidation Status]]="Prevalidated"),_01towers[[#This Row],[02tss.TSSR_From_Engineer]]&gt;0),"Submitted","")</f>
        <v>Submitted</v>
      </c>
      <c r="AX20" s="40" t="str">
        <f>IF(OR(_01towers[[#This Row],[Active Prevalidation Status]]="Under Prevalidation",_01towers[[#This Row],[Active Prevalidation Status]]="Prevalidated"),_01towers[[#This Row],[02tss.TSS_Result]],"")</f>
        <v>Approved</v>
      </c>
      <c r="AY20" s="40" t="str">
        <f>IF(AND(_01towers[[#This Row],[Active TSS Result]]="Approved",_01towers[[#This Row],[Active Prevalidation Status]]="Prevalidated"),"In Process","")</f>
        <v>In Process</v>
      </c>
      <c r="AZ20" s="40" t="str">
        <f>IF(AND(_01towers[[#This Row],[Active TSS Result]]="Approved",_01towers[[#This Row],[Active Prevalidation Status]]="Prevalidated"),_01towers[[#This Row],[10colo_app.Colo_App_Result]],"")</f>
        <v>Approved</v>
      </c>
      <c r="BA20" s="40">
        <f>COUNTIF(_20work_order[05_id],_01towers[[#This Row],[05_id]])</f>
        <v>0</v>
      </c>
      <c r="BB20" s="40">
        <f>COUNTIFS(_20work_order[05_id],_01towers[[#This Row],[05_id]],_20work_order[Actual_End],"&gt;0")</f>
        <v>0</v>
      </c>
      <c r="BC20" s="40" t="str">
        <f>IF(_01towers[[#This Row],[Completed Work Orders]]&gt;0,"Work Completed",
IF(_01towers[[#This Row],[Count Work Orders]]&gt;0,"Work in Progress",""))</f>
        <v/>
      </c>
      <c r="BD2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20" s="40" t="str">
        <f>_xlfn.SWITCH(_01towers[[#This Row],[Final Colo Status full]],"Commercial Approval Requested","Under Prevalidation",_01towers[[#This Row],[Final Colo Status full]])</f>
        <v>Colo Application Approved</v>
      </c>
    </row>
    <row r="21" spans="1:57" hidden="1" x14ac:dyDescent="0.35">
      <c r="A21" s="40" t="s">
        <v>114</v>
      </c>
      <c r="B21" s="40" t="s">
        <v>90</v>
      </c>
      <c r="C21" s="40" t="s">
        <v>51</v>
      </c>
      <c r="D21">
        <v>35</v>
      </c>
      <c r="E21" s="40" t="s">
        <v>98</v>
      </c>
      <c r="F21">
        <v>96.083290000000005</v>
      </c>
      <c r="G21">
        <v>16.967369999999999</v>
      </c>
      <c r="H21" s="40" t="s">
        <v>115</v>
      </c>
      <c r="I21">
        <v>19</v>
      </c>
      <c r="J21" s="40" t="s">
        <v>116</v>
      </c>
      <c r="K21" s="40" t="s">
        <v>55</v>
      </c>
      <c r="L21" s="40" t="s">
        <v>64</v>
      </c>
      <c r="M21" s="40" t="s">
        <v>57</v>
      </c>
      <c r="N21" s="40" t="s">
        <v>57</v>
      </c>
      <c r="O21" s="40" t="s">
        <v>57</v>
      </c>
      <c r="P21" s="40" t="s">
        <v>57</v>
      </c>
      <c r="Q21" s="40" t="s">
        <v>57</v>
      </c>
      <c r="R21" s="40" t="s">
        <v>57</v>
      </c>
      <c r="S21">
        <v>197</v>
      </c>
      <c r="T21">
        <v>1</v>
      </c>
      <c r="U21" s="1"/>
      <c r="V21" s="1"/>
      <c r="W21" s="1">
        <v>43223</v>
      </c>
      <c r="X21" s="1">
        <v>43223</v>
      </c>
      <c r="Y21" s="1"/>
      <c r="Z21" s="40" t="s">
        <v>59</v>
      </c>
      <c r="AA21">
        <v>196</v>
      </c>
      <c r="AB21">
        <v>1</v>
      </c>
      <c r="AC21" s="1">
        <v>43229</v>
      </c>
      <c r="AD21" s="40" t="s">
        <v>59</v>
      </c>
      <c r="AE21" s="1"/>
      <c r="AF21" s="1"/>
      <c r="AG21" s="1"/>
      <c r="AH21" s="40"/>
      <c r="AI21" s="1"/>
      <c r="AJ21" s="40">
        <f>_xlfn.MAXIFS(_01towers[02tss.Rev],_01towers[05_id],_01towers[[#This Row],[05_id]])</f>
        <v>1</v>
      </c>
      <c r="AK21" s="40" t="b">
        <f>IF(_01towers[[#This Row],[Count Rev TSS]]=_01towers[[#This Row],[02tss.Rev]],TRUE,FALSE)</f>
        <v>1</v>
      </c>
      <c r="AL21" s="40">
        <f>_xlfn.MAXIFS(_01towers[10colo_app.Rev],_01towers[05_id],_01towers[[#This Row],[05_id]])</f>
        <v>1</v>
      </c>
      <c r="AM21" s="40" t="b">
        <f>IF(_01towers[[#This Row],[Count Rev Colo App]]=_01towers[[#This Row],[10colo_app.Rev]],TRUE,FALSE)</f>
        <v>1</v>
      </c>
      <c r="AN21" s="40" t="b">
        <f>IF(AND(_01towers[[#This Row],[Test Rev Colo]]=TRUE,_01towers[[#This Row],[Test Rev TSS]]=TRUE),TRUE,FALSE)</f>
        <v>1</v>
      </c>
      <c r="AO21" s="40" t="str">
        <f>IF(_01towers[[#This Row],[Test Active]]=TRUE,_01towers[[#This Row],[Prevalidation Status]],"")</f>
        <v>Prevalidated</v>
      </c>
      <c r="AP21" s="40" t="str">
        <f>IF(_01towers[[#This Row],[Active Prevalidation Status]]="Under Prevalidation",
IF(M21="","Review",M21),"")</f>
        <v/>
      </c>
      <c r="AQ21" s="40" t="str">
        <f>IF(_01towers[[#This Row],[Active Prevalidation Status]]="Under Prevalidation",
IF(N21="","Review",N21),"")</f>
        <v/>
      </c>
      <c r="AR21" s="40" t="str">
        <f>IF(_01towers[[#This Row],[Active Prevalidation Status]]="Under Prevalidation",
IF(O21="","Review",O21),"")</f>
        <v/>
      </c>
      <c r="AS21" s="40" t="str">
        <f>IF(_01towers[[#This Row],[Active Prevalidation Status]]="Under Prevalidation",
IF(P21="","Review",P21),"")</f>
        <v/>
      </c>
      <c r="AT21" s="40" t="str">
        <f>IF(_01towers[[#This Row],[Active Prevalidation Status]]="Under Prevalidation",
IF(Q21="","Review",Q21),"")</f>
        <v/>
      </c>
      <c r="AU21" s="40" t="str">
        <f>IF(_01towers[[#This Row],[Active Prevalidation Status]]="Under Prevalidation",
IF(R21="","Review",R21),"")</f>
        <v/>
      </c>
      <c r="AV21" s="40">
        <f>COUNTIF(_01towers[[#This Row],[SAQ_Result2]:[Community_Result2]],"OK")</f>
        <v>0</v>
      </c>
      <c r="AW21" s="1" t="str">
        <f>IF(AND(OR(_01towers[[#This Row],[Active Prevalidation Status]]="Under Prevalidation",_01towers[[#This Row],[Active Prevalidation Status]]="Prevalidated"),_01towers[[#This Row],[02tss.TSSR_From_Engineer]]&gt;0),"Submitted","")</f>
        <v>Submitted</v>
      </c>
      <c r="AX21" s="40" t="str">
        <f>IF(OR(_01towers[[#This Row],[Active Prevalidation Status]]="Under Prevalidation",_01towers[[#This Row],[Active Prevalidation Status]]="Prevalidated"),_01towers[[#This Row],[02tss.TSS_Result]],"")</f>
        <v>Approved</v>
      </c>
      <c r="AY21" s="40" t="str">
        <f>IF(AND(_01towers[[#This Row],[Active TSS Result]]="Approved",_01towers[[#This Row],[Active Prevalidation Status]]="Prevalidated"),"In Process","")</f>
        <v>In Process</v>
      </c>
      <c r="AZ21" s="40" t="str">
        <f>IF(AND(_01towers[[#This Row],[Active TSS Result]]="Approved",_01towers[[#This Row],[Active Prevalidation Status]]="Prevalidated"),_01towers[[#This Row],[10colo_app.Colo_App_Result]],"")</f>
        <v>Approved</v>
      </c>
      <c r="BA21" s="40">
        <f>COUNTIF(_20work_order[05_id],_01towers[[#This Row],[05_id]])</f>
        <v>0</v>
      </c>
      <c r="BB21" s="40">
        <f>COUNTIFS(_20work_order[05_id],_01towers[[#This Row],[05_id]],_20work_order[Actual_End],"&gt;0")</f>
        <v>0</v>
      </c>
      <c r="BC21" s="40" t="str">
        <f>IF(_01towers[[#This Row],[Completed Work Orders]]&gt;0,"Work Completed",
IF(_01towers[[#This Row],[Count Work Orders]]&gt;0,"Work in Progress",""))</f>
        <v/>
      </c>
      <c r="BD2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21" s="40" t="str">
        <f>_xlfn.SWITCH(_01towers[[#This Row],[Final Colo Status full]],"Commercial Approval Requested","Under Prevalidation",_01towers[[#This Row],[Final Colo Status full]])</f>
        <v>Colo Application Approved</v>
      </c>
    </row>
    <row r="22" spans="1:57" hidden="1" x14ac:dyDescent="0.35">
      <c r="A22" s="40" t="s">
        <v>117</v>
      </c>
      <c r="B22" s="40" t="s">
        <v>50</v>
      </c>
      <c r="C22" s="40" t="s">
        <v>82</v>
      </c>
      <c r="D22">
        <v>6</v>
      </c>
      <c r="E22" s="40" t="s">
        <v>66</v>
      </c>
      <c r="F22">
        <v>96.110633000000007</v>
      </c>
      <c r="G22">
        <v>21.988139</v>
      </c>
      <c r="H22" s="40" t="s">
        <v>53</v>
      </c>
      <c r="I22">
        <v>20</v>
      </c>
      <c r="J22" s="40" t="s">
        <v>118</v>
      </c>
      <c r="K22" s="40" t="s">
        <v>55</v>
      </c>
      <c r="L22" s="40" t="s">
        <v>74</v>
      </c>
      <c r="M22" s="40" t="s">
        <v>57</v>
      </c>
      <c r="N22" s="40" t="s">
        <v>57</v>
      </c>
      <c r="O22" s="40" t="s">
        <v>57</v>
      </c>
      <c r="P22" s="40" t="s">
        <v>57</v>
      </c>
      <c r="Q22" s="40" t="s">
        <v>57</v>
      </c>
      <c r="R22" s="40" t="s">
        <v>75</v>
      </c>
      <c r="S22">
        <v>198</v>
      </c>
      <c r="T22">
        <v>1</v>
      </c>
      <c r="U22" s="1"/>
      <c r="V22" s="1"/>
      <c r="W22" s="1"/>
      <c r="X22" s="1"/>
      <c r="Y22" s="1"/>
      <c r="Z22" s="40"/>
      <c r="AA22">
        <v>197</v>
      </c>
      <c r="AB22">
        <v>1</v>
      </c>
      <c r="AC22" s="1"/>
      <c r="AD22" s="40"/>
      <c r="AE22" s="1"/>
      <c r="AF22" s="1"/>
      <c r="AG22" s="1"/>
      <c r="AH22" s="40"/>
      <c r="AI22" s="1"/>
      <c r="AJ22" s="40">
        <f>_xlfn.MAXIFS(_01towers[02tss.Rev],_01towers[05_id],_01towers[[#This Row],[05_id]])</f>
        <v>1</v>
      </c>
      <c r="AK22" s="40" t="b">
        <f>IF(_01towers[[#This Row],[Count Rev TSS]]=_01towers[[#This Row],[02tss.Rev]],TRUE,FALSE)</f>
        <v>1</v>
      </c>
      <c r="AL22" s="40">
        <f>_xlfn.MAXIFS(_01towers[10colo_app.Rev],_01towers[05_id],_01towers[[#This Row],[05_id]])</f>
        <v>1</v>
      </c>
      <c r="AM22" s="40" t="b">
        <f>IF(_01towers[[#This Row],[Count Rev Colo App]]=_01towers[[#This Row],[10colo_app.Rev]],TRUE,FALSE)</f>
        <v>1</v>
      </c>
      <c r="AN22" s="40" t="b">
        <f>IF(AND(_01towers[[#This Row],[Test Rev Colo]]=TRUE,_01towers[[#This Row],[Test Rev TSS]]=TRUE),TRUE,FALSE)</f>
        <v>1</v>
      </c>
      <c r="AO22" s="40" t="str">
        <f>IF(_01towers[[#This Row],[Test Active]]=TRUE,_01towers[[#This Row],[Prevalidation Status]],"")</f>
        <v>Prevalidation Rejected</v>
      </c>
      <c r="AP22" s="40" t="str">
        <f>IF(_01towers[[#This Row],[Active Prevalidation Status]]="Under Prevalidation",
IF(M22="","Review",M22),"")</f>
        <v/>
      </c>
      <c r="AQ22" s="40" t="str">
        <f>IF(_01towers[[#This Row],[Active Prevalidation Status]]="Under Prevalidation",
IF(N22="","Review",N22),"")</f>
        <v/>
      </c>
      <c r="AR22" s="40" t="str">
        <f>IF(_01towers[[#This Row],[Active Prevalidation Status]]="Under Prevalidation",
IF(O22="","Review",O22),"")</f>
        <v/>
      </c>
      <c r="AS22" s="40" t="str">
        <f>IF(_01towers[[#This Row],[Active Prevalidation Status]]="Under Prevalidation",
IF(P22="","Review",P22),"")</f>
        <v/>
      </c>
      <c r="AT22" s="40" t="str">
        <f>IF(_01towers[[#This Row],[Active Prevalidation Status]]="Under Prevalidation",
IF(Q22="","Review",Q22),"")</f>
        <v/>
      </c>
      <c r="AU22" s="40" t="str">
        <f>IF(_01towers[[#This Row],[Active Prevalidation Status]]="Under Prevalidation",
IF(R22="","Review",R22),"")</f>
        <v/>
      </c>
      <c r="AV22" s="40">
        <f>COUNTIF(_01towers[[#This Row],[SAQ_Result2]:[Community_Result2]],"OK")</f>
        <v>0</v>
      </c>
      <c r="AW22" s="1" t="str">
        <f>IF(AND(OR(_01towers[[#This Row],[Active Prevalidation Status]]="Under Prevalidation",_01towers[[#This Row],[Active Prevalidation Status]]="Prevalidated"),_01towers[[#This Row],[02tss.TSSR_From_Engineer]]&gt;0),"Submitted","")</f>
        <v/>
      </c>
      <c r="AX22" s="40" t="str">
        <f>IF(OR(_01towers[[#This Row],[Active Prevalidation Status]]="Under Prevalidation",_01towers[[#This Row],[Active Prevalidation Status]]="Prevalidated"),_01towers[[#This Row],[02tss.TSS_Result]],"")</f>
        <v/>
      </c>
      <c r="AY22" s="40" t="str">
        <f>IF(AND(_01towers[[#This Row],[Active TSS Result]]="Approved",_01towers[[#This Row],[Active Prevalidation Status]]="Prevalidated"),"In Process","")</f>
        <v/>
      </c>
      <c r="AZ22" s="40" t="str">
        <f>IF(AND(_01towers[[#This Row],[Active TSS Result]]="Approved",_01towers[[#This Row],[Active Prevalidation Status]]="Prevalidated"),_01towers[[#This Row],[10colo_app.Colo_App_Result]],"")</f>
        <v/>
      </c>
      <c r="BA22" s="40">
        <f>COUNTIF(_20work_order[05_id],_01towers[[#This Row],[05_id]])</f>
        <v>0</v>
      </c>
      <c r="BB22" s="40">
        <f>COUNTIFS(_20work_order[05_id],_01towers[[#This Row],[05_id]],_20work_order[Actual_End],"&gt;0")</f>
        <v>0</v>
      </c>
      <c r="BC22" s="40" t="str">
        <f>IF(_01towers[[#This Row],[Completed Work Orders]]&gt;0,"Work Completed",
IF(_01towers[[#This Row],[Count Work Orders]]&gt;0,"Work in Progress",""))</f>
        <v/>
      </c>
      <c r="BD2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2" s="40" t="str">
        <f>_xlfn.SWITCH(_01towers[[#This Row],[Final Colo Status full]],"Commercial Approval Requested","Under Prevalidation",_01towers[[#This Row],[Final Colo Status full]])</f>
        <v>Prevalidation Rejected</v>
      </c>
    </row>
    <row r="23" spans="1:57" hidden="1" x14ac:dyDescent="0.35">
      <c r="A23" s="40" t="s">
        <v>119</v>
      </c>
      <c r="B23" s="40" t="s">
        <v>90</v>
      </c>
      <c r="C23" s="40" t="s">
        <v>51</v>
      </c>
      <c r="D23">
        <v>35</v>
      </c>
      <c r="E23" s="40" t="s">
        <v>98</v>
      </c>
      <c r="F23">
        <v>96.092950000000002</v>
      </c>
      <c r="G23">
        <v>16.909870000000002</v>
      </c>
      <c r="H23" s="40" t="s">
        <v>53</v>
      </c>
      <c r="I23">
        <v>21</v>
      </c>
      <c r="J23" s="40" t="s">
        <v>120</v>
      </c>
      <c r="K23" s="40" t="s">
        <v>121</v>
      </c>
      <c r="L23" s="40" t="s">
        <v>64</v>
      </c>
      <c r="M23" s="40" t="s">
        <v>57</v>
      </c>
      <c r="N23" s="40" t="s">
        <v>57</v>
      </c>
      <c r="O23" s="40" t="s">
        <v>57</v>
      </c>
      <c r="P23" s="40" t="s">
        <v>57</v>
      </c>
      <c r="Q23" s="40" t="s">
        <v>57</v>
      </c>
      <c r="R23" s="40" t="s">
        <v>57</v>
      </c>
      <c r="S23">
        <v>199</v>
      </c>
      <c r="T23">
        <v>1</v>
      </c>
      <c r="U23" s="1"/>
      <c r="V23" s="1">
        <v>43158</v>
      </c>
      <c r="W23" s="1"/>
      <c r="X23" s="1">
        <v>43159</v>
      </c>
      <c r="Y23" s="1"/>
      <c r="Z23" s="40" t="s">
        <v>59</v>
      </c>
      <c r="AA23">
        <v>198</v>
      </c>
      <c r="AB23">
        <v>1</v>
      </c>
      <c r="AC23" s="1">
        <v>43172</v>
      </c>
      <c r="AD23" s="40"/>
      <c r="AE23" s="1"/>
      <c r="AF23" s="1"/>
      <c r="AG23" s="1"/>
      <c r="AH23" s="40"/>
      <c r="AI23" s="1"/>
      <c r="AJ23" s="40">
        <f>_xlfn.MAXIFS(_01towers[02tss.Rev],_01towers[05_id],_01towers[[#This Row],[05_id]])</f>
        <v>1</v>
      </c>
      <c r="AK23" s="40" t="b">
        <f>IF(_01towers[[#This Row],[Count Rev TSS]]=_01towers[[#This Row],[02tss.Rev]],TRUE,FALSE)</f>
        <v>1</v>
      </c>
      <c r="AL23" s="40">
        <f>_xlfn.MAXIFS(_01towers[10colo_app.Rev],_01towers[05_id],_01towers[[#This Row],[05_id]])</f>
        <v>1</v>
      </c>
      <c r="AM23" s="40" t="b">
        <f>IF(_01towers[[#This Row],[Count Rev Colo App]]=_01towers[[#This Row],[10colo_app.Rev]],TRUE,FALSE)</f>
        <v>1</v>
      </c>
      <c r="AN23" s="40" t="b">
        <f>IF(AND(_01towers[[#This Row],[Test Rev Colo]]=TRUE,_01towers[[#This Row],[Test Rev TSS]]=TRUE),TRUE,FALSE)</f>
        <v>1</v>
      </c>
      <c r="AO23" s="40" t="str">
        <f>IF(_01towers[[#This Row],[Test Active]]=TRUE,_01towers[[#This Row],[Prevalidation Status]],"")</f>
        <v>Prevalidated</v>
      </c>
      <c r="AP23" s="40" t="str">
        <f>IF(_01towers[[#This Row],[Active Prevalidation Status]]="Under Prevalidation",
IF(M23="","Review",M23),"")</f>
        <v/>
      </c>
      <c r="AQ23" s="40" t="str">
        <f>IF(_01towers[[#This Row],[Active Prevalidation Status]]="Under Prevalidation",
IF(N23="","Review",N23),"")</f>
        <v/>
      </c>
      <c r="AR23" s="40" t="str">
        <f>IF(_01towers[[#This Row],[Active Prevalidation Status]]="Under Prevalidation",
IF(O23="","Review",O23),"")</f>
        <v/>
      </c>
      <c r="AS23" s="40" t="str">
        <f>IF(_01towers[[#This Row],[Active Prevalidation Status]]="Under Prevalidation",
IF(P23="","Review",P23),"")</f>
        <v/>
      </c>
      <c r="AT23" s="40" t="str">
        <f>IF(_01towers[[#This Row],[Active Prevalidation Status]]="Under Prevalidation",
IF(Q23="","Review",Q23),"")</f>
        <v/>
      </c>
      <c r="AU23" s="40" t="str">
        <f>IF(_01towers[[#This Row],[Active Prevalidation Status]]="Under Prevalidation",
IF(R23="","Review",R23),"")</f>
        <v/>
      </c>
      <c r="AV23" s="40">
        <f>COUNTIF(_01towers[[#This Row],[SAQ_Result2]:[Community_Result2]],"OK")</f>
        <v>0</v>
      </c>
      <c r="AW23" s="1" t="str">
        <f>IF(AND(OR(_01towers[[#This Row],[Active Prevalidation Status]]="Under Prevalidation",_01towers[[#This Row],[Active Prevalidation Status]]="Prevalidated"),_01towers[[#This Row],[02tss.TSSR_From_Engineer]]&gt;0),"Submitted","")</f>
        <v/>
      </c>
      <c r="AX23" s="40" t="str">
        <f>IF(OR(_01towers[[#This Row],[Active Prevalidation Status]]="Under Prevalidation",_01towers[[#This Row],[Active Prevalidation Status]]="Prevalidated"),_01towers[[#This Row],[02tss.TSS_Result]],"")</f>
        <v>Approved</v>
      </c>
      <c r="AY23" s="40" t="str">
        <f>IF(AND(_01towers[[#This Row],[Active TSS Result]]="Approved",_01towers[[#This Row],[Active Prevalidation Status]]="Prevalidated"),"In Process","")</f>
        <v>In Process</v>
      </c>
      <c r="AZ23" s="40">
        <f>IF(AND(_01towers[[#This Row],[Active TSS Result]]="Approved",_01towers[[#This Row],[Active Prevalidation Status]]="Prevalidated"),_01towers[[#This Row],[10colo_app.Colo_App_Result]],"")</f>
        <v>0</v>
      </c>
      <c r="BA23" s="40">
        <f>COUNTIF(_20work_order[05_id],_01towers[[#This Row],[05_id]])</f>
        <v>1</v>
      </c>
      <c r="BB23" s="40">
        <f>COUNTIFS(_20work_order[05_id],_01towers[[#This Row],[05_id]],_20work_order[Actual_End],"&gt;0")</f>
        <v>1</v>
      </c>
      <c r="BC23" s="40" t="str">
        <f>IF(_01towers[[#This Row],[Completed Work Orders]]&gt;0,"Work Completed",
IF(_01towers[[#This Row],[Count Work Orders]]&gt;0,"Work in Progress",""))</f>
        <v>Work Completed</v>
      </c>
      <c r="BD2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23" s="40" t="str">
        <f>_xlfn.SWITCH(_01towers[[#This Row],[Final Colo Status full]],"Commercial Approval Requested","Under Prevalidation",_01towers[[#This Row],[Final Colo Status full]])</f>
        <v>Prevalidated - TSSR Done</v>
      </c>
    </row>
    <row r="24" spans="1:57" hidden="1" x14ac:dyDescent="0.35">
      <c r="A24" s="40" t="s">
        <v>122</v>
      </c>
      <c r="B24" s="40" t="s">
        <v>90</v>
      </c>
      <c r="C24" s="40" t="s">
        <v>51</v>
      </c>
      <c r="D24">
        <v>35</v>
      </c>
      <c r="E24" s="40" t="s">
        <v>98</v>
      </c>
      <c r="F24">
        <v>96.281469999999999</v>
      </c>
      <c r="G24">
        <v>16.736360000000001</v>
      </c>
      <c r="H24" s="40" t="s">
        <v>53</v>
      </c>
      <c r="I24">
        <v>22</v>
      </c>
      <c r="J24" s="40" t="s">
        <v>123</v>
      </c>
      <c r="K24" s="40" t="s">
        <v>124</v>
      </c>
      <c r="L24" s="40" t="s">
        <v>64</v>
      </c>
      <c r="M24" s="40" t="s">
        <v>57</v>
      </c>
      <c r="N24" s="40" t="s">
        <v>57</v>
      </c>
      <c r="O24" s="40" t="s">
        <v>57</v>
      </c>
      <c r="P24" s="40" t="s">
        <v>57</v>
      </c>
      <c r="Q24" s="40" t="s">
        <v>57</v>
      </c>
      <c r="R24" s="40" t="s">
        <v>57</v>
      </c>
      <c r="S24">
        <v>200</v>
      </c>
      <c r="T24">
        <v>1</v>
      </c>
      <c r="U24" s="1">
        <v>43167</v>
      </c>
      <c r="V24" s="1">
        <v>43167</v>
      </c>
      <c r="W24" s="1">
        <v>43174</v>
      </c>
      <c r="X24" s="1">
        <v>43168</v>
      </c>
      <c r="Y24" s="1">
        <v>43220</v>
      </c>
      <c r="Z24" s="40" t="s">
        <v>59</v>
      </c>
      <c r="AA24">
        <v>199</v>
      </c>
      <c r="AB24">
        <v>1</v>
      </c>
      <c r="AC24" s="1">
        <v>43195</v>
      </c>
      <c r="AD24" s="40" t="s">
        <v>59</v>
      </c>
      <c r="AE24" s="1"/>
      <c r="AF24" s="1"/>
      <c r="AG24" s="1"/>
      <c r="AH24" s="40"/>
      <c r="AI24" s="1"/>
      <c r="AJ24" s="40">
        <f>_xlfn.MAXIFS(_01towers[02tss.Rev],_01towers[05_id],_01towers[[#This Row],[05_id]])</f>
        <v>1</v>
      </c>
      <c r="AK24" s="40" t="b">
        <f>IF(_01towers[[#This Row],[Count Rev TSS]]=_01towers[[#This Row],[02tss.Rev]],TRUE,FALSE)</f>
        <v>1</v>
      </c>
      <c r="AL24" s="40">
        <f>_xlfn.MAXIFS(_01towers[10colo_app.Rev],_01towers[05_id],_01towers[[#This Row],[05_id]])</f>
        <v>1</v>
      </c>
      <c r="AM24" s="40" t="b">
        <f>IF(_01towers[[#This Row],[Count Rev Colo App]]=_01towers[[#This Row],[10colo_app.Rev]],TRUE,FALSE)</f>
        <v>1</v>
      </c>
      <c r="AN24" s="40" t="b">
        <f>IF(AND(_01towers[[#This Row],[Test Rev Colo]]=TRUE,_01towers[[#This Row],[Test Rev TSS]]=TRUE),TRUE,FALSE)</f>
        <v>1</v>
      </c>
      <c r="AO24" s="40" t="str">
        <f>IF(_01towers[[#This Row],[Test Active]]=TRUE,_01towers[[#This Row],[Prevalidation Status]],"")</f>
        <v>Prevalidated</v>
      </c>
      <c r="AP24" s="40" t="str">
        <f>IF(_01towers[[#This Row],[Active Prevalidation Status]]="Under Prevalidation",
IF(M24="","Review",M24),"")</f>
        <v/>
      </c>
      <c r="AQ24" s="40" t="str">
        <f>IF(_01towers[[#This Row],[Active Prevalidation Status]]="Under Prevalidation",
IF(N24="","Review",N24),"")</f>
        <v/>
      </c>
      <c r="AR24" s="40" t="str">
        <f>IF(_01towers[[#This Row],[Active Prevalidation Status]]="Under Prevalidation",
IF(O24="","Review",O24),"")</f>
        <v/>
      </c>
      <c r="AS24" s="40" t="str">
        <f>IF(_01towers[[#This Row],[Active Prevalidation Status]]="Under Prevalidation",
IF(P24="","Review",P24),"")</f>
        <v/>
      </c>
      <c r="AT24" s="40" t="str">
        <f>IF(_01towers[[#This Row],[Active Prevalidation Status]]="Under Prevalidation",
IF(Q24="","Review",Q24),"")</f>
        <v/>
      </c>
      <c r="AU24" s="40" t="str">
        <f>IF(_01towers[[#This Row],[Active Prevalidation Status]]="Under Prevalidation",
IF(R24="","Review",R24),"")</f>
        <v/>
      </c>
      <c r="AV24" s="40">
        <f>COUNTIF(_01towers[[#This Row],[SAQ_Result2]:[Community_Result2]],"OK")</f>
        <v>0</v>
      </c>
      <c r="AW24" s="1" t="str">
        <f>IF(AND(OR(_01towers[[#This Row],[Active Prevalidation Status]]="Under Prevalidation",_01towers[[#This Row],[Active Prevalidation Status]]="Prevalidated"),_01towers[[#This Row],[02tss.TSSR_From_Engineer]]&gt;0),"Submitted","")</f>
        <v>Submitted</v>
      </c>
      <c r="AX24" s="40" t="str">
        <f>IF(OR(_01towers[[#This Row],[Active Prevalidation Status]]="Under Prevalidation",_01towers[[#This Row],[Active Prevalidation Status]]="Prevalidated"),_01towers[[#This Row],[02tss.TSS_Result]],"")</f>
        <v>Approved</v>
      </c>
      <c r="AY24" s="40" t="str">
        <f>IF(AND(_01towers[[#This Row],[Active TSS Result]]="Approved",_01towers[[#This Row],[Active Prevalidation Status]]="Prevalidated"),"In Process","")</f>
        <v>In Process</v>
      </c>
      <c r="AZ24" s="40" t="str">
        <f>IF(AND(_01towers[[#This Row],[Active TSS Result]]="Approved",_01towers[[#This Row],[Active Prevalidation Status]]="Prevalidated"),_01towers[[#This Row],[10colo_app.Colo_App_Result]],"")</f>
        <v>Approved</v>
      </c>
      <c r="BA24" s="40">
        <f>COUNTIF(_20work_order[05_id],_01towers[[#This Row],[05_id]])</f>
        <v>2</v>
      </c>
      <c r="BB24" s="40">
        <f>COUNTIFS(_20work_order[05_id],_01towers[[#This Row],[05_id]],_20work_order[Actual_End],"&gt;0")</f>
        <v>2</v>
      </c>
      <c r="BC24" s="40" t="str">
        <f>IF(_01towers[[#This Row],[Completed Work Orders]]&gt;0,"Work Completed",
IF(_01towers[[#This Row],[Count Work Orders]]&gt;0,"Work in Progress",""))</f>
        <v>Work Completed</v>
      </c>
      <c r="BD2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24" s="40" t="str">
        <f>_xlfn.SWITCH(_01towers[[#This Row],[Final Colo Status full]],"Commercial Approval Requested","Under Prevalidation",_01towers[[#This Row],[Final Colo Status full]])</f>
        <v>Work Completed</v>
      </c>
    </row>
    <row r="25" spans="1:57" hidden="1" x14ac:dyDescent="0.35">
      <c r="A25" s="40" t="s">
        <v>125</v>
      </c>
      <c r="B25" s="40" t="s">
        <v>50</v>
      </c>
      <c r="C25" s="40" t="s">
        <v>51</v>
      </c>
      <c r="D25">
        <v>45</v>
      </c>
      <c r="E25" s="40" t="s">
        <v>79</v>
      </c>
      <c r="F25">
        <v>95.164109999999994</v>
      </c>
      <c r="G25">
        <v>22.124780000000001</v>
      </c>
      <c r="H25" s="40" t="s">
        <v>69</v>
      </c>
      <c r="I25">
        <v>23</v>
      </c>
      <c r="J25" s="40" t="s">
        <v>126</v>
      </c>
      <c r="K25" s="40" t="s">
        <v>124</v>
      </c>
      <c r="L25" s="40" t="s">
        <v>64</v>
      </c>
      <c r="M25" s="40" t="s">
        <v>57</v>
      </c>
      <c r="N25" s="40" t="s">
        <v>57</v>
      </c>
      <c r="O25" s="40" t="s">
        <v>57</v>
      </c>
      <c r="P25" s="40" t="s">
        <v>57</v>
      </c>
      <c r="Q25" s="40" t="s">
        <v>57</v>
      </c>
      <c r="R25" s="40" t="s">
        <v>57</v>
      </c>
      <c r="S25">
        <v>201</v>
      </c>
      <c r="T25">
        <v>1</v>
      </c>
      <c r="U25" s="1">
        <v>43128</v>
      </c>
      <c r="V25" s="1">
        <v>43128</v>
      </c>
      <c r="W25" s="1">
        <v>43130</v>
      </c>
      <c r="X25" s="1">
        <v>43130</v>
      </c>
      <c r="Y25" s="1">
        <v>43281</v>
      </c>
      <c r="Z25" s="40" t="s">
        <v>59</v>
      </c>
      <c r="AA25">
        <v>200</v>
      </c>
      <c r="AB25">
        <v>1</v>
      </c>
      <c r="AC25" s="1">
        <v>43138</v>
      </c>
      <c r="AD25" s="40" t="s">
        <v>59</v>
      </c>
      <c r="AE25" s="1"/>
      <c r="AF25" s="1"/>
      <c r="AG25" s="1"/>
      <c r="AH25" s="40"/>
      <c r="AI25" s="1"/>
      <c r="AJ25" s="40">
        <f>_xlfn.MAXIFS(_01towers[02tss.Rev],_01towers[05_id],_01towers[[#This Row],[05_id]])</f>
        <v>1</v>
      </c>
      <c r="AK25" s="40" t="b">
        <f>IF(_01towers[[#This Row],[Count Rev TSS]]=_01towers[[#This Row],[02tss.Rev]],TRUE,FALSE)</f>
        <v>1</v>
      </c>
      <c r="AL25" s="40">
        <f>_xlfn.MAXIFS(_01towers[10colo_app.Rev],_01towers[05_id],_01towers[[#This Row],[05_id]])</f>
        <v>1</v>
      </c>
      <c r="AM25" s="40" t="b">
        <f>IF(_01towers[[#This Row],[Count Rev Colo App]]=_01towers[[#This Row],[10colo_app.Rev]],TRUE,FALSE)</f>
        <v>1</v>
      </c>
      <c r="AN25" s="40" t="b">
        <f>IF(AND(_01towers[[#This Row],[Test Rev Colo]]=TRUE,_01towers[[#This Row],[Test Rev TSS]]=TRUE),TRUE,FALSE)</f>
        <v>1</v>
      </c>
      <c r="AO25" s="40" t="str">
        <f>IF(_01towers[[#This Row],[Test Active]]=TRUE,_01towers[[#This Row],[Prevalidation Status]],"")</f>
        <v>Prevalidated</v>
      </c>
      <c r="AP25" s="40" t="str">
        <f>IF(_01towers[[#This Row],[Active Prevalidation Status]]="Under Prevalidation",
IF(M25="","Review",M25),"")</f>
        <v/>
      </c>
      <c r="AQ25" s="40" t="str">
        <f>IF(_01towers[[#This Row],[Active Prevalidation Status]]="Under Prevalidation",
IF(N25="","Review",N25),"")</f>
        <v/>
      </c>
      <c r="AR25" s="40" t="str">
        <f>IF(_01towers[[#This Row],[Active Prevalidation Status]]="Under Prevalidation",
IF(O25="","Review",O25),"")</f>
        <v/>
      </c>
      <c r="AS25" s="40" t="str">
        <f>IF(_01towers[[#This Row],[Active Prevalidation Status]]="Under Prevalidation",
IF(P25="","Review",P25),"")</f>
        <v/>
      </c>
      <c r="AT25" s="40" t="str">
        <f>IF(_01towers[[#This Row],[Active Prevalidation Status]]="Under Prevalidation",
IF(Q25="","Review",Q25),"")</f>
        <v/>
      </c>
      <c r="AU25" s="40" t="str">
        <f>IF(_01towers[[#This Row],[Active Prevalidation Status]]="Under Prevalidation",
IF(R25="","Review",R25),"")</f>
        <v/>
      </c>
      <c r="AV25" s="40">
        <f>COUNTIF(_01towers[[#This Row],[SAQ_Result2]:[Community_Result2]],"OK")</f>
        <v>0</v>
      </c>
      <c r="AW25" s="1" t="str">
        <f>IF(AND(OR(_01towers[[#This Row],[Active Prevalidation Status]]="Under Prevalidation",_01towers[[#This Row],[Active Prevalidation Status]]="Prevalidated"),_01towers[[#This Row],[02tss.TSSR_From_Engineer]]&gt;0),"Submitted","")</f>
        <v>Submitted</v>
      </c>
      <c r="AX25" s="40" t="str">
        <f>IF(OR(_01towers[[#This Row],[Active Prevalidation Status]]="Under Prevalidation",_01towers[[#This Row],[Active Prevalidation Status]]="Prevalidated"),_01towers[[#This Row],[02tss.TSS_Result]],"")</f>
        <v>Approved</v>
      </c>
      <c r="AY25" s="40" t="str">
        <f>IF(AND(_01towers[[#This Row],[Active TSS Result]]="Approved",_01towers[[#This Row],[Active Prevalidation Status]]="Prevalidated"),"In Process","")</f>
        <v>In Process</v>
      </c>
      <c r="AZ25" s="40" t="str">
        <f>IF(AND(_01towers[[#This Row],[Active TSS Result]]="Approved",_01towers[[#This Row],[Active Prevalidation Status]]="Prevalidated"),_01towers[[#This Row],[10colo_app.Colo_App_Result]],"")</f>
        <v>Approved</v>
      </c>
      <c r="BA25" s="40">
        <f>COUNTIF(_20work_order[05_id],_01towers[[#This Row],[05_id]])</f>
        <v>1</v>
      </c>
      <c r="BB25" s="40">
        <f>COUNTIFS(_20work_order[05_id],_01towers[[#This Row],[05_id]],_20work_order[Actual_End],"&gt;0")</f>
        <v>1</v>
      </c>
      <c r="BC25" s="40" t="str">
        <f>IF(_01towers[[#This Row],[Completed Work Orders]]&gt;0,"Work Completed",
IF(_01towers[[#This Row],[Count Work Orders]]&gt;0,"Work in Progress",""))</f>
        <v>Work Completed</v>
      </c>
      <c r="BD2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25" s="40" t="str">
        <f>_xlfn.SWITCH(_01towers[[#This Row],[Final Colo Status full]],"Commercial Approval Requested","Under Prevalidation",_01towers[[#This Row],[Final Colo Status full]])</f>
        <v>Work Completed</v>
      </c>
    </row>
    <row r="26" spans="1:57" hidden="1" x14ac:dyDescent="0.35">
      <c r="A26" s="40" t="s">
        <v>127</v>
      </c>
      <c r="B26" s="40" t="s">
        <v>90</v>
      </c>
      <c r="C26" s="40" t="s">
        <v>51</v>
      </c>
      <c r="D26">
        <v>35</v>
      </c>
      <c r="E26" s="40" t="s">
        <v>98</v>
      </c>
      <c r="F26">
        <v>96.193648999999994</v>
      </c>
      <c r="G26">
        <v>16.927868</v>
      </c>
      <c r="H26" s="40" t="s">
        <v>128</v>
      </c>
      <c r="I26">
        <v>24</v>
      </c>
      <c r="J26" s="40" t="s">
        <v>129</v>
      </c>
      <c r="K26" s="40" t="s">
        <v>124</v>
      </c>
      <c r="L26" s="40" t="s">
        <v>64</v>
      </c>
      <c r="M26" s="40" t="s">
        <v>57</v>
      </c>
      <c r="N26" s="40" t="s">
        <v>57</v>
      </c>
      <c r="O26" s="40" t="s">
        <v>57</v>
      </c>
      <c r="P26" s="40" t="s">
        <v>57</v>
      </c>
      <c r="Q26" s="40" t="s">
        <v>57</v>
      </c>
      <c r="R26" s="40" t="s">
        <v>57</v>
      </c>
      <c r="S26">
        <v>202</v>
      </c>
      <c r="T26">
        <v>1</v>
      </c>
      <c r="U26" s="1">
        <v>43199</v>
      </c>
      <c r="V26" s="1">
        <v>43199</v>
      </c>
      <c r="W26" s="1">
        <v>43200</v>
      </c>
      <c r="X26" s="1">
        <v>43200</v>
      </c>
      <c r="Y26" s="1">
        <v>43281</v>
      </c>
      <c r="Z26" s="40" t="s">
        <v>59</v>
      </c>
      <c r="AA26">
        <v>201</v>
      </c>
      <c r="AB26">
        <v>1</v>
      </c>
      <c r="AC26" s="1">
        <v>43213</v>
      </c>
      <c r="AD26" s="40" t="s">
        <v>59</v>
      </c>
      <c r="AE26" s="1"/>
      <c r="AF26" s="1"/>
      <c r="AG26" s="1"/>
      <c r="AH26" s="40"/>
      <c r="AI26" s="1"/>
      <c r="AJ26" s="40">
        <f>_xlfn.MAXIFS(_01towers[02tss.Rev],_01towers[05_id],_01towers[[#This Row],[05_id]])</f>
        <v>1</v>
      </c>
      <c r="AK26" s="40" t="b">
        <f>IF(_01towers[[#This Row],[Count Rev TSS]]=_01towers[[#This Row],[02tss.Rev]],TRUE,FALSE)</f>
        <v>1</v>
      </c>
      <c r="AL26" s="40">
        <f>_xlfn.MAXIFS(_01towers[10colo_app.Rev],_01towers[05_id],_01towers[[#This Row],[05_id]])</f>
        <v>1</v>
      </c>
      <c r="AM26" s="40" t="b">
        <f>IF(_01towers[[#This Row],[Count Rev Colo App]]=_01towers[[#This Row],[10colo_app.Rev]],TRUE,FALSE)</f>
        <v>1</v>
      </c>
      <c r="AN26" s="40" t="b">
        <f>IF(AND(_01towers[[#This Row],[Test Rev Colo]]=TRUE,_01towers[[#This Row],[Test Rev TSS]]=TRUE),TRUE,FALSE)</f>
        <v>1</v>
      </c>
      <c r="AO26" s="40" t="str">
        <f>IF(_01towers[[#This Row],[Test Active]]=TRUE,_01towers[[#This Row],[Prevalidation Status]],"")</f>
        <v>Prevalidated</v>
      </c>
      <c r="AP26" s="40" t="str">
        <f>IF(_01towers[[#This Row],[Active Prevalidation Status]]="Under Prevalidation",
IF(M26="","Review",M26),"")</f>
        <v/>
      </c>
      <c r="AQ26" s="40" t="str">
        <f>IF(_01towers[[#This Row],[Active Prevalidation Status]]="Under Prevalidation",
IF(N26="","Review",N26),"")</f>
        <v/>
      </c>
      <c r="AR26" s="40" t="str">
        <f>IF(_01towers[[#This Row],[Active Prevalidation Status]]="Under Prevalidation",
IF(O26="","Review",O26),"")</f>
        <v/>
      </c>
      <c r="AS26" s="40" t="str">
        <f>IF(_01towers[[#This Row],[Active Prevalidation Status]]="Under Prevalidation",
IF(P26="","Review",P26),"")</f>
        <v/>
      </c>
      <c r="AT26" s="40" t="str">
        <f>IF(_01towers[[#This Row],[Active Prevalidation Status]]="Under Prevalidation",
IF(Q26="","Review",Q26),"")</f>
        <v/>
      </c>
      <c r="AU26" s="40" t="str">
        <f>IF(_01towers[[#This Row],[Active Prevalidation Status]]="Under Prevalidation",
IF(R26="","Review",R26),"")</f>
        <v/>
      </c>
      <c r="AV26" s="40">
        <f>COUNTIF(_01towers[[#This Row],[SAQ_Result2]:[Community_Result2]],"OK")</f>
        <v>0</v>
      </c>
      <c r="AW26" s="1" t="str">
        <f>IF(AND(OR(_01towers[[#This Row],[Active Prevalidation Status]]="Under Prevalidation",_01towers[[#This Row],[Active Prevalidation Status]]="Prevalidated"),_01towers[[#This Row],[02tss.TSSR_From_Engineer]]&gt;0),"Submitted","")</f>
        <v>Submitted</v>
      </c>
      <c r="AX26" s="40" t="str">
        <f>IF(OR(_01towers[[#This Row],[Active Prevalidation Status]]="Under Prevalidation",_01towers[[#This Row],[Active Prevalidation Status]]="Prevalidated"),_01towers[[#This Row],[02tss.TSS_Result]],"")</f>
        <v>Approved</v>
      </c>
      <c r="AY26" s="40" t="str">
        <f>IF(AND(_01towers[[#This Row],[Active TSS Result]]="Approved",_01towers[[#This Row],[Active Prevalidation Status]]="Prevalidated"),"In Process","")</f>
        <v>In Process</v>
      </c>
      <c r="AZ26" s="40" t="str">
        <f>IF(AND(_01towers[[#This Row],[Active TSS Result]]="Approved",_01towers[[#This Row],[Active Prevalidation Status]]="Prevalidated"),_01towers[[#This Row],[10colo_app.Colo_App_Result]],"")</f>
        <v>Approved</v>
      </c>
      <c r="BA26" s="40">
        <f>COUNTIF(_20work_order[05_id],_01towers[[#This Row],[05_id]])</f>
        <v>2</v>
      </c>
      <c r="BB26" s="40">
        <f>COUNTIFS(_20work_order[05_id],_01towers[[#This Row],[05_id]],_20work_order[Actual_End],"&gt;0")</f>
        <v>2</v>
      </c>
      <c r="BC26" s="40" t="str">
        <f>IF(_01towers[[#This Row],[Completed Work Orders]]&gt;0,"Work Completed",
IF(_01towers[[#This Row],[Count Work Orders]]&gt;0,"Work in Progress",""))</f>
        <v>Work Completed</v>
      </c>
      <c r="BD2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26" s="40" t="str">
        <f>_xlfn.SWITCH(_01towers[[#This Row],[Final Colo Status full]],"Commercial Approval Requested","Under Prevalidation",_01towers[[#This Row],[Final Colo Status full]])</f>
        <v>Work Completed</v>
      </c>
    </row>
    <row r="27" spans="1:57" hidden="1" x14ac:dyDescent="0.35">
      <c r="A27" s="40" t="s">
        <v>130</v>
      </c>
      <c r="B27" s="40" t="s">
        <v>90</v>
      </c>
      <c r="C27" s="40" t="s">
        <v>51</v>
      </c>
      <c r="D27">
        <v>35</v>
      </c>
      <c r="E27" s="40" t="s">
        <v>98</v>
      </c>
      <c r="F27">
        <v>96.132530000000003</v>
      </c>
      <c r="G27">
        <v>16.94669</v>
      </c>
      <c r="H27" s="40" t="s">
        <v>131</v>
      </c>
      <c r="I27">
        <v>25</v>
      </c>
      <c r="J27" s="40" t="s">
        <v>132</v>
      </c>
      <c r="K27" s="40" t="s">
        <v>124</v>
      </c>
      <c r="L27" s="40" t="s">
        <v>64</v>
      </c>
      <c r="M27" s="40" t="s">
        <v>57</v>
      </c>
      <c r="N27" s="40" t="s">
        <v>57</v>
      </c>
      <c r="O27" s="40" t="s">
        <v>57</v>
      </c>
      <c r="P27" s="40" t="s">
        <v>57</v>
      </c>
      <c r="Q27" s="40" t="s">
        <v>57</v>
      </c>
      <c r="R27" s="40" t="s">
        <v>57</v>
      </c>
      <c r="S27">
        <v>203</v>
      </c>
      <c r="T27">
        <v>1</v>
      </c>
      <c r="U27" s="1">
        <v>43199</v>
      </c>
      <c r="V27" s="1">
        <v>43199</v>
      </c>
      <c r="W27" s="1">
        <v>43200</v>
      </c>
      <c r="X27" s="1">
        <v>43200</v>
      </c>
      <c r="Y27" s="1">
        <v>43281</v>
      </c>
      <c r="Z27" s="40" t="s">
        <v>59</v>
      </c>
      <c r="AA27">
        <v>202</v>
      </c>
      <c r="AB27">
        <v>1</v>
      </c>
      <c r="AC27" s="1">
        <v>43213</v>
      </c>
      <c r="AD27" s="40" t="s">
        <v>59</v>
      </c>
      <c r="AE27" s="1"/>
      <c r="AF27" s="1"/>
      <c r="AG27" s="1"/>
      <c r="AH27" s="40"/>
      <c r="AI27" s="1"/>
      <c r="AJ27" s="40">
        <f>_xlfn.MAXIFS(_01towers[02tss.Rev],_01towers[05_id],_01towers[[#This Row],[05_id]])</f>
        <v>1</v>
      </c>
      <c r="AK27" s="40" t="b">
        <f>IF(_01towers[[#This Row],[Count Rev TSS]]=_01towers[[#This Row],[02tss.Rev]],TRUE,FALSE)</f>
        <v>1</v>
      </c>
      <c r="AL27" s="40">
        <f>_xlfn.MAXIFS(_01towers[10colo_app.Rev],_01towers[05_id],_01towers[[#This Row],[05_id]])</f>
        <v>1</v>
      </c>
      <c r="AM27" s="40" t="b">
        <f>IF(_01towers[[#This Row],[Count Rev Colo App]]=_01towers[[#This Row],[10colo_app.Rev]],TRUE,FALSE)</f>
        <v>1</v>
      </c>
      <c r="AN27" s="40" t="b">
        <f>IF(AND(_01towers[[#This Row],[Test Rev Colo]]=TRUE,_01towers[[#This Row],[Test Rev TSS]]=TRUE),TRUE,FALSE)</f>
        <v>1</v>
      </c>
      <c r="AO27" s="40" t="str">
        <f>IF(_01towers[[#This Row],[Test Active]]=TRUE,_01towers[[#This Row],[Prevalidation Status]],"")</f>
        <v>Prevalidated</v>
      </c>
      <c r="AP27" s="40" t="str">
        <f>IF(_01towers[[#This Row],[Active Prevalidation Status]]="Under Prevalidation",
IF(M27="","Review",M27),"")</f>
        <v/>
      </c>
      <c r="AQ27" s="40" t="str">
        <f>IF(_01towers[[#This Row],[Active Prevalidation Status]]="Under Prevalidation",
IF(N27="","Review",N27),"")</f>
        <v/>
      </c>
      <c r="AR27" s="40" t="str">
        <f>IF(_01towers[[#This Row],[Active Prevalidation Status]]="Under Prevalidation",
IF(O27="","Review",O27),"")</f>
        <v/>
      </c>
      <c r="AS27" s="40" t="str">
        <f>IF(_01towers[[#This Row],[Active Prevalidation Status]]="Under Prevalidation",
IF(P27="","Review",P27),"")</f>
        <v/>
      </c>
      <c r="AT27" s="40" t="str">
        <f>IF(_01towers[[#This Row],[Active Prevalidation Status]]="Under Prevalidation",
IF(Q27="","Review",Q27),"")</f>
        <v/>
      </c>
      <c r="AU27" s="40" t="str">
        <f>IF(_01towers[[#This Row],[Active Prevalidation Status]]="Under Prevalidation",
IF(R27="","Review",R27),"")</f>
        <v/>
      </c>
      <c r="AV27" s="40">
        <f>COUNTIF(_01towers[[#This Row],[SAQ_Result2]:[Community_Result2]],"OK")</f>
        <v>0</v>
      </c>
      <c r="AW27" s="1" t="str">
        <f>IF(AND(OR(_01towers[[#This Row],[Active Prevalidation Status]]="Under Prevalidation",_01towers[[#This Row],[Active Prevalidation Status]]="Prevalidated"),_01towers[[#This Row],[02tss.TSSR_From_Engineer]]&gt;0),"Submitted","")</f>
        <v>Submitted</v>
      </c>
      <c r="AX27" s="40" t="str">
        <f>IF(OR(_01towers[[#This Row],[Active Prevalidation Status]]="Under Prevalidation",_01towers[[#This Row],[Active Prevalidation Status]]="Prevalidated"),_01towers[[#This Row],[02tss.TSS_Result]],"")</f>
        <v>Approved</v>
      </c>
      <c r="AY27" s="40" t="str">
        <f>IF(AND(_01towers[[#This Row],[Active TSS Result]]="Approved",_01towers[[#This Row],[Active Prevalidation Status]]="Prevalidated"),"In Process","")</f>
        <v>In Process</v>
      </c>
      <c r="AZ27" s="40" t="str">
        <f>IF(AND(_01towers[[#This Row],[Active TSS Result]]="Approved",_01towers[[#This Row],[Active Prevalidation Status]]="Prevalidated"),_01towers[[#This Row],[10colo_app.Colo_App_Result]],"")</f>
        <v>Approved</v>
      </c>
      <c r="BA27" s="40">
        <f>COUNTIF(_20work_order[05_id],_01towers[[#This Row],[05_id]])</f>
        <v>1</v>
      </c>
      <c r="BB27" s="40">
        <f>COUNTIFS(_20work_order[05_id],_01towers[[#This Row],[05_id]],_20work_order[Actual_End],"&gt;0")</f>
        <v>1</v>
      </c>
      <c r="BC27" s="40" t="str">
        <f>IF(_01towers[[#This Row],[Completed Work Orders]]&gt;0,"Work Completed",
IF(_01towers[[#This Row],[Count Work Orders]]&gt;0,"Work in Progress",""))</f>
        <v>Work Completed</v>
      </c>
      <c r="BD2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27" s="40" t="str">
        <f>_xlfn.SWITCH(_01towers[[#This Row],[Final Colo Status full]],"Commercial Approval Requested","Under Prevalidation",_01towers[[#This Row],[Final Colo Status full]])</f>
        <v>Work Completed</v>
      </c>
    </row>
    <row r="28" spans="1:57" hidden="1" x14ac:dyDescent="0.35">
      <c r="A28" s="40" t="s">
        <v>114</v>
      </c>
      <c r="B28" s="40" t="s">
        <v>90</v>
      </c>
      <c r="C28" s="40" t="s">
        <v>51</v>
      </c>
      <c r="D28">
        <v>35</v>
      </c>
      <c r="E28" s="40" t="s">
        <v>98</v>
      </c>
      <c r="F28">
        <v>96.083290000000005</v>
      </c>
      <c r="G28">
        <v>16.967369999999999</v>
      </c>
      <c r="H28" s="40" t="s">
        <v>115</v>
      </c>
      <c r="I28">
        <v>26</v>
      </c>
      <c r="J28" s="40" t="s">
        <v>133</v>
      </c>
      <c r="K28" s="40" t="s">
        <v>124</v>
      </c>
      <c r="L28" s="40" t="s">
        <v>64</v>
      </c>
      <c r="M28" s="40" t="s">
        <v>57</v>
      </c>
      <c r="N28" s="40" t="s">
        <v>57</v>
      </c>
      <c r="O28" s="40" t="s">
        <v>57</v>
      </c>
      <c r="P28" s="40" t="s">
        <v>57</v>
      </c>
      <c r="Q28" s="40" t="s">
        <v>57</v>
      </c>
      <c r="R28" s="40" t="s">
        <v>57</v>
      </c>
      <c r="S28">
        <v>204</v>
      </c>
      <c r="T28">
        <v>1</v>
      </c>
      <c r="U28" s="1">
        <v>43200</v>
      </c>
      <c r="V28" s="1">
        <v>43200</v>
      </c>
      <c r="W28" s="1">
        <v>43201</v>
      </c>
      <c r="X28" s="1">
        <v>43201</v>
      </c>
      <c r="Y28" s="1">
        <v>43256</v>
      </c>
      <c r="Z28" s="40" t="s">
        <v>59</v>
      </c>
      <c r="AA28">
        <v>203</v>
      </c>
      <c r="AB28">
        <v>1</v>
      </c>
      <c r="AC28" s="1">
        <v>43213</v>
      </c>
      <c r="AD28" s="40" t="s">
        <v>59</v>
      </c>
      <c r="AE28" s="1"/>
      <c r="AF28" s="1"/>
      <c r="AG28" s="1"/>
      <c r="AH28" s="40"/>
      <c r="AI28" s="1"/>
      <c r="AJ28" s="40">
        <f>_xlfn.MAXIFS(_01towers[02tss.Rev],_01towers[05_id],_01towers[[#This Row],[05_id]])</f>
        <v>1</v>
      </c>
      <c r="AK28" s="40" t="b">
        <f>IF(_01towers[[#This Row],[Count Rev TSS]]=_01towers[[#This Row],[02tss.Rev]],TRUE,FALSE)</f>
        <v>1</v>
      </c>
      <c r="AL28" s="40">
        <f>_xlfn.MAXIFS(_01towers[10colo_app.Rev],_01towers[05_id],_01towers[[#This Row],[05_id]])</f>
        <v>1</v>
      </c>
      <c r="AM28" s="40" t="b">
        <f>IF(_01towers[[#This Row],[Count Rev Colo App]]=_01towers[[#This Row],[10colo_app.Rev]],TRUE,FALSE)</f>
        <v>1</v>
      </c>
      <c r="AN28" s="40" t="b">
        <f>IF(AND(_01towers[[#This Row],[Test Rev Colo]]=TRUE,_01towers[[#This Row],[Test Rev TSS]]=TRUE),TRUE,FALSE)</f>
        <v>1</v>
      </c>
      <c r="AO28" s="40" t="str">
        <f>IF(_01towers[[#This Row],[Test Active]]=TRUE,_01towers[[#This Row],[Prevalidation Status]],"")</f>
        <v>Prevalidated</v>
      </c>
      <c r="AP28" s="40" t="str">
        <f>IF(_01towers[[#This Row],[Active Prevalidation Status]]="Under Prevalidation",
IF(M28="","Review",M28),"")</f>
        <v/>
      </c>
      <c r="AQ28" s="40" t="str">
        <f>IF(_01towers[[#This Row],[Active Prevalidation Status]]="Under Prevalidation",
IF(N28="","Review",N28),"")</f>
        <v/>
      </c>
      <c r="AR28" s="40" t="str">
        <f>IF(_01towers[[#This Row],[Active Prevalidation Status]]="Under Prevalidation",
IF(O28="","Review",O28),"")</f>
        <v/>
      </c>
      <c r="AS28" s="40" t="str">
        <f>IF(_01towers[[#This Row],[Active Prevalidation Status]]="Under Prevalidation",
IF(P28="","Review",P28),"")</f>
        <v/>
      </c>
      <c r="AT28" s="40" t="str">
        <f>IF(_01towers[[#This Row],[Active Prevalidation Status]]="Under Prevalidation",
IF(Q28="","Review",Q28),"")</f>
        <v/>
      </c>
      <c r="AU28" s="40" t="str">
        <f>IF(_01towers[[#This Row],[Active Prevalidation Status]]="Under Prevalidation",
IF(R28="","Review",R28),"")</f>
        <v/>
      </c>
      <c r="AV28" s="40">
        <f>COUNTIF(_01towers[[#This Row],[SAQ_Result2]:[Community_Result2]],"OK")</f>
        <v>0</v>
      </c>
      <c r="AW28" s="1" t="str">
        <f>IF(AND(OR(_01towers[[#This Row],[Active Prevalidation Status]]="Under Prevalidation",_01towers[[#This Row],[Active Prevalidation Status]]="Prevalidated"),_01towers[[#This Row],[02tss.TSSR_From_Engineer]]&gt;0),"Submitted","")</f>
        <v>Submitted</v>
      </c>
      <c r="AX28" s="40" t="str">
        <f>IF(OR(_01towers[[#This Row],[Active Prevalidation Status]]="Under Prevalidation",_01towers[[#This Row],[Active Prevalidation Status]]="Prevalidated"),_01towers[[#This Row],[02tss.TSS_Result]],"")</f>
        <v>Approved</v>
      </c>
      <c r="AY28" s="40" t="str">
        <f>IF(AND(_01towers[[#This Row],[Active TSS Result]]="Approved",_01towers[[#This Row],[Active Prevalidation Status]]="Prevalidated"),"In Process","")</f>
        <v>In Process</v>
      </c>
      <c r="AZ28" s="40" t="str">
        <f>IF(AND(_01towers[[#This Row],[Active TSS Result]]="Approved",_01towers[[#This Row],[Active Prevalidation Status]]="Prevalidated"),_01towers[[#This Row],[10colo_app.Colo_App_Result]],"")</f>
        <v>Approved</v>
      </c>
      <c r="BA28" s="40">
        <f>COUNTIF(_20work_order[05_id],_01towers[[#This Row],[05_id]])</f>
        <v>1</v>
      </c>
      <c r="BB28" s="40">
        <f>COUNTIFS(_20work_order[05_id],_01towers[[#This Row],[05_id]],_20work_order[Actual_End],"&gt;0")</f>
        <v>1</v>
      </c>
      <c r="BC28" s="40" t="str">
        <f>IF(_01towers[[#This Row],[Completed Work Orders]]&gt;0,"Work Completed",
IF(_01towers[[#This Row],[Count Work Orders]]&gt;0,"Work in Progress",""))</f>
        <v>Work Completed</v>
      </c>
      <c r="BD2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28" s="40" t="str">
        <f>_xlfn.SWITCH(_01towers[[#This Row],[Final Colo Status full]],"Commercial Approval Requested","Under Prevalidation",_01towers[[#This Row],[Final Colo Status full]])</f>
        <v>Work Completed</v>
      </c>
    </row>
    <row r="29" spans="1:57" hidden="1" x14ac:dyDescent="0.35">
      <c r="A29" s="40" t="s">
        <v>134</v>
      </c>
      <c r="B29" s="40" t="s">
        <v>50</v>
      </c>
      <c r="C29" s="40" t="s">
        <v>51</v>
      </c>
      <c r="D29">
        <v>50</v>
      </c>
      <c r="E29" s="40" t="s">
        <v>66</v>
      </c>
      <c r="F29">
        <v>96.450270000000003</v>
      </c>
      <c r="G29">
        <v>22.983370000000001</v>
      </c>
      <c r="H29" s="40" t="s">
        <v>53</v>
      </c>
      <c r="I29">
        <v>27</v>
      </c>
      <c r="J29" s="40" t="s">
        <v>135</v>
      </c>
      <c r="K29" s="40" t="s">
        <v>136</v>
      </c>
      <c r="L29" s="40" t="s">
        <v>64</v>
      </c>
      <c r="M29" s="40" t="s">
        <v>57</v>
      </c>
      <c r="N29" s="40" t="s">
        <v>57</v>
      </c>
      <c r="O29" s="40" t="s">
        <v>57</v>
      </c>
      <c r="P29" s="40" t="s">
        <v>57</v>
      </c>
      <c r="Q29" s="40" t="s">
        <v>57</v>
      </c>
      <c r="R29" s="40" t="s">
        <v>57</v>
      </c>
      <c r="S29">
        <v>56</v>
      </c>
      <c r="T29">
        <v>1</v>
      </c>
      <c r="U29" s="1"/>
      <c r="V29" s="1">
        <v>43174</v>
      </c>
      <c r="W29" s="1">
        <v>43174</v>
      </c>
      <c r="X29" s="1">
        <v>43174</v>
      </c>
      <c r="Y29" s="1"/>
      <c r="Z29" s="40" t="s">
        <v>59</v>
      </c>
      <c r="AA29">
        <v>55</v>
      </c>
      <c r="AB29">
        <v>1</v>
      </c>
      <c r="AC29" s="1">
        <v>43179</v>
      </c>
      <c r="AD29" s="40" t="s">
        <v>570</v>
      </c>
      <c r="AE29" s="1"/>
      <c r="AF29" s="1"/>
      <c r="AG29" s="1"/>
      <c r="AH29" s="40"/>
      <c r="AI29" s="1"/>
      <c r="AJ29" s="40">
        <f>_xlfn.MAXIFS(_01towers[02tss.Rev],_01towers[05_id],_01towers[[#This Row],[05_id]])</f>
        <v>1</v>
      </c>
      <c r="AK29" s="40" t="b">
        <f>IF(_01towers[[#This Row],[Count Rev TSS]]=_01towers[[#This Row],[02tss.Rev]],TRUE,FALSE)</f>
        <v>1</v>
      </c>
      <c r="AL29" s="40">
        <f>_xlfn.MAXIFS(_01towers[10colo_app.Rev],_01towers[05_id],_01towers[[#This Row],[05_id]])</f>
        <v>1</v>
      </c>
      <c r="AM29" s="40" t="b">
        <f>IF(_01towers[[#This Row],[Count Rev Colo App]]=_01towers[[#This Row],[10colo_app.Rev]],TRUE,FALSE)</f>
        <v>1</v>
      </c>
      <c r="AN29" s="40" t="b">
        <f>IF(AND(_01towers[[#This Row],[Test Rev Colo]]=TRUE,_01towers[[#This Row],[Test Rev TSS]]=TRUE),TRUE,FALSE)</f>
        <v>1</v>
      </c>
      <c r="AO29" s="40" t="str">
        <f>IF(_01towers[[#This Row],[Test Active]]=TRUE,_01towers[[#This Row],[Prevalidation Status]],"")</f>
        <v>Prevalidated</v>
      </c>
      <c r="AP29" s="40" t="str">
        <f>IF(_01towers[[#This Row],[Active Prevalidation Status]]="Under Prevalidation",
IF(M29="","Review",M29),"")</f>
        <v/>
      </c>
      <c r="AQ29" s="40" t="str">
        <f>IF(_01towers[[#This Row],[Active Prevalidation Status]]="Under Prevalidation",
IF(N29="","Review",N29),"")</f>
        <v/>
      </c>
      <c r="AR29" s="40" t="str">
        <f>IF(_01towers[[#This Row],[Active Prevalidation Status]]="Under Prevalidation",
IF(O29="","Review",O29),"")</f>
        <v/>
      </c>
      <c r="AS29" s="40" t="str">
        <f>IF(_01towers[[#This Row],[Active Prevalidation Status]]="Under Prevalidation",
IF(P29="","Review",P29),"")</f>
        <v/>
      </c>
      <c r="AT29" s="40" t="str">
        <f>IF(_01towers[[#This Row],[Active Prevalidation Status]]="Under Prevalidation",
IF(Q29="","Review",Q29),"")</f>
        <v/>
      </c>
      <c r="AU29" s="40" t="str">
        <f>IF(_01towers[[#This Row],[Active Prevalidation Status]]="Under Prevalidation",
IF(R29="","Review",R29),"")</f>
        <v/>
      </c>
      <c r="AV29" s="40">
        <f>COUNTIF(_01towers[[#This Row],[SAQ_Result2]:[Community_Result2]],"OK")</f>
        <v>0</v>
      </c>
      <c r="AW29" s="1" t="str">
        <f>IF(AND(OR(_01towers[[#This Row],[Active Prevalidation Status]]="Under Prevalidation",_01towers[[#This Row],[Active Prevalidation Status]]="Prevalidated"),_01towers[[#This Row],[02tss.TSSR_From_Engineer]]&gt;0),"Submitted","")</f>
        <v>Submitted</v>
      </c>
      <c r="AX29" s="40" t="str">
        <f>IF(OR(_01towers[[#This Row],[Active Prevalidation Status]]="Under Prevalidation",_01towers[[#This Row],[Active Prevalidation Status]]="Prevalidated"),_01towers[[#This Row],[02tss.TSS_Result]],"")</f>
        <v>Approved</v>
      </c>
      <c r="AY29" s="40" t="str">
        <f>IF(AND(_01towers[[#This Row],[Active TSS Result]]="Approved",_01towers[[#This Row],[Active Prevalidation Status]]="Prevalidated"),"In Process","")</f>
        <v>In Process</v>
      </c>
      <c r="AZ29" s="40" t="str">
        <f>IF(AND(_01towers[[#This Row],[Active TSS Result]]="Approved",_01towers[[#This Row],[Active Prevalidation Status]]="Prevalidated"),_01towers[[#This Row],[10colo_app.Colo_App_Result]],"")</f>
        <v>NTP Received</v>
      </c>
      <c r="BA29" s="40">
        <f>COUNTIF(_20work_order[05_id],_01towers[[#This Row],[05_id]])</f>
        <v>2</v>
      </c>
      <c r="BB29" s="40">
        <f>COUNTIFS(_20work_order[05_id],_01towers[[#This Row],[05_id]],_20work_order[Actual_End],"&gt;0")</f>
        <v>2</v>
      </c>
      <c r="BC29" s="40" t="str">
        <f>IF(_01towers[[#This Row],[Completed Work Orders]]&gt;0,"Work Completed",
IF(_01towers[[#This Row],[Count Work Orders]]&gt;0,"Work in Progress",""))</f>
        <v>Work Completed</v>
      </c>
      <c r="BD2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29" s="40" t="str">
        <f>_xlfn.SWITCH(_01towers[[#This Row],[Final Colo Status full]],"Commercial Approval Requested","Under Prevalidation",_01towers[[#This Row],[Final Colo Status full]])</f>
        <v>Work Completed</v>
      </c>
    </row>
    <row r="30" spans="1:57" hidden="1" x14ac:dyDescent="0.35">
      <c r="A30" s="40" t="s">
        <v>137</v>
      </c>
      <c r="B30" s="40" t="s">
        <v>90</v>
      </c>
      <c r="C30" s="40" t="s">
        <v>51</v>
      </c>
      <c r="D30">
        <v>35</v>
      </c>
      <c r="E30" s="40" t="s">
        <v>94</v>
      </c>
      <c r="F30">
        <v>97.634060000000005</v>
      </c>
      <c r="G30">
        <v>16.497579999999999</v>
      </c>
      <c r="H30" s="40" t="s">
        <v>69</v>
      </c>
      <c r="I30">
        <v>28</v>
      </c>
      <c r="J30" s="40" t="s">
        <v>138</v>
      </c>
      <c r="K30" s="40" t="s">
        <v>136</v>
      </c>
      <c r="L30" s="40" t="s">
        <v>64</v>
      </c>
      <c r="M30" s="40" t="s">
        <v>57</v>
      </c>
      <c r="N30" s="40" t="s">
        <v>57</v>
      </c>
      <c r="O30" s="40" t="s">
        <v>57</v>
      </c>
      <c r="P30" s="40" t="s">
        <v>57</v>
      </c>
      <c r="Q30" s="40" t="s">
        <v>57</v>
      </c>
      <c r="R30" s="40" t="s">
        <v>57</v>
      </c>
      <c r="S30">
        <v>100</v>
      </c>
      <c r="T30">
        <v>1</v>
      </c>
      <c r="U30" s="1">
        <v>43167</v>
      </c>
      <c r="V30" s="1">
        <v>43173</v>
      </c>
      <c r="W30" s="1">
        <v>43168</v>
      </c>
      <c r="X30" s="1">
        <v>43173</v>
      </c>
      <c r="Y30" s="1"/>
      <c r="Z30" s="40" t="s">
        <v>59</v>
      </c>
      <c r="AA30">
        <v>99</v>
      </c>
      <c r="AB30">
        <v>1</v>
      </c>
      <c r="AC30" s="1">
        <v>43185</v>
      </c>
      <c r="AD30" s="40" t="s">
        <v>570</v>
      </c>
      <c r="AE30" s="1"/>
      <c r="AF30" s="1"/>
      <c r="AG30" s="1"/>
      <c r="AH30" s="40"/>
      <c r="AI30" s="1"/>
      <c r="AJ30" s="40">
        <f>_xlfn.MAXIFS(_01towers[02tss.Rev],_01towers[05_id],_01towers[[#This Row],[05_id]])</f>
        <v>1</v>
      </c>
      <c r="AK30" s="40" t="b">
        <f>IF(_01towers[[#This Row],[Count Rev TSS]]=_01towers[[#This Row],[02tss.Rev]],TRUE,FALSE)</f>
        <v>1</v>
      </c>
      <c r="AL30" s="40">
        <f>_xlfn.MAXIFS(_01towers[10colo_app.Rev],_01towers[05_id],_01towers[[#This Row],[05_id]])</f>
        <v>1</v>
      </c>
      <c r="AM30" s="40" t="b">
        <f>IF(_01towers[[#This Row],[Count Rev Colo App]]=_01towers[[#This Row],[10colo_app.Rev]],TRUE,FALSE)</f>
        <v>1</v>
      </c>
      <c r="AN30" s="40" t="b">
        <f>IF(AND(_01towers[[#This Row],[Test Rev Colo]]=TRUE,_01towers[[#This Row],[Test Rev TSS]]=TRUE),TRUE,FALSE)</f>
        <v>1</v>
      </c>
      <c r="AO30" s="40" t="str">
        <f>IF(_01towers[[#This Row],[Test Active]]=TRUE,_01towers[[#This Row],[Prevalidation Status]],"")</f>
        <v>Prevalidated</v>
      </c>
      <c r="AP30" s="40" t="str">
        <f>IF(_01towers[[#This Row],[Active Prevalidation Status]]="Under Prevalidation",
IF(M30="","Review",M30),"")</f>
        <v/>
      </c>
      <c r="AQ30" s="40" t="str">
        <f>IF(_01towers[[#This Row],[Active Prevalidation Status]]="Under Prevalidation",
IF(N30="","Review",N30),"")</f>
        <v/>
      </c>
      <c r="AR30" s="40" t="str">
        <f>IF(_01towers[[#This Row],[Active Prevalidation Status]]="Under Prevalidation",
IF(O30="","Review",O30),"")</f>
        <v/>
      </c>
      <c r="AS30" s="40" t="str">
        <f>IF(_01towers[[#This Row],[Active Prevalidation Status]]="Under Prevalidation",
IF(P30="","Review",P30),"")</f>
        <v/>
      </c>
      <c r="AT30" s="40" t="str">
        <f>IF(_01towers[[#This Row],[Active Prevalidation Status]]="Under Prevalidation",
IF(Q30="","Review",Q30),"")</f>
        <v/>
      </c>
      <c r="AU30" s="40" t="str">
        <f>IF(_01towers[[#This Row],[Active Prevalidation Status]]="Under Prevalidation",
IF(R30="","Review",R30),"")</f>
        <v/>
      </c>
      <c r="AV30" s="40">
        <f>COUNTIF(_01towers[[#This Row],[SAQ_Result2]:[Community_Result2]],"OK")</f>
        <v>0</v>
      </c>
      <c r="AW30" s="1" t="str">
        <f>IF(AND(OR(_01towers[[#This Row],[Active Prevalidation Status]]="Under Prevalidation",_01towers[[#This Row],[Active Prevalidation Status]]="Prevalidated"),_01towers[[#This Row],[02tss.TSSR_From_Engineer]]&gt;0),"Submitted","")</f>
        <v>Submitted</v>
      </c>
      <c r="AX30" s="40" t="str">
        <f>IF(OR(_01towers[[#This Row],[Active Prevalidation Status]]="Under Prevalidation",_01towers[[#This Row],[Active Prevalidation Status]]="Prevalidated"),_01towers[[#This Row],[02tss.TSS_Result]],"")</f>
        <v>Approved</v>
      </c>
      <c r="AY30" s="40" t="str">
        <f>IF(AND(_01towers[[#This Row],[Active TSS Result]]="Approved",_01towers[[#This Row],[Active Prevalidation Status]]="Prevalidated"),"In Process","")</f>
        <v>In Process</v>
      </c>
      <c r="AZ30" s="40" t="str">
        <f>IF(AND(_01towers[[#This Row],[Active TSS Result]]="Approved",_01towers[[#This Row],[Active Prevalidation Status]]="Prevalidated"),_01towers[[#This Row],[10colo_app.Colo_App_Result]],"")</f>
        <v>NTP Received</v>
      </c>
      <c r="BA30" s="40">
        <f>COUNTIF(_20work_order[05_id],_01towers[[#This Row],[05_id]])</f>
        <v>2</v>
      </c>
      <c r="BB30" s="40">
        <f>COUNTIFS(_20work_order[05_id],_01towers[[#This Row],[05_id]],_20work_order[Actual_End],"&gt;0")</f>
        <v>2</v>
      </c>
      <c r="BC30" s="40" t="str">
        <f>IF(_01towers[[#This Row],[Completed Work Orders]]&gt;0,"Work Completed",
IF(_01towers[[#This Row],[Count Work Orders]]&gt;0,"Work in Progress",""))</f>
        <v>Work Completed</v>
      </c>
      <c r="BD3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30" s="40" t="str">
        <f>_xlfn.SWITCH(_01towers[[#This Row],[Final Colo Status full]],"Commercial Approval Requested","Under Prevalidation",_01towers[[#This Row],[Final Colo Status full]])</f>
        <v>Work Completed</v>
      </c>
    </row>
    <row r="31" spans="1:57" hidden="1" x14ac:dyDescent="0.35">
      <c r="A31" s="40" t="s">
        <v>139</v>
      </c>
      <c r="B31" s="40" t="s">
        <v>90</v>
      </c>
      <c r="C31" s="40" t="s">
        <v>51</v>
      </c>
      <c r="D31">
        <v>35</v>
      </c>
      <c r="E31" s="40" t="s">
        <v>98</v>
      </c>
      <c r="F31">
        <v>96.126549999999995</v>
      </c>
      <c r="G31">
        <v>16.868829999999999</v>
      </c>
      <c r="H31" s="40" t="s">
        <v>140</v>
      </c>
      <c r="I31">
        <v>29</v>
      </c>
      <c r="J31" s="40" t="s">
        <v>141</v>
      </c>
      <c r="K31" s="40" t="s">
        <v>136</v>
      </c>
      <c r="L31" s="40" t="s">
        <v>74</v>
      </c>
      <c r="M31" s="40" t="s">
        <v>57</v>
      </c>
      <c r="N31" s="40"/>
      <c r="O31" s="40" t="s">
        <v>58</v>
      </c>
      <c r="P31" s="40" t="s">
        <v>57</v>
      </c>
      <c r="Q31" s="40" t="s">
        <v>57</v>
      </c>
      <c r="R31" s="40" t="s">
        <v>57</v>
      </c>
      <c r="S31">
        <v>142</v>
      </c>
      <c r="T31">
        <v>1</v>
      </c>
      <c r="U31" s="1"/>
      <c r="V31" s="1">
        <v>43172</v>
      </c>
      <c r="W31" s="1">
        <v>43173</v>
      </c>
      <c r="X31" s="1">
        <v>43174</v>
      </c>
      <c r="Y31" s="1"/>
      <c r="Z31" s="40" t="s">
        <v>59</v>
      </c>
      <c r="AA31">
        <v>141</v>
      </c>
      <c r="AB31">
        <v>1</v>
      </c>
      <c r="AC31" s="1"/>
      <c r="AD31" s="40"/>
      <c r="AE31" s="1"/>
      <c r="AF31" s="1"/>
      <c r="AG31" s="1"/>
      <c r="AH31" s="40"/>
      <c r="AI31" s="1"/>
      <c r="AJ31" s="40">
        <f>_xlfn.MAXIFS(_01towers[02tss.Rev],_01towers[05_id],_01towers[[#This Row],[05_id]])</f>
        <v>1</v>
      </c>
      <c r="AK31" s="40" t="b">
        <f>IF(_01towers[[#This Row],[Count Rev TSS]]=_01towers[[#This Row],[02tss.Rev]],TRUE,FALSE)</f>
        <v>1</v>
      </c>
      <c r="AL31" s="40">
        <f>_xlfn.MAXIFS(_01towers[10colo_app.Rev],_01towers[05_id],_01towers[[#This Row],[05_id]])</f>
        <v>1</v>
      </c>
      <c r="AM31" s="40" t="b">
        <f>IF(_01towers[[#This Row],[Count Rev Colo App]]=_01towers[[#This Row],[10colo_app.Rev]],TRUE,FALSE)</f>
        <v>1</v>
      </c>
      <c r="AN31" s="40" t="b">
        <f>IF(AND(_01towers[[#This Row],[Test Rev Colo]]=TRUE,_01towers[[#This Row],[Test Rev TSS]]=TRUE),TRUE,FALSE)</f>
        <v>1</v>
      </c>
      <c r="AO31" s="40" t="str">
        <f>IF(_01towers[[#This Row],[Test Active]]=TRUE,_01towers[[#This Row],[Prevalidation Status]],"")</f>
        <v>Prevalidation Rejected</v>
      </c>
      <c r="AP31" s="40" t="str">
        <f>IF(_01towers[[#This Row],[Active Prevalidation Status]]="Under Prevalidation",
IF(M31="","Review",M31),"")</f>
        <v/>
      </c>
      <c r="AQ31" s="40" t="str">
        <f>IF(_01towers[[#This Row],[Active Prevalidation Status]]="Under Prevalidation",
IF(N31="","Review",N31),"")</f>
        <v/>
      </c>
      <c r="AR31" s="40" t="str">
        <f>IF(_01towers[[#This Row],[Active Prevalidation Status]]="Under Prevalidation",
IF(O31="","Review",O31),"")</f>
        <v/>
      </c>
      <c r="AS31" s="40" t="str">
        <f>IF(_01towers[[#This Row],[Active Prevalidation Status]]="Under Prevalidation",
IF(P31="","Review",P31),"")</f>
        <v/>
      </c>
      <c r="AT31" s="40" t="str">
        <f>IF(_01towers[[#This Row],[Active Prevalidation Status]]="Under Prevalidation",
IF(Q31="","Review",Q31),"")</f>
        <v/>
      </c>
      <c r="AU31" s="40" t="str">
        <f>IF(_01towers[[#This Row],[Active Prevalidation Status]]="Under Prevalidation",
IF(R31="","Review",R31),"")</f>
        <v/>
      </c>
      <c r="AV31" s="40">
        <f>COUNTIF(_01towers[[#This Row],[SAQ_Result2]:[Community_Result2]],"OK")</f>
        <v>0</v>
      </c>
      <c r="AW31" s="1" t="str">
        <f>IF(AND(OR(_01towers[[#This Row],[Active Prevalidation Status]]="Under Prevalidation",_01towers[[#This Row],[Active Prevalidation Status]]="Prevalidated"),_01towers[[#This Row],[02tss.TSSR_From_Engineer]]&gt;0),"Submitted","")</f>
        <v/>
      </c>
      <c r="AX31" s="40" t="str">
        <f>IF(OR(_01towers[[#This Row],[Active Prevalidation Status]]="Under Prevalidation",_01towers[[#This Row],[Active Prevalidation Status]]="Prevalidated"),_01towers[[#This Row],[02tss.TSS_Result]],"")</f>
        <v/>
      </c>
      <c r="AY31" s="40" t="str">
        <f>IF(AND(_01towers[[#This Row],[Active TSS Result]]="Approved",_01towers[[#This Row],[Active Prevalidation Status]]="Prevalidated"),"In Process","")</f>
        <v/>
      </c>
      <c r="AZ31" s="40" t="str">
        <f>IF(AND(_01towers[[#This Row],[Active TSS Result]]="Approved",_01towers[[#This Row],[Active Prevalidation Status]]="Prevalidated"),_01towers[[#This Row],[10colo_app.Colo_App_Result]],"")</f>
        <v/>
      </c>
      <c r="BA31" s="40">
        <f>COUNTIF(_20work_order[05_id],_01towers[[#This Row],[05_id]])</f>
        <v>0</v>
      </c>
      <c r="BB31" s="40">
        <f>COUNTIFS(_20work_order[05_id],_01towers[[#This Row],[05_id]],_20work_order[Actual_End],"&gt;0")</f>
        <v>0</v>
      </c>
      <c r="BC31" s="40" t="str">
        <f>IF(_01towers[[#This Row],[Completed Work Orders]]&gt;0,"Work Completed",
IF(_01towers[[#This Row],[Count Work Orders]]&gt;0,"Work in Progress",""))</f>
        <v/>
      </c>
      <c r="BD3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31" s="40" t="str">
        <f>_xlfn.SWITCH(_01towers[[#This Row],[Final Colo Status full]],"Commercial Approval Requested","Under Prevalidation",_01towers[[#This Row],[Final Colo Status full]])</f>
        <v>Prevalidation Rejected</v>
      </c>
    </row>
    <row r="32" spans="1:57" x14ac:dyDescent="0.35">
      <c r="A32" s="40" t="s">
        <v>142</v>
      </c>
      <c r="B32" s="40" t="s">
        <v>90</v>
      </c>
      <c r="C32" s="40" t="s">
        <v>51</v>
      </c>
      <c r="D32">
        <v>35</v>
      </c>
      <c r="E32" s="40" t="s">
        <v>98</v>
      </c>
      <c r="F32">
        <v>96.149469999999994</v>
      </c>
      <c r="G32">
        <v>17.003990000000002</v>
      </c>
      <c r="H32" s="40" t="s">
        <v>143</v>
      </c>
      <c r="I32">
        <v>30</v>
      </c>
      <c r="J32" s="40" t="s">
        <v>144</v>
      </c>
      <c r="K32" s="40" t="s">
        <v>136</v>
      </c>
      <c r="L32" s="40" t="s">
        <v>56</v>
      </c>
      <c r="M32" s="40" t="s">
        <v>57</v>
      </c>
      <c r="N32" s="40" t="s">
        <v>57</v>
      </c>
      <c r="O32" s="40" t="s">
        <v>58</v>
      </c>
      <c r="P32" s="40" t="s">
        <v>58</v>
      </c>
      <c r="Q32" s="40" t="s">
        <v>57</v>
      </c>
      <c r="R32" s="40" t="s">
        <v>58</v>
      </c>
      <c r="S32">
        <v>173</v>
      </c>
      <c r="T32">
        <v>1</v>
      </c>
      <c r="U32" s="1">
        <v>43284</v>
      </c>
      <c r="V32" s="1">
        <v>43284</v>
      </c>
      <c r="W32" s="1">
        <v>43285</v>
      </c>
      <c r="X32" s="1"/>
      <c r="Y32" s="1"/>
      <c r="Z32" s="40"/>
      <c r="AA32">
        <v>172</v>
      </c>
      <c r="AB32">
        <v>1</v>
      </c>
      <c r="AC32" s="1"/>
      <c r="AD32" s="40"/>
      <c r="AE32" s="1"/>
      <c r="AF32" s="1"/>
      <c r="AG32" s="1"/>
      <c r="AH32" s="40"/>
      <c r="AI32" s="1"/>
      <c r="AJ32" s="40">
        <f>_xlfn.MAXIFS(_01towers[02tss.Rev],_01towers[05_id],_01towers[[#This Row],[05_id]])</f>
        <v>1</v>
      </c>
      <c r="AK32" s="40" t="b">
        <f>IF(_01towers[[#This Row],[Count Rev TSS]]=_01towers[[#This Row],[02tss.Rev]],TRUE,FALSE)</f>
        <v>1</v>
      </c>
      <c r="AL32" s="40">
        <f>_xlfn.MAXIFS(_01towers[10colo_app.Rev],_01towers[05_id],_01towers[[#This Row],[05_id]])</f>
        <v>1</v>
      </c>
      <c r="AM32" s="40" t="b">
        <f>IF(_01towers[[#This Row],[Count Rev Colo App]]=_01towers[[#This Row],[10colo_app.Rev]],TRUE,FALSE)</f>
        <v>1</v>
      </c>
      <c r="AN32" s="40" t="b">
        <f>IF(AND(_01towers[[#This Row],[Test Rev Colo]]=TRUE,_01towers[[#This Row],[Test Rev TSS]]=TRUE),TRUE,FALSE)</f>
        <v>1</v>
      </c>
      <c r="AO32" s="40" t="str">
        <f>IF(_01towers[[#This Row],[Test Active]]=TRUE,_01towers[[#This Row],[Prevalidation Status]],"")</f>
        <v>Commercial Approval Requested</v>
      </c>
      <c r="AP32" s="40" t="str">
        <f>IF(_01towers[[#This Row],[Active Prevalidation Status]]="Under Prevalidation",
IF(M32="","Review",M32),"")</f>
        <v/>
      </c>
      <c r="AQ32" s="40" t="str">
        <f>IF(_01towers[[#This Row],[Active Prevalidation Status]]="Under Prevalidation",
IF(N32="","Review",N32),"")</f>
        <v/>
      </c>
      <c r="AR32" s="40" t="str">
        <f>IF(_01towers[[#This Row],[Active Prevalidation Status]]="Under Prevalidation",
IF(O32="","Review",O32),"")</f>
        <v/>
      </c>
      <c r="AS32" s="40" t="str">
        <f>IF(_01towers[[#This Row],[Active Prevalidation Status]]="Under Prevalidation",
IF(P32="","Review",P32),"")</f>
        <v/>
      </c>
      <c r="AT32" s="40" t="str">
        <f>IF(_01towers[[#This Row],[Active Prevalidation Status]]="Under Prevalidation",
IF(Q32="","Review",Q32),"")</f>
        <v/>
      </c>
      <c r="AU32" s="40" t="str">
        <f>IF(_01towers[[#This Row],[Active Prevalidation Status]]="Under Prevalidation",
IF(R32="","Review",R32),"")</f>
        <v/>
      </c>
      <c r="AV32" s="40">
        <f>COUNTIF(_01towers[[#This Row],[SAQ_Result2]:[Community_Result2]],"OK")</f>
        <v>0</v>
      </c>
      <c r="AW32" s="1" t="str">
        <f>IF(AND(OR(_01towers[[#This Row],[Active Prevalidation Status]]="Under Prevalidation",_01towers[[#This Row],[Active Prevalidation Status]]="Prevalidated"),_01towers[[#This Row],[02tss.TSSR_From_Engineer]]&gt;0),"Submitted","")</f>
        <v/>
      </c>
      <c r="AX32" s="40" t="str">
        <f>IF(OR(_01towers[[#This Row],[Active Prevalidation Status]]="Under Prevalidation",_01towers[[#This Row],[Active Prevalidation Status]]="Prevalidated"),_01towers[[#This Row],[02tss.TSS_Result]],"")</f>
        <v/>
      </c>
      <c r="AY32" s="40" t="str">
        <f>IF(AND(_01towers[[#This Row],[Active TSS Result]]="Approved",_01towers[[#This Row],[Active Prevalidation Status]]="Prevalidated"),"In Process","")</f>
        <v/>
      </c>
      <c r="AZ32" s="40" t="str">
        <f>IF(AND(_01towers[[#This Row],[Active TSS Result]]="Approved",_01towers[[#This Row],[Active Prevalidation Status]]="Prevalidated"),_01towers[[#This Row],[10colo_app.Colo_App_Result]],"")</f>
        <v/>
      </c>
      <c r="BA32" s="40">
        <f>COUNTIF(_20work_order[05_id],_01towers[[#This Row],[05_id]])</f>
        <v>0</v>
      </c>
      <c r="BB32" s="40">
        <f>COUNTIFS(_20work_order[05_id],_01towers[[#This Row],[05_id]],_20work_order[Actual_End],"&gt;0")</f>
        <v>0</v>
      </c>
      <c r="BC32" s="40" t="str">
        <f>IF(_01towers[[#This Row],[Completed Work Orders]]&gt;0,"Work Completed",
IF(_01towers[[#This Row],[Count Work Orders]]&gt;0,"Work in Progress",""))</f>
        <v/>
      </c>
      <c r="BD3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32" s="40" t="str">
        <f>_xlfn.SWITCH(_01towers[[#This Row],[Final Colo Status full]],"Commercial Approval Requested","Under Prevalidation",_01towers[[#This Row],[Final Colo Status full]])</f>
        <v>Under Prevalidation</v>
      </c>
    </row>
    <row r="33" spans="1:57" hidden="1" x14ac:dyDescent="0.35">
      <c r="A33" s="40" t="s">
        <v>146</v>
      </c>
      <c r="B33" s="40" t="s">
        <v>90</v>
      </c>
      <c r="C33" s="40" t="s">
        <v>82</v>
      </c>
      <c r="D33">
        <v>6</v>
      </c>
      <c r="E33" s="40" t="s">
        <v>98</v>
      </c>
      <c r="F33">
        <v>96.206469999999996</v>
      </c>
      <c r="G33">
        <v>16.861460000000001</v>
      </c>
      <c r="H33" s="40" t="s">
        <v>62</v>
      </c>
      <c r="I33">
        <v>31</v>
      </c>
      <c r="J33" s="40" t="s">
        <v>147</v>
      </c>
      <c r="K33" s="40" t="s">
        <v>136</v>
      </c>
      <c r="L33" s="40" t="s">
        <v>148</v>
      </c>
      <c r="M33" s="40" t="s">
        <v>57</v>
      </c>
      <c r="N33" s="40"/>
      <c r="O33" s="40" t="s">
        <v>57</v>
      </c>
      <c r="P33" s="40" t="s">
        <v>57</v>
      </c>
      <c r="Q33" s="40" t="s">
        <v>57</v>
      </c>
      <c r="R33" s="40" t="s">
        <v>57</v>
      </c>
      <c r="S33">
        <v>159</v>
      </c>
      <c r="T33">
        <v>1</v>
      </c>
      <c r="U33" s="1"/>
      <c r="V33" s="1"/>
      <c r="W33" s="1"/>
      <c r="X33" s="1"/>
      <c r="Y33" s="1"/>
      <c r="Z33" s="40"/>
      <c r="AA33">
        <v>158</v>
      </c>
      <c r="AB33">
        <v>1</v>
      </c>
      <c r="AC33" s="1"/>
      <c r="AD33" s="40"/>
      <c r="AE33" s="1"/>
      <c r="AF33" s="1"/>
      <c r="AG33" s="1"/>
      <c r="AH33" s="40"/>
      <c r="AI33" s="1"/>
      <c r="AJ33" s="40">
        <f>_xlfn.MAXIFS(_01towers[02tss.Rev],_01towers[05_id],_01towers[[#This Row],[05_id]])</f>
        <v>1</v>
      </c>
      <c r="AK33" s="40" t="b">
        <f>IF(_01towers[[#This Row],[Count Rev TSS]]=_01towers[[#This Row],[02tss.Rev]],TRUE,FALSE)</f>
        <v>1</v>
      </c>
      <c r="AL33" s="40">
        <f>_xlfn.MAXIFS(_01towers[10colo_app.Rev],_01towers[05_id],_01towers[[#This Row],[05_id]])</f>
        <v>1</v>
      </c>
      <c r="AM33" s="40" t="b">
        <f>IF(_01towers[[#This Row],[Count Rev Colo App]]=_01towers[[#This Row],[10colo_app.Rev]],TRUE,FALSE)</f>
        <v>1</v>
      </c>
      <c r="AN33" s="40" t="b">
        <f>IF(AND(_01towers[[#This Row],[Test Rev Colo]]=TRUE,_01towers[[#This Row],[Test Rev TSS]]=TRUE),TRUE,FALSE)</f>
        <v>1</v>
      </c>
      <c r="AO33" s="40" t="str">
        <f>IF(_01towers[[#This Row],[Test Active]]=TRUE,_01towers[[#This Row],[Prevalidation Status]],"")</f>
        <v>Dropped by Operator</v>
      </c>
      <c r="AP33" s="40" t="str">
        <f>IF(_01towers[[#This Row],[Active Prevalidation Status]]="Under Prevalidation",
IF(M33="","Review",M33),"")</f>
        <v/>
      </c>
      <c r="AQ33" s="40" t="str">
        <f>IF(_01towers[[#This Row],[Active Prevalidation Status]]="Under Prevalidation",
IF(N33="","Review",N33),"")</f>
        <v/>
      </c>
      <c r="AR33" s="40" t="str">
        <f>IF(_01towers[[#This Row],[Active Prevalidation Status]]="Under Prevalidation",
IF(O33="","Review",O33),"")</f>
        <v/>
      </c>
      <c r="AS33" s="40" t="str">
        <f>IF(_01towers[[#This Row],[Active Prevalidation Status]]="Under Prevalidation",
IF(P33="","Review",P33),"")</f>
        <v/>
      </c>
      <c r="AT33" s="40" t="str">
        <f>IF(_01towers[[#This Row],[Active Prevalidation Status]]="Under Prevalidation",
IF(Q33="","Review",Q33),"")</f>
        <v/>
      </c>
      <c r="AU33" s="40" t="str">
        <f>IF(_01towers[[#This Row],[Active Prevalidation Status]]="Under Prevalidation",
IF(R33="","Review",R33),"")</f>
        <v/>
      </c>
      <c r="AV33" s="40">
        <f>COUNTIF(_01towers[[#This Row],[SAQ_Result2]:[Community_Result2]],"OK")</f>
        <v>0</v>
      </c>
      <c r="AW33" s="1" t="str">
        <f>IF(AND(OR(_01towers[[#This Row],[Active Prevalidation Status]]="Under Prevalidation",_01towers[[#This Row],[Active Prevalidation Status]]="Prevalidated"),_01towers[[#This Row],[02tss.TSSR_From_Engineer]]&gt;0),"Submitted","")</f>
        <v/>
      </c>
      <c r="AX33" s="40" t="str">
        <f>IF(OR(_01towers[[#This Row],[Active Prevalidation Status]]="Under Prevalidation",_01towers[[#This Row],[Active Prevalidation Status]]="Prevalidated"),_01towers[[#This Row],[02tss.TSS_Result]],"")</f>
        <v/>
      </c>
      <c r="AY33" s="40" t="str">
        <f>IF(AND(_01towers[[#This Row],[Active TSS Result]]="Approved",_01towers[[#This Row],[Active Prevalidation Status]]="Prevalidated"),"In Process","")</f>
        <v/>
      </c>
      <c r="AZ33" s="40" t="str">
        <f>IF(AND(_01towers[[#This Row],[Active TSS Result]]="Approved",_01towers[[#This Row],[Active Prevalidation Status]]="Prevalidated"),_01towers[[#This Row],[10colo_app.Colo_App_Result]],"")</f>
        <v/>
      </c>
      <c r="BA33" s="40">
        <f>COUNTIF(_20work_order[05_id],_01towers[[#This Row],[05_id]])</f>
        <v>0</v>
      </c>
      <c r="BB33" s="40">
        <f>COUNTIFS(_20work_order[05_id],_01towers[[#This Row],[05_id]],_20work_order[Actual_End],"&gt;0")</f>
        <v>0</v>
      </c>
      <c r="BC33" s="40" t="str">
        <f>IF(_01towers[[#This Row],[Completed Work Orders]]&gt;0,"Work Completed",
IF(_01towers[[#This Row],[Count Work Orders]]&gt;0,"Work in Progress",""))</f>
        <v/>
      </c>
      <c r="BD3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Dropped by Operator</v>
      </c>
      <c r="BE33" s="40" t="str">
        <f>_xlfn.SWITCH(_01towers[[#This Row],[Final Colo Status full]],"Commercial Approval Requested","Under Prevalidation",_01towers[[#This Row],[Final Colo Status full]])</f>
        <v>Dropped by Operator</v>
      </c>
    </row>
    <row r="34" spans="1:57" hidden="1" x14ac:dyDescent="0.35">
      <c r="A34" s="40" t="s">
        <v>149</v>
      </c>
      <c r="B34" s="40" t="s">
        <v>50</v>
      </c>
      <c r="C34" s="40" t="s">
        <v>51</v>
      </c>
      <c r="D34">
        <v>35</v>
      </c>
      <c r="E34" s="40" t="s">
        <v>79</v>
      </c>
      <c r="F34">
        <v>95.980609999999999</v>
      </c>
      <c r="G34">
        <v>21.876380000000001</v>
      </c>
      <c r="H34" s="40" t="s">
        <v>150</v>
      </c>
      <c r="I34">
        <v>32</v>
      </c>
      <c r="J34" s="40" t="s">
        <v>151</v>
      </c>
      <c r="K34" s="40" t="s">
        <v>136</v>
      </c>
      <c r="L34" s="40" t="s">
        <v>64</v>
      </c>
      <c r="M34" s="40" t="s">
        <v>57</v>
      </c>
      <c r="N34" s="40" t="s">
        <v>57</v>
      </c>
      <c r="O34" s="40" t="s">
        <v>57</v>
      </c>
      <c r="P34" s="40" t="s">
        <v>57</v>
      </c>
      <c r="Q34" s="40" t="s">
        <v>57</v>
      </c>
      <c r="R34" s="40" t="s">
        <v>57</v>
      </c>
      <c r="S34">
        <v>84</v>
      </c>
      <c r="T34">
        <v>1</v>
      </c>
      <c r="U34" s="1"/>
      <c r="V34" s="1">
        <v>43179</v>
      </c>
      <c r="W34" s="1">
        <v>43174</v>
      </c>
      <c r="X34" s="1">
        <v>43179</v>
      </c>
      <c r="Y34" s="1"/>
      <c r="Z34" s="40" t="s">
        <v>59</v>
      </c>
      <c r="AA34">
        <v>83</v>
      </c>
      <c r="AB34">
        <v>1</v>
      </c>
      <c r="AC34" s="1">
        <v>43185</v>
      </c>
      <c r="AD34" s="40" t="s">
        <v>570</v>
      </c>
      <c r="AE34" s="1"/>
      <c r="AF34" s="1"/>
      <c r="AG34" s="1"/>
      <c r="AH34" s="40"/>
      <c r="AI34" s="1"/>
      <c r="AJ34" s="40">
        <f>_xlfn.MAXIFS(_01towers[02tss.Rev],_01towers[05_id],_01towers[[#This Row],[05_id]])</f>
        <v>1</v>
      </c>
      <c r="AK34" s="40" t="b">
        <f>IF(_01towers[[#This Row],[Count Rev TSS]]=_01towers[[#This Row],[02tss.Rev]],TRUE,FALSE)</f>
        <v>1</v>
      </c>
      <c r="AL34" s="40">
        <f>_xlfn.MAXIFS(_01towers[10colo_app.Rev],_01towers[05_id],_01towers[[#This Row],[05_id]])</f>
        <v>1</v>
      </c>
      <c r="AM34" s="40" t="b">
        <f>IF(_01towers[[#This Row],[Count Rev Colo App]]=_01towers[[#This Row],[10colo_app.Rev]],TRUE,FALSE)</f>
        <v>1</v>
      </c>
      <c r="AN34" s="40" t="b">
        <f>IF(AND(_01towers[[#This Row],[Test Rev Colo]]=TRUE,_01towers[[#This Row],[Test Rev TSS]]=TRUE),TRUE,FALSE)</f>
        <v>1</v>
      </c>
      <c r="AO34" s="40" t="str">
        <f>IF(_01towers[[#This Row],[Test Active]]=TRUE,_01towers[[#This Row],[Prevalidation Status]],"")</f>
        <v>Prevalidated</v>
      </c>
      <c r="AP34" s="40" t="str">
        <f>IF(_01towers[[#This Row],[Active Prevalidation Status]]="Under Prevalidation",
IF(M34="","Review",M34),"")</f>
        <v/>
      </c>
      <c r="AQ34" s="40" t="str">
        <f>IF(_01towers[[#This Row],[Active Prevalidation Status]]="Under Prevalidation",
IF(N34="","Review",N34),"")</f>
        <v/>
      </c>
      <c r="AR34" s="40" t="str">
        <f>IF(_01towers[[#This Row],[Active Prevalidation Status]]="Under Prevalidation",
IF(O34="","Review",O34),"")</f>
        <v/>
      </c>
      <c r="AS34" s="40" t="str">
        <f>IF(_01towers[[#This Row],[Active Prevalidation Status]]="Under Prevalidation",
IF(P34="","Review",P34),"")</f>
        <v/>
      </c>
      <c r="AT34" s="40" t="str">
        <f>IF(_01towers[[#This Row],[Active Prevalidation Status]]="Under Prevalidation",
IF(Q34="","Review",Q34),"")</f>
        <v/>
      </c>
      <c r="AU34" s="40" t="str">
        <f>IF(_01towers[[#This Row],[Active Prevalidation Status]]="Under Prevalidation",
IF(R34="","Review",R34),"")</f>
        <v/>
      </c>
      <c r="AV34" s="40">
        <f>COUNTIF(_01towers[[#This Row],[SAQ_Result2]:[Community_Result2]],"OK")</f>
        <v>0</v>
      </c>
      <c r="AW34" s="1" t="str">
        <f>IF(AND(OR(_01towers[[#This Row],[Active Prevalidation Status]]="Under Prevalidation",_01towers[[#This Row],[Active Prevalidation Status]]="Prevalidated"),_01towers[[#This Row],[02tss.TSSR_From_Engineer]]&gt;0),"Submitted","")</f>
        <v>Submitted</v>
      </c>
      <c r="AX34" s="40" t="str">
        <f>IF(OR(_01towers[[#This Row],[Active Prevalidation Status]]="Under Prevalidation",_01towers[[#This Row],[Active Prevalidation Status]]="Prevalidated"),_01towers[[#This Row],[02tss.TSS_Result]],"")</f>
        <v>Approved</v>
      </c>
      <c r="AY34" s="40" t="str">
        <f>IF(AND(_01towers[[#This Row],[Active TSS Result]]="Approved",_01towers[[#This Row],[Active Prevalidation Status]]="Prevalidated"),"In Process","")</f>
        <v>In Process</v>
      </c>
      <c r="AZ34" s="40" t="str">
        <f>IF(AND(_01towers[[#This Row],[Active TSS Result]]="Approved",_01towers[[#This Row],[Active Prevalidation Status]]="Prevalidated"),_01towers[[#This Row],[10colo_app.Colo_App_Result]],"")</f>
        <v>NTP Received</v>
      </c>
      <c r="BA34" s="40">
        <f>COUNTIF(_20work_order[05_id],_01towers[[#This Row],[05_id]])</f>
        <v>2</v>
      </c>
      <c r="BB34" s="40">
        <f>COUNTIFS(_20work_order[05_id],_01towers[[#This Row],[05_id]],_20work_order[Actual_End],"&gt;0")</f>
        <v>2</v>
      </c>
      <c r="BC34" s="40" t="str">
        <f>IF(_01towers[[#This Row],[Completed Work Orders]]&gt;0,"Work Completed",
IF(_01towers[[#This Row],[Count Work Orders]]&gt;0,"Work in Progress",""))</f>
        <v>Work Completed</v>
      </c>
      <c r="BD3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34" s="40" t="str">
        <f>_xlfn.SWITCH(_01towers[[#This Row],[Final Colo Status full]],"Commercial Approval Requested","Under Prevalidation",_01towers[[#This Row],[Final Colo Status full]])</f>
        <v>Work Completed</v>
      </c>
    </row>
    <row r="35" spans="1:57" hidden="1" x14ac:dyDescent="0.35">
      <c r="A35" s="40" t="s">
        <v>152</v>
      </c>
      <c r="B35" s="40" t="s">
        <v>50</v>
      </c>
      <c r="C35" s="40" t="s">
        <v>51</v>
      </c>
      <c r="D35">
        <v>45</v>
      </c>
      <c r="E35" s="40" t="s">
        <v>79</v>
      </c>
      <c r="F35">
        <v>95.086429999999993</v>
      </c>
      <c r="G35">
        <v>22.203050000000001</v>
      </c>
      <c r="H35" s="40" t="s">
        <v>143</v>
      </c>
      <c r="I35">
        <v>33</v>
      </c>
      <c r="J35" s="40" t="s">
        <v>153</v>
      </c>
      <c r="K35" s="40" t="s">
        <v>136</v>
      </c>
      <c r="L35" s="40" t="s">
        <v>64</v>
      </c>
      <c r="M35" s="40" t="s">
        <v>57</v>
      </c>
      <c r="N35" s="40" t="s">
        <v>57</v>
      </c>
      <c r="O35" s="40" t="s">
        <v>57</v>
      </c>
      <c r="P35" s="40" t="s">
        <v>57</v>
      </c>
      <c r="Q35" s="40" t="s">
        <v>57</v>
      </c>
      <c r="R35" s="40" t="s">
        <v>57</v>
      </c>
      <c r="S35">
        <v>73</v>
      </c>
      <c r="T35">
        <v>1</v>
      </c>
      <c r="U35" s="1"/>
      <c r="V35" s="1">
        <v>43194</v>
      </c>
      <c r="W35" s="1"/>
      <c r="X35" s="1">
        <v>43195</v>
      </c>
      <c r="Y35" s="1"/>
      <c r="Z35" s="40" t="s">
        <v>59</v>
      </c>
      <c r="AA35">
        <v>72</v>
      </c>
      <c r="AB35">
        <v>1</v>
      </c>
      <c r="AC35" s="1">
        <v>43211</v>
      </c>
      <c r="AD35" s="40" t="s">
        <v>570</v>
      </c>
      <c r="AE35" s="1"/>
      <c r="AF35" s="1"/>
      <c r="AG35" s="1"/>
      <c r="AH35" s="40"/>
      <c r="AI35" s="1"/>
      <c r="AJ35" s="40">
        <f>_xlfn.MAXIFS(_01towers[02tss.Rev],_01towers[05_id],_01towers[[#This Row],[05_id]])</f>
        <v>1</v>
      </c>
      <c r="AK35" s="40" t="b">
        <f>IF(_01towers[[#This Row],[Count Rev TSS]]=_01towers[[#This Row],[02tss.Rev]],TRUE,FALSE)</f>
        <v>1</v>
      </c>
      <c r="AL35" s="40">
        <f>_xlfn.MAXIFS(_01towers[10colo_app.Rev],_01towers[05_id],_01towers[[#This Row],[05_id]])</f>
        <v>1</v>
      </c>
      <c r="AM35" s="40" t="b">
        <f>IF(_01towers[[#This Row],[Count Rev Colo App]]=_01towers[[#This Row],[10colo_app.Rev]],TRUE,FALSE)</f>
        <v>1</v>
      </c>
      <c r="AN35" s="40" t="b">
        <f>IF(AND(_01towers[[#This Row],[Test Rev Colo]]=TRUE,_01towers[[#This Row],[Test Rev TSS]]=TRUE),TRUE,FALSE)</f>
        <v>1</v>
      </c>
      <c r="AO35" s="40" t="str">
        <f>IF(_01towers[[#This Row],[Test Active]]=TRUE,_01towers[[#This Row],[Prevalidation Status]],"")</f>
        <v>Prevalidated</v>
      </c>
      <c r="AP35" s="40" t="str">
        <f>IF(_01towers[[#This Row],[Active Prevalidation Status]]="Under Prevalidation",
IF(M35="","Review",M35),"")</f>
        <v/>
      </c>
      <c r="AQ35" s="40" t="str">
        <f>IF(_01towers[[#This Row],[Active Prevalidation Status]]="Under Prevalidation",
IF(N35="","Review",N35),"")</f>
        <v/>
      </c>
      <c r="AR35" s="40" t="str">
        <f>IF(_01towers[[#This Row],[Active Prevalidation Status]]="Under Prevalidation",
IF(O35="","Review",O35),"")</f>
        <v/>
      </c>
      <c r="AS35" s="40" t="str">
        <f>IF(_01towers[[#This Row],[Active Prevalidation Status]]="Under Prevalidation",
IF(P35="","Review",P35),"")</f>
        <v/>
      </c>
      <c r="AT35" s="40" t="str">
        <f>IF(_01towers[[#This Row],[Active Prevalidation Status]]="Under Prevalidation",
IF(Q35="","Review",Q35),"")</f>
        <v/>
      </c>
      <c r="AU35" s="40" t="str">
        <f>IF(_01towers[[#This Row],[Active Prevalidation Status]]="Under Prevalidation",
IF(R35="","Review",R35),"")</f>
        <v/>
      </c>
      <c r="AV35" s="40">
        <f>COUNTIF(_01towers[[#This Row],[SAQ_Result2]:[Community_Result2]],"OK")</f>
        <v>0</v>
      </c>
      <c r="AW35" s="1" t="str">
        <f>IF(AND(OR(_01towers[[#This Row],[Active Prevalidation Status]]="Under Prevalidation",_01towers[[#This Row],[Active Prevalidation Status]]="Prevalidated"),_01towers[[#This Row],[02tss.TSSR_From_Engineer]]&gt;0),"Submitted","")</f>
        <v/>
      </c>
      <c r="AX35" s="40" t="str">
        <f>IF(OR(_01towers[[#This Row],[Active Prevalidation Status]]="Under Prevalidation",_01towers[[#This Row],[Active Prevalidation Status]]="Prevalidated"),_01towers[[#This Row],[02tss.TSS_Result]],"")</f>
        <v>Approved</v>
      </c>
      <c r="AY35" s="40" t="str">
        <f>IF(AND(_01towers[[#This Row],[Active TSS Result]]="Approved",_01towers[[#This Row],[Active Prevalidation Status]]="Prevalidated"),"In Process","")</f>
        <v>In Process</v>
      </c>
      <c r="AZ35" s="40" t="str">
        <f>IF(AND(_01towers[[#This Row],[Active TSS Result]]="Approved",_01towers[[#This Row],[Active Prevalidation Status]]="Prevalidated"),_01towers[[#This Row],[10colo_app.Colo_App_Result]],"")</f>
        <v>NTP Received</v>
      </c>
      <c r="BA35" s="40">
        <f>COUNTIF(_20work_order[05_id],_01towers[[#This Row],[05_id]])</f>
        <v>1</v>
      </c>
      <c r="BB35" s="40">
        <f>COUNTIFS(_20work_order[05_id],_01towers[[#This Row],[05_id]],_20work_order[Actual_End],"&gt;0")</f>
        <v>1</v>
      </c>
      <c r="BC35" s="40" t="str">
        <f>IF(_01towers[[#This Row],[Completed Work Orders]]&gt;0,"Work Completed",
IF(_01towers[[#This Row],[Count Work Orders]]&gt;0,"Work in Progress",""))</f>
        <v>Work Completed</v>
      </c>
      <c r="BD3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35" s="40" t="str">
        <f>_xlfn.SWITCH(_01towers[[#This Row],[Final Colo Status full]],"Commercial Approval Requested","Under Prevalidation",_01towers[[#This Row],[Final Colo Status full]])</f>
        <v>Work Completed</v>
      </c>
    </row>
    <row r="36" spans="1:57" hidden="1" x14ac:dyDescent="0.35">
      <c r="A36" s="40" t="s">
        <v>154</v>
      </c>
      <c r="B36" s="40" t="s">
        <v>85</v>
      </c>
      <c r="C36" s="40" t="s">
        <v>51</v>
      </c>
      <c r="D36">
        <v>35</v>
      </c>
      <c r="E36" s="40" t="s">
        <v>155</v>
      </c>
      <c r="F36">
        <v>96.134270000000001</v>
      </c>
      <c r="G36">
        <v>19.821960000000001</v>
      </c>
      <c r="H36" s="40" t="s">
        <v>53</v>
      </c>
      <c r="I36">
        <v>34</v>
      </c>
      <c r="J36" s="40" t="s">
        <v>156</v>
      </c>
      <c r="K36" s="40" t="s">
        <v>55</v>
      </c>
      <c r="L36" s="40" t="s">
        <v>64</v>
      </c>
      <c r="M36" s="40" t="s">
        <v>57</v>
      </c>
      <c r="N36" s="40" t="s">
        <v>57</v>
      </c>
      <c r="O36" s="40" t="s">
        <v>57</v>
      </c>
      <c r="P36" s="40" t="s">
        <v>57</v>
      </c>
      <c r="Q36" s="40" t="s">
        <v>57</v>
      </c>
      <c r="R36" s="40" t="s">
        <v>57</v>
      </c>
      <c r="S36">
        <v>205</v>
      </c>
      <c r="T36">
        <v>1</v>
      </c>
      <c r="U36" s="1"/>
      <c r="V36" s="1"/>
      <c r="W36" s="1">
        <v>43215</v>
      </c>
      <c r="X36" s="1">
        <v>43215</v>
      </c>
      <c r="Y36" s="1"/>
      <c r="Z36" s="40" t="s">
        <v>59</v>
      </c>
      <c r="AA36">
        <v>204</v>
      </c>
      <c r="AB36">
        <v>1</v>
      </c>
      <c r="AC36" s="1">
        <v>43213</v>
      </c>
      <c r="AD36" s="40" t="s">
        <v>59</v>
      </c>
      <c r="AE36" s="1"/>
      <c r="AF36" s="1"/>
      <c r="AG36" s="1"/>
      <c r="AH36" s="40"/>
      <c r="AI36" s="1"/>
      <c r="AJ36" s="40">
        <f>_xlfn.MAXIFS(_01towers[02tss.Rev],_01towers[05_id],_01towers[[#This Row],[05_id]])</f>
        <v>1</v>
      </c>
      <c r="AK36" s="40" t="b">
        <f>IF(_01towers[[#This Row],[Count Rev TSS]]=_01towers[[#This Row],[02tss.Rev]],TRUE,FALSE)</f>
        <v>1</v>
      </c>
      <c r="AL36" s="40">
        <f>_xlfn.MAXIFS(_01towers[10colo_app.Rev],_01towers[05_id],_01towers[[#This Row],[05_id]])</f>
        <v>1</v>
      </c>
      <c r="AM36" s="40" t="b">
        <f>IF(_01towers[[#This Row],[Count Rev Colo App]]=_01towers[[#This Row],[10colo_app.Rev]],TRUE,FALSE)</f>
        <v>1</v>
      </c>
      <c r="AN36" s="40" t="b">
        <f>IF(AND(_01towers[[#This Row],[Test Rev Colo]]=TRUE,_01towers[[#This Row],[Test Rev TSS]]=TRUE),TRUE,FALSE)</f>
        <v>1</v>
      </c>
      <c r="AO36" s="40" t="str">
        <f>IF(_01towers[[#This Row],[Test Active]]=TRUE,_01towers[[#This Row],[Prevalidation Status]],"")</f>
        <v>Prevalidated</v>
      </c>
      <c r="AP36" s="40" t="str">
        <f>IF(_01towers[[#This Row],[Active Prevalidation Status]]="Under Prevalidation",
IF(M36="","Review",M36),"")</f>
        <v/>
      </c>
      <c r="AQ36" s="40" t="str">
        <f>IF(_01towers[[#This Row],[Active Prevalidation Status]]="Under Prevalidation",
IF(N36="","Review",N36),"")</f>
        <v/>
      </c>
      <c r="AR36" s="40" t="str">
        <f>IF(_01towers[[#This Row],[Active Prevalidation Status]]="Under Prevalidation",
IF(O36="","Review",O36),"")</f>
        <v/>
      </c>
      <c r="AS36" s="40" t="str">
        <f>IF(_01towers[[#This Row],[Active Prevalidation Status]]="Under Prevalidation",
IF(P36="","Review",P36),"")</f>
        <v/>
      </c>
      <c r="AT36" s="40" t="str">
        <f>IF(_01towers[[#This Row],[Active Prevalidation Status]]="Under Prevalidation",
IF(Q36="","Review",Q36),"")</f>
        <v/>
      </c>
      <c r="AU36" s="40" t="str">
        <f>IF(_01towers[[#This Row],[Active Prevalidation Status]]="Under Prevalidation",
IF(R36="","Review",R36),"")</f>
        <v/>
      </c>
      <c r="AV36" s="40">
        <f>COUNTIF(_01towers[[#This Row],[SAQ_Result2]:[Community_Result2]],"OK")</f>
        <v>0</v>
      </c>
      <c r="AW36" s="1" t="str">
        <f>IF(AND(OR(_01towers[[#This Row],[Active Prevalidation Status]]="Under Prevalidation",_01towers[[#This Row],[Active Prevalidation Status]]="Prevalidated"),_01towers[[#This Row],[02tss.TSSR_From_Engineer]]&gt;0),"Submitted","")</f>
        <v>Submitted</v>
      </c>
      <c r="AX36" s="40" t="str">
        <f>IF(OR(_01towers[[#This Row],[Active Prevalidation Status]]="Under Prevalidation",_01towers[[#This Row],[Active Prevalidation Status]]="Prevalidated"),_01towers[[#This Row],[02tss.TSS_Result]],"")</f>
        <v>Approved</v>
      </c>
      <c r="AY36" s="40" t="str">
        <f>IF(AND(_01towers[[#This Row],[Active TSS Result]]="Approved",_01towers[[#This Row],[Active Prevalidation Status]]="Prevalidated"),"In Process","")</f>
        <v>In Process</v>
      </c>
      <c r="AZ36" s="40" t="str">
        <f>IF(AND(_01towers[[#This Row],[Active TSS Result]]="Approved",_01towers[[#This Row],[Active Prevalidation Status]]="Prevalidated"),_01towers[[#This Row],[10colo_app.Colo_App_Result]],"")</f>
        <v>Approved</v>
      </c>
      <c r="BA36" s="40">
        <f>COUNTIF(_20work_order[05_id],_01towers[[#This Row],[05_id]])</f>
        <v>2</v>
      </c>
      <c r="BB36" s="40">
        <f>COUNTIFS(_20work_order[05_id],_01towers[[#This Row],[05_id]],_20work_order[Actual_End],"&gt;0")</f>
        <v>2</v>
      </c>
      <c r="BC36" s="40" t="str">
        <f>IF(_01towers[[#This Row],[Completed Work Orders]]&gt;0,"Work Completed",
IF(_01towers[[#This Row],[Count Work Orders]]&gt;0,"Work in Progress",""))</f>
        <v>Work Completed</v>
      </c>
      <c r="BD3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36" s="40" t="str">
        <f>_xlfn.SWITCH(_01towers[[#This Row],[Final Colo Status full]],"Commercial Approval Requested","Under Prevalidation",_01towers[[#This Row],[Final Colo Status full]])</f>
        <v>Work Completed</v>
      </c>
    </row>
    <row r="37" spans="1:57" hidden="1" x14ac:dyDescent="0.35">
      <c r="A37" s="40" t="s">
        <v>157</v>
      </c>
      <c r="B37" s="40" t="s">
        <v>90</v>
      </c>
      <c r="C37" s="40" t="s">
        <v>51</v>
      </c>
      <c r="D37">
        <v>35</v>
      </c>
      <c r="E37" s="40" t="s">
        <v>98</v>
      </c>
      <c r="F37">
        <v>96.257530000000003</v>
      </c>
      <c r="G37">
        <v>16.867550000000001</v>
      </c>
      <c r="H37" s="40" t="s">
        <v>150</v>
      </c>
      <c r="I37">
        <v>35</v>
      </c>
      <c r="J37" s="40" t="s">
        <v>158</v>
      </c>
      <c r="K37" s="40" t="s">
        <v>124</v>
      </c>
      <c r="L37" s="40" t="s">
        <v>64</v>
      </c>
      <c r="M37" s="40" t="s">
        <v>57</v>
      </c>
      <c r="N37" s="40" t="s">
        <v>57</v>
      </c>
      <c r="O37" s="40" t="s">
        <v>57</v>
      </c>
      <c r="P37" s="40" t="s">
        <v>57</v>
      </c>
      <c r="Q37" s="40" t="s">
        <v>57</v>
      </c>
      <c r="R37" s="40" t="s">
        <v>57</v>
      </c>
      <c r="S37">
        <v>206</v>
      </c>
      <c r="T37">
        <v>1</v>
      </c>
      <c r="U37" s="1">
        <v>43200</v>
      </c>
      <c r="V37" s="1">
        <v>43200</v>
      </c>
      <c r="W37" s="1">
        <v>43201</v>
      </c>
      <c r="X37" s="1">
        <v>43201</v>
      </c>
      <c r="Y37" s="1">
        <v>43251</v>
      </c>
      <c r="Z37" s="40" t="s">
        <v>59</v>
      </c>
      <c r="AA37">
        <v>205</v>
      </c>
      <c r="AB37">
        <v>1</v>
      </c>
      <c r="AC37" s="1">
        <v>43213</v>
      </c>
      <c r="AD37" s="40" t="s">
        <v>59</v>
      </c>
      <c r="AE37" s="1"/>
      <c r="AF37" s="1"/>
      <c r="AG37" s="1"/>
      <c r="AH37" s="40"/>
      <c r="AI37" s="1"/>
      <c r="AJ37" s="40">
        <f>_xlfn.MAXIFS(_01towers[02tss.Rev],_01towers[05_id],_01towers[[#This Row],[05_id]])</f>
        <v>1</v>
      </c>
      <c r="AK37" s="40" t="b">
        <f>IF(_01towers[[#This Row],[Count Rev TSS]]=_01towers[[#This Row],[02tss.Rev]],TRUE,FALSE)</f>
        <v>1</v>
      </c>
      <c r="AL37" s="40">
        <f>_xlfn.MAXIFS(_01towers[10colo_app.Rev],_01towers[05_id],_01towers[[#This Row],[05_id]])</f>
        <v>1</v>
      </c>
      <c r="AM37" s="40" t="b">
        <f>IF(_01towers[[#This Row],[Count Rev Colo App]]=_01towers[[#This Row],[10colo_app.Rev]],TRUE,FALSE)</f>
        <v>1</v>
      </c>
      <c r="AN37" s="40" t="b">
        <f>IF(AND(_01towers[[#This Row],[Test Rev Colo]]=TRUE,_01towers[[#This Row],[Test Rev TSS]]=TRUE),TRUE,FALSE)</f>
        <v>1</v>
      </c>
      <c r="AO37" s="40" t="str">
        <f>IF(_01towers[[#This Row],[Test Active]]=TRUE,_01towers[[#This Row],[Prevalidation Status]],"")</f>
        <v>Prevalidated</v>
      </c>
      <c r="AP37" s="40" t="str">
        <f>IF(_01towers[[#This Row],[Active Prevalidation Status]]="Under Prevalidation",
IF(M37="","Review",M37),"")</f>
        <v/>
      </c>
      <c r="AQ37" s="40" t="str">
        <f>IF(_01towers[[#This Row],[Active Prevalidation Status]]="Under Prevalidation",
IF(N37="","Review",N37),"")</f>
        <v/>
      </c>
      <c r="AR37" s="40" t="str">
        <f>IF(_01towers[[#This Row],[Active Prevalidation Status]]="Under Prevalidation",
IF(O37="","Review",O37),"")</f>
        <v/>
      </c>
      <c r="AS37" s="40" t="str">
        <f>IF(_01towers[[#This Row],[Active Prevalidation Status]]="Under Prevalidation",
IF(P37="","Review",P37),"")</f>
        <v/>
      </c>
      <c r="AT37" s="40" t="str">
        <f>IF(_01towers[[#This Row],[Active Prevalidation Status]]="Under Prevalidation",
IF(Q37="","Review",Q37),"")</f>
        <v/>
      </c>
      <c r="AU37" s="40" t="str">
        <f>IF(_01towers[[#This Row],[Active Prevalidation Status]]="Under Prevalidation",
IF(R37="","Review",R37),"")</f>
        <v/>
      </c>
      <c r="AV37" s="40">
        <f>COUNTIF(_01towers[[#This Row],[SAQ_Result2]:[Community_Result2]],"OK")</f>
        <v>0</v>
      </c>
      <c r="AW37" s="1" t="str">
        <f>IF(AND(OR(_01towers[[#This Row],[Active Prevalidation Status]]="Under Prevalidation",_01towers[[#This Row],[Active Prevalidation Status]]="Prevalidated"),_01towers[[#This Row],[02tss.TSSR_From_Engineer]]&gt;0),"Submitted","")</f>
        <v>Submitted</v>
      </c>
      <c r="AX37" s="40" t="str">
        <f>IF(OR(_01towers[[#This Row],[Active Prevalidation Status]]="Under Prevalidation",_01towers[[#This Row],[Active Prevalidation Status]]="Prevalidated"),_01towers[[#This Row],[02tss.TSS_Result]],"")</f>
        <v>Approved</v>
      </c>
      <c r="AY37" s="40" t="str">
        <f>IF(AND(_01towers[[#This Row],[Active TSS Result]]="Approved",_01towers[[#This Row],[Active Prevalidation Status]]="Prevalidated"),"In Process","")</f>
        <v>In Process</v>
      </c>
      <c r="AZ37" s="40" t="str">
        <f>IF(AND(_01towers[[#This Row],[Active TSS Result]]="Approved",_01towers[[#This Row],[Active Prevalidation Status]]="Prevalidated"),_01towers[[#This Row],[10colo_app.Colo_App_Result]],"")</f>
        <v>Approved</v>
      </c>
      <c r="BA37" s="40">
        <f>COUNTIF(_20work_order[05_id],_01towers[[#This Row],[05_id]])</f>
        <v>2</v>
      </c>
      <c r="BB37" s="40">
        <f>COUNTIFS(_20work_order[05_id],_01towers[[#This Row],[05_id]],_20work_order[Actual_End],"&gt;0")</f>
        <v>2</v>
      </c>
      <c r="BC37" s="40" t="str">
        <f>IF(_01towers[[#This Row],[Completed Work Orders]]&gt;0,"Work Completed",
IF(_01towers[[#This Row],[Count Work Orders]]&gt;0,"Work in Progress",""))</f>
        <v>Work Completed</v>
      </c>
      <c r="BD3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37" s="40" t="str">
        <f>_xlfn.SWITCH(_01towers[[#This Row],[Final Colo Status full]],"Commercial Approval Requested","Under Prevalidation",_01towers[[#This Row],[Final Colo Status full]])</f>
        <v>Work Completed</v>
      </c>
    </row>
    <row r="38" spans="1:57" hidden="1" x14ac:dyDescent="0.35">
      <c r="A38" s="40" t="s">
        <v>159</v>
      </c>
      <c r="B38" s="40" t="s">
        <v>50</v>
      </c>
      <c r="C38" s="40" t="s">
        <v>51</v>
      </c>
      <c r="D38">
        <v>50</v>
      </c>
      <c r="E38" s="40" t="s">
        <v>61</v>
      </c>
      <c r="F38">
        <v>96.215919999999997</v>
      </c>
      <c r="G38">
        <v>26.691109999999998</v>
      </c>
      <c r="H38" s="40" t="s">
        <v>53</v>
      </c>
      <c r="I38">
        <v>36</v>
      </c>
      <c r="J38" s="40" t="s">
        <v>160</v>
      </c>
      <c r="K38" s="40" t="s">
        <v>55</v>
      </c>
      <c r="L38" s="40" t="s">
        <v>64</v>
      </c>
      <c r="M38" s="40" t="s">
        <v>57</v>
      </c>
      <c r="N38" s="40" t="s">
        <v>57</v>
      </c>
      <c r="O38" s="40" t="s">
        <v>57</v>
      </c>
      <c r="P38" s="40" t="s">
        <v>57</v>
      </c>
      <c r="Q38" s="40" t="s">
        <v>57</v>
      </c>
      <c r="R38" s="40" t="s">
        <v>161</v>
      </c>
      <c r="S38">
        <v>207</v>
      </c>
      <c r="T38">
        <v>1</v>
      </c>
      <c r="U38" s="1"/>
      <c r="V38" s="1">
        <v>6941</v>
      </c>
      <c r="W38" s="1">
        <v>43215</v>
      </c>
      <c r="X38" s="1">
        <v>43215</v>
      </c>
      <c r="Y38" s="1"/>
      <c r="Z38" s="40" t="s">
        <v>59</v>
      </c>
      <c r="AA38">
        <v>206</v>
      </c>
      <c r="AB38">
        <v>1</v>
      </c>
      <c r="AC38" s="1">
        <v>43229</v>
      </c>
      <c r="AD38" s="40" t="s">
        <v>59</v>
      </c>
      <c r="AE38" s="1"/>
      <c r="AF38" s="1"/>
      <c r="AG38" s="1"/>
      <c r="AH38" s="40"/>
      <c r="AI38" s="1"/>
      <c r="AJ38" s="40">
        <f>_xlfn.MAXIFS(_01towers[02tss.Rev],_01towers[05_id],_01towers[[#This Row],[05_id]])</f>
        <v>1</v>
      </c>
      <c r="AK38" s="40" t="b">
        <f>IF(_01towers[[#This Row],[Count Rev TSS]]=_01towers[[#This Row],[02tss.Rev]],TRUE,FALSE)</f>
        <v>1</v>
      </c>
      <c r="AL38" s="40">
        <f>_xlfn.MAXIFS(_01towers[10colo_app.Rev],_01towers[05_id],_01towers[[#This Row],[05_id]])</f>
        <v>1</v>
      </c>
      <c r="AM38" s="40" t="b">
        <f>IF(_01towers[[#This Row],[Count Rev Colo App]]=_01towers[[#This Row],[10colo_app.Rev]],TRUE,FALSE)</f>
        <v>1</v>
      </c>
      <c r="AN38" s="40" t="b">
        <f>IF(AND(_01towers[[#This Row],[Test Rev Colo]]=TRUE,_01towers[[#This Row],[Test Rev TSS]]=TRUE),TRUE,FALSE)</f>
        <v>1</v>
      </c>
      <c r="AO38" s="40" t="str">
        <f>IF(_01towers[[#This Row],[Test Active]]=TRUE,_01towers[[#This Row],[Prevalidation Status]],"")</f>
        <v>Prevalidated</v>
      </c>
      <c r="AP38" s="40" t="str">
        <f>IF(_01towers[[#This Row],[Active Prevalidation Status]]="Under Prevalidation",
IF(M38="","Review",M38),"")</f>
        <v/>
      </c>
      <c r="AQ38" s="40" t="str">
        <f>IF(_01towers[[#This Row],[Active Prevalidation Status]]="Under Prevalidation",
IF(N38="","Review",N38),"")</f>
        <v/>
      </c>
      <c r="AR38" s="40" t="str">
        <f>IF(_01towers[[#This Row],[Active Prevalidation Status]]="Under Prevalidation",
IF(O38="","Review",O38),"")</f>
        <v/>
      </c>
      <c r="AS38" s="40" t="str">
        <f>IF(_01towers[[#This Row],[Active Prevalidation Status]]="Under Prevalidation",
IF(P38="","Review",P38),"")</f>
        <v/>
      </c>
      <c r="AT38" s="40" t="str">
        <f>IF(_01towers[[#This Row],[Active Prevalidation Status]]="Under Prevalidation",
IF(Q38="","Review",Q38),"")</f>
        <v/>
      </c>
      <c r="AU38" s="40" t="str">
        <f>IF(_01towers[[#This Row],[Active Prevalidation Status]]="Under Prevalidation",
IF(R38="","Review",R38),"")</f>
        <v/>
      </c>
      <c r="AV38" s="40">
        <f>COUNTIF(_01towers[[#This Row],[SAQ_Result2]:[Community_Result2]],"OK")</f>
        <v>0</v>
      </c>
      <c r="AW38" s="1" t="str">
        <f>IF(AND(OR(_01towers[[#This Row],[Active Prevalidation Status]]="Under Prevalidation",_01towers[[#This Row],[Active Prevalidation Status]]="Prevalidated"),_01towers[[#This Row],[02tss.TSSR_From_Engineer]]&gt;0),"Submitted","")</f>
        <v>Submitted</v>
      </c>
      <c r="AX38" s="40" t="str">
        <f>IF(OR(_01towers[[#This Row],[Active Prevalidation Status]]="Under Prevalidation",_01towers[[#This Row],[Active Prevalidation Status]]="Prevalidated"),_01towers[[#This Row],[02tss.TSS_Result]],"")</f>
        <v>Approved</v>
      </c>
      <c r="AY38" s="40" t="str">
        <f>IF(AND(_01towers[[#This Row],[Active TSS Result]]="Approved",_01towers[[#This Row],[Active Prevalidation Status]]="Prevalidated"),"In Process","")</f>
        <v>In Process</v>
      </c>
      <c r="AZ38" s="40" t="str">
        <f>IF(AND(_01towers[[#This Row],[Active TSS Result]]="Approved",_01towers[[#This Row],[Active Prevalidation Status]]="Prevalidated"),_01towers[[#This Row],[10colo_app.Colo_App_Result]],"")</f>
        <v>Approved</v>
      </c>
      <c r="BA38" s="40">
        <f>COUNTIF(_20work_order[05_id],_01towers[[#This Row],[05_id]])</f>
        <v>0</v>
      </c>
      <c r="BB38" s="40">
        <f>COUNTIFS(_20work_order[05_id],_01towers[[#This Row],[05_id]],_20work_order[Actual_End],"&gt;0")</f>
        <v>0</v>
      </c>
      <c r="BC38" s="40" t="str">
        <f>IF(_01towers[[#This Row],[Completed Work Orders]]&gt;0,"Work Completed",
IF(_01towers[[#This Row],[Count Work Orders]]&gt;0,"Work in Progress",""))</f>
        <v/>
      </c>
      <c r="BD3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38" s="40" t="str">
        <f>_xlfn.SWITCH(_01towers[[#This Row],[Final Colo Status full]],"Commercial Approval Requested","Under Prevalidation",_01towers[[#This Row],[Final Colo Status full]])</f>
        <v>Colo Application Approved</v>
      </c>
    </row>
    <row r="39" spans="1:57" hidden="1" x14ac:dyDescent="0.35">
      <c r="A39" s="40" t="s">
        <v>162</v>
      </c>
      <c r="B39" s="40" t="s">
        <v>50</v>
      </c>
      <c r="C39" s="40" t="s">
        <v>51</v>
      </c>
      <c r="D39">
        <v>45</v>
      </c>
      <c r="E39" s="40" t="s">
        <v>66</v>
      </c>
      <c r="F39">
        <v>96.070164000000005</v>
      </c>
      <c r="G39">
        <v>21.844214000000001</v>
      </c>
      <c r="H39" s="40" t="s">
        <v>62</v>
      </c>
      <c r="I39">
        <v>37</v>
      </c>
      <c r="J39" s="40" t="s">
        <v>163</v>
      </c>
      <c r="K39" s="40" t="s">
        <v>55</v>
      </c>
      <c r="L39" s="40" t="s">
        <v>64</v>
      </c>
      <c r="M39" s="40" t="s">
        <v>57</v>
      </c>
      <c r="N39" s="40" t="s">
        <v>57</v>
      </c>
      <c r="O39" s="40" t="s">
        <v>57</v>
      </c>
      <c r="P39" s="40" t="s">
        <v>57</v>
      </c>
      <c r="Q39" s="40" t="s">
        <v>57</v>
      </c>
      <c r="R39" s="40" t="s">
        <v>57</v>
      </c>
      <c r="S39">
        <v>208</v>
      </c>
      <c r="T39">
        <v>1</v>
      </c>
      <c r="U39" s="1"/>
      <c r="V39" s="1">
        <v>6941</v>
      </c>
      <c r="W39" s="1">
        <v>43215</v>
      </c>
      <c r="X39" s="1">
        <v>43215</v>
      </c>
      <c r="Y39" s="1"/>
      <c r="Z39" s="40" t="s">
        <v>59</v>
      </c>
      <c r="AA39">
        <v>207</v>
      </c>
      <c r="AB39">
        <v>1</v>
      </c>
      <c r="AC39" s="1">
        <v>43229</v>
      </c>
      <c r="AD39" s="40" t="s">
        <v>59</v>
      </c>
      <c r="AE39" s="1"/>
      <c r="AF39" s="1"/>
      <c r="AG39" s="1"/>
      <c r="AH39" s="40"/>
      <c r="AI39" s="1"/>
      <c r="AJ39" s="40">
        <f>_xlfn.MAXIFS(_01towers[02tss.Rev],_01towers[05_id],_01towers[[#This Row],[05_id]])</f>
        <v>1</v>
      </c>
      <c r="AK39" s="40" t="b">
        <f>IF(_01towers[[#This Row],[Count Rev TSS]]=_01towers[[#This Row],[02tss.Rev]],TRUE,FALSE)</f>
        <v>1</v>
      </c>
      <c r="AL39" s="40">
        <f>_xlfn.MAXIFS(_01towers[10colo_app.Rev],_01towers[05_id],_01towers[[#This Row],[05_id]])</f>
        <v>2</v>
      </c>
      <c r="AM39" s="40" t="b">
        <f>IF(_01towers[[#This Row],[Count Rev Colo App]]=_01towers[[#This Row],[10colo_app.Rev]],TRUE,FALSE)</f>
        <v>0</v>
      </c>
      <c r="AN39" s="40" t="b">
        <f>IF(AND(_01towers[[#This Row],[Test Rev Colo]]=TRUE,_01towers[[#This Row],[Test Rev TSS]]=TRUE),TRUE,FALSE)</f>
        <v>0</v>
      </c>
      <c r="AO39" s="40" t="str">
        <f>IF(_01towers[[#This Row],[Test Active]]=TRUE,_01towers[[#This Row],[Prevalidation Status]],"")</f>
        <v/>
      </c>
      <c r="AP39" s="40" t="str">
        <f>IF(_01towers[[#This Row],[Active Prevalidation Status]]="Under Prevalidation",
IF(M39="","Review",M39),"")</f>
        <v/>
      </c>
      <c r="AQ39" s="40" t="str">
        <f>IF(_01towers[[#This Row],[Active Prevalidation Status]]="Under Prevalidation",
IF(N39="","Review",N39),"")</f>
        <v/>
      </c>
      <c r="AR39" s="40" t="str">
        <f>IF(_01towers[[#This Row],[Active Prevalidation Status]]="Under Prevalidation",
IF(O39="","Review",O39),"")</f>
        <v/>
      </c>
      <c r="AS39" s="40" t="str">
        <f>IF(_01towers[[#This Row],[Active Prevalidation Status]]="Under Prevalidation",
IF(P39="","Review",P39),"")</f>
        <v/>
      </c>
      <c r="AT39" s="40" t="str">
        <f>IF(_01towers[[#This Row],[Active Prevalidation Status]]="Under Prevalidation",
IF(Q39="","Review",Q39),"")</f>
        <v/>
      </c>
      <c r="AU39" s="40" t="str">
        <f>IF(_01towers[[#This Row],[Active Prevalidation Status]]="Under Prevalidation",
IF(R39="","Review",R39),"")</f>
        <v/>
      </c>
      <c r="AV39" s="40">
        <f>COUNTIF(_01towers[[#This Row],[SAQ_Result2]:[Community_Result2]],"OK")</f>
        <v>0</v>
      </c>
      <c r="AW39" s="1" t="str">
        <f>IF(AND(OR(_01towers[[#This Row],[Active Prevalidation Status]]="Under Prevalidation",_01towers[[#This Row],[Active Prevalidation Status]]="Prevalidated"),_01towers[[#This Row],[02tss.TSSR_From_Engineer]]&gt;0),"Submitted","")</f>
        <v/>
      </c>
      <c r="AX39" s="40" t="str">
        <f>IF(OR(_01towers[[#This Row],[Active Prevalidation Status]]="Under Prevalidation",_01towers[[#This Row],[Active Prevalidation Status]]="Prevalidated"),_01towers[[#This Row],[02tss.TSS_Result]],"")</f>
        <v/>
      </c>
      <c r="AY39" s="40" t="str">
        <f>IF(AND(_01towers[[#This Row],[Active TSS Result]]="Approved",_01towers[[#This Row],[Active Prevalidation Status]]="Prevalidated"),"In Process","")</f>
        <v/>
      </c>
      <c r="AZ39" s="40" t="str">
        <f>IF(AND(_01towers[[#This Row],[Active TSS Result]]="Approved",_01towers[[#This Row],[Active Prevalidation Status]]="Prevalidated"),_01towers[[#This Row],[10colo_app.Colo_App_Result]],"")</f>
        <v/>
      </c>
      <c r="BA39" s="40">
        <f>COUNTIF(_20work_order[05_id],_01towers[[#This Row],[05_id]])</f>
        <v>0</v>
      </c>
      <c r="BB39" s="40">
        <f>COUNTIFS(_20work_order[05_id],_01towers[[#This Row],[05_id]],_20work_order[Actual_End],"&gt;0")</f>
        <v>0</v>
      </c>
      <c r="BC39" s="40" t="str">
        <f>IF(_01towers[[#This Row],[Completed Work Orders]]&gt;0,"Work Completed",
IF(_01towers[[#This Row],[Count Work Orders]]&gt;0,"Work in Progress",""))</f>
        <v/>
      </c>
      <c r="BD3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
      </c>
      <c r="BE39" s="40" t="str">
        <f>_xlfn.SWITCH(_01towers[[#This Row],[Final Colo Status full]],"Commercial Approval Requested","Under Prevalidation",_01towers[[#This Row],[Final Colo Status full]])</f>
        <v/>
      </c>
    </row>
    <row r="40" spans="1:57" hidden="1" x14ac:dyDescent="0.35">
      <c r="A40" s="40" t="s">
        <v>162</v>
      </c>
      <c r="B40" s="40" t="s">
        <v>50</v>
      </c>
      <c r="C40" s="40" t="s">
        <v>51</v>
      </c>
      <c r="D40">
        <v>45</v>
      </c>
      <c r="E40" s="40" t="s">
        <v>66</v>
      </c>
      <c r="F40">
        <v>96.070164000000005</v>
      </c>
      <c r="G40">
        <v>21.844214000000001</v>
      </c>
      <c r="H40" s="40" t="s">
        <v>62</v>
      </c>
      <c r="I40">
        <v>37</v>
      </c>
      <c r="J40" s="40" t="s">
        <v>163</v>
      </c>
      <c r="K40" s="40" t="s">
        <v>55</v>
      </c>
      <c r="L40" s="40" t="s">
        <v>64</v>
      </c>
      <c r="M40" s="40" t="s">
        <v>57</v>
      </c>
      <c r="N40" s="40" t="s">
        <v>57</v>
      </c>
      <c r="O40" s="40" t="s">
        <v>57</v>
      </c>
      <c r="P40" s="40" t="s">
        <v>57</v>
      </c>
      <c r="Q40" s="40" t="s">
        <v>57</v>
      </c>
      <c r="R40" s="40" t="s">
        <v>57</v>
      </c>
      <c r="S40">
        <v>208</v>
      </c>
      <c r="T40">
        <v>1</v>
      </c>
      <c r="U40" s="1"/>
      <c r="V40" s="1">
        <v>6941</v>
      </c>
      <c r="W40" s="1">
        <v>43215</v>
      </c>
      <c r="X40" s="1">
        <v>43215</v>
      </c>
      <c r="Y40" s="1"/>
      <c r="Z40" s="40" t="s">
        <v>59</v>
      </c>
      <c r="AA40">
        <v>249</v>
      </c>
      <c r="AB40">
        <v>2</v>
      </c>
      <c r="AC40" s="1">
        <v>43249</v>
      </c>
      <c r="AD40" s="40" t="s">
        <v>59</v>
      </c>
      <c r="AE40" s="1"/>
      <c r="AF40" s="1"/>
      <c r="AG40" s="1"/>
      <c r="AH40" s="40"/>
      <c r="AI40" s="1"/>
      <c r="AJ40" s="40">
        <f>_xlfn.MAXIFS(_01towers[02tss.Rev],_01towers[05_id],_01towers[[#This Row],[05_id]])</f>
        <v>1</v>
      </c>
      <c r="AK40" s="40" t="b">
        <f>IF(_01towers[[#This Row],[Count Rev TSS]]=_01towers[[#This Row],[02tss.Rev]],TRUE,FALSE)</f>
        <v>1</v>
      </c>
      <c r="AL40" s="40">
        <f>_xlfn.MAXIFS(_01towers[10colo_app.Rev],_01towers[05_id],_01towers[[#This Row],[05_id]])</f>
        <v>2</v>
      </c>
      <c r="AM40" s="40" t="b">
        <f>IF(_01towers[[#This Row],[Count Rev Colo App]]=_01towers[[#This Row],[10colo_app.Rev]],TRUE,FALSE)</f>
        <v>1</v>
      </c>
      <c r="AN40" s="40" t="b">
        <f>IF(AND(_01towers[[#This Row],[Test Rev Colo]]=TRUE,_01towers[[#This Row],[Test Rev TSS]]=TRUE),TRUE,FALSE)</f>
        <v>1</v>
      </c>
      <c r="AO40" s="40" t="str">
        <f>IF(_01towers[[#This Row],[Test Active]]=TRUE,_01towers[[#This Row],[Prevalidation Status]],"")</f>
        <v>Prevalidated</v>
      </c>
      <c r="AP40" s="40" t="str">
        <f>IF(_01towers[[#This Row],[Active Prevalidation Status]]="Under Prevalidation",
IF(M40="","Review",M40),"")</f>
        <v/>
      </c>
      <c r="AQ40" s="40" t="str">
        <f>IF(_01towers[[#This Row],[Active Prevalidation Status]]="Under Prevalidation",
IF(N40="","Review",N40),"")</f>
        <v/>
      </c>
      <c r="AR40" s="40" t="str">
        <f>IF(_01towers[[#This Row],[Active Prevalidation Status]]="Under Prevalidation",
IF(O40="","Review",O40),"")</f>
        <v/>
      </c>
      <c r="AS40" s="40" t="str">
        <f>IF(_01towers[[#This Row],[Active Prevalidation Status]]="Under Prevalidation",
IF(P40="","Review",P40),"")</f>
        <v/>
      </c>
      <c r="AT40" s="40" t="str">
        <f>IF(_01towers[[#This Row],[Active Prevalidation Status]]="Under Prevalidation",
IF(Q40="","Review",Q40),"")</f>
        <v/>
      </c>
      <c r="AU40" s="40" t="str">
        <f>IF(_01towers[[#This Row],[Active Prevalidation Status]]="Under Prevalidation",
IF(R40="","Review",R40),"")</f>
        <v/>
      </c>
      <c r="AV40" s="40">
        <f>COUNTIF(_01towers[[#This Row],[SAQ_Result2]:[Community_Result2]],"OK")</f>
        <v>0</v>
      </c>
      <c r="AW40" s="1" t="str">
        <f>IF(AND(OR(_01towers[[#This Row],[Active Prevalidation Status]]="Under Prevalidation",_01towers[[#This Row],[Active Prevalidation Status]]="Prevalidated"),_01towers[[#This Row],[02tss.TSSR_From_Engineer]]&gt;0),"Submitted","")</f>
        <v>Submitted</v>
      </c>
      <c r="AX40" s="40" t="str">
        <f>IF(OR(_01towers[[#This Row],[Active Prevalidation Status]]="Under Prevalidation",_01towers[[#This Row],[Active Prevalidation Status]]="Prevalidated"),_01towers[[#This Row],[02tss.TSS_Result]],"")</f>
        <v>Approved</v>
      </c>
      <c r="AY40" s="40" t="str">
        <f>IF(AND(_01towers[[#This Row],[Active TSS Result]]="Approved",_01towers[[#This Row],[Active Prevalidation Status]]="Prevalidated"),"In Process","")</f>
        <v>In Process</v>
      </c>
      <c r="AZ40" s="40" t="str">
        <f>IF(AND(_01towers[[#This Row],[Active TSS Result]]="Approved",_01towers[[#This Row],[Active Prevalidation Status]]="Prevalidated"),_01towers[[#This Row],[10colo_app.Colo_App_Result]],"")</f>
        <v>Approved</v>
      </c>
      <c r="BA40" s="40">
        <f>COUNTIF(_20work_order[05_id],_01towers[[#This Row],[05_id]])</f>
        <v>0</v>
      </c>
      <c r="BB40" s="40">
        <f>COUNTIFS(_20work_order[05_id],_01towers[[#This Row],[05_id]],_20work_order[Actual_End],"&gt;0")</f>
        <v>0</v>
      </c>
      <c r="BC40" s="40" t="str">
        <f>IF(_01towers[[#This Row],[Completed Work Orders]]&gt;0,"Work Completed",
IF(_01towers[[#This Row],[Count Work Orders]]&gt;0,"Work in Progress",""))</f>
        <v/>
      </c>
      <c r="BD4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40" s="40" t="str">
        <f>_xlfn.SWITCH(_01towers[[#This Row],[Final Colo Status full]],"Commercial Approval Requested","Under Prevalidation",_01towers[[#This Row],[Final Colo Status full]])</f>
        <v>Colo Application Approved</v>
      </c>
    </row>
    <row r="41" spans="1:57" hidden="1" x14ac:dyDescent="0.35">
      <c r="A41" s="40" t="s">
        <v>164</v>
      </c>
      <c r="B41" s="40" t="s">
        <v>50</v>
      </c>
      <c r="C41" s="40" t="s">
        <v>82</v>
      </c>
      <c r="D41">
        <v>6</v>
      </c>
      <c r="E41" s="40" t="s">
        <v>66</v>
      </c>
      <c r="F41">
        <v>96.082480000000004</v>
      </c>
      <c r="G41">
        <v>21.974630000000001</v>
      </c>
      <c r="H41" s="40" t="s">
        <v>53</v>
      </c>
      <c r="I41">
        <v>38</v>
      </c>
      <c r="J41" s="40" t="s">
        <v>165</v>
      </c>
      <c r="K41" s="40" t="s">
        <v>55</v>
      </c>
      <c r="L41" s="40" t="s">
        <v>74</v>
      </c>
      <c r="M41" s="40" t="s">
        <v>75</v>
      </c>
      <c r="N41" s="40" t="s">
        <v>57</v>
      </c>
      <c r="O41" s="40" t="s">
        <v>58</v>
      </c>
      <c r="P41" s="40" t="s">
        <v>57</v>
      </c>
      <c r="Q41" s="40"/>
      <c r="R41" s="40" t="s">
        <v>57</v>
      </c>
      <c r="S41">
        <v>209</v>
      </c>
      <c r="T41">
        <v>1</v>
      </c>
      <c r="U41" s="1"/>
      <c r="V41" s="1"/>
      <c r="W41" s="1"/>
      <c r="X41" s="1"/>
      <c r="Y41" s="1"/>
      <c r="Z41" s="40"/>
      <c r="AA41">
        <v>208</v>
      </c>
      <c r="AB41">
        <v>1</v>
      </c>
      <c r="AC41" s="1"/>
      <c r="AD41" s="40"/>
      <c r="AE41" s="1"/>
      <c r="AF41" s="1"/>
      <c r="AG41" s="1"/>
      <c r="AH41" s="40"/>
      <c r="AI41" s="1"/>
      <c r="AJ41" s="40">
        <f>_xlfn.MAXIFS(_01towers[02tss.Rev],_01towers[05_id],_01towers[[#This Row],[05_id]])</f>
        <v>1</v>
      </c>
      <c r="AK41" s="40" t="b">
        <f>IF(_01towers[[#This Row],[Count Rev TSS]]=_01towers[[#This Row],[02tss.Rev]],TRUE,FALSE)</f>
        <v>1</v>
      </c>
      <c r="AL41" s="40">
        <f>_xlfn.MAXIFS(_01towers[10colo_app.Rev],_01towers[05_id],_01towers[[#This Row],[05_id]])</f>
        <v>1</v>
      </c>
      <c r="AM41" s="40" t="b">
        <f>IF(_01towers[[#This Row],[Count Rev Colo App]]=_01towers[[#This Row],[10colo_app.Rev]],TRUE,FALSE)</f>
        <v>1</v>
      </c>
      <c r="AN41" s="40" t="b">
        <f>IF(AND(_01towers[[#This Row],[Test Rev Colo]]=TRUE,_01towers[[#This Row],[Test Rev TSS]]=TRUE),TRUE,FALSE)</f>
        <v>1</v>
      </c>
      <c r="AO41" s="40" t="str">
        <f>IF(_01towers[[#This Row],[Test Active]]=TRUE,_01towers[[#This Row],[Prevalidation Status]],"")</f>
        <v>Prevalidation Rejected</v>
      </c>
      <c r="AP41" s="40" t="str">
        <f>IF(_01towers[[#This Row],[Active Prevalidation Status]]="Under Prevalidation",
IF(M41="","Review",M41),"")</f>
        <v/>
      </c>
      <c r="AQ41" s="40" t="str">
        <f>IF(_01towers[[#This Row],[Active Prevalidation Status]]="Under Prevalidation",
IF(N41="","Review",N41),"")</f>
        <v/>
      </c>
      <c r="AR41" s="40" t="str">
        <f>IF(_01towers[[#This Row],[Active Prevalidation Status]]="Under Prevalidation",
IF(O41="","Review",O41),"")</f>
        <v/>
      </c>
      <c r="AS41" s="40" t="str">
        <f>IF(_01towers[[#This Row],[Active Prevalidation Status]]="Under Prevalidation",
IF(P41="","Review",P41),"")</f>
        <v/>
      </c>
      <c r="AT41" s="40" t="str">
        <f>IF(_01towers[[#This Row],[Active Prevalidation Status]]="Under Prevalidation",
IF(Q41="","Review",Q41),"")</f>
        <v/>
      </c>
      <c r="AU41" s="40" t="str">
        <f>IF(_01towers[[#This Row],[Active Prevalidation Status]]="Under Prevalidation",
IF(R41="","Review",R41),"")</f>
        <v/>
      </c>
      <c r="AV41" s="40">
        <f>COUNTIF(_01towers[[#This Row],[SAQ_Result2]:[Community_Result2]],"OK")</f>
        <v>0</v>
      </c>
      <c r="AW41" s="1" t="str">
        <f>IF(AND(OR(_01towers[[#This Row],[Active Prevalidation Status]]="Under Prevalidation",_01towers[[#This Row],[Active Prevalidation Status]]="Prevalidated"),_01towers[[#This Row],[02tss.TSSR_From_Engineer]]&gt;0),"Submitted","")</f>
        <v/>
      </c>
      <c r="AX41" s="40" t="str">
        <f>IF(OR(_01towers[[#This Row],[Active Prevalidation Status]]="Under Prevalidation",_01towers[[#This Row],[Active Prevalidation Status]]="Prevalidated"),_01towers[[#This Row],[02tss.TSS_Result]],"")</f>
        <v/>
      </c>
      <c r="AY41" s="40" t="str">
        <f>IF(AND(_01towers[[#This Row],[Active TSS Result]]="Approved",_01towers[[#This Row],[Active Prevalidation Status]]="Prevalidated"),"In Process","")</f>
        <v/>
      </c>
      <c r="AZ41" s="40" t="str">
        <f>IF(AND(_01towers[[#This Row],[Active TSS Result]]="Approved",_01towers[[#This Row],[Active Prevalidation Status]]="Prevalidated"),_01towers[[#This Row],[10colo_app.Colo_App_Result]],"")</f>
        <v/>
      </c>
      <c r="BA41" s="40">
        <f>COUNTIF(_20work_order[05_id],_01towers[[#This Row],[05_id]])</f>
        <v>0</v>
      </c>
      <c r="BB41" s="40">
        <f>COUNTIFS(_20work_order[05_id],_01towers[[#This Row],[05_id]],_20work_order[Actual_End],"&gt;0")</f>
        <v>0</v>
      </c>
      <c r="BC41" s="40" t="str">
        <f>IF(_01towers[[#This Row],[Completed Work Orders]]&gt;0,"Work Completed",
IF(_01towers[[#This Row],[Count Work Orders]]&gt;0,"Work in Progress",""))</f>
        <v/>
      </c>
      <c r="BD4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41" s="40" t="str">
        <f>_xlfn.SWITCH(_01towers[[#This Row],[Final Colo Status full]],"Commercial Approval Requested","Under Prevalidation",_01towers[[#This Row],[Final Colo Status full]])</f>
        <v>Prevalidation Rejected</v>
      </c>
    </row>
    <row r="42" spans="1:57" hidden="1" x14ac:dyDescent="0.35">
      <c r="A42" s="40" t="s">
        <v>166</v>
      </c>
      <c r="B42" s="40" t="s">
        <v>85</v>
      </c>
      <c r="C42" s="40" t="s">
        <v>51</v>
      </c>
      <c r="D42">
        <v>60</v>
      </c>
      <c r="E42" s="40" t="s">
        <v>167</v>
      </c>
      <c r="F42">
        <v>95.259100000000004</v>
      </c>
      <c r="G42">
        <v>19.960660000000001</v>
      </c>
      <c r="H42" s="40" t="s">
        <v>69</v>
      </c>
      <c r="I42">
        <v>39</v>
      </c>
      <c r="J42" s="40" t="s">
        <v>168</v>
      </c>
      <c r="K42" s="40" t="s">
        <v>55</v>
      </c>
      <c r="L42" s="40" t="s">
        <v>74</v>
      </c>
      <c r="M42" s="40" t="s">
        <v>57</v>
      </c>
      <c r="N42" s="40" t="s">
        <v>57</v>
      </c>
      <c r="O42" s="40" t="s">
        <v>58</v>
      </c>
      <c r="P42" s="40" t="s">
        <v>57</v>
      </c>
      <c r="Q42" s="40"/>
      <c r="R42" s="40" t="s">
        <v>57</v>
      </c>
      <c r="S42">
        <v>210</v>
      </c>
      <c r="T42">
        <v>1</v>
      </c>
      <c r="U42" s="1"/>
      <c r="V42" s="1"/>
      <c r="W42" s="1"/>
      <c r="X42" s="1"/>
      <c r="Y42" s="1"/>
      <c r="Z42" s="40"/>
      <c r="AA42">
        <v>209</v>
      </c>
      <c r="AB42">
        <v>1</v>
      </c>
      <c r="AC42" s="1"/>
      <c r="AD42" s="40"/>
      <c r="AE42" s="1"/>
      <c r="AF42" s="1"/>
      <c r="AG42" s="1"/>
      <c r="AH42" s="40"/>
      <c r="AI42" s="1"/>
      <c r="AJ42" s="40">
        <f>_xlfn.MAXIFS(_01towers[02tss.Rev],_01towers[05_id],_01towers[[#This Row],[05_id]])</f>
        <v>1</v>
      </c>
      <c r="AK42" s="40" t="b">
        <f>IF(_01towers[[#This Row],[Count Rev TSS]]=_01towers[[#This Row],[02tss.Rev]],TRUE,FALSE)</f>
        <v>1</v>
      </c>
      <c r="AL42" s="40">
        <f>_xlfn.MAXIFS(_01towers[10colo_app.Rev],_01towers[05_id],_01towers[[#This Row],[05_id]])</f>
        <v>1</v>
      </c>
      <c r="AM42" s="40" t="b">
        <f>IF(_01towers[[#This Row],[Count Rev Colo App]]=_01towers[[#This Row],[10colo_app.Rev]],TRUE,FALSE)</f>
        <v>1</v>
      </c>
      <c r="AN42" s="40" t="b">
        <f>IF(AND(_01towers[[#This Row],[Test Rev Colo]]=TRUE,_01towers[[#This Row],[Test Rev TSS]]=TRUE),TRUE,FALSE)</f>
        <v>1</v>
      </c>
      <c r="AO42" s="40" t="str">
        <f>IF(_01towers[[#This Row],[Test Active]]=TRUE,_01towers[[#This Row],[Prevalidation Status]],"")</f>
        <v>Prevalidation Rejected</v>
      </c>
      <c r="AP42" s="40" t="str">
        <f>IF(_01towers[[#This Row],[Active Prevalidation Status]]="Under Prevalidation",
IF(M42="","Review",M42),"")</f>
        <v/>
      </c>
      <c r="AQ42" s="40" t="str">
        <f>IF(_01towers[[#This Row],[Active Prevalidation Status]]="Under Prevalidation",
IF(N42="","Review",N42),"")</f>
        <v/>
      </c>
      <c r="AR42" s="40" t="str">
        <f>IF(_01towers[[#This Row],[Active Prevalidation Status]]="Under Prevalidation",
IF(O42="","Review",O42),"")</f>
        <v/>
      </c>
      <c r="AS42" s="40" t="str">
        <f>IF(_01towers[[#This Row],[Active Prevalidation Status]]="Under Prevalidation",
IF(P42="","Review",P42),"")</f>
        <v/>
      </c>
      <c r="AT42" s="40" t="str">
        <f>IF(_01towers[[#This Row],[Active Prevalidation Status]]="Under Prevalidation",
IF(Q42="","Review",Q42),"")</f>
        <v/>
      </c>
      <c r="AU42" s="40" t="str">
        <f>IF(_01towers[[#This Row],[Active Prevalidation Status]]="Under Prevalidation",
IF(R42="","Review",R42),"")</f>
        <v/>
      </c>
      <c r="AV42" s="40">
        <f>COUNTIF(_01towers[[#This Row],[SAQ_Result2]:[Community_Result2]],"OK")</f>
        <v>0</v>
      </c>
      <c r="AW42" s="1" t="str">
        <f>IF(AND(OR(_01towers[[#This Row],[Active Prevalidation Status]]="Under Prevalidation",_01towers[[#This Row],[Active Prevalidation Status]]="Prevalidated"),_01towers[[#This Row],[02tss.TSSR_From_Engineer]]&gt;0),"Submitted","")</f>
        <v/>
      </c>
      <c r="AX42" s="40" t="str">
        <f>IF(OR(_01towers[[#This Row],[Active Prevalidation Status]]="Under Prevalidation",_01towers[[#This Row],[Active Prevalidation Status]]="Prevalidated"),_01towers[[#This Row],[02tss.TSS_Result]],"")</f>
        <v/>
      </c>
      <c r="AY42" s="40" t="str">
        <f>IF(AND(_01towers[[#This Row],[Active TSS Result]]="Approved",_01towers[[#This Row],[Active Prevalidation Status]]="Prevalidated"),"In Process","")</f>
        <v/>
      </c>
      <c r="AZ42" s="40" t="str">
        <f>IF(AND(_01towers[[#This Row],[Active TSS Result]]="Approved",_01towers[[#This Row],[Active Prevalidation Status]]="Prevalidated"),_01towers[[#This Row],[10colo_app.Colo_App_Result]],"")</f>
        <v/>
      </c>
      <c r="BA42" s="40">
        <f>COUNTIF(_20work_order[05_id],_01towers[[#This Row],[05_id]])</f>
        <v>0</v>
      </c>
      <c r="BB42" s="40">
        <f>COUNTIFS(_20work_order[05_id],_01towers[[#This Row],[05_id]],_20work_order[Actual_End],"&gt;0")</f>
        <v>0</v>
      </c>
      <c r="BC42" s="40" t="str">
        <f>IF(_01towers[[#This Row],[Completed Work Orders]]&gt;0,"Work Completed",
IF(_01towers[[#This Row],[Count Work Orders]]&gt;0,"Work in Progress",""))</f>
        <v/>
      </c>
      <c r="BD4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42" s="40" t="str">
        <f>_xlfn.SWITCH(_01towers[[#This Row],[Final Colo Status full]],"Commercial Approval Requested","Under Prevalidation",_01towers[[#This Row],[Final Colo Status full]])</f>
        <v>Prevalidation Rejected</v>
      </c>
    </row>
    <row r="43" spans="1:57" hidden="1" x14ac:dyDescent="0.35">
      <c r="A43" s="40" t="s">
        <v>169</v>
      </c>
      <c r="B43" s="40" t="s">
        <v>50</v>
      </c>
      <c r="C43" s="40" t="s">
        <v>51</v>
      </c>
      <c r="D43">
        <v>35</v>
      </c>
      <c r="E43" s="40" t="s">
        <v>167</v>
      </c>
      <c r="F43">
        <v>94.093451999999999</v>
      </c>
      <c r="G43">
        <v>21.705134999999999</v>
      </c>
      <c r="H43" s="40" t="s">
        <v>170</v>
      </c>
      <c r="I43">
        <v>40</v>
      </c>
      <c r="J43" s="40" t="s">
        <v>171</v>
      </c>
      <c r="K43" s="40" t="s">
        <v>55</v>
      </c>
      <c r="L43" s="40" t="s">
        <v>64</v>
      </c>
      <c r="M43" s="40" t="s">
        <v>57</v>
      </c>
      <c r="N43" s="40" t="s">
        <v>57</v>
      </c>
      <c r="O43" s="40" t="s">
        <v>57</v>
      </c>
      <c r="P43" s="40" t="s">
        <v>57</v>
      </c>
      <c r="Q43" s="40" t="s">
        <v>57</v>
      </c>
      <c r="R43" s="40" t="s">
        <v>57</v>
      </c>
      <c r="S43">
        <v>211</v>
      </c>
      <c r="T43">
        <v>1</v>
      </c>
      <c r="U43" s="1"/>
      <c r="V43" s="1">
        <v>6941</v>
      </c>
      <c r="W43" s="1">
        <v>43223</v>
      </c>
      <c r="X43" s="1">
        <v>43223</v>
      </c>
      <c r="Y43" s="1"/>
      <c r="Z43" s="40" t="s">
        <v>59</v>
      </c>
      <c r="AA43">
        <v>210</v>
      </c>
      <c r="AB43">
        <v>1</v>
      </c>
      <c r="AC43" s="1">
        <v>43229</v>
      </c>
      <c r="AD43" s="40" t="s">
        <v>59</v>
      </c>
      <c r="AE43" s="1"/>
      <c r="AF43" s="1"/>
      <c r="AG43" s="1"/>
      <c r="AH43" s="40"/>
      <c r="AI43" s="1"/>
      <c r="AJ43" s="40">
        <f>_xlfn.MAXIFS(_01towers[02tss.Rev],_01towers[05_id],_01towers[[#This Row],[05_id]])</f>
        <v>1</v>
      </c>
      <c r="AK43" s="40" t="b">
        <f>IF(_01towers[[#This Row],[Count Rev TSS]]=_01towers[[#This Row],[02tss.Rev]],TRUE,FALSE)</f>
        <v>1</v>
      </c>
      <c r="AL43" s="40">
        <f>_xlfn.MAXIFS(_01towers[10colo_app.Rev],_01towers[05_id],_01towers[[#This Row],[05_id]])</f>
        <v>1</v>
      </c>
      <c r="AM43" s="40" t="b">
        <f>IF(_01towers[[#This Row],[Count Rev Colo App]]=_01towers[[#This Row],[10colo_app.Rev]],TRUE,FALSE)</f>
        <v>1</v>
      </c>
      <c r="AN43" s="40" t="b">
        <f>IF(AND(_01towers[[#This Row],[Test Rev Colo]]=TRUE,_01towers[[#This Row],[Test Rev TSS]]=TRUE),TRUE,FALSE)</f>
        <v>1</v>
      </c>
      <c r="AO43" s="40" t="str">
        <f>IF(_01towers[[#This Row],[Test Active]]=TRUE,_01towers[[#This Row],[Prevalidation Status]],"")</f>
        <v>Prevalidated</v>
      </c>
      <c r="AP43" s="40" t="str">
        <f>IF(_01towers[[#This Row],[Active Prevalidation Status]]="Under Prevalidation",
IF(M43="","Review",M43),"")</f>
        <v/>
      </c>
      <c r="AQ43" s="40" t="str">
        <f>IF(_01towers[[#This Row],[Active Prevalidation Status]]="Under Prevalidation",
IF(N43="","Review",N43),"")</f>
        <v/>
      </c>
      <c r="AR43" s="40" t="str">
        <f>IF(_01towers[[#This Row],[Active Prevalidation Status]]="Under Prevalidation",
IF(O43="","Review",O43),"")</f>
        <v/>
      </c>
      <c r="AS43" s="40" t="str">
        <f>IF(_01towers[[#This Row],[Active Prevalidation Status]]="Under Prevalidation",
IF(P43="","Review",P43),"")</f>
        <v/>
      </c>
      <c r="AT43" s="40" t="str">
        <f>IF(_01towers[[#This Row],[Active Prevalidation Status]]="Under Prevalidation",
IF(Q43="","Review",Q43),"")</f>
        <v/>
      </c>
      <c r="AU43" s="40" t="str">
        <f>IF(_01towers[[#This Row],[Active Prevalidation Status]]="Under Prevalidation",
IF(R43="","Review",R43),"")</f>
        <v/>
      </c>
      <c r="AV43" s="40">
        <f>COUNTIF(_01towers[[#This Row],[SAQ_Result2]:[Community_Result2]],"OK")</f>
        <v>0</v>
      </c>
      <c r="AW43" s="1" t="str">
        <f>IF(AND(OR(_01towers[[#This Row],[Active Prevalidation Status]]="Under Prevalidation",_01towers[[#This Row],[Active Prevalidation Status]]="Prevalidated"),_01towers[[#This Row],[02tss.TSSR_From_Engineer]]&gt;0),"Submitted","")</f>
        <v>Submitted</v>
      </c>
      <c r="AX43" s="40" t="str">
        <f>IF(OR(_01towers[[#This Row],[Active Prevalidation Status]]="Under Prevalidation",_01towers[[#This Row],[Active Prevalidation Status]]="Prevalidated"),_01towers[[#This Row],[02tss.TSS_Result]],"")</f>
        <v>Approved</v>
      </c>
      <c r="AY43" s="40" t="str">
        <f>IF(AND(_01towers[[#This Row],[Active TSS Result]]="Approved",_01towers[[#This Row],[Active Prevalidation Status]]="Prevalidated"),"In Process","")</f>
        <v>In Process</v>
      </c>
      <c r="AZ43" s="40" t="str">
        <f>IF(AND(_01towers[[#This Row],[Active TSS Result]]="Approved",_01towers[[#This Row],[Active Prevalidation Status]]="Prevalidated"),_01towers[[#This Row],[10colo_app.Colo_App_Result]],"")</f>
        <v>Approved</v>
      </c>
      <c r="BA43" s="40">
        <f>COUNTIF(_20work_order[05_id],_01towers[[#This Row],[05_id]])</f>
        <v>0</v>
      </c>
      <c r="BB43" s="40">
        <f>COUNTIFS(_20work_order[05_id],_01towers[[#This Row],[05_id]],_20work_order[Actual_End],"&gt;0")</f>
        <v>0</v>
      </c>
      <c r="BC43" s="40" t="str">
        <f>IF(_01towers[[#This Row],[Completed Work Orders]]&gt;0,"Work Completed",
IF(_01towers[[#This Row],[Count Work Orders]]&gt;0,"Work in Progress",""))</f>
        <v/>
      </c>
      <c r="BD4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43" s="40" t="str">
        <f>_xlfn.SWITCH(_01towers[[#This Row],[Final Colo Status full]],"Commercial Approval Requested","Under Prevalidation",_01towers[[#This Row],[Final Colo Status full]])</f>
        <v>Colo Application Approved</v>
      </c>
    </row>
    <row r="44" spans="1:57" hidden="1" x14ac:dyDescent="0.35">
      <c r="A44" s="40" t="s">
        <v>172</v>
      </c>
      <c r="B44" s="40" t="s">
        <v>50</v>
      </c>
      <c r="C44" s="40" t="s">
        <v>72</v>
      </c>
      <c r="D44">
        <v>30</v>
      </c>
      <c r="E44" s="40" t="s">
        <v>86</v>
      </c>
      <c r="F44">
        <v>97.736099999999993</v>
      </c>
      <c r="G44">
        <v>22.97926</v>
      </c>
      <c r="H44" s="40" t="s">
        <v>62</v>
      </c>
      <c r="I44">
        <v>41</v>
      </c>
      <c r="J44" s="40" t="s">
        <v>173</v>
      </c>
      <c r="K44" s="40" t="s">
        <v>55</v>
      </c>
      <c r="L44" s="40" t="s">
        <v>148</v>
      </c>
      <c r="M44" s="40" t="s">
        <v>57</v>
      </c>
      <c r="N44" s="40" t="s">
        <v>57</v>
      </c>
      <c r="O44" s="40" t="s">
        <v>58</v>
      </c>
      <c r="P44" s="40" t="s">
        <v>57</v>
      </c>
      <c r="Q44" s="40" t="s">
        <v>57</v>
      </c>
      <c r="R44" s="40" t="s">
        <v>57</v>
      </c>
      <c r="S44">
        <v>212</v>
      </c>
      <c r="T44">
        <v>1</v>
      </c>
      <c r="U44" s="1"/>
      <c r="V44" s="1"/>
      <c r="W44" s="1"/>
      <c r="X44" s="1"/>
      <c r="Y44" s="1"/>
      <c r="Z44" s="40"/>
      <c r="AA44">
        <v>211</v>
      </c>
      <c r="AB44">
        <v>1</v>
      </c>
      <c r="AC44" s="1"/>
      <c r="AD44" s="40"/>
      <c r="AE44" s="1"/>
      <c r="AF44" s="1"/>
      <c r="AG44" s="1"/>
      <c r="AH44" s="40"/>
      <c r="AI44" s="1"/>
      <c r="AJ44" s="40">
        <f>_xlfn.MAXIFS(_01towers[02tss.Rev],_01towers[05_id],_01towers[[#This Row],[05_id]])</f>
        <v>1</v>
      </c>
      <c r="AK44" s="40" t="b">
        <f>IF(_01towers[[#This Row],[Count Rev TSS]]=_01towers[[#This Row],[02tss.Rev]],TRUE,FALSE)</f>
        <v>1</v>
      </c>
      <c r="AL44" s="40">
        <f>_xlfn.MAXIFS(_01towers[10colo_app.Rev],_01towers[05_id],_01towers[[#This Row],[05_id]])</f>
        <v>1</v>
      </c>
      <c r="AM44" s="40" t="b">
        <f>IF(_01towers[[#This Row],[Count Rev Colo App]]=_01towers[[#This Row],[10colo_app.Rev]],TRUE,FALSE)</f>
        <v>1</v>
      </c>
      <c r="AN44" s="40" t="b">
        <f>IF(AND(_01towers[[#This Row],[Test Rev Colo]]=TRUE,_01towers[[#This Row],[Test Rev TSS]]=TRUE),TRUE,FALSE)</f>
        <v>1</v>
      </c>
      <c r="AO44" s="40" t="str">
        <f>IF(_01towers[[#This Row],[Test Active]]=TRUE,_01towers[[#This Row],[Prevalidation Status]],"")</f>
        <v>Dropped by Operator</v>
      </c>
      <c r="AP44" s="40" t="str">
        <f>IF(_01towers[[#This Row],[Active Prevalidation Status]]="Under Prevalidation",
IF(M44="","Review",M44),"")</f>
        <v/>
      </c>
      <c r="AQ44" s="40" t="str">
        <f>IF(_01towers[[#This Row],[Active Prevalidation Status]]="Under Prevalidation",
IF(N44="","Review",N44),"")</f>
        <v/>
      </c>
      <c r="AR44" s="40" t="str">
        <f>IF(_01towers[[#This Row],[Active Prevalidation Status]]="Under Prevalidation",
IF(O44="","Review",O44),"")</f>
        <v/>
      </c>
      <c r="AS44" s="40" t="str">
        <f>IF(_01towers[[#This Row],[Active Prevalidation Status]]="Under Prevalidation",
IF(P44="","Review",P44),"")</f>
        <v/>
      </c>
      <c r="AT44" s="40" t="str">
        <f>IF(_01towers[[#This Row],[Active Prevalidation Status]]="Under Prevalidation",
IF(Q44="","Review",Q44),"")</f>
        <v/>
      </c>
      <c r="AU44" s="40" t="str">
        <f>IF(_01towers[[#This Row],[Active Prevalidation Status]]="Under Prevalidation",
IF(R44="","Review",R44),"")</f>
        <v/>
      </c>
      <c r="AV44" s="40">
        <f>COUNTIF(_01towers[[#This Row],[SAQ_Result2]:[Community_Result2]],"OK")</f>
        <v>0</v>
      </c>
      <c r="AW44" s="1" t="str">
        <f>IF(AND(OR(_01towers[[#This Row],[Active Prevalidation Status]]="Under Prevalidation",_01towers[[#This Row],[Active Prevalidation Status]]="Prevalidated"),_01towers[[#This Row],[02tss.TSSR_From_Engineer]]&gt;0),"Submitted","")</f>
        <v/>
      </c>
      <c r="AX44" s="40" t="str">
        <f>IF(OR(_01towers[[#This Row],[Active Prevalidation Status]]="Under Prevalidation",_01towers[[#This Row],[Active Prevalidation Status]]="Prevalidated"),_01towers[[#This Row],[02tss.TSS_Result]],"")</f>
        <v/>
      </c>
      <c r="AY44" s="40" t="str">
        <f>IF(AND(_01towers[[#This Row],[Active TSS Result]]="Approved",_01towers[[#This Row],[Active Prevalidation Status]]="Prevalidated"),"In Process","")</f>
        <v/>
      </c>
      <c r="AZ44" s="40" t="str">
        <f>IF(AND(_01towers[[#This Row],[Active TSS Result]]="Approved",_01towers[[#This Row],[Active Prevalidation Status]]="Prevalidated"),_01towers[[#This Row],[10colo_app.Colo_App_Result]],"")</f>
        <v/>
      </c>
      <c r="BA44" s="40">
        <f>COUNTIF(_20work_order[05_id],_01towers[[#This Row],[05_id]])</f>
        <v>0</v>
      </c>
      <c r="BB44" s="40">
        <f>COUNTIFS(_20work_order[05_id],_01towers[[#This Row],[05_id]],_20work_order[Actual_End],"&gt;0")</f>
        <v>0</v>
      </c>
      <c r="BC44" s="40" t="str">
        <f>IF(_01towers[[#This Row],[Completed Work Orders]]&gt;0,"Work Completed",
IF(_01towers[[#This Row],[Count Work Orders]]&gt;0,"Work in Progress",""))</f>
        <v/>
      </c>
      <c r="BD4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Dropped by Operator</v>
      </c>
      <c r="BE44" s="40" t="str">
        <f>_xlfn.SWITCH(_01towers[[#This Row],[Final Colo Status full]],"Commercial Approval Requested","Under Prevalidation",_01towers[[#This Row],[Final Colo Status full]])</f>
        <v>Dropped by Operator</v>
      </c>
    </row>
    <row r="45" spans="1:57" hidden="1" x14ac:dyDescent="0.35">
      <c r="A45" s="40" t="s">
        <v>174</v>
      </c>
      <c r="B45" s="40" t="s">
        <v>90</v>
      </c>
      <c r="C45" s="40" t="s">
        <v>51</v>
      </c>
      <c r="D45">
        <v>60</v>
      </c>
      <c r="E45" s="40" t="s">
        <v>175</v>
      </c>
      <c r="F45">
        <v>96.358249999999998</v>
      </c>
      <c r="G45">
        <v>17.420449999999999</v>
      </c>
      <c r="H45" s="40" t="s">
        <v>53</v>
      </c>
      <c r="I45">
        <v>42</v>
      </c>
      <c r="J45" s="40" t="s">
        <v>176</v>
      </c>
      <c r="K45" s="40" t="s">
        <v>55</v>
      </c>
      <c r="L45" s="40" t="s">
        <v>64</v>
      </c>
      <c r="M45" s="40" t="s">
        <v>57</v>
      </c>
      <c r="N45" s="40" t="s">
        <v>57</v>
      </c>
      <c r="O45" s="40" t="s">
        <v>57</v>
      </c>
      <c r="P45" s="40" t="s">
        <v>57</v>
      </c>
      <c r="Q45" s="40" t="s">
        <v>57</v>
      </c>
      <c r="R45" s="40" t="s">
        <v>57</v>
      </c>
      <c r="S45">
        <v>213</v>
      </c>
      <c r="T45">
        <v>1</v>
      </c>
      <c r="U45" s="1"/>
      <c r="V45" s="1"/>
      <c r="W45" s="1">
        <v>43223</v>
      </c>
      <c r="X45" s="1">
        <v>43223</v>
      </c>
      <c r="Y45" s="1"/>
      <c r="Z45" s="40" t="s">
        <v>59</v>
      </c>
      <c r="AA45">
        <v>212</v>
      </c>
      <c r="AB45">
        <v>1</v>
      </c>
      <c r="AC45" s="1">
        <v>43229</v>
      </c>
      <c r="AD45" s="40" t="s">
        <v>59</v>
      </c>
      <c r="AE45" s="1"/>
      <c r="AF45" s="1"/>
      <c r="AG45" s="1"/>
      <c r="AH45" s="40"/>
      <c r="AI45" s="1"/>
      <c r="AJ45" s="40">
        <f>_xlfn.MAXIFS(_01towers[02tss.Rev],_01towers[05_id],_01towers[[#This Row],[05_id]])</f>
        <v>1</v>
      </c>
      <c r="AK45" s="40" t="b">
        <f>IF(_01towers[[#This Row],[Count Rev TSS]]=_01towers[[#This Row],[02tss.Rev]],TRUE,FALSE)</f>
        <v>1</v>
      </c>
      <c r="AL45" s="40">
        <f>_xlfn.MAXIFS(_01towers[10colo_app.Rev],_01towers[05_id],_01towers[[#This Row],[05_id]])</f>
        <v>1</v>
      </c>
      <c r="AM45" s="40" t="b">
        <f>IF(_01towers[[#This Row],[Count Rev Colo App]]=_01towers[[#This Row],[10colo_app.Rev]],TRUE,FALSE)</f>
        <v>1</v>
      </c>
      <c r="AN45" s="40" t="b">
        <f>IF(AND(_01towers[[#This Row],[Test Rev Colo]]=TRUE,_01towers[[#This Row],[Test Rev TSS]]=TRUE),TRUE,FALSE)</f>
        <v>1</v>
      </c>
      <c r="AO45" s="40" t="str">
        <f>IF(_01towers[[#This Row],[Test Active]]=TRUE,_01towers[[#This Row],[Prevalidation Status]],"")</f>
        <v>Prevalidated</v>
      </c>
      <c r="AP45" s="40" t="str">
        <f>IF(_01towers[[#This Row],[Active Prevalidation Status]]="Under Prevalidation",
IF(M45="","Review",M45),"")</f>
        <v/>
      </c>
      <c r="AQ45" s="40" t="str">
        <f>IF(_01towers[[#This Row],[Active Prevalidation Status]]="Under Prevalidation",
IF(N45="","Review",N45),"")</f>
        <v/>
      </c>
      <c r="AR45" s="40" t="str">
        <f>IF(_01towers[[#This Row],[Active Prevalidation Status]]="Under Prevalidation",
IF(O45="","Review",O45),"")</f>
        <v/>
      </c>
      <c r="AS45" s="40" t="str">
        <f>IF(_01towers[[#This Row],[Active Prevalidation Status]]="Under Prevalidation",
IF(P45="","Review",P45),"")</f>
        <v/>
      </c>
      <c r="AT45" s="40" t="str">
        <f>IF(_01towers[[#This Row],[Active Prevalidation Status]]="Under Prevalidation",
IF(Q45="","Review",Q45),"")</f>
        <v/>
      </c>
      <c r="AU45" s="40" t="str">
        <f>IF(_01towers[[#This Row],[Active Prevalidation Status]]="Under Prevalidation",
IF(R45="","Review",R45),"")</f>
        <v/>
      </c>
      <c r="AV45" s="40">
        <f>COUNTIF(_01towers[[#This Row],[SAQ_Result2]:[Community_Result2]],"OK")</f>
        <v>0</v>
      </c>
      <c r="AW45" s="1" t="str">
        <f>IF(AND(OR(_01towers[[#This Row],[Active Prevalidation Status]]="Under Prevalidation",_01towers[[#This Row],[Active Prevalidation Status]]="Prevalidated"),_01towers[[#This Row],[02tss.TSSR_From_Engineer]]&gt;0),"Submitted","")</f>
        <v>Submitted</v>
      </c>
      <c r="AX45" s="40" t="str">
        <f>IF(OR(_01towers[[#This Row],[Active Prevalidation Status]]="Under Prevalidation",_01towers[[#This Row],[Active Prevalidation Status]]="Prevalidated"),_01towers[[#This Row],[02tss.TSS_Result]],"")</f>
        <v>Approved</v>
      </c>
      <c r="AY45" s="40" t="str">
        <f>IF(AND(_01towers[[#This Row],[Active TSS Result]]="Approved",_01towers[[#This Row],[Active Prevalidation Status]]="Prevalidated"),"In Process","")</f>
        <v>In Process</v>
      </c>
      <c r="AZ45" s="40" t="str">
        <f>IF(AND(_01towers[[#This Row],[Active TSS Result]]="Approved",_01towers[[#This Row],[Active Prevalidation Status]]="Prevalidated"),_01towers[[#This Row],[10colo_app.Colo_App_Result]],"")</f>
        <v>Approved</v>
      </c>
      <c r="BA45" s="40">
        <f>COUNTIF(_20work_order[05_id],_01towers[[#This Row],[05_id]])</f>
        <v>0</v>
      </c>
      <c r="BB45" s="40">
        <f>COUNTIFS(_20work_order[05_id],_01towers[[#This Row],[05_id]],_20work_order[Actual_End],"&gt;0")</f>
        <v>0</v>
      </c>
      <c r="BC45" s="40" t="str">
        <f>IF(_01towers[[#This Row],[Completed Work Orders]]&gt;0,"Work Completed",
IF(_01towers[[#This Row],[Count Work Orders]]&gt;0,"Work in Progress",""))</f>
        <v/>
      </c>
      <c r="BD4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45" s="40" t="str">
        <f>_xlfn.SWITCH(_01towers[[#This Row],[Final Colo Status full]],"Commercial Approval Requested","Under Prevalidation",_01towers[[#This Row],[Final Colo Status full]])</f>
        <v>Colo Application Approved</v>
      </c>
    </row>
    <row r="46" spans="1:57" hidden="1" x14ac:dyDescent="0.35">
      <c r="A46" s="40" t="s">
        <v>177</v>
      </c>
      <c r="B46" s="40" t="s">
        <v>85</v>
      </c>
      <c r="C46" s="40" t="s">
        <v>51</v>
      </c>
      <c r="D46">
        <v>60</v>
      </c>
      <c r="E46" s="40" t="s">
        <v>175</v>
      </c>
      <c r="F46">
        <v>96.210980000000006</v>
      </c>
      <c r="G46">
        <v>19.290790000000001</v>
      </c>
      <c r="H46" s="40" t="s">
        <v>53</v>
      </c>
      <c r="I46">
        <v>43</v>
      </c>
      <c r="J46" s="40" t="s">
        <v>178</v>
      </c>
      <c r="K46" s="40" t="s">
        <v>55</v>
      </c>
      <c r="L46" s="40" t="s">
        <v>64</v>
      </c>
      <c r="M46" s="40" t="s">
        <v>57</v>
      </c>
      <c r="N46" s="40" t="s">
        <v>57</v>
      </c>
      <c r="O46" s="40" t="s">
        <v>57</v>
      </c>
      <c r="P46" s="40" t="s">
        <v>57</v>
      </c>
      <c r="Q46" s="40" t="s">
        <v>57</v>
      </c>
      <c r="R46" s="40" t="s">
        <v>57</v>
      </c>
      <c r="S46">
        <v>214</v>
      </c>
      <c r="T46">
        <v>1</v>
      </c>
      <c r="U46" s="1"/>
      <c r="V46" s="1"/>
      <c r="W46" s="1">
        <v>43223</v>
      </c>
      <c r="X46" s="1">
        <v>43223</v>
      </c>
      <c r="Y46" s="1"/>
      <c r="Z46" s="40" t="s">
        <v>59</v>
      </c>
      <c r="AA46">
        <v>213</v>
      </c>
      <c r="AB46">
        <v>1</v>
      </c>
      <c r="AC46" s="1">
        <v>43229</v>
      </c>
      <c r="AD46" s="40" t="s">
        <v>59</v>
      </c>
      <c r="AE46" s="1"/>
      <c r="AF46" s="1"/>
      <c r="AG46" s="1"/>
      <c r="AH46" s="40"/>
      <c r="AI46" s="1"/>
      <c r="AJ46" s="40">
        <f>_xlfn.MAXIFS(_01towers[02tss.Rev],_01towers[05_id],_01towers[[#This Row],[05_id]])</f>
        <v>1</v>
      </c>
      <c r="AK46" s="40" t="b">
        <f>IF(_01towers[[#This Row],[Count Rev TSS]]=_01towers[[#This Row],[02tss.Rev]],TRUE,FALSE)</f>
        <v>1</v>
      </c>
      <c r="AL46" s="40">
        <f>_xlfn.MAXIFS(_01towers[10colo_app.Rev],_01towers[05_id],_01towers[[#This Row],[05_id]])</f>
        <v>2</v>
      </c>
      <c r="AM46" s="40" t="b">
        <f>IF(_01towers[[#This Row],[Count Rev Colo App]]=_01towers[[#This Row],[10colo_app.Rev]],TRUE,FALSE)</f>
        <v>0</v>
      </c>
      <c r="AN46" s="40" t="b">
        <f>IF(AND(_01towers[[#This Row],[Test Rev Colo]]=TRUE,_01towers[[#This Row],[Test Rev TSS]]=TRUE),TRUE,FALSE)</f>
        <v>0</v>
      </c>
      <c r="AO46" s="40" t="str">
        <f>IF(_01towers[[#This Row],[Test Active]]=TRUE,_01towers[[#This Row],[Prevalidation Status]],"")</f>
        <v/>
      </c>
      <c r="AP46" s="40" t="str">
        <f>IF(_01towers[[#This Row],[Active Prevalidation Status]]="Under Prevalidation",
IF(M46="","Review",M46),"")</f>
        <v/>
      </c>
      <c r="AQ46" s="40" t="str">
        <f>IF(_01towers[[#This Row],[Active Prevalidation Status]]="Under Prevalidation",
IF(N46="","Review",N46),"")</f>
        <v/>
      </c>
      <c r="AR46" s="40" t="str">
        <f>IF(_01towers[[#This Row],[Active Prevalidation Status]]="Under Prevalidation",
IF(O46="","Review",O46),"")</f>
        <v/>
      </c>
      <c r="AS46" s="40" t="str">
        <f>IF(_01towers[[#This Row],[Active Prevalidation Status]]="Under Prevalidation",
IF(P46="","Review",P46),"")</f>
        <v/>
      </c>
      <c r="AT46" s="40" t="str">
        <f>IF(_01towers[[#This Row],[Active Prevalidation Status]]="Under Prevalidation",
IF(Q46="","Review",Q46),"")</f>
        <v/>
      </c>
      <c r="AU46" s="40" t="str">
        <f>IF(_01towers[[#This Row],[Active Prevalidation Status]]="Under Prevalidation",
IF(R46="","Review",R46),"")</f>
        <v/>
      </c>
      <c r="AV46" s="40">
        <f>COUNTIF(_01towers[[#This Row],[SAQ_Result2]:[Community_Result2]],"OK")</f>
        <v>0</v>
      </c>
      <c r="AW46" s="1" t="str">
        <f>IF(AND(OR(_01towers[[#This Row],[Active Prevalidation Status]]="Under Prevalidation",_01towers[[#This Row],[Active Prevalidation Status]]="Prevalidated"),_01towers[[#This Row],[02tss.TSSR_From_Engineer]]&gt;0),"Submitted","")</f>
        <v/>
      </c>
      <c r="AX46" s="40" t="str">
        <f>IF(OR(_01towers[[#This Row],[Active Prevalidation Status]]="Under Prevalidation",_01towers[[#This Row],[Active Prevalidation Status]]="Prevalidated"),_01towers[[#This Row],[02tss.TSS_Result]],"")</f>
        <v/>
      </c>
      <c r="AY46" s="40" t="str">
        <f>IF(AND(_01towers[[#This Row],[Active TSS Result]]="Approved",_01towers[[#This Row],[Active Prevalidation Status]]="Prevalidated"),"In Process","")</f>
        <v/>
      </c>
      <c r="AZ46" s="40" t="str">
        <f>IF(AND(_01towers[[#This Row],[Active TSS Result]]="Approved",_01towers[[#This Row],[Active Prevalidation Status]]="Prevalidated"),_01towers[[#This Row],[10colo_app.Colo_App_Result]],"")</f>
        <v/>
      </c>
      <c r="BA46" s="40">
        <f>COUNTIF(_20work_order[05_id],_01towers[[#This Row],[05_id]])</f>
        <v>2</v>
      </c>
      <c r="BB46" s="40">
        <f>COUNTIFS(_20work_order[05_id],_01towers[[#This Row],[05_id]],_20work_order[Actual_End],"&gt;0")</f>
        <v>2</v>
      </c>
      <c r="BC46" s="40" t="str">
        <f>IF(_01towers[[#This Row],[Completed Work Orders]]&gt;0,"Work Completed",
IF(_01towers[[#This Row],[Count Work Orders]]&gt;0,"Work in Progress",""))</f>
        <v>Work Completed</v>
      </c>
      <c r="BD4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
      </c>
      <c r="BE46" s="40" t="str">
        <f>_xlfn.SWITCH(_01towers[[#This Row],[Final Colo Status full]],"Commercial Approval Requested","Under Prevalidation",_01towers[[#This Row],[Final Colo Status full]])</f>
        <v/>
      </c>
    </row>
    <row r="47" spans="1:57" hidden="1" x14ac:dyDescent="0.35">
      <c r="A47" s="40" t="s">
        <v>177</v>
      </c>
      <c r="B47" s="40" t="s">
        <v>85</v>
      </c>
      <c r="C47" s="40" t="s">
        <v>51</v>
      </c>
      <c r="D47">
        <v>60</v>
      </c>
      <c r="E47" s="40" t="s">
        <v>175</v>
      </c>
      <c r="F47">
        <v>96.210980000000006</v>
      </c>
      <c r="G47">
        <v>19.290790000000001</v>
      </c>
      <c r="H47" s="40" t="s">
        <v>53</v>
      </c>
      <c r="I47">
        <v>43</v>
      </c>
      <c r="J47" s="40" t="s">
        <v>178</v>
      </c>
      <c r="K47" s="40" t="s">
        <v>55</v>
      </c>
      <c r="L47" s="40" t="s">
        <v>64</v>
      </c>
      <c r="M47" s="40" t="s">
        <v>57</v>
      </c>
      <c r="N47" s="40" t="s">
        <v>57</v>
      </c>
      <c r="O47" s="40" t="s">
        <v>57</v>
      </c>
      <c r="P47" s="40" t="s">
        <v>57</v>
      </c>
      <c r="Q47" s="40" t="s">
        <v>57</v>
      </c>
      <c r="R47" s="40" t="s">
        <v>57</v>
      </c>
      <c r="S47">
        <v>214</v>
      </c>
      <c r="T47">
        <v>1</v>
      </c>
      <c r="U47" s="1"/>
      <c r="V47" s="1"/>
      <c r="W47" s="1">
        <v>43223</v>
      </c>
      <c r="X47" s="1">
        <v>43223</v>
      </c>
      <c r="Y47" s="1"/>
      <c r="Z47" s="40" t="s">
        <v>59</v>
      </c>
      <c r="AA47">
        <v>250</v>
      </c>
      <c r="AB47">
        <v>2</v>
      </c>
      <c r="AC47" s="1">
        <v>43249</v>
      </c>
      <c r="AD47" s="40" t="s">
        <v>59</v>
      </c>
      <c r="AE47" s="1"/>
      <c r="AF47" s="1"/>
      <c r="AG47" s="1"/>
      <c r="AH47" s="40"/>
      <c r="AI47" s="1"/>
      <c r="AJ47" s="40">
        <f>_xlfn.MAXIFS(_01towers[02tss.Rev],_01towers[05_id],_01towers[[#This Row],[05_id]])</f>
        <v>1</v>
      </c>
      <c r="AK47" s="40" t="b">
        <f>IF(_01towers[[#This Row],[Count Rev TSS]]=_01towers[[#This Row],[02tss.Rev]],TRUE,FALSE)</f>
        <v>1</v>
      </c>
      <c r="AL47" s="40">
        <f>_xlfn.MAXIFS(_01towers[10colo_app.Rev],_01towers[05_id],_01towers[[#This Row],[05_id]])</f>
        <v>2</v>
      </c>
      <c r="AM47" s="40" t="b">
        <f>IF(_01towers[[#This Row],[Count Rev Colo App]]=_01towers[[#This Row],[10colo_app.Rev]],TRUE,FALSE)</f>
        <v>1</v>
      </c>
      <c r="AN47" s="40" t="b">
        <f>IF(AND(_01towers[[#This Row],[Test Rev Colo]]=TRUE,_01towers[[#This Row],[Test Rev TSS]]=TRUE),TRUE,FALSE)</f>
        <v>1</v>
      </c>
      <c r="AO47" s="40" t="str">
        <f>IF(_01towers[[#This Row],[Test Active]]=TRUE,_01towers[[#This Row],[Prevalidation Status]],"")</f>
        <v>Prevalidated</v>
      </c>
      <c r="AP47" s="40" t="str">
        <f>IF(_01towers[[#This Row],[Active Prevalidation Status]]="Under Prevalidation",
IF(M47="","Review",M47),"")</f>
        <v/>
      </c>
      <c r="AQ47" s="40" t="str">
        <f>IF(_01towers[[#This Row],[Active Prevalidation Status]]="Under Prevalidation",
IF(N47="","Review",N47),"")</f>
        <v/>
      </c>
      <c r="AR47" s="40" t="str">
        <f>IF(_01towers[[#This Row],[Active Prevalidation Status]]="Under Prevalidation",
IF(O47="","Review",O47),"")</f>
        <v/>
      </c>
      <c r="AS47" s="40" t="str">
        <f>IF(_01towers[[#This Row],[Active Prevalidation Status]]="Under Prevalidation",
IF(P47="","Review",P47),"")</f>
        <v/>
      </c>
      <c r="AT47" s="40" t="str">
        <f>IF(_01towers[[#This Row],[Active Prevalidation Status]]="Under Prevalidation",
IF(Q47="","Review",Q47),"")</f>
        <v/>
      </c>
      <c r="AU47" s="40" t="str">
        <f>IF(_01towers[[#This Row],[Active Prevalidation Status]]="Under Prevalidation",
IF(R47="","Review",R47),"")</f>
        <v/>
      </c>
      <c r="AV47" s="40">
        <f>COUNTIF(_01towers[[#This Row],[SAQ_Result2]:[Community_Result2]],"OK")</f>
        <v>0</v>
      </c>
      <c r="AW47" s="1" t="str">
        <f>IF(AND(OR(_01towers[[#This Row],[Active Prevalidation Status]]="Under Prevalidation",_01towers[[#This Row],[Active Prevalidation Status]]="Prevalidated"),_01towers[[#This Row],[02tss.TSSR_From_Engineer]]&gt;0),"Submitted","")</f>
        <v>Submitted</v>
      </c>
      <c r="AX47" s="40" t="str">
        <f>IF(OR(_01towers[[#This Row],[Active Prevalidation Status]]="Under Prevalidation",_01towers[[#This Row],[Active Prevalidation Status]]="Prevalidated"),_01towers[[#This Row],[02tss.TSS_Result]],"")</f>
        <v>Approved</v>
      </c>
      <c r="AY47" s="40" t="str">
        <f>IF(AND(_01towers[[#This Row],[Active TSS Result]]="Approved",_01towers[[#This Row],[Active Prevalidation Status]]="Prevalidated"),"In Process","")</f>
        <v>In Process</v>
      </c>
      <c r="AZ47" s="40" t="str">
        <f>IF(AND(_01towers[[#This Row],[Active TSS Result]]="Approved",_01towers[[#This Row],[Active Prevalidation Status]]="Prevalidated"),_01towers[[#This Row],[10colo_app.Colo_App_Result]],"")</f>
        <v>Approved</v>
      </c>
      <c r="BA47" s="40">
        <f>COUNTIF(_20work_order[05_id],_01towers[[#This Row],[05_id]])</f>
        <v>2</v>
      </c>
      <c r="BB47" s="40">
        <f>COUNTIFS(_20work_order[05_id],_01towers[[#This Row],[05_id]],_20work_order[Actual_End],"&gt;0")</f>
        <v>2</v>
      </c>
      <c r="BC47" s="40" t="str">
        <f>IF(_01towers[[#This Row],[Completed Work Orders]]&gt;0,"Work Completed",
IF(_01towers[[#This Row],[Count Work Orders]]&gt;0,"Work in Progress",""))</f>
        <v>Work Completed</v>
      </c>
      <c r="BD4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47" s="40" t="str">
        <f>_xlfn.SWITCH(_01towers[[#This Row],[Final Colo Status full]],"Commercial Approval Requested","Under Prevalidation",_01towers[[#This Row],[Final Colo Status full]])</f>
        <v>Work Completed</v>
      </c>
    </row>
    <row r="48" spans="1:57" hidden="1" x14ac:dyDescent="0.35">
      <c r="A48" s="40" t="s">
        <v>179</v>
      </c>
      <c r="B48" s="40" t="s">
        <v>85</v>
      </c>
      <c r="C48" s="40" t="s">
        <v>51</v>
      </c>
      <c r="D48">
        <v>60</v>
      </c>
      <c r="E48" s="40" t="s">
        <v>175</v>
      </c>
      <c r="F48">
        <v>96.189530000000005</v>
      </c>
      <c r="G48">
        <v>19.363980000000002</v>
      </c>
      <c r="H48" s="40" t="s">
        <v>53</v>
      </c>
      <c r="I48">
        <v>44</v>
      </c>
      <c r="J48" s="40" t="s">
        <v>180</v>
      </c>
      <c r="K48" s="40" t="s">
        <v>55</v>
      </c>
      <c r="L48" s="40" t="s">
        <v>64</v>
      </c>
      <c r="M48" s="40" t="s">
        <v>57</v>
      </c>
      <c r="N48" s="40" t="s">
        <v>57</v>
      </c>
      <c r="O48" s="40" t="s">
        <v>57</v>
      </c>
      <c r="P48" s="40" t="s">
        <v>57</v>
      </c>
      <c r="Q48" s="40" t="s">
        <v>57</v>
      </c>
      <c r="R48" s="40" t="s">
        <v>57</v>
      </c>
      <c r="S48">
        <v>215</v>
      </c>
      <c r="T48">
        <v>1</v>
      </c>
      <c r="U48" s="1"/>
      <c r="V48" s="1"/>
      <c r="W48" s="1">
        <v>43223</v>
      </c>
      <c r="X48" s="1">
        <v>43223</v>
      </c>
      <c r="Y48" s="1"/>
      <c r="Z48" s="40" t="s">
        <v>59</v>
      </c>
      <c r="AA48">
        <v>214</v>
      </c>
      <c r="AB48">
        <v>1</v>
      </c>
      <c r="AC48" s="1">
        <v>43229</v>
      </c>
      <c r="AD48" s="40" t="s">
        <v>59</v>
      </c>
      <c r="AE48" s="1"/>
      <c r="AF48" s="1"/>
      <c r="AG48" s="1"/>
      <c r="AH48" s="40"/>
      <c r="AI48" s="1"/>
      <c r="AJ48" s="40">
        <f>_xlfn.MAXIFS(_01towers[02tss.Rev],_01towers[05_id],_01towers[[#This Row],[05_id]])</f>
        <v>1</v>
      </c>
      <c r="AK48" s="40" t="b">
        <f>IF(_01towers[[#This Row],[Count Rev TSS]]=_01towers[[#This Row],[02tss.Rev]],TRUE,FALSE)</f>
        <v>1</v>
      </c>
      <c r="AL48" s="40">
        <f>_xlfn.MAXIFS(_01towers[10colo_app.Rev],_01towers[05_id],_01towers[[#This Row],[05_id]])</f>
        <v>1</v>
      </c>
      <c r="AM48" s="40" t="b">
        <f>IF(_01towers[[#This Row],[Count Rev Colo App]]=_01towers[[#This Row],[10colo_app.Rev]],TRUE,FALSE)</f>
        <v>1</v>
      </c>
      <c r="AN48" s="40" t="b">
        <f>IF(AND(_01towers[[#This Row],[Test Rev Colo]]=TRUE,_01towers[[#This Row],[Test Rev TSS]]=TRUE),TRUE,FALSE)</f>
        <v>1</v>
      </c>
      <c r="AO48" s="40" t="str">
        <f>IF(_01towers[[#This Row],[Test Active]]=TRUE,_01towers[[#This Row],[Prevalidation Status]],"")</f>
        <v>Prevalidated</v>
      </c>
      <c r="AP48" s="40" t="str">
        <f>IF(_01towers[[#This Row],[Active Prevalidation Status]]="Under Prevalidation",
IF(M48="","Review",M48),"")</f>
        <v/>
      </c>
      <c r="AQ48" s="40" t="str">
        <f>IF(_01towers[[#This Row],[Active Prevalidation Status]]="Under Prevalidation",
IF(N48="","Review",N48),"")</f>
        <v/>
      </c>
      <c r="AR48" s="40" t="str">
        <f>IF(_01towers[[#This Row],[Active Prevalidation Status]]="Under Prevalidation",
IF(O48="","Review",O48),"")</f>
        <v/>
      </c>
      <c r="AS48" s="40" t="str">
        <f>IF(_01towers[[#This Row],[Active Prevalidation Status]]="Under Prevalidation",
IF(P48="","Review",P48),"")</f>
        <v/>
      </c>
      <c r="AT48" s="40" t="str">
        <f>IF(_01towers[[#This Row],[Active Prevalidation Status]]="Under Prevalidation",
IF(Q48="","Review",Q48),"")</f>
        <v/>
      </c>
      <c r="AU48" s="40" t="str">
        <f>IF(_01towers[[#This Row],[Active Prevalidation Status]]="Under Prevalidation",
IF(R48="","Review",R48),"")</f>
        <v/>
      </c>
      <c r="AV48" s="40">
        <f>COUNTIF(_01towers[[#This Row],[SAQ_Result2]:[Community_Result2]],"OK")</f>
        <v>0</v>
      </c>
      <c r="AW48" s="1" t="str">
        <f>IF(AND(OR(_01towers[[#This Row],[Active Prevalidation Status]]="Under Prevalidation",_01towers[[#This Row],[Active Prevalidation Status]]="Prevalidated"),_01towers[[#This Row],[02tss.TSSR_From_Engineer]]&gt;0),"Submitted","")</f>
        <v>Submitted</v>
      </c>
      <c r="AX48" s="40" t="str">
        <f>IF(OR(_01towers[[#This Row],[Active Prevalidation Status]]="Under Prevalidation",_01towers[[#This Row],[Active Prevalidation Status]]="Prevalidated"),_01towers[[#This Row],[02tss.TSS_Result]],"")</f>
        <v>Approved</v>
      </c>
      <c r="AY48" s="40" t="str">
        <f>IF(AND(_01towers[[#This Row],[Active TSS Result]]="Approved",_01towers[[#This Row],[Active Prevalidation Status]]="Prevalidated"),"In Process","")</f>
        <v>In Process</v>
      </c>
      <c r="AZ48" s="40" t="str">
        <f>IF(AND(_01towers[[#This Row],[Active TSS Result]]="Approved",_01towers[[#This Row],[Active Prevalidation Status]]="Prevalidated"),_01towers[[#This Row],[10colo_app.Colo_App_Result]],"")</f>
        <v>Approved</v>
      </c>
      <c r="BA48" s="40">
        <f>COUNTIF(_20work_order[05_id],_01towers[[#This Row],[05_id]])</f>
        <v>2</v>
      </c>
      <c r="BB48" s="40">
        <f>COUNTIFS(_20work_order[05_id],_01towers[[#This Row],[05_id]],_20work_order[Actual_End],"&gt;0")</f>
        <v>2</v>
      </c>
      <c r="BC48" s="40" t="str">
        <f>IF(_01towers[[#This Row],[Completed Work Orders]]&gt;0,"Work Completed",
IF(_01towers[[#This Row],[Count Work Orders]]&gt;0,"Work in Progress",""))</f>
        <v>Work Completed</v>
      </c>
      <c r="BD4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48" s="40" t="str">
        <f>_xlfn.SWITCH(_01towers[[#This Row],[Final Colo Status full]],"Commercial Approval Requested","Under Prevalidation",_01towers[[#This Row],[Final Colo Status full]])</f>
        <v>Work Completed</v>
      </c>
    </row>
    <row r="49" spans="1:57" hidden="1" x14ac:dyDescent="0.35">
      <c r="A49" s="40" t="s">
        <v>181</v>
      </c>
      <c r="B49" s="40" t="s">
        <v>85</v>
      </c>
      <c r="C49" s="40" t="s">
        <v>51</v>
      </c>
      <c r="D49">
        <v>60</v>
      </c>
      <c r="E49" s="40" t="s">
        <v>175</v>
      </c>
      <c r="F49">
        <v>96.156400000000005</v>
      </c>
      <c r="G49">
        <v>19.431570000000001</v>
      </c>
      <c r="H49" s="40" t="s">
        <v>53</v>
      </c>
      <c r="I49">
        <v>45</v>
      </c>
      <c r="J49" s="40" t="s">
        <v>182</v>
      </c>
      <c r="K49" s="40" t="s">
        <v>55</v>
      </c>
      <c r="L49" s="40" t="s">
        <v>64</v>
      </c>
      <c r="M49" s="40" t="s">
        <v>57</v>
      </c>
      <c r="N49" s="40" t="s">
        <v>57</v>
      </c>
      <c r="O49" s="40" t="s">
        <v>57</v>
      </c>
      <c r="P49" s="40" t="s">
        <v>57</v>
      </c>
      <c r="Q49" s="40" t="s">
        <v>57</v>
      </c>
      <c r="R49" s="40" t="s">
        <v>57</v>
      </c>
      <c r="S49">
        <v>216</v>
      </c>
      <c r="T49">
        <v>1</v>
      </c>
      <c r="U49" s="1"/>
      <c r="V49" s="1"/>
      <c r="W49" s="1">
        <v>43223</v>
      </c>
      <c r="X49" s="1">
        <v>43223</v>
      </c>
      <c r="Y49" s="1"/>
      <c r="Z49" s="40" t="s">
        <v>59</v>
      </c>
      <c r="AA49">
        <v>215</v>
      </c>
      <c r="AB49">
        <v>1</v>
      </c>
      <c r="AC49" s="1">
        <v>43229</v>
      </c>
      <c r="AD49" s="40" t="s">
        <v>59</v>
      </c>
      <c r="AE49" s="1"/>
      <c r="AF49" s="1"/>
      <c r="AG49" s="1"/>
      <c r="AH49" s="40"/>
      <c r="AI49" s="1"/>
      <c r="AJ49" s="40">
        <f>_xlfn.MAXIFS(_01towers[02tss.Rev],_01towers[05_id],_01towers[[#This Row],[05_id]])</f>
        <v>1</v>
      </c>
      <c r="AK49" s="40" t="b">
        <f>IF(_01towers[[#This Row],[Count Rev TSS]]=_01towers[[#This Row],[02tss.Rev]],TRUE,FALSE)</f>
        <v>1</v>
      </c>
      <c r="AL49" s="40">
        <f>_xlfn.MAXIFS(_01towers[10colo_app.Rev],_01towers[05_id],_01towers[[#This Row],[05_id]])</f>
        <v>1</v>
      </c>
      <c r="AM49" s="40" t="b">
        <f>IF(_01towers[[#This Row],[Count Rev Colo App]]=_01towers[[#This Row],[10colo_app.Rev]],TRUE,FALSE)</f>
        <v>1</v>
      </c>
      <c r="AN49" s="40" t="b">
        <f>IF(AND(_01towers[[#This Row],[Test Rev Colo]]=TRUE,_01towers[[#This Row],[Test Rev TSS]]=TRUE),TRUE,FALSE)</f>
        <v>1</v>
      </c>
      <c r="AO49" s="40" t="str">
        <f>IF(_01towers[[#This Row],[Test Active]]=TRUE,_01towers[[#This Row],[Prevalidation Status]],"")</f>
        <v>Prevalidated</v>
      </c>
      <c r="AP49" s="40" t="str">
        <f>IF(_01towers[[#This Row],[Active Prevalidation Status]]="Under Prevalidation",
IF(M49="","Review",M49),"")</f>
        <v/>
      </c>
      <c r="AQ49" s="40" t="str">
        <f>IF(_01towers[[#This Row],[Active Prevalidation Status]]="Under Prevalidation",
IF(N49="","Review",N49),"")</f>
        <v/>
      </c>
      <c r="AR49" s="40" t="str">
        <f>IF(_01towers[[#This Row],[Active Prevalidation Status]]="Under Prevalidation",
IF(O49="","Review",O49),"")</f>
        <v/>
      </c>
      <c r="AS49" s="40" t="str">
        <f>IF(_01towers[[#This Row],[Active Prevalidation Status]]="Under Prevalidation",
IF(P49="","Review",P49),"")</f>
        <v/>
      </c>
      <c r="AT49" s="40" t="str">
        <f>IF(_01towers[[#This Row],[Active Prevalidation Status]]="Under Prevalidation",
IF(Q49="","Review",Q49),"")</f>
        <v/>
      </c>
      <c r="AU49" s="40" t="str">
        <f>IF(_01towers[[#This Row],[Active Prevalidation Status]]="Under Prevalidation",
IF(R49="","Review",R49),"")</f>
        <v/>
      </c>
      <c r="AV49" s="40">
        <f>COUNTIF(_01towers[[#This Row],[SAQ_Result2]:[Community_Result2]],"OK")</f>
        <v>0</v>
      </c>
      <c r="AW49" s="1" t="str">
        <f>IF(AND(OR(_01towers[[#This Row],[Active Prevalidation Status]]="Under Prevalidation",_01towers[[#This Row],[Active Prevalidation Status]]="Prevalidated"),_01towers[[#This Row],[02tss.TSSR_From_Engineer]]&gt;0),"Submitted","")</f>
        <v>Submitted</v>
      </c>
      <c r="AX49" s="40" t="str">
        <f>IF(OR(_01towers[[#This Row],[Active Prevalidation Status]]="Under Prevalidation",_01towers[[#This Row],[Active Prevalidation Status]]="Prevalidated"),_01towers[[#This Row],[02tss.TSS_Result]],"")</f>
        <v>Approved</v>
      </c>
      <c r="AY49" s="40" t="str">
        <f>IF(AND(_01towers[[#This Row],[Active TSS Result]]="Approved",_01towers[[#This Row],[Active Prevalidation Status]]="Prevalidated"),"In Process","")</f>
        <v>In Process</v>
      </c>
      <c r="AZ49" s="40" t="str">
        <f>IF(AND(_01towers[[#This Row],[Active TSS Result]]="Approved",_01towers[[#This Row],[Active Prevalidation Status]]="Prevalidated"),_01towers[[#This Row],[10colo_app.Colo_App_Result]],"")</f>
        <v>Approved</v>
      </c>
      <c r="BA49" s="40">
        <f>COUNTIF(_20work_order[05_id],_01towers[[#This Row],[05_id]])</f>
        <v>2</v>
      </c>
      <c r="BB49" s="40">
        <f>COUNTIFS(_20work_order[05_id],_01towers[[#This Row],[05_id]],_20work_order[Actual_End],"&gt;0")</f>
        <v>2</v>
      </c>
      <c r="BC49" s="40" t="str">
        <f>IF(_01towers[[#This Row],[Completed Work Orders]]&gt;0,"Work Completed",
IF(_01towers[[#This Row],[Count Work Orders]]&gt;0,"Work in Progress",""))</f>
        <v>Work Completed</v>
      </c>
      <c r="BD4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49" s="40" t="str">
        <f>_xlfn.SWITCH(_01towers[[#This Row],[Final Colo Status full]],"Commercial Approval Requested","Under Prevalidation",_01towers[[#This Row],[Final Colo Status full]])</f>
        <v>Work Completed</v>
      </c>
    </row>
    <row r="50" spans="1:57" hidden="1" x14ac:dyDescent="0.35">
      <c r="A50" s="40" t="s">
        <v>183</v>
      </c>
      <c r="B50" s="40" t="s">
        <v>90</v>
      </c>
      <c r="C50" s="40" t="s">
        <v>51</v>
      </c>
      <c r="D50">
        <v>60</v>
      </c>
      <c r="E50" s="40" t="s">
        <v>175</v>
      </c>
      <c r="F50">
        <v>96.457700000000003</v>
      </c>
      <c r="G50">
        <v>18.14171</v>
      </c>
      <c r="H50" s="40" t="s">
        <v>53</v>
      </c>
      <c r="I50">
        <v>46</v>
      </c>
      <c r="J50" s="40" t="s">
        <v>184</v>
      </c>
      <c r="K50" s="40" t="s">
        <v>55</v>
      </c>
      <c r="L50" s="40" t="s">
        <v>64</v>
      </c>
      <c r="M50" s="40" t="s">
        <v>57</v>
      </c>
      <c r="N50" s="40" t="s">
        <v>57</v>
      </c>
      <c r="O50" s="40" t="s">
        <v>57</v>
      </c>
      <c r="P50" s="40" t="s">
        <v>57</v>
      </c>
      <c r="Q50" s="40" t="s">
        <v>57</v>
      </c>
      <c r="R50" s="40" t="s">
        <v>57</v>
      </c>
      <c r="S50">
        <v>217</v>
      </c>
      <c r="T50">
        <v>1</v>
      </c>
      <c r="U50" s="1"/>
      <c r="V50" s="1"/>
      <c r="W50" s="1">
        <v>43223</v>
      </c>
      <c r="X50" s="1">
        <v>43223</v>
      </c>
      <c r="Y50" s="1"/>
      <c r="Z50" s="40" t="s">
        <v>59</v>
      </c>
      <c r="AA50">
        <v>216</v>
      </c>
      <c r="AB50">
        <v>1</v>
      </c>
      <c r="AC50" s="1">
        <v>43229</v>
      </c>
      <c r="AD50" s="40" t="s">
        <v>59</v>
      </c>
      <c r="AE50" s="1"/>
      <c r="AF50" s="1"/>
      <c r="AG50" s="1"/>
      <c r="AH50" s="40"/>
      <c r="AI50" s="1"/>
      <c r="AJ50" s="40">
        <f>_xlfn.MAXIFS(_01towers[02tss.Rev],_01towers[05_id],_01towers[[#This Row],[05_id]])</f>
        <v>1</v>
      </c>
      <c r="AK50" s="40" t="b">
        <f>IF(_01towers[[#This Row],[Count Rev TSS]]=_01towers[[#This Row],[02tss.Rev]],TRUE,FALSE)</f>
        <v>1</v>
      </c>
      <c r="AL50" s="40">
        <f>_xlfn.MAXIFS(_01towers[10colo_app.Rev],_01towers[05_id],_01towers[[#This Row],[05_id]])</f>
        <v>1</v>
      </c>
      <c r="AM50" s="40" t="b">
        <f>IF(_01towers[[#This Row],[Count Rev Colo App]]=_01towers[[#This Row],[10colo_app.Rev]],TRUE,FALSE)</f>
        <v>1</v>
      </c>
      <c r="AN50" s="40" t="b">
        <f>IF(AND(_01towers[[#This Row],[Test Rev Colo]]=TRUE,_01towers[[#This Row],[Test Rev TSS]]=TRUE),TRUE,FALSE)</f>
        <v>1</v>
      </c>
      <c r="AO50" s="40" t="str">
        <f>IF(_01towers[[#This Row],[Test Active]]=TRUE,_01towers[[#This Row],[Prevalidation Status]],"")</f>
        <v>Prevalidated</v>
      </c>
      <c r="AP50" s="40" t="str">
        <f>IF(_01towers[[#This Row],[Active Prevalidation Status]]="Under Prevalidation",
IF(M50="","Review",M50),"")</f>
        <v/>
      </c>
      <c r="AQ50" s="40" t="str">
        <f>IF(_01towers[[#This Row],[Active Prevalidation Status]]="Under Prevalidation",
IF(N50="","Review",N50),"")</f>
        <v/>
      </c>
      <c r="AR50" s="40" t="str">
        <f>IF(_01towers[[#This Row],[Active Prevalidation Status]]="Under Prevalidation",
IF(O50="","Review",O50),"")</f>
        <v/>
      </c>
      <c r="AS50" s="40" t="str">
        <f>IF(_01towers[[#This Row],[Active Prevalidation Status]]="Under Prevalidation",
IF(P50="","Review",P50),"")</f>
        <v/>
      </c>
      <c r="AT50" s="40" t="str">
        <f>IF(_01towers[[#This Row],[Active Prevalidation Status]]="Under Prevalidation",
IF(Q50="","Review",Q50),"")</f>
        <v/>
      </c>
      <c r="AU50" s="40" t="str">
        <f>IF(_01towers[[#This Row],[Active Prevalidation Status]]="Under Prevalidation",
IF(R50="","Review",R50),"")</f>
        <v/>
      </c>
      <c r="AV50" s="40">
        <f>COUNTIF(_01towers[[#This Row],[SAQ_Result2]:[Community_Result2]],"OK")</f>
        <v>0</v>
      </c>
      <c r="AW50" s="1" t="str">
        <f>IF(AND(OR(_01towers[[#This Row],[Active Prevalidation Status]]="Under Prevalidation",_01towers[[#This Row],[Active Prevalidation Status]]="Prevalidated"),_01towers[[#This Row],[02tss.TSSR_From_Engineer]]&gt;0),"Submitted","")</f>
        <v>Submitted</v>
      </c>
      <c r="AX50" s="40" t="str">
        <f>IF(OR(_01towers[[#This Row],[Active Prevalidation Status]]="Under Prevalidation",_01towers[[#This Row],[Active Prevalidation Status]]="Prevalidated"),_01towers[[#This Row],[02tss.TSS_Result]],"")</f>
        <v>Approved</v>
      </c>
      <c r="AY50" s="40" t="str">
        <f>IF(AND(_01towers[[#This Row],[Active TSS Result]]="Approved",_01towers[[#This Row],[Active Prevalidation Status]]="Prevalidated"),"In Process","")</f>
        <v>In Process</v>
      </c>
      <c r="AZ50" s="40" t="str">
        <f>IF(AND(_01towers[[#This Row],[Active TSS Result]]="Approved",_01towers[[#This Row],[Active Prevalidation Status]]="Prevalidated"),_01towers[[#This Row],[10colo_app.Colo_App_Result]],"")</f>
        <v>Approved</v>
      </c>
      <c r="BA50" s="40">
        <f>COUNTIF(_20work_order[05_id],_01towers[[#This Row],[05_id]])</f>
        <v>0</v>
      </c>
      <c r="BB50" s="40">
        <f>COUNTIFS(_20work_order[05_id],_01towers[[#This Row],[05_id]],_20work_order[Actual_End],"&gt;0")</f>
        <v>0</v>
      </c>
      <c r="BC50" s="40" t="str">
        <f>IF(_01towers[[#This Row],[Completed Work Orders]]&gt;0,"Work Completed",
IF(_01towers[[#This Row],[Count Work Orders]]&gt;0,"Work in Progress",""))</f>
        <v/>
      </c>
      <c r="BD5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50" s="40" t="str">
        <f>_xlfn.SWITCH(_01towers[[#This Row],[Final Colo Status full]],"Commercial Approval Requested","Under Prevalidation",_01towers[[#This Row],[Final Colo Status full]])</f>
        <v>Colo Application Approved</v>
      </c>
    </row>
    <row r="51" spans="1:57" hidden="1" x14ac:dyDescent="0.35">
      <c r="A51" s="40" t="s">
        <v>185</v>
      </c>
      <c r="B51" s="40" t="s">
        <v>85</v>
      </c>
      <c r="C51" s="40" t="s">
        <v>51</v>
      </c>
      <c r="D51">
        <v>60</v>
      </c>
      <c r="E51" s="40" t="s">
        <v>175</v>
      </c>
      <c r="F51">
        <v>96.222819999999999</v>
      </c>
      <c r="G51">
        <v>19.2241</v>
      </c>
      <c r="H51" s="40" t="s">
        <v>53</v>
      </c>
      <c r="I51">
        <v>47</v>
      </c>
      <c r="J51" s="40" t="s">
        <v>186</v>
      </c>
      <c r="K51" s="40" t="s">
        <v>55</v>
      </c>
      <c r="L51" s="40" t="s">
        <v>64</v>
      </c>
      <c r="M51" s="40" t="s">
        <v>57</v>
      </c>
      <c r="N51" s="40" t="s">
        <v>57</v>
      </c>
      <c r="O51" s="40" t="s">
        <v>57</v>
      </c>
      <c r="P51" s="40" t="s">
        <v>57</v>
      </c>
      <c r="Q51" s="40" t="s">
        <v>57</v>
      </c>
      <c r="R51" s="40" t="s">
        <v>57</v>
      </c>
      <c r="S51">
        <v>218</v>
      </c>
      <c r="T51">
        <v>1</v>
      </c>
      <c r="U51" s="1"/>
      <c r="V51" s="1"/>
      <c r="W51" s="1">
        <v>43223</v>
      </c>
      <c r="X51" s="1">
        <v>43223</v>
      </c>
      <c r="Y51" s="1"/>
      <c r="Z51" s="40" t="s">
        <v>59</v>
      </c>
      <c r="AA51">
        <v>217</v>
      </c>
      <c r="AB51">
        <v>1</v>
      </c>
      <c r="AC51" s="1">
        <v>43229</v>
      </c>
      <c r="AD51" s="40" t="s">
        <v>59</v>
      </c>
      <c r="AE51" s="1"/>
      <c r="AF51" s="1"/>
      <c r="AG51" s="1"/>
      <c r="AH51" s="40"/>
      <c r="AI51" s="1"/>
      <c r="AJ51" s="40">
        <f>_xlfn.MAXIFS(_01towers[02tss.Rev],_01towers[05_id],_01towers[[#This Row],[05_id]])</f>
        <v>1</v>
      </c>
      <c r="AK51" s="40" t="b">
        <f>IF(_01towers[[#This Row],[Count Rev TSS]]=_01towers[[#This Row],[02tss.Rev]],TRUE,FALSE)</f>
        <v>1</v>
      </c>
      <c r="AL51" s="40">
        <f>_xlfn.MAXIFS(_01towers[10colo_app.Rev],_01towers[05_id],_01towers[[#This Row],[05_id]])</f>
        <v>1</v>
      </c>
      <c r="AM51" s="40" t="b">
        <f>IF(_01towers[[#This Row],[Count Rev Colo App]]=_01towers[[#This Row],[10colo_app.Rev]],TRUE,FALSE)</f>
        <v>1</v>
      </c>
      <c r="AN51" s="40" t="b">
        <f>IF(AND(_01towers[[#This Row],[Test Rev Colo]]=TRUE,_01towers[[#This Row],[Test Rev TSS]]=TRUE),TRUE,FALSE)</f>
        <v>1</v>
      </c>
      <c r="AO51" s="40" t="str">
        <f>IF(_01towers[[#This Row],[Test Active]]=TRUE,_01towers[[#This Row],[Prevalidation Status]],"")</f>
        <v>Prevalidated</v>
      </c>
      <c r="AP51" s="40" t="str">
        <f>IF(_01towers[[#This Row],[Active Prevalidation Status]]="Under Prevalidation",
IF(M51="","Review",M51),"")</f>
        <v/>
      </c>
      <c r="AQ51" s="40" t="str">
        <f>IF(_01towers[[#This Row],[Active Prevalidation Status]]="Under Prevalidation",
IF(N51="","Review",N51),"")</f>
        <v/>
      </c>
      <c r="AR51" s="40" t="str">
        <f>IF(_01towers[[#This Row],[Active Prevalidation Status]]="Under Prevalidation",
IF(O51="","Review",O51),"")</f>
        <v/>
      </c>
      <c r="AS51" s="40" t="str">
        <f>IF(_01towers[[#This Row],[Active Prevalidation Status]]="Under Prevalidation",
IF(P51="","Review",P51),"")</f>
        <v/>
      </c>
      <c r="AT51" s="40" t="str">
        <f>IF(_01towers[[#This Row],[Active Prevalidation Status]]="Under Prevalidation",
IF(Q51="","Review",Q51),"")</f>
        <v/>
      </c>
      <c r="AU51" s="40" t="str">
        <f>IF(_01towers[[#This Row],[Active Prevalidation Status]]="Under Prevalidation",
IF(R51="","Review",R51),"")</f>
        <v/>
      </c>
      <c r="AV51" s="40">
        <f>COUNTIF(_01towers[[#This Row],[SAQ_Result2]:[Community_Result2]],"OK")</f>
        <v>0</v>
      </c>
      <c r="AW51" s="1" t="str">
        <f>IF(AND(OR(_01towers[[#This Row],[Active Prevalidation Status]]="Under Prevalidation",_01towers[[#This Row],[Active Prevalidation Status]]="Prevalidated"),_01towers[[#This Row],[02tss.TSSR_From_Engineer]]&gt;0),"Submitted","")</f>
        <v>Submitted</v>
      </c>
      <c r="AX51" s="40" t="str">
        <f>IF(OR(_01towers[[#This Row],[Active Prevalidation Status]]="Under Prevalidation",_01towers[[#This Row],[Active Prevalidation Status]]="Prevalidated"),_01towers[[#This Row],[02tss.TSS_Result]],"")</f>
        <v>Approved</v>
      </c>
      <c r="AY51" s="40" t="str">
        <f>IF(AND(_01towers[[#This Row],[Active TSS Result]]="Approved",_01towers[[#This Row],[Active Prevalidation Status]]="Prevalidated"),"In Process","")</f>
        <v>In Process</v>
      </c>
      <c r="AZ51" s="40" t="str">
        <f>IF(AND(_01towers[[#This Row],[Active TSS Result]]="Approved",_01towers[[#This Row],[Active Prevalidation Status]]="Prevalidated"),_01towers[[#This Row],[10colo_app.Colo_App_Result]],"")</f>
        <v>Approved</v>
      </c>
      <c r="BA51" s="40">
        <f>COUNTIF(_20work_order[05_id],_01towers[[#This Row],[05_id]])</f>
        <v>1</v>
      </c>
      <c r="BB51" s="40">
        <f>COUNTIFS(_20work_order[05_id],_01towers[[#This Row],[05_id]],_20work_order[Actual_End],"&gt;0")</f>
        <v>1</v>
      </c>
      <c r="BC51" s="40" t="str">
        <f>IF(_01towers[[#This Row],[Completed Work Orders]]&gt;0,"Work Completed",
IF(_01towers[[#This Row],[Count Work Orders]]&gt;0,"Work in Progress",""))</f>
        <v>Work Completed</v>
      </c>
      <c r="BD5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51" s="40" t="str">
        <f>_xlfn.SWITCH(_01towers[[#This Row],[Final Colo Status full]],"Commercial Approval Requested","Under Prevalidation",_01towers[[#This Row],[Final Colo Status full]])</f>
        <v>Work Completed</v>
      </c>
    </row>
    <row r="52" spans="1:57" hidden="1" x14ac:dyDescent="0.35">
      <c r="A52" s="40" t="s">
        <v>187</v>
      </c>
      <c r="B52" s="40" t="s">
        <v>85</v>
      </c>
      <c r="C52" s="40" t="s">
        <v>51</v>
      </c>
      <c r="D52">
        <v>60</v>
      </c>
      <c r="E52" s="40" t="s">
        <v>155</v>
      </c>
      <c r="F52">
        <v>96.138040000000004</v>
      </c>
      <c r="G52">
        <v>19.502459999999999</v>
      </c>
      <c r="H52" s="40" t="s">
        <v>53</v>
      </c>
      <c r="I52">
        <v>48</v>
      </c>
      <c r="J52" s="40" t="s">
        <v>188</v>
      </c>
      <c r="K52" s="40" t="s">
        <v>55</v>
      </c>
      <c r="L52" s="40" t="s">
        <v>64</v>
      </c>
      <c r="M52" s="40" t="s">
        <v>57</v>
      </c>
      <c r="N52" s="40" t="s">
        <v>57</v>
      </c>
      <c r="O52" s="40" t="s">
        <v>57</v>
      </c>
      <c r="P52" s="40" t="s">
        <v>57</v>
      </c>
      <c r="Q52" s="40" t="s">
        <v>57</v>
      </c>
      <c r="R52" s="40" t="s">
        <v>57</v>
      </c>
      <c r="S52">
        <v>219</v>
      </c>
      <c r="T52">
        <v>1</v>
      </c>
      <c r="U52" s="1"/>
      <c r="V52" s="1"/>
      <c r="W52" s="1">
        <v>43223</v>
      </c>
      <c r="X52" s="1">
        <v>43223</v>
      </c>
      <c r="Y52" s="1"/>
      <c r="Z52" s="40" t="s">
        <v>59</v>
      </c>
      <c r="AA52">
        <v>218</v>
      </c>
      <c r="AB52">
        <v>1</v>
      </c>
      <c r="AC52" s="1">
        <v>43229</v>
      </c>
      <c r="AD52" s="40" t="s">
        <v>59</v>
      </c>
      <c r="AE52" s="1"/>
      <c r="AF52" s="1"/>
      <c r="AG52" s="1"/>
      <c r="AH52" s="40"/>
      <c r="AI52" s="1"/>
      <c r="AJ52" s="40">
        <f>_xlfn.MAXIFS(_01towers[02tss.Rev],_01towers[05_id],_01towers[[#This Row],[05_id]])</f>
        <v>1</v>
      </c>
      <c r="AK52" s="40" t="b">
        <f>IF(_01towers[[#This Row],[Count Rev TSS]]=_01towers[[#This Row],[02tss.Rev]],TRUE,FALSE)</f>
        <v>1</v>
      </c>
      <c r="AL52" s="40">
        <f>_xlfn.MAXIFS(_01towers[10colo_app.Rev],_01towers[05_id],_01towers[[#This Row],[05_id]])</f>
        <v>1</v>
      </c>
      <c r="AM52" s="40" t="b">
        <f>IF(_01towers[[#This Row],[Count Rev Colo App]]=_01towers[[#This Row],[10colo_app.Rev]],TRUE,FALSE)</f>
        <v>1</v>
      </c>
      <c r="AN52" s="40" t="b">
        <f>IF(AND(_01towers[[#This Row],[Test Rev Colo]]=TRUE,_01towers[[#This Row],[Test Rev TSS]]=TRUE),TRUE,FALSE)</f>
        <v>1</v>
      </c>
      <c r="AO52" s="40" t="str">
        <f>IF(_01towers[[#This Row],[Test Active]]=TRUE,_01towers[[#This Row],[Prevalidation Status]],"")</f>
        <v>Prevalidated</v>
      </c>
      <c r="AP52" s="40" t="str">
        <f>IF(_01towers[[#This Row],[Active Prevalidation Status]]="Under Prevalidation",
IF(M52="","Review",M52),"")</f>
        <v/>
      </c>
      <c r="AQ52" s="40" t="str">
        <f>IF(_01towers[[#This Row],[Active Prevalidation Status]]="Under Prevalidation",
IF(N52="","Review",N52),"")</f>
        <v/>
      </c>
      <c r="AR52" s="40" t="str">
        <f>IF(_01towers[[#This Row],[Active Prevalidation Status]]="Under Prevalidation",
IF(O52="","Review",O52),"")</f>
        <v/>
      </c>
      <c r="AS52" s="40" t="str">
        <f>IF(_01towers[[#This Row],[Active Prevalidation Status]]="Under Prevalidation",
IF(P52="","Review",P52),"")</f>
        <v/>
      </c>
      <c r="AT52" s="40" t="str">
        <f>IF(_01towers[[#This Row],[Active Prevalidation Status]]="Under Prevalidation",
IF(Q52="","Review",Q52),"")</f>
        <v/>
      </c>
      <c r="AU52" s="40" t="str">
        <f>IF(_01towers[[#This Row],[Active Prevalidation Status]]="Under Prevalidation",
IF(R52="","Review",R52),"")</f>
        <v/>
      </c>
      <c r="AV52" s="40">
        <f>COUNTIF(_01towers[[#This Row],[SAQ_Result2]:[Community_Result2]],"OK")</f>
        <v>0</v>
      </c>
      <c r="AW52" s="1" t="str">
        <f>IF(AND(OR(_01towers[[#This Row],[Active Prevalidation Status]]="Under Prevalidation",_01towers[[#This Row],[Active Prevalidation Status]]="Prevalidated"),_01towers[[#This Row],[02tss.TSSR_From_Engineer]]&gt;0),"Submitted","")</f>
        <v>Submitted</v>
      </c>
      <c r="AX52" s="40" t="str">
        <f>IF(OR(_01towers[[#This Row],[Active Prevalidation Status]]="Under Prevalidation",_01towers[[#This Row],[Active Prevalidation Status]]="Prevalidated"),_01towers[[#This Row],[02tss.TSS_Result]],"")</f>
        <v>Approved</v>
      </c>
      <c r="AY52" s="40" t="str">
        <f>IF(AND(_01towers[[#This Row],[Active TSS Result]]="Approved",_01towers[[#This Row],[Active Prevalidation Status]]="Prevalidated"),"In Process","")</f>
        <v>In Process</v>
      </c>
      <c r="AZ52" s="40" t="str">
        <f>IF(AND(_01towers[[#This Row],[Active TSS Result]]="Approved",_01towers[[#This Row],[Active Prevalidation Status]]="Prevalidated"),_01towers[[#This Row],[10colo_app.Colo_App_Result]],"")</f>
        <v>Approved</v>
      </c>
      <c r="BA52" s="40">
        <f>COUNTIF(_20work_order[05_id],_01towers[[#This Row],[05_id]])</f>
        <v>2</v>
      </c>
      <c r="BB52" s="40">
        <f>COUNTIFS(_20work_order[05_id],_01towers[[#This Row],[05_id]],_20work_order[Actual_End],"&gt;0")</f>
        <v>2</v>
      </c>
      <c r="BC52" s="40" t="str">
        <f>IF(_01towers[[#This Row],[Completed Work Orders]]&gt;0,"Work Completed",
IF(_01towers[[#This Row],[Count Work Orders]]&gt;0,"Work in Progress",""))</f>
        <v>Work Completed</v>
      </c>
      <c r="BD5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52" s="40" t="str">
        <f>_xlfn.SWITCH(_01towers[[#This Row],[Final Colo Status full]],"Commercial Approval Requested","Under Prevalidation",_01towers[[#This Row],[Final Colo Status full]])</f>
        <v>Work Completed</v>
      </c>
    </row>
    <row r="53" spans="1:57" hidden="1" x14ac:dyDescent="0.35">
      <c r="A53" s="40" t="s">
        <v>189</v>
      </c>
      <c r="B53" s="40" t="s">
        <v>85</v>
      </c>
      <c r="C53" s="40" t="s">
        <v>51</v>
      </c>
      <c r="D53">
        <v>60</v>
      </c>
      <c r="E53" s="40" t="s">
        <v>155</v>
      </c>
      <c r="F53">
        <v>96.077640000000002</v>
      </c>
      <c r="G53">
        <v>19.604659999999999</v>
      </c>
      <c r="H53" s="40" t="s">
        <v>190</v>
      </c>
      <c r="I53">
        <v>49</v>
      </c>
      <c r="J53" s="40" t="s">
        <v>191</v>
      </c>
      <c r="K53" s="40" t="s">
        <v>55</v>
      </c>
      <c r="L53" s="40" t="s">
        <v>64</v>
      </c>
      <c r="M53" s="40" t="s">
        <v>57</v>
      </c>
      <c r="N53" s="40" t="s">
        <v>57</v>
      </c>
      <c r="O53" s="40" t="s">
        <v>57</v>
      </c>
      <c r="P53" s="40" t="s">
        <v>57</v>
      </c>
      <c r="Q53" s="40" t="s">
        <v>57</v>
      </c>
      <c r="R53" s="40" t="s">
        <v>57</v>
      </c>
      <c r="S53">
        <v>220</v>
      </c>
      <c r="T53">
        <v>1</v>
      </c>
      <c r="U53" s="1"/>
      <c r="V53" s="1"/>
      <c r="W53" s="1">
        <v>43223</v>
      </c>
      <c r="X53" s="1">
        <v>43223</v>
      </c>
      <c r="Y53" s="1"/>
      <c r="Z53" s="40" t="s">
        <v>59</v>
      </c>
      <c r="AA53">
        <v>219</v>
      </c>
      <c r="AB53">
        <v>1</v>
      </c>
      <c r="AC53" s="1">
        <v>43229</v>
      </c>
      <c r="AD53" s="40" t="s">
        <v>59</v>
      </c>
      <c r="AE53" s="1"/>
      <c r="AF53" s="1"/>
      <c r="AG53" s="1"/>
      <c r="AH53" s="40"/>
      <c r="AI53" s="1"/>
      <c r="AJ53" s="40">
        <f>_xlfn.MAXIFS(_01towers[02tss.Rev],_01towers[05_id],_01towers[[#This Row],[05_id]])</f>
        <v>1</v>
      </c>
      <c r="AK53" s="40" t="b">
        <f>IF(_01towers[[#This Row],[Count Rev TSS]]=_01towers[[#This Row],[02tss.Rev]],TRUE,FALSE)</f>
        <v>1</v>
      </c>
      <c r="AL53" s="40">
        <f>_xlfn.MAXIFS(_01towers[10colo_app.Rev],_01towers[05_id],_01towers[[#This Row],[05_id]])</f>
        <v>1</v>
      </c>
      <c r="AM53" s="40" t="b">
        <f>IF(_01towers[[#This Row],[Count Rev Colo App]]=_01towers[[#This Row],[10colo_app.Rev]],TRUE,FALSE)</f>
        <v>1</v>
      </c>
      <c r="AN53" s="40" t="b">
        <f>IF(AND(_01towers[[#This Row],[Test Rev Colo]]=TRUE,_01towers[[#This Row],[Test Rev TSS]]=TRUE),TRUE,FALSE)</f>
        <v>1</v>
      </c>
      <c r="AO53" s="40" t="str">
        <f>IF(_01towers[[#This Row],[Test Active]]=TRUE,_01towers[[#This Row],[Prevalidation Status]],"")</f>
        <v>Prevalidated</v>
      </c>
      <c r="AP53" s="40" t="str">
        <f>IF(_01towers[[#This Row],[Active Prevalidation Status]]="Under Prevalidation",
IF(M53="","Review",M53),"")</f>
        <v/>
      </c>
      <c r="AQ53" s="40" t="str">
        <f>IF(_01towers[[#This Row],[Active Prevalidation Status]]="Under Prevalidation",
IF(N53="","Review",N53),"")</f>
        <v/>
      </c>
      <c r="AR53" s="40" t="str">
        <f>IF(_01towers[[#This Row],[Active Prevalidation Status]]="Under Prevalidation",
IF(O53="","Review",O53),"")</f>
        <v/>
      </c>
      <c r="AS53" s="40" t="str">
        <f>IF(_01towers[[#This Row],[Active Prevalidation Status]]="Under Prevalidation",
IF(P53="","Review",P53),"")</f>
        <v/>
      </c>
      <c r="AT53" s="40" t="str">
        <f>IF(_01towers[[#This Row],[Active Prevalidation Status]]="Under Prevalidation",
IF(Q53="","Review",Q53),"")</f>
        <v/>
      </c>
      <c r="AU53" s="40" t="str">
        <f>IF(_01towers[[#This Row],[Active Prevalidation Status]]="Under Prevalidation",
IF(R53="","Review",R53),"")</f>
        <v/>
      </c>
      <c r="AV53" s="40">
        <f>COUNTIF(_01towers[[#This Row],[SAQ_Result2]:[Community_Result2]],"OK")</f>
        <v>0</v>
      </c>
      <c r="AW53" s="1" t="str">
        <f>IF(AND(OR(_01towers[[#This Row],[Active Prevalidation Status]]="Under Prevalidation",_01towers[[#This Row],[Active Prevalidation Status]]="Prevalidated"),_01towers[[#This Row],[02tss.TSSR_From_Engineer]]&gt;0),"Submitted","")</f>
        <v>Submitted</v>
      </c>
      <c r="AX53" s="40" t="str">
        <f>IF(OR(_01towers[[#This Row],[Active Prevalidation Status]]="Under Prevalidation",_01towers[[#This Row],[Active Prevalidation Status]]="Prevalidated"),_01towers[[#This Row],[02tss.TSS_Result]],"")</f>
        <v>Approved</v>
      </c>
      <c r="AY53" s="40" t="str">
        <f>IF(AND(_01towers[[#This Row],[Active TSS Result]]="Approved",_01towers[[#This Row],[Active Prevalidation Status]]="Prevalidated"),"In Process","")</f>
        <v>In Process</v>
      </c>
      <c r="AZ53" s="40" t="str">
        <f>IF(AND(_01towers[[#This Row],[Active TSS Result]]="Approved",_01towers[[#This Row],[Active Prevalidation Status]]="Prevalidated"),_01towers[[#This Row],[10colo_app.Colo_App_Result]],"")</f>
        <v>Approved</v>
      </c>
      <c r="BA53" s="40">
        <f>COUNTIF(_20work_order[05_id],_01towers[[#This Row],[05_id]])</f>
        <v>0</v>
      </c>
      <c r="BB53" s="40">
        <f>COUNTIFS(_20work_order[05_id],_01towers[[#This Row],[05_id]],_20work_order[Actual_End],"&gt;0")</f>
        <v>0</v>
      </c>
      <c r="BC53" s="40" t="str">
        <f>IF(_01towers[[#This Row],[Completed Work Orders]]&gt;0,"Work Completed",
IF(_01towers[[#This Row],[Count Work Orders]]&gt;0,"Work in Progress",""))</f>
        <v/>
      </c>
      <c r="BD5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53" s="40" t="str">
        <f>_xlfn.SWITCH(_01towers[[#This Row],[Final Colo Status full]],"Commercial Approval Requested","Under Prevalidation",_01towers[[#This Row],[Final Colo Status full]])</f>
        <v>Colo Application Approved</v>
      </c>
    </row>
    <row r="54" spans="1:57" hidden="1" x14ac:dyDescent="0.35">
      <c r="A54" s="40" t="s">
        <v>192</v>
      </c>
      <c r="B54" s="40" t="s">
        <v>90</v>
      </c>
      <c r="C54" s="40" t="s">
        <v>51</v>
      </c>
      <c r="D54">
        <v>60</v>
      </c>
      <c r="E54" s="40" t="s">
        <v>94</v>
      </c>
      <c r="F54">
        <v>97.666169999999994</v>
      </c>
      <c r="G54">
        <v>16.011839999999999</v>
      </c>
      <c r="H54" s="40" t="s">
        <v>150</v>
      </c>
      <c r="I54">
        <v>50</v>
      </c>
      <c r="J54" s="40" t="s">
        <v>193</v>
      </c>
      <c r="K54" s="40" t="s">
        <v>136</v>
      </c>
      <c r="L54" s="40" t="s">
        <v>74</v>
      </c>
      <c r="M54" s="40" t="s">
        <v>57</v>
      </c>
      <c r="N54" s="40" t="s">
        <v>57</v>
      </c>
      <c r="O54" s="40" t="s">
        <v>57</v>
      </c>
      <c r="P54" s="40" t="s">
        <v>75</v>
      </c>
      <c r="Q54" s="40"/>
      <c r="R54" s="40" t="s">
        <v>57</v>
      </c>
      <c r="S54">
        <v>111</v>
      </c>
      <c r="T54">
        <v>1</v>
      </c>
      <c r="U54" s="1"/>
      <c r="V54" s="1"/>
      <c r="W54" s="1"/>
      <c r="X54" s="1"/>
      <c r="Y54" s="1"/>
      <c r="Z54" s="40"/>
      <c r="AA54">
        <v>110</v>
      </c>
      <c r="AB54">
        <v>1</v>
      </c>
      <c r="AC54" s="1"/>
      <c r="AD54" s="40"/>
      <c r="AE54" s="1"/>
      <c r="AF54" s="1"/>
      <c r="AG54" s="1"/>
      <c r="AH54" s="40"/>
      <c r="AI54" s="1"/>
      <c r="AJ54" s="40">
        <f>_xlfn.MAXIFS(_01towers[02tss.Rev],_01towers[05_id],_01towers[[#This Row],[05_id]])</f>
        <v>1</v>
      </c>
      <c r="AK54" s="40" t="b">
        <f>IF(_01towers[[#This Row],[Count Rev TSS]]=_01towers[[#This Row],[02tss.Rev]],TRUE,FALSE)</f>
        <v>1</v>
      </c>
      <c r="AL54" s="40">
        <f>_xlfn.MAXIFS(_01towers[10colo_app.Rev],_01towers[05_id],_01towers[[#This Row],[05_id]])</f>
        <v>1</v>
      </c>
      <c r="AM54" s="40" t="b">
        <f>IF(_01towers[[#This Row],[Count Rev Colo App]]=_01towers[[#This Row],[10colo_app.Rev]],TRUE,FALSE)</f>
        <v>1</v>
      </c>
      <c r="AN54" s="40" t="b">
        <f>IF(AND(_01towers[[#This Row],[Test Rev Colo]]=TRUE,_01towers[[#This Row],[Test Rev TSS]]=TRUE),TRUE,FALSE)</f>
        <v>1</v>
      </c>
      <c r="AO54" s="40" t="str">
        <f>IF(_01towers[[#This Row],[Test Active]]=TRUE,_01towers[[#This Row],[Prevalidation Status]],"")</f>
        <v>Prevalidation Rejected</v>
      </c>
      <c r="AP54" s="40" t="str">
        <f>IF(_01towers[[#This Row],[Active Prevalidation Status]]="Under Prevalidation",
IF(M54="","Review",M54),"")</f>
        <v/>
      </c>
      <c r="AQ54" s="40" t="str">
        <f>IF(_01towers[[#This Row],[Active Prevalidation Status]]="Under Prevalidation",
IF(N54="","Review",N54),"")</f>
        <v/>
      </c>
      <c r="AR54" s="40" t="str">
        <f>IF(_01towers[[#This Row],[Active Prevalidation Status]]="Under Prevalidation",
IF(O54="","Review",O54),"")</f>
        <v/>
      </c>
      <c r="AS54" s="40" t="str">
        <f>IF(_01towers[[#This Row],[Active Prevalidation Status]]="Under Prevalidation",
IF(P54="","Review",P54),"")</f>
        <v/>
      </c>
      <c r="AT54" s="40" t="str">
        <f>IF(_01towers[[#This Row],[Active Prevalidation Status]]="Under Prevalidation",
IF(Q54="","Review",Q54),"")</f>
        <v/>
      </c>
      <c r="AU54" s="40" t="str">
        <f>IF(_01towers[[#This Row],[Active Prevalidation Status]]="Under Prevalidation",
IF(R54="","Review",R54),"")</f>
        <v/>
      </c>
      <c r="AV54" s="40">
        <f>COUNTIF(_01towers[[#This Row],[SAQ_Result2]:[Community_Result2]],"OK")</f>
        <v>0</v>
      </c>
      <c r="AW54" s="1" t="str">
        <f>IF(AND(OR(_01towers[[#This Row],[Active Prevalidation Status]]="Under Prevalidation",_01towers[[#This Row],[Active Prevalidation Status]]="Prevalidated"),_01towers[[#This Row],[02tss.TSSR_From_Engineer]]&gt;0),"Submitted","")</f>
        <v/>
      </c>
      <c r="AX54" s="40" t="str">
        <f>IF(OR(_01towers[[#This Row],[Active Prevalidation Status]]="Under Prevalidation",_01towers[[#This Row],[Active Prevalidation Status]]="Prevalidated"),_01towers[[#This Row],[02tss.TSS_Result]],"")</f>
        <v/>
      </c>
      <c r="AY54" s="40" t="str">
        <f>IF(AND(_01towers[[#This Row],[Active TSS Result]]="Approved",_01towers[[#This Row],[Active Prevalidation Status]]="Prevalidated"),"In Process","")</f>
        <v/>
      </c>
      <c r="AZ54" s="40" t="str">
        <f>IF(AND(_01towers[[#This Row],[Active TSS Result]]="Approved",_01towers[[#This Row],[Active Prevalidation Status]]="Prevalidated"),_01towers[[#This Row],[10colo_app.Colo_App_Result]],"")</f>
        <v/>
      </c>
      <c r="BA54" s="40">
        <f>COUNTIF(_20work_order[05_id],_01towers[[#This Row],[05_id]])</f>
        <v>0</v>
      </c>
      <c r="BB54" s="40">
        <f>COUNTIFS(_20work_order[05_id],_01towers[[#This Row],[05_id]],_20work_order[Actual_End],"&gt;0")</f>
        <v>0</v>
      </c>
      <c r="BC54" s="40" t="str">
        <f>IF(_01towers[[#This Row],[Completed Work Orders]]&gt;0,"Work Completed",
IF(_01towers[[#This Row],[Count Work Orders]]&gt;0,"Work in Progress",""))</f>
        <v/>
      </c>
      <c r="BD5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54" s="40" t="str">
        <f>_xlfn.SWITCH(_01towers[[#This Row],[Final Colo Status full]],"Commercial Approval Requested","Under Prevalidation",_01towers[[#This Row],[Final Colo Status full]])</f>
        <v>Prevalidation Rejected</v>
      </c>
    </row>
    <row r="55" spans="1:57" hidden="1" x14ac:dyDescent="0.35">
      <c r="A55" s="40" t="s">
        <v>194</v>
      </c>
      <c r="B55" s="40" t="s">
        <v>50</v>
      </c>
      <c r="C55" s="40" t="s">
        <v>82</v>
      </c>
      <c r="D55">
        <v>6</v>
      </c>
      <c r="E55" s="40" t="s">
        <v>86</v>
      </c>
      <c r="F55">
        <v>97.685839999999999</v>
      </c>
      <c r="G55">
        <v>23.837489999999999</v>
      </c>
      <c r="H55" s="40" t="s">
        <v>53</v>
      </c>
      <c r="I55">
        <v>51</v>
      </c>
      <c r="J55" s="40" t="s">
        <v>195</v>
      </c>
      <c r="K55" s="40" t="s">
        <v>136</v>
      </c>
      <c r="L55" s="40" t="s">
        <v>74</v>
      </c>
      <c r="M55" s="40" t="s">
        <v>57</v>
      </c>
      <c r="N55" s="40" t="s">
        <v>57</v>
      </c>
      <c r="O55" s="40" t="s">
        <v>58</v>
      </c>
      <c r="P55" s="40" t="s">
        <v>57</v>
      </c>
      <c r="Q55" s="40"/>
      <c r="R55" s="40" t="s">
        <v>57</v>
      </c>
      <c r="S55">
        <v>91</v>
      </c>
      <c r="T55">
        <v>1</v>
      </c>
      <c r="U55" s="1"/>
      <c r="V55" s="1"/>
      <c r="W55" s="1"/>
      <c r="X55" s="1"/>
      <c r="Y55" s="1"/>
      <c r="Z55" s="40"/>
      <c r="AA55">
        <v>90</v>
      </c>
      <c r="AB55">
        <v>1</v>
      </c>
      <c r="AC55" s="1"/>
      <c r="AD55" s="40"/>
      <c r="AE55" s="1"/>
      <c r="AF55" s="1"/>
      <c r="AG55" s="1"/>
      <c r="AH55" s="40"/>
      <c r="AI55" s="1"/>
      <c r="AJ55" s="40">
        <f>_xlfn.MAXIFS(_01towers[02tss.Rev],_01towers[05_id],_01towers[[#This Row],[05_id]])</f>
        <v>1</v>
      </c>
      <c r="AK55" s="40" t="b">
        <f>IF(_01towers[[#This Row],[Count Rev TSS]]=_01towers[[#This Row],[02tss.Rev]],TRUE,FALSE)</f>
        <v>1</v>
      </c>
      <c r="AL55" s="40">
        <f>_xlfn.MAXIFS(_01towers[10colo_app.Rev],_01towers[05_id],_01towers[[#This Row],[05_id]])</f>
        <v>1</v>
      </c>
      <c r="AM55" s="40" t="b">
        <f>IF(_01towers[[#This Row],[Count Rev Colo App]]=_01towers[[#This Row],[10colo_app.Rev]],TRUE,FALSE)</f>
        <v>1</v>
      </c>
      <c r="AN55" s="40" t="b">
        <f>IF(AND(_01towers[[#This Row],[Test Rev Colo]]=TRUE,_01towers[[#This Row],[Test Rev TSS]]=TRUE),TRUE,FALSE)</f>
        <v>1</v>
      </c>
      <c r="AO55" s="40" t="str">
        <f>IF(_01towers[[#This Row],[Test Active]]=TRUE,_01towers[[#This Row],[Prevalidation Status]],"")</f>
        <v>Prevalidation Rejected</v>
      </c>
      <c r="AP55" s="40" t="str">
        <f>IF(_01towers[[#This Row],[Active Prevalidation Status]]="Under Prevalidation",
IF(M55="","Review",M55),"")</f>
        <v/>
      </c>
      <c r="AQ55" s="40" t="str">
        <f>IF(_01towers[[#This Row],[Active Prevalidation Status]]="Under Prevalidation",
IF(N55="","Review",N55),"")</f>
        <v/>
      </c>
      <c r="AR55" s="40" t="str">
        <f>IF(_01towers[[#This Row],[Active Prevalidation Status]]="Under Prevalidation",
IF(O55="","Review",O55),"")</f>
        <v/>
      </c>
      <c r="AS55" s="40" t="str">
        <f>IF(_01towers[[#This Row],[Active Prevalidation Status]]="Under Prevalidation",
IF(P55="","Review",P55),"")</f>
        <v/>
      </c>
      <c r="AT55" s="40" t="str">
        <f>IF(_01towers[[#This Row],[Active Prevalidation Status]]="Under Prevalidation",
IF(Q55="","Review",Q55),"")</f>
        <v/>
      </c>
      <c r="AU55" s="40" t="str">
        <f>IF(_01towers[[#This Row],[Active Prevalidation Status]]="Under Prevalidation",
IF(R55="","Review",R55),"")</f>
        <v/>
      </c>
      <c r="AV55" s="40">
        <f>COUNTIF(_01towers[[#This Row],[SAQ_Result2]:[Community_Result2]],"OK")</f>
        <v>0</v>
      </c>
      <c r="AW55" s="1" t="str">
        <f>IF(AND(OR(_01towers[[#This Row],[Active Prevalidation Status]]="Under Prevalidation",_01towers[[#This Row],[Active Prevalidation Status]]="Prevalidated"),_01towers[[#This Row],[02tss.TSSR_From_Engineer]]&gt;0),"Submitted","")</f>
        <v/>
      </c>
      <c r="AX55" s="40" t="str">
        <f>IF(OR(_01towers[[#This Row],[Active Prevalidation Status]]="Under Prevalidation",_01towers[[#This Row],[Active Prevalidation Status]]="Prevalidated"),_01towers[[#This Row],[02tss.TSS_Result]],"")</f>
        <v/>
      </c>
      <c r="AY55" s="40" t="str">
        <f>IF(AND(_01towers[[#This Row],[Active TSS Result]]="Approved",_01towers[[#This Row],[Active Prevalidation Status]]="Prevalidated"),"In Process","")</f>
        <v/>
      </c>
      <c r="AZ55" s="40" t="str">
        <f>IF(AND(_01towers[[#This Row],[Active TSS Result]]="Approved",_01towers[[#This Row],[Active Prevalidation Status]]="Prevalidated"),_01towers[[#This Row],[10colo_app.Colo_App_Result]],"")</f>
        <v/>
      </c>
      <c r="BA55" s="40">
        <f>COUNTIF(_20work_order[05_id],_01towers[[#This Row],[05_id]])</f>
        <v>0</v>
      </c>
      <c r="BB55" s="40">
        <f>COUNTIFS(_20work_order[05_id],_01towers[[#This Row],[05_id]],_20work_order[Actual_End],"&gt;0")</f>
        <v>0</v>
      </c>
      <c r="BC55" s="40" t="str">
        <f>IF(_01towers[[#This Row],[Completed Work Orders]]&gt;0,"Work Completed",
IF(_01towers[[#This Row],[Count Work Orders]]&gt;0,"Work in Progress",""))</f>
        <v/>
      </c>
      <c r="BD5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55" s="40" t="str">
        <f>_xlfn.SWITCH(_01towers[[#This Row],[Final Colo Status full]],"Commercial Approval Requested","Under Prevalidation",_01towers[[#This Row],[Final Colo Status full]])</f>
        <v>Prevalidation Rejected</v>
      </c>
    </row>
    <row r="56" spans="1:57" hidden="1" x14ac:dyDescent="0.35">
      <c r="A56" s="40" t="s">
        <v>164</v>
      </c>
      <c r="B56" s="40" t="s">
        <v>50</v>
      </c>
      <c r="C56" s="40" t="s">
        <v>82</v>
      </c>
      <c r="D56">
        <v>6</v>
      </c>
      <c r="E56" s="40" t="s">
        <v>66</v>
      </c>
      <c r="F56">
        <v>96.082480000000004</v>
      </c>
      <c r="G56">
        <v>21.974630000000001</v>
      </c>
      <c r="H56" s="40" t="s">
        <v>53</v>
      </c>
      <c r="I56">
        <v>52</v>
      </c>
      <c r="J56" s="40" t="s">
        <v>165</v>
      </c>
      <c r="K56" s="40" t="s">
        <v>55</v>
      </c>
      <c r="L56" s="40" t="s">
        <v>74</v>
      </c>
      <c r="M56" s="40" t="s">
        <v>75</v>
      </c>
      <c r="N56" s="40" t="s">
        <v>57</v>
      </c>
      <c r="O56" s="40" t="s">
        <v>58</v>
      </c>
      <c r="P56" s="40" t="s">
        <v>58</v>
      </c>
      <c r="Q56" s="40"/>
      <c r="R56" s="40" t="s">
        <v>57</v>
      </c>
      <c r="S56">
        <v>221</v>
      </c>
      <c r="T56">
        <v>1</v>
      </c>
      <c r="U56" s="1"/>
      <c r="V56" s="1"/>
      <c r="W56" s="1"/>
      <c r="X56" s="1"/>
      <c r="Y56" s="1"/>
      <c r="Z56" s="40"/>
      <c r="AA56">
        <v>220</v>
      </c>
      <c r="AB56">
        <v>1</v>
      </c>
      <c r="AC56" s="1"/>
      <c r="AD56" s="40"/>
      <c r="AE56" s="1">
        <v>43269</v>
      </c>
      <c r="AF56" s="1">
        <v>43269</v>
      </c>
      <c r="AG56" s="1"/>
      <c r="AH56" s="40"/>
      <c r="AI56" s="1"/>
      <c r="AJ56" s="40">
        <f>_xlfn.MAXIFS(_01towers[02tss.Rev],_01towers[05_id],_01towers[[#This Row],[05_id]])</f>
        <v>1</v>
      </c>
      <c r="AK56" s="40" t="b">
        <f>IF(_01towers[[#This Row],[Count Rev TSS]]=_01towers[[#This Row],[02tss.Rev]],TRUE,FALSE)</f>
        <v>1</v>
      </c>
      <c r="AL56" s="40">
        <f>_xlfn.MAXIFS(_01towers[10colo_app.Rev],_01towers[05_id],_01towers[[#This Row],[05_id]])</f>
        <v>1</v>
      </c>
      <c r="AM56" s="40" t="b">
        <f>IF(_01towers[[#This Row],[Count Rev Colo App]]=_01towers[[#This Row],[10colo_app.Rev]],TRUE,FALSE)</f>
        <v>1</v>
      </c>
      <c r="AN56" s="40" t="b">
        <f>IF(AND(_01towers[[#This Row],[Test Rev Colo]]=TRUE,_01towers[[#This Row],[Test Rev TSS]]=TRUE),TRUE,FALSE)</f>
        <v>1</v>
      </c>
      <c r="AO56" s="40" t="str">
        <f>IF(_01towers[[#This Row],[Test Active]]=TRUE,_01towers[[#This Row],[Prevalidation Status]],"")</f>
        <v>Prevalidation Rejected</v>
      </c>
      <c r="AP56" s="40" t="str">
        <f>IF(_01towers[[#This Row],[Active Prevalidation Status]]="Under Prevalidation",
IF(M56="","Review",M56),"")</f>
        <v/>
      </c>
      <c r="AQ56" s="40" t="str">
        <f>IF(_01towers[[#This Row],[Active Prevalidation Status]]="Under Prevalidation",
IF(N56="","Review",N56),"")</f>
        <v/>
      </c>
      <c r="AR56" s="40" t="str">
        <f>IF(_01towers[[#This Row],[Active Prevalidation Status]]="Under Prevalidation",
IF(O56="","Review",O56),"")</f>
        <v/>
      </c>
      <c r="AS56" s="40" t="str">
        <f>IF(_01towers[[#This Row],[Active Prevalidation Status]]="Under Prevalidation",
IF(P56="","Review",P56),"")</f>
        <v/>
      </c>
      <c r="AT56" s="40" t="str">
        <f>IF(_01towers[[#This Row],[Active Prevalidation Status]]="Under Prevalidation",
IF(Q56="","Review",Q56),"")</f>
        <v/>
      </c>
      <c r="AU56" s="40" t="str">
        <f>IF(_01towers[[#This Row],[Active Prevalidation Status]]="Under Prevalidation",
IF(R56="","Review",R56),"")</f>
        <v/>
      </c>
      <c r="AV56" s="40">
        <f>COUNTIF(_01towers[[#This Row],[SAQ_Result2]:[Community_Result2]],"OK")</f>
        <v>0</v>
      </c>
      <c r="AW56" s="1" t="str">
        <f>IF(AND(OR(_01towers[[#This Row],[Active Prevalidation Status]]="Under Prevalidation",_01towers[[#This Row],[Active Prevalidation Status]]="Prevalidated"),_01towers[[#This Row],[02tss.TSSR_From_Engineer]]&gt;0),"Submitted","")</f>
        <v/>
      </c>
      <c r="AX56" s="40" t="str">
        <f>IF(OR(_01towers[[#This Row],[Active Prevalidation Status]]="Under Prevalidation",_01towers[[#This Row],[Active Prevalidation Status]]="Prevalidated"),_01towers[[#This Row],[02tss.TSS_Result]],"")</f>
        <v/>
      </c>
      <c r="AY56" s="40" t="str">
        <f>IF(AND(_01towers[[#This Row],[Active TSS Result]]="Approved",_01towers[[#This Row],[Active Prevalidation Status]]="Prevalidated"),"In Process","")</f>
        <v/>
      </c>
      <c r="AZ56" s="40" t="str">
        <f>IF(AND(_01towers[[#This Row],[Active TSS Result]]="Approved",_01towers[[#This Row],[Active Prevalidation Status]]="Prevalidated"),_01towers[[#This Row],[10colo_app.Colo_App_Result]],"")</f>
        <v/>
      </c>
      <c r="BA56" s="40">
        <f>COUNTIF(_20work_order[05_id],_01towers[[#This Row],[05_id]])</f>
        <v>0</v>
      </c>
      <c r="BB56" s="40">
        <f>COUNTIFS(_20work_order[05_id],_01towers[[#This Row],[05_id]],_20work_order[Actual_End],"&gt;0")</f>
        <v>0</v>
      </c>
      <c r="BC56" s="40" t="str">
        <f>IF(_01towers[[#This Row],[Completed Work Orders]]&gt;0,"Work Completed",
IF(_01towers[[#This Row],[Count Work Orders]]&gt;0,"Work in Progress",""))</f>
        <v/>
      </c>
      <c r="BD5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56" s="40" t="str">
        <f>_xlfn.SWITCH(_01towers[[#This Row],[Final Colo Status full]],"Commercial Approval Requested","Under Prevalidation",_01towers[[#This Row],[Final Colo Status full]])</f>
        <v>Prevalidation Rejected</v>
      </c>
    </row>
    <row r="57" spans="1:57" hidden="1" x14ac:dyDescent="0.35">
      <c r="A57" s="40" t="s">
        <v>196</v>
      </c>
      <c r="B57" s="40" t="s">
        <v>50</v>
      </c>
      <c r="C57" s="40" t="s">
        <v>82</v>
      </c>
      <c r="D57">
        <v>6</v>
      </c>
      <c r="E57" s="40" t="s">
        <v>66</v>
      </c>
      <c r="F57">
        <v>96.108279999999993</v>
      </c>
      <c r="G57">
        <v>21.959620000000001</v>
      </c>
      <c r="H57" s="40" t="s">
        <v>53</v>
      </c>
      <c r="I57">
        <v>53</v>
      </c>
      <c r="J57" s="40" t="s">
        <v>197</v>
      </c>
      <c r="K57" s="40" t="s">
        <v>55</v>
      </c>
      <c r="L57" s="40" t="s">
        <v>148</v>
      </c>
      <c r="M57" s="40" t="s">
        <v>57</v>
      </c>
      <c r="N57" s="40" t="s">
        <v>57</v>
      </c>
      <c r="O57" s="40" t="s">
        <v>57</v>
      </c>
      <c r="P57" s="40" t="s">
        <v>161</v>
      </c>
      <c r="Q57" s="40" t="s">
        <v>57</v>
      </c>
      <c r="R57" s="40" t="s">
        <v>57</v>
      </c>
      <c r="S57">
        <v>222</v>
      </c>
      <c r="T57">
        <v>1</v>
      </c>
      <c r="U57" s="1"/>
      <c r="V57" s="1"/>
      <c r="W57" s="1"/>
      <c r="X57" s="1"/>
      <c r="Y57" s="1"/>
      <c r="Z57" s="40"/>
      <c r="AA57">
        <v>221</v>
      </c>
      <c r="AB57">
        <v>1</v>
      </c>
      <c r="AC57" s="1"/>
      <c r="AD57" s="40"/>
      <c r="AE57" s="1"/>
      <c r="AF57" s="1"/>
      <c r="AG57" s="1"/>
      <c r="AH57" s="40"/>
      <c r="AI57" s="1"/>
      <c r="AJ57" s="40">
        <f>_xlfn.MAXIFS(_01towers[02tss.Rev],_01towers[05_id],_01towers[[#This Row],[05_id]])</f>
        <v>1</v>
      </c>
      <c r="AK57" s="40" t="b">
        <f>IF(_01towers[[#This Row],[Count Rev TSS]]=_01towers[[#This Row],[02tss.Rev]],TRUE,FALSE)</f>
        <v>1</v>
      </c>
      <c r="AL57" s="40">
        <f>_xlfn.MAXIFS(_01towers[10colo_app.Rev],_01towers[05_id],_01towers[[#This Row],[05_id]])</f>
        <v>1</v>
      </c>
      <c r="AM57" s="40" t="b">
        <f>IF(_01towers[[#This Row],[Count Rev Colo App]]=_01towers[[#This Row],[10colo_app.Rev]],TRUE,FALSE)</f>
        <v>1</v>
      </c>
      <c r="AN57" s="40" t="b">
        <f>IF(AND(_01towers[[#This Row],[Test Rev Colo]]=TRUE,_01towers[[#This Row],[Test Rev TSS]]=TRUE),TRUE,FALSE)</f>
        <v>1</v>
      </c>
      <c r="AO57" s="40" t="str">
        <f>IF(_01towers[[#This Row],[Test Active]]=TRUE,_01towers[[#This Row],[Prevalidation Status]],"")</f>
        <v>Dropped by Operator</v>
      </c>
      <c r="AP57" s="40" t="str">
        <f>IF(_01towers[[#This Row],[Active Prevalidation Status]]="Under Prevalidation",
IF(M57="","Review",M57),"")</f>
        <v/>
      </c>
      <c r="AQ57" s="40" t="str">
        <f>IF(_01towers[[#This Row],[Active Prevalidation Status]]="Under Prevalidation",
IF(N57="","Review",N57),"")</f>
        <v/>
      </c>
      <c r="AR57" s="40" t="str">
        <f>IF(_01towers[[#This Row],[Active Prevalidation Status]]="Under Prevalidation",
IF(O57="","Review",O57),"")</f>
        <v/>
      </c>
      <c r="AS57" s="40" t="str">
        <f>IF(_01towers[[#This Row],[Active Prevalidation Status]]="Under Prevalidation",
IF(P57="","Review",P57),"")</f>
        <v/>
      </c>
      <c r="AT57" s="40" t="str">
        <f>IF(_01towers[[#This Row],[Active Prevalidation Status]]="Under Prevalidation",
IF(Q57="","Review",Q57),"")</f>
        <v/>
      </c>
      <c r="AU57" s="40" t="str">
        <f>IF(_01towers[[#This Row],[Active Prevalidation Status]]="Under Prevalidation",
IF(R57="","Review",R57),"")</f>
        <v/>
      </c>
      <c r="AV57" s="40">
        <f>COUNTIF(_01towers[[#This Row],[SAQ_Result2]:[Community_Result2]],"OK")</f>
        <v>0</v>
      </c>
      <c r="AW57" s="1" t="str">
        <f>IF(AND(OR(_01towers[[#This Row],[Active Prevalidation Status]]="Under Prevalidation",_01towers[[#This Row],[Active Prevalidation Status]]="Prevalidated"),_01towers[[#This Row],[02tss.TSSR_From_Engineer]]&gt;0),"Submitted","")</f>
        <v/>
      </c>
      <c r="AX57" s="40" t="str">
        <f>IF(OR(_01towers[[#This Row],[Active Prevalidation Status]]="Under Prevalidation",_01towers[[#This Row],[Active Prevalidation Status]]="Prevalidated"),_01towers[[#This Row],[02tss.TSS_Result]],"")</f>
        <v/>
      </c>
      <c r="AY57" s="40" t="str">
        <f>IF(AND(_01towers[[#This Row],[Active TSS Result]]="Approved",_01towers[[#This Row],[Active Prevalidation Status]]="Prevalidated"),"In Process","")</f>
        <v/>
      </c>
      <c r="AZ57" s="40" t="str">
        <f>IF(AND(_01towers[[#This Row],[Active TSS Result]]="Approved",_01towers[[#This Row],[Active Prevalidation Status]]="Prevalidated"),_01towers[[#This Row],[10colo_app.Colo_App_Result]],"")</f>
        <v/>
      </c>
      <c r="BA57" s="40">
        <f>COUNTIF(_20work_order[05_id],_01towers[[#This Row],[05_id]])</f>
        <v>0</v>
      </c>
      <c r="BB57" s="40">
        <f>COUNTIFS(_20work_order[05_id],_01towers[[#This Row],[05_id]],_20work_order[Actual_End],"&gt;0")</f>
        <v>0</v>
      </c>
      <c r="BC57" s="40" t="str">
        <f>IF(_01towers[[#This Row],[Completed Work Orders]]&gt;0,"Work Completed",
IF(_01towers[[#This Row],[Count Work Orders]]&gt;0,"Work in Progress",""))</f>
        <v/>
      </c>
      <c r="BD5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Dropped by Operator</v>
      </c>
      <c r="BE57" s="40" t="str">
        <f>_xlfn.SWITCH(_01towers[[#This Row],[Final Colo Status full]],"Commercial Approval Requested","Under Prevalidation",_01towers[[#This Row],[Final Colo Status full]])</f>
        <v>Dropped by Operator</v>
      </c>
    </row>
    <row r="58" spans="1:57" hidden="1" x14ac:dyDescent="0.35">
      <c r="A58" s="40" t="s">
        <v>198</v>
      </c>
      <c r="B58" s="40" t="s">
        <v>50</v>
      </c>
      <c r="C58" s="40" t="s">
        <v>51</v>
      </c>
      <c r="D58">
        <v>35</v>
      </c>
      <c r="E58" s="40" t="s">
        <v>66</v>
      </c>
      <c r="F58">
        <v>96.099260999999998</v>
      </c>
      <c r="G58">
        <v>21.911093000000001</v>
      </c>
      <c r="H58" s="40" t="s">
        <v>53</v>
      </c>
      <c r="I58">
        <v>54</v>
      </c>
      <c r="J58" s="40" t="s">
        <v>199</v>
      </c>
      <c r="K58" s="40" t="s">
        <v>55</v>
      </c>
      <c r="L58" s="40" t="s">
        <v>148</v>
      </c>
      <c r="M58" s="40" t="s">
        <v>57</v>
      </c>
      <c r="N58" s="40" t="s">
        <v>57</v>
      </c>
      <c r="O58" s="40" t="s">
        <v>57</v>
      </c>
      <c r="P58" s="40" t="s">
        <v>57</v>
      </c>
      <c r="Q58" s="40" t="s">
        <v>57</v>
      </c>
      <c r="R58" s="40" t="s">
        <v>57</v>
      </c>
      <c r="S58">
        <v>223</v>
      </c>
      <c r="T58">
        <v>1</v>
      </c>
      <c r="U58" s="1"/>
      <c r="V58" s="1"/>
      <c r="W58" s="1">
        <v>43251</v>
      </c>
      <c r="X58" s="1">
        <v>43251</v>
      </c>
      <c r="Y58" s="1"/>
      <c r="Z58" s="40" t="s">
        <v>59</v>
      </c>
      <c r="AA58">
        <v>222</v>
      </c>
      <c r="AB58">
        <v>1</v>
      </c>
      <c r="AC58" s="1"/>
      <c r="AD58" s="40"/>
      <c r="AE58" s="1"/>
      <c r="AF58" s="1"/>
      <c r="AG58" s="1"/>
      <c r="AH58" s="40"/>
      <c r="AI58" s="1"/>
      <c r="AJ58" s="40">
        <f>_xlfn.MAXIFS(_01towers[02tss.Rev],_01towers[05_id],_01towers[[#This Row],[05_id]])</f>
        <v>1</v>
      </c>
      <c r="AK58" s="40" t="b">
        <f>IF(_01towers[[#This Row],[Count Rev TSS]]=_01towers[[#This Row],[02tss.Rev]],TRUE,FALSE)</f>
        <v>1</v>
      </c>
      <c r="AL58" s="40">
        <f>_xlfn.MAXIFS(_01towers[10colo_app.Rev],_01towers[05_id],_01towers[[#This Row],[05_id]])</f>
        <v>1</v>
      </c>
      <c r="AM58" s="40" t="b">
        <f>IF(_01towers[[#This Row],[Count Rev Colo App]]=_01towers[[#This Row],[10colo_app.Rev]],TRUE,FALSE)</f>
        <v>1</v>
      </c>
      <c r="AN58" s="40" t="b">
        <f>IF(AND(_01towers[[#This Row],[Test Rev Colo]]=TRUE,_01towers[[#This Row],[Test Rev TSS]]=TRUE),TRUE,FALSE)</f>
        <v>1</v>
      </c>
      <c r="AO58" s="40" t="str">
        <f>IF(_01towers[[#This Row],[Test Active]]=TRUE,_01towers[[#This Row],[Prevalidation Status]],"")</f>
        <v>Dropped by Operator</v>
      </c>
      <c r="AP58" s="40" t="str">
        <f>IF(_01towers[[#This Row],[Active Prevalidation Status]]="Under Prevalidation",
IF(M58="","Review",M58),"")</f>
        <v/>
      </c>
      <c r="AQ58" s="40" t="str">
        <f>IF(_01towers[[#This Row],[Active Prevalidation Status]]="Under Prevalidation",
IF(N58="","Review",N58),"")</f>
        <v/>
      </c>
      <c r="AR58" s="40" t="str">
        <f>IF(_01towers[[#This Row],[Active Prevalidation Status]]="Under Prevalidation",
IF(O58="","Review",O58),"")</f>
        <v/>
      </c>
      <c r="AS58" s="40" t="str">
        <f>IF(_01towers[[#This Row],[Active Prevalidation Status]]="Under Prevalidation",
IF(P58="","Review",P58),"")</f>
        <v/>
      </c>
      <c r="AT58" s="40" t="str">
        <f>IF(_01towers[[#This Row],[Active Prevalidation Status]]="Under Prevalidation",
IF(Q58="","Review",Q58),"")</f>
        <v/>
      </c>
      <c r="AU58" s="40" t="str">
        <f>IF(_01towers[[#This Row],[Active Prevalidation Status]]="Under Prevalidation",
IF(R58="","Review",R58),"")</f>
        <v/>
      </c>
      <c r="AV58" s="40">
        <f>COUNTIF(_01towers[[#This Row],[SAQ_Result2]:[Community_Result2]],"OK")</f>
        <v>0</v>
      </c>
      <c r="AW58" s="1" t="str">
        <f>IF(AND(OR(_01towers[[#This Row],[Active Prevalidation Status]]="Under Prevalidation",_01towers[[#This Row],[Active Prevalidation Status]]="Prevalidated"),_01towers[[#This Row],[02tss.TSSR_From_Engineer]]&gt;0),"Submitted","")</f>
        <v/>
      </c>
      <c r="AX58" s="40" t="str">
        <f>IF(OR(_01towers[[#This Row],[Active Prevalidation Status]]="Under Prevalidation",_01towers[[#This Row],[Active Prevalidation Status]]="Prevalidated"),_01towers[[#This Row],[02tss.TSS_Result]],"")</f>
        <v/>
      </c>
      <c r="AY58" s="40" t="str">
        <f>IF(AND(_01towers[[#This Row],[Active TSS Result]]="Approved",_01towers[[#This Row],[Active Prevalidation Status]]="Prevalidated"),"In Process","")</f>
        <v/>
      </c>
      <c r="AZ58" s="40" t="str">
        <f>IF(AND(_01towers[[#This Row],[Active TSS Result]]="Approved",_01towers[[#This Row],[Active Prevalidation Status]]="Prevalidated"),_01towers[[#This Row],[10colo_app.Colo_App_Result]],"")</f>
        <v/>
      </c>
      <c r="BA58" s="40">
        <f>COUNTIF(_20work_order[05_id],_01towers[[#This Row],[05_id]])</f>
        <v>0</v>
      </c>
      <c r="BB58" s="40">
        <f>COUNTIFS(_20work_order[05_id],_01towers[[#This Row],[05_id]],_20work_order[Actual_End],"&gt;0")</f>
        <v>0</v>
      </c>
      <c r="BC58" s="40" t="str">
        <f>IF(_01towers[[#This Row],[Completed Work Orders]]&gt;0,"Work Completed",
IF(_01towers[[#This Row],[Count Work Orders]]&gt;0,"Work in Progress",""))</f>
        <v/>
      </c>
      <c r="BD5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Dropped by Operator</v>
      </c>
      <c r="BE58" s="40" t="str">
        <f>_xlfn.SWITCH(_01towers[[#This Row],[Final Colo Status full]],"Commercial Approval Requested","Under Prevalidation",_01towers[[#This Row],[Final Colo Status full]])</f>
        <v>Dropped by Operator</v>
      </c>
    </row>
    <row r="59" spans="1:57" hidden="1" x14ac:dyDescent="0.35">
      <c r="A59" s="40" t="s">
        <v>200</v>
      </c>
      <c r="B59" s="40" t="s">
        <v>50</v>
      </c>
      <c r="C59" s="40" t="s">
        <v>51</v>
      </c>
      <c r="D59">
        <v>35</v>
      </c>
      <c r="E59" s="40" t="s">
        <v>66</v>
      </c>
      <c r="F59">
        <v>96.070260000000005</v>
      </c>
      <c r="G59">
        <v>22.002685</v>
      </c>
      <c r="H59" s="40" t="s">
        <v>62</v>
      </c>
      <c r="I59">
        <v>55</v>
      </c>
      <c r="J59" s="40" t="s">
        <v>201</v>
      </c>
      <c r="K59" s="40" t="s">
        <v>55</v>
      </c>
      <c r="L59" s="40" t="s">
        <v>64</v>
      </c>
      <c r="M59" s="40" t="s">
        <v>57</v>
      </c>
      <c r="N59" s="40" t="s">
        <v>57</v>
      </c>
      <c r="O59" s="40" t="s">
        <v>57</v>
      </c>
      <c r="P59" s="40" t="s">
        <v>57</v>
      </c>
      <c r="Q59" s="40" t="s">
        <v>57</v>
      </c>
      <c r="R59" s="40" t="s">
        <v>57</v>
      </c>
      <c r="S59">
        <v>224</v>
      </c>
      <c r="T59">
        <v>1</v>
      </c>
      <c r="U59" s="1"/>
      <c r="V59" s="1"/>
      <c r="W59" s="1">
        <v>43251</v>
      </c>
      <c r="X59" s="1">
        <v>43251</v>
      </c>
      <c r="Y59" s="1"/>
      <c r="Z59" s="40" t="s">
        <v>59</v>
      </c>
      <c r="AA59">
        <v>223</v>
      </c>
      <c r="AB59">
        <v>1</v>
      </c>
      <c r="AC59" s="1">
        <v>43304</v>
      </c>
      <c r="AD59" s="40" t="s">
        <v>59</v>
      </c>
      <c r="AE59" s="1"/>
      <c r="AF59" s="1"/>
      <c r="AG59" s="1"/>
      <c r="AH59" s="40"/>
      <c r="AI59" s="1"/>
      <c r="AJ59" s="40">
        <f>_xlfn.MAXIFS(_01towers[02tss.Rev],_01towers[05_id],_01towers[[#This Row],[05_id]])</f>
        <v>1</v>
      </c>
      <c r="AK59" s="40" t="b">
        <f>IF(_01towers[[#This Row],[Count Rev TSS]]=_01towers[[#This Row],[02tss.Rev]],TRUE,FALSE)</f>
        <v>1</v>
      </c>
      <c r="AL59" s="40">
        <f>_xlfn.MAXIFS(_01towers[10colo_app.Rev],_01towers[05_id],_01towers[[#This Row],[05_id]])</f>
        <v>1</v>
      </c>
      <c r="AM59" s="40" t="b">
        <f>IF(_01towers[[#This Row],[Count Rev Colo App]]=_01towers[[#This Row],[10colo_app.Rev]],TRUE,FALSE)</f>
        <v>1</v>
      </c>
      <c r="AN59" s="40" t="b">
        <f>IF(AND(_01towers[[#This Row],[Test Rev Colo]]=TRUE,_01towers[[#This Row],[Test Rev TSS]]=TRUE),TRUE,FALSE)</f>
        <v>1</v>
      </c>
      <c r="AO59" s="40" t="str">
        <f>IF(_01towers[[#This Row],[Test Active]]=TRUE,_01towers[[#This Row],[Prevalidation Status]],"")</f>
        <v>Prevalidated</v>
      </c>
      <c r="AP59" s="40" t="str">
        <f>IF(_01towers[[#This Row],[Active Prevalidation Status]]="Under Prevalidation",
IF(M59="","Review",M59),"")</f>
        <v/>
      </c>
      <c r="AQ59" s="40" t="str">
        <f>IF(_01towers[[#This Row],[Active Prevalidation Status]]="Under Prevalidation",
IF(N59="","Review",N59),"")</f>
        <v/>
      </c>
      <c r="AR59" s="40" t="str">
        <f>IF(_01towers[[#This Row],[Active Prevalidation Status]]="Under Prevalidation",
IF(O59="","Review",O59),"")</f>
        <v/>
      </c>
      <c r="AS59" s="40" t="str">
        <f>IF(_01towers[[#This Row],[Active Prevalidation Status]]="Under Prevalidation",
IF(P59="","Review",P59),"")</f>
        <v/>
      </c>
      <c r="AT59" s="40" t="str">
        <f>IF(_01towers[[#This Row],[Active Prevalidation Status]]="Under Prevalidation",
IF(Q59="","Review",Q59),"")</f>
        <v/>
      </c>
      <c r="AU59" s="40" t="str">
        <f>IF(_01towers[[#This Row],[Active Prevalidation Status]]="Under Prevalidation",
IF(R59="","Review",R59),"")</f>
        <v/>
      </c>
      <c r="AV59" s="40">
        <f>COUNTIF(_01towers[[#This Row],[SAQ_Result2]:[Community_Result2]],"OK")</f>
        <v>0</v>
      </c>
      <c r="AW59" s="1" t="str">
        <f>IF(AND(OR(_01towers[[#This Row],[Active Prevalidation Status]]="Under Prevalidation",_01towers[[#This Row],[Active Prevalidation Status]]="Prevalidated"),_01towers[[#This Row],[02tss.TSSR_From_Engineer]]&gt;0),"Submitted","")</f>
        <v>Submitted</v>
      </c>
      <c r="AX59" s="40" t="str">
        <f>IF(OR(_01towers[[#This Row],[Active Prevalidation Status]]="Under Prevalidation",_01towers[[#This Row],[Active Prevalidation Status]]="Prevalidated"),_01towers[[#This Row],[02tss.TSS_Result]],"")</f>
        <v>Approved</v>
      </c>
      <c r="AY59" s="40" t="str">
        <f>IF(AND(_01towers[[#This Row],[Active TSS Result]]="Approved",_01towers[[#This Row],[Active Prevalidation Status]]="Prevalidated"),"In Process","")</f>
        <v>In Process</v>
      </c>
      <c r="AZ59" s="40" t="str">
        <f>IF(AND(_01towers[[#This Row],[Active TSS Result]]="Approved",_01towers[[#This Row],[Active Prevalidation Status]]="Prevalidated"),_01towers[[#This Row],[10colo_app.Colo_App_Result]],"")</f>
        <v>Approved</v>
      </c>
      <c r="BA59" s="40">
        <f>COUNTIF(_20work_order[05_id],_01towers[[#This Row],[05_id]])</f>
        <v>0</v>
      </c>
      <c r="BB59" s="40">
        <f>COUNTIFS(_20work_order[05_id],_01towers[[#This Row],[05_id]],_20work_order[Actual_End],"&gt;0")</f>
        <v>0</v>
      </c>
      <c r="BC59" s="40" t="str">
        <f>IF(_01towers[[#This Row],[Completed Work Orders]]&gt;0,"Work Completed",
IF(_01towers[[#This Row],[Count Work Orders]]&gt;0,"Work in Progress",""))</f>
        <v/>
      </c>
      <c r="BD5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59" s="40" t="str">
        <f>_xlfn.SWITCH(_01towers[[#This Row],[Final Colo Status full]],"Commercial Approval Requested","Under Prevalidation",_01towers[[#This Row],[Final Colo Status full]])</f>
        <v>Colo Application Approved</v>
      </c>
    </row>
    <row r="60" spans="1:57" hidden="1" x14ac:dyDescent="0.35">
      <c r="A60" s="40" t="s">
        <v>202</v>
      </c>
      <c r="B60" s="40" t="s">
        <v>50</v>
      </c>
      <c r="C60" s="40" t="s">
        <v>82</v>
      </c>
      <c r="D60">
        <v>6</v>
      </c>
      <c r="E60" s="40" t="s">
        <v>66</v>
      </c>
      <c r="F60">
        <v>96.079610000000002</v>
      </c>
      <c r="G60">
        <v>21.99869</v>
      </c>
      <c r="H60" s="40" t="s">
        <v>53</v>
      </c>
      <c r="I60">
        <v>56</v>
      </c>
      <c r="J60" s="40" t="s">
        <v>203</v>
      </c>
      <c r="K60" s="40" t="s">
        <v>55</v>
      </c>
      <c r="L60" s="40" t="s">
        <v>148</v>
      </c>
      <c r="M60" s="40" t="s">
        <v>57</v>
      </c>
      <c r="N60" s="40" t="s">
        <v>57</v>
      </c>
      <c r="O60" s="40" t="s">
        <v>57</v>
      </c>
      <c r="P60" s="40" t="s">
        <v>57</v>
      </c>
      <c r="Q60" s="40"/>
      <c r="R60" s="40" t="s">
        <v>57</v>
      </c>
      <c r="S60">
        <v>225</v>
      </c>
      <c r="T60">
        <v>1</v>
      </c>
      <c r="U60" s="1"/>
      <c r="V60" s="1"/>
      <c r="W60" s="1"/>
      <c r="X60" s="1"/>
      <c r="Y60" s="1"/>
      <c r="Z60" s="40"/>
      <c r="AA60">
        <v>224</v>
      </c>
      <c r="AB60">
        <v>1</v>
      </c>
      <c r="AC60" s="1"/>
      <c r="AD60" s="40"/>
      <c r="AE60" s="1"/>
      <c r="AF60" s="1"/>
      <c r="AG60" s="1"/>
      <c r="AH60" s="40"/>
      <c r="AI60" s="1"/>
      <c r="AJ60" s="40">
        <f>_xlfn.MAXIFS(_01towers[02tss.Rev],_01towers[05_id],_01towers[[#This Row],[05_id]])</f>
        <v>1</v>
      </c>
      <c r="AK60" s="40" t="b">
        <f>IF(_01towers[[#This Row],[Count Rev TSS]]=_01towers[[#This Row],[02tss.Rev]],TRUE,FALSE)</f>
        <v>1</v>
      </c>
      <c r="AL60" s="40">
        <f>_xlfn.MAXIFS(_01towers[10colo_app.Rev],_01towers[05_id],_01towers[[#This Row],[05_id]])</f>
        <v>1</v>
      </c>
      <c r="AM60" s="40" t="b">
        <f>IF(_01towers[[#This Row],[Count Rev Colo App]]=_01towers[[#This Row],[10colo_app.Rev]],TRUE,FALSE)</f>
        <v>1</v>
      </c>
      <c r="AN60" s="40" t="b">
        <f>IF(AND(_01towers[[#This Row],[Test Rev Colo]]=TRUE,_01towers[[#This Row],[Test Rev TSS]]=TRUE),TRUE,FALSE)</f>
        <v>1</v>
      </c>
      <c r="AO60" s="40" t="str">
        <f>IF(_01towers[[#This Row],[Test Active]]=TRUE,_01towers[[#This Row],[Prevalidation Status]],"")</f>
        <v>Dropped by Operator</v>
      </c>
      <c r="AP60" s="40" t="str">
        <f>IF(_01towers[[#This Row],[Active Prevalidation Status]]="Under Prevalidation",
IF(M60="","Review",M60),"")</f>
        <v/>
      </c>
      <c r="AQ60" s="40" t="str">
        <f>IF(_01towers[[#This Row],[Active Prevalidation Status]]="Under Prevalidation",
IF(N60="","Review",N60),"")</f>
        <v/>
      </c>
      <c r="AR60" s="40" t="str">
        <f>IF(_01towers[[#This Row],[Active Prevalidation Status]]="Under Prevalidation",
IF(O60="","Review",O60),"")</f>
        <v/>
      </c>
      <c r="AS60" s="40" t="str">
        <f>IF(_01towers[[#This Row],[Active Prevalidation Status]]="Under Prevalidation",
IF(P60="","Review",P60),"")</f>
        <v/>
      </c>
      <c r="AT60" s="40" t="str">
        <f>IF(_01towers[[#This Row],[Active Prevalidation Status]]="Under Prevalidation",
IF(Q60="","Review",Q60),"")</f>
        <v/>
      </c>
      <c r="AU60" s="40" t="str">
        <f>IF(_01towers[[#This Row],[Active Prevalidation Status]]="Under Prevalidation",
IF(R60="","Review",R60),"")</f>
        <v/>
      </c>
      <c r="AV60" s="40">
        <f>COUNTIF(_01towers[[#This Row],[SAQ_Result2]:[Community_Result2]],"OK")</f>
        <v>0</v>
      </c>
      <c r="AW60" s="1" t="str">
        <f>IF(AND(OR(_01towers[[#This Row],[Active Prevalidation Status]]="Under Prevalidation",_01towers[[#This Row],[Active Prevalidation Status]]="Prevalidated"),_01towers[[#This Row],[02tss.TSSR_From_Engineer]]&gt;0),"Submitted","")</f>
        <v/>
      </c>
      <c r="AX60" s="40" t="str">
        <f>IF(OR(_01towers[[#This Row],[Active Prevalidation Status]]="Under Prevalidation",_01towers[[#This Row],[Active Prevalidation Status]]="Prevalidated"),_01towers[[#This Row],[02tss.TSS_Result]],"")</f>
        <v/>
      </c>
      <c r="AY60" s="40" t="str">
        <f>IF(AND(_01towers[[#This Row],[Active TSS Result]]="Approved",_01towers[[#This Row],[Active Prevalidation Status]]="Prevalidated"),"In Process","")</f>
        <v/>
      </c>
      <c r="AZ60" s="40" t="str">
        <f>IF(AND(_01towers[[#This Row],[Active TSS Result]]="Approved",_01towers[[#This Row],[Active Prevalidation Status]]="Prevalidated"),_01towers[[#This Row],[10colo_app.Colo_App_Result]],"")</f>
        <v/>
      </c>
      <c r="BA60" s="40">
        <f>COUNTIF(_20work_order[05_id],_01towers[[#This Row],[05_id]])</f>
        <v>0</v>
      </c>
      <c r="BB60" s="40">
        <f>COUNTIFS(_20work_order[05_id],_01towers[[#This Row],[05_id]],_20work_order[Actual_End],"&gt;0")</f>
        <v>0</v>
      </c>
      <c r="BC60" s="40" t="str">
        <f>IF(_01towers[[#This Row],[Completed Work Orders]]&gt;0,"Work Completed",
IF(_01towers[[#This Row],[Count Work Orders]]&gt;0,"Work in Progress",""))</f>
        <v/>
      </c>
      <c r="BD6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Dropped by Operator</v>
      </c>
      <c r="BE60" s="40" t="str">
        <f>_xlfn.SWITCH(_01towers[[#This Row],[Final Colo Status full]],"Commercial Approval Requested","Under Prevalidation",_01towers[[#This Row],[Final Colo Status full]])</f>
        <v>Dropped by Operator</v>
      </c>
    </row>
    <row r="61" spans="1:57" hidden="1" x14ac:dyDescent="0.35">
      <c r="A61" s="40" t="s">
        <v>204</v>
      </c>
      <c r="B61" s="40" t="s">
        <v>90</v>
      </c>
      <c r="C61" s="40" t="s">
        <v>82</v>
      </c>
      <c r="D61">
        <v>9</v>
      </c>
      <c r="E61" s="40" t="s">
        <v>98</v>
      </c>
      <c r="F61">
        <v>96.231740000000002</v>
      </c>
      <c r="G61">
        <v>16.81409</v>
      </c>
      <c r="H61" s="40" t="s">
        <v>99</v>
      </c>
      <c r="I61">
        <v>57</v>
      </c>
      <c r="J61" s="40" t="s">
        <v>205</v>
      </c>
      <c r="K61" s="40" t="s">
        <v>136</v>
      </c>
      <c r="L61" s="40" t="s">
        <v>64</v>
      </c>
      <c r="M61" s="40" t="s">
        <v>57</v>
      </c>
      <c r="N61" s="40" t="s">
        <v>57</v>
      </c>
      <c r="O61" s="40" t="s">
        <v>57</v>
      </c>
      <c r="P61" s="40" t="s">
        <v>57</v>
      </c>
      <c r="Q61" s="40" t="s">
        <v>57</v>
      </c>
      <c r="R61" s="40" t="s">
        <v>57</v>
      </c>
      <c r="S61">
        <v>158</v>
      </c>
      <c r="T61">
        <v>1</v>
      </c>
      <c r="U61" s="1">
        <v>43242</v>
      </c>
      <c r="V61" s="1">
        <v>43243</v>
      </c>
      <c r="W61" s="1">
        <v>43243</v>
      </c>
      <c r="X61" s="1">
        <v>43243</v>
      </c>
      <c r="Y61" s="1"/>
      <c r="Z61" s="40" t="s">
        <v>59</v>
      </c>
      <c r="AA61">
        <v>157</v>
      </c>
      <c r="AB61">
        <v>1</v>
      </c>
      <c r="AC61" s="1">
        <v>43249</v>
      </c>
      <c r="AD61" s="40" t="s">
        <v>570</v>
      </c>
      <c r="AE61" s="1"/>
      <c r="AF61" s="1"/>
      <c r="AG61" s="1"/>
      <c r="AH61" s="40"/>
      <c r="AI61" s="1"/>
      <c r="AJ61" s="40">
        <f>_xlfn.MAXIFS(_01towers[02tss.Rev],_01towers[05_id],_01towers[[#This Row],[05_id]])</f>
        <v>1</v>
      </c>
      <c r="AK61" s="40" t="b">
        <f>IF(_01towers[[#This Row],[Count Rev TSS]]=_01towers[[#This Row],[02tss.Rev]],TRUE,FALSE)</f>
        <v>1</v>
      </c>
      <c r="AL61" s="40">
        <f>_xlfn.MAXIFS(_01towers[10colo_app.Rev],_01towers[05_id],_01towers[[#This Row],[05_id]])</f>
        <v>1</v>
      </c>
      <c r="AM61" s="40" t="b">
        <f>IF(_01towers[[#This Row],[Count Rev Colo App]]=_01towers[[#This Row],[10colo_app.Rev]],TRUE,FALSE)</f>
        <v>1</v>
      </c>
      <c r="AN61" s="40" t="b">
        <f>IF(AND(_01towers[[#This Row],[Test Rev Colo]]=TRUE,_01towers[[#This Row],[Test Rev TSS]]=TRUE),TRUE,FALSE)</f>
        <v>1</v>
      </c>
      <c r="AO61" s="40" t="str">
        <f>IF(_01towers[[#This Row],[Test Active]]=TRUE,_01towers[[#This Row],[Prevalidation Status]],"")</f>
        <v>Prevalidated</v>
      </c>
      <c r="AP61" s="40" t="str">
        <f>IF(_01towers[[#This Row],[Active Prevalidation Status]]="Under Prevalidation",
IF(M61="","Review",M61),"")</f>
        <v/>
      </c>
      <c r="AQ61" s="40" t="str">
        <f>IF(_01towers[[#This Row],[Active Prevalidation Status]]="Under Prevalidation",
IF(N61="","Review",N61),"")</f>
        <v/>
      </c>
      <c r="AR61" s="40" t="str">
        <f>IF(_01towers[[#This Row],[Active Prevalidation Status]]="Under Prevalidation",
IF(O61="","Review",O61),"")</f>
        <v/>
      </c>
      <c r="AS61" s="40" t="str">
        <f>IF(_01towers[[#This Row],[Active Prevalidation Status]]="Under Prevalidation",
IF(P61="","Review",P61),"")</f>
        <v/>
      </c>
      <c r="AT61" s="40" t="str">
        <f>IF(_01towers[[#This Row],[Active Prevalidation Status]]="Under Prevalidation",
IF(Q61="","Review",Q61),"")</f>
        <v/>
      </c>
      <c r="AU61" s="40" t="str">
        <f>IF(_01towers[[#This Row],[Active Prevalidation Status]]="Under Prevalidation",
IF(R61="","Review",R61),"")</f>
        <v/>
      </c>
      <c r="AV61" s="40">
        <f>COUNTIF(_01towers[[#This Row],[SAQ_Result2]:[Community_Result2]],"OK")</f>
        <v>0</v>
      </c>
      <c r="AW61" s="1" t="str">
        <f>IF(AND(OR(_01towers[[#This Row],[Active Prevalidation Status]]="Under Prevalidation",_01towers[[#This Row],[Active Prevalidation Status]]="Prevalidated"),_01towers[[#This Row],[02tss.TSSR_From_Engineer]]&gt;0),"Submitted","")</f>
        <v>Submitted</v>
      </c>
      <c r="AX61" s="40" t="str">
        <f>IF(OR(_01towers[[#This Row],[Active Prevalidation Status]]="Under Prevalidation",_01towers[[#This Row],[Active Prevalidation Status]]="Prevalidated"),_01towers[[#This Row],[02tss.TSS_Result]],"")</f>
        <v>Approved</v>
      </c>
      <c r="AY61" s="40" t="str">
        <f>IF(AND(_01towers[[#This Row],[Active TSS Result]]="Approved",_01towers[[#This Row],[Active Prevalidation Status]]="Prevalidated"),"In Process","")</f>
        <v>In Process</v>
      </c>
      <c r="AZ61" s="40" t="str">
        <f>IF(AND(_01towers[[#This Row],[Active TSS Result]]="Approved",_01towers[[#This Row],[Active Prevalidation Status]]="Prevalidated"),_01towers[[#This Row],[10colo_app.Colo_App_Result]],"")</f>
        <v>NTP Received</v>
      </c>
      <c r="BA61" s="40">
        <f>COUNTIF(_20work_order[05_id],_01towers[[#This Row],[05_id]])</f>
        <v>0</v>
      </c>
      <c r="BB61" s="40">
        <f>COUNTIFS(_20work_order[05_id],_01towers[[#This Row],[05_id]],_20work_order[Actual_End],"&gt;0")</f>
        <v>0</v>
      </c>
      <c r="BC61" s="40" t="str">
        <f>IF(_01towers[[#This Row],[Completed Work Orders]]&gt;0,"Work Completed",
IF(_01towers[[#This Row],[Count Work Orders]]&gt;0,"Work in Progress",""))</f>
        <v/>
      </c>
      <c r="BD6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61" s="40" t="str">
        <f>_xlfn.SWITCH(_01towers[[#This Row],[Final Colo Status full]],"Commercial Approval Requested","Under Prevalidation",_01towers[[#This Row],[Final Colo Status full]])</f>
        <v>NTP Received</v>
      </c>
    </row>
    <row r="62" spans="1:57" hidden="1" x14ac:dyDescent="0.35">
      <c r="A62" s="40" t="s">
        <v>206</v>
      </c>
      <c r="B62" s="40" t="s">
        <v>90</v>
      </c>
      <c r="C62" s="40" t="s">
        <v>82</v>
      </c>
      <c r="D62">
        <v>6</v>
      </c>
      <c r="E62" s="40" t="s">
        <v>91</v>
      </c>
      <c r="F62">
        <v>97.658739999999995</v>
      </c>
      <c r="G62">
        <v>16.872949999999999</v>
      </c>
      <c r="H62" s="40" t="s">
        <v>53</v>
      </c>
      <c r="I62">
        <v>59</v>
      </c>
      <c r="J62" s="40" t="s">
        <v>207</v>
      </c>
      <c r="K62" s="40" t="s">
        <v>136</v>
      </c>
      <c r="L62" s="40" t="s">
        <v>64</v>
      </c>
      <c r="M62" s="40" t="s">
        <v>57</v>
      </c>
      <c r="N62" s="40" t="s">
        <v>57</v>
      </c>
      <c r="O62" s="40" t="s">
        <v>57</v>
      </c>
      <c r="P62" s="40" t="s">
        <v>57</v>
      </c>
      <c r="Q62" s="40" t="s">
        <v>57</v>
      </c>
      <c r="R62" s="40" t="s">
        <v>57</v>
      </c>
      <c r="S62">
        <v>93</v>
      </c>
      <c r="T62">
        <v>1</v>
      </c>
      <c r="U62" s="1">
        <v>43243</v>
      </c>
      <c r="V62" s="1">
        <v>43243</v>
      </c>
      <c r="W62" s="1">
        <v>43243</v>
      </c>
      <c r="X62" s="1">
        <v>43243</v>
      </c>
      <c r="Y62" s="1"/>
      <c r="Z62" s="40" t="s">
        <v>59</v>
      </c>
      <c r="AA62">
        <v>92</v>
      </c>
      <c r="AB62">
        <v>1</v>
      </c>
      <c r="AC62" s="1">
        <v>43249</v>
      </c>
      <c r="AD62" s="40" t="s">
        <v>570</v>
      </c>
      <c r="AE62" s="1"/>
      <c r="AF62" s="1"/>
      <c r="AG62" s="1"/>
      <c r="AH62" s="40"/>
      <c r="AI62" s="1"/>
      <c r="AJ62" s="40">
        <f>_xlfn.MAXIFS(_01towers[02tss.Rev],_01towers[05_id],_01towers[[#This Row],[05_id]])</f>
        <v>1</v>
      </c>
      <c r="AK62" s="40" t="b">
        <f>IF(_01towers[[#This Row],[Count Rev TSS]]=_01towers[[#This Row],[02tss.Rev]],TRUE,FALSE)</f>
        <v>1</v>
      </c>
      <c r="AL62" s="40">
        <f>_xlfn.MAXIFS(_01towers[10colo_app.Rev],_01towers[05_id],_01towers[[#This Row],[05_id]])</f>
        <v>1</v>
      </c>
      <c r="AM62" s="40" t="b">
        <f>IF(_01towers[[#This Row],[Count Rev Colo App]]=_01towers[[#This Row],[10colo_app.Rev]],TRUE,FALSE)</f>
        <v>1</v>
      </c>
      <c r="AN62" s="40" t="b">
        <f>IF(AND(_01towers[[#This Row],[Test Rev Colo]]=TRUE,_01towers[[#This Row],[Test Rev TSS]]=TRUE),TRUE,FALSE)</f>
        <v>1</v>
      </c>
      <c r="AO62" s="40" t="str">
        <f>IF(_01towers[[#This Row],[Test Active]]=TRUE,_01towers[[#This Row],[Prevalidation Status]],"")</f>
        <v>Prevalidated</v>
      </c>
      <c r="AP62" s="40" t="str">
        <f>IF(_01towers[[#This Row],[Active Prevalidation Status]]="Under Prevalidation",
IF(M62="","Review",M62),"")</f>
        <v/>
      </c>
      <c r="AQ62" s="40" t="str">
        <f>IF(_01towers[[#This Row],[Active Prevalidation Status]]="Under Prevalidation",
IF(N62="","Review",N62),"")</f>
        <v/>
      </c>
      <c r="AR62" s="40" t="str">
        <f>IF(_01towers[[#This Row],[Active Prevalidation Status]]="Under Prevalidation",
IF(O62="","Review",O62),"")</f>
        <v/>
      </c>
      <c r="AS62" s="40" t="str">
        <f>IF(_01towers[[#This Row],[Active Prevalidation Status]]="Under Prevalidation",
IF(P62="","Review",P62),"")</f>
        <v/>
      </c>
      <c r="AT62" s="40" t="str">
        <f>IF(_01towers[[#This Row],[Active Prevalidation Status]]="Under Prevalidation",
IF(Q62="","Review",Q62),"")</f>
        <v/>
      </c>
      <c r="AU62" s="40" t="str">
        <f>IF(_01towers[[#This Row],[Active Prevalidation Status]]="Under Prevalidation",
IF(R62="","Review",R62),"")</f>
        <v/>
      </c>
      <c r="AV62" s="40">
        <f>COUNTIF(_01towers[[#This Row],[SAQ_Result2]:[Community_Result2]],"OK")</f>
        <v>0</v>
      </c>
      <c r="AW62" s="1" t="str">
        <f>IF(AND(OR(_01towers[[#This Row],[Active Prevalidation Status]]="Under Prevalidation",_01towers[[#This Row],[Active Prevalidation Status]]="Prevalidated"),_01towers[[#This Row],[02tss.TSSR_From_Engineer]]&gt;0),"Submitted","")</f>
        <v>Submitted</v>
      </c>
      <c r="AX62" s="40" t="str">
        <f>IF(OR(_01towers[[#This Row],[Active Prevalidation Status]]="Under Prevalidation",_01towers[[#This Row],[Active Prevalidation Status]]="Prevalidated"),_01towers[[#This Row],[02tss.TSS_Result]],"")</f>
        <v>Approved</v>
      </c>
      <c r="AY62" s="40" t="str">
        <f>IF(AND(_01towers[[#This Row],[Active TSS Result]]="Approved",_01towers[[#This Row],[Active Prevalidation Status]]="Prevalidated"),"In Process","")</f>
        <v>In Process</v>
      </c>
      <c r="AZ62" s="40" t="str">
        <f>IF(AND(_01towers[[#This Row],[Active TSS Result]]="Approved",_01towers[[#This Row],[Active Prevalidation Status]]="Prevalidated"),_01towers[[#This Row],[10colo_app.Colo_App_Result]],"")</f>
        <v>NTP Received</v>
      </c>
      <c r="BA62" s="40">
        <f>COUNTIF(_20work_order[05_id],_01towers[[#This Row],[05_id]])</f>
        <v>0</v>
      </c>
      <c r="BB62" s="40">
        <f>COUNTIFS(_20work_order[05_id],_01towers[[#This Row],[05_id]],_20work_order[Actual_End],"&gt;0")</f>
        <v>0</v>
      </c>
      <c r="BC62" s="40" t="str">
        <f>IF(_01towers[[#This Row],[Completed Work Orders]]&gt;0,"Work Completed",
IF(_01towers[[#This Row],[Count Work Orders]]&gt;0,"Work in Progress",""))</f>
        <v/>
      </c>
      <c r="BD6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62" s="40" t="str">
        <f>_xlfn.SWITCH(_01towers[[#This Row],[Final Colo Status full]],"Commercial Approval Requested","Under Prevalidation",_01towers[[#This Row],[Final Colo Status full]])</f>
        <v>NTP Received</v>
      </c>
    </row>
    <row r="63" spans="1:57" hidden="1" x14ac:dyDescent="0.35">
      <c r="A63" s="40" t="s">
        <v>208</v>
      </c>
      <c r="B63" s="40" t="s">
        <v>90</v>
      </c>
      <c r="C63" s="40" t="s">
        <v>82</v>
      </c>
      <c r="D63">
        <v>6</v>
      </c>
      <c r="E63" s="40" t="s">
        <v>98</v>
      </c>
      <c r="F63">
        <v>96.115949999999998</v>
      </c>
      <c r="G63">
        <v>16.87481</v>
      </c>
      <c r="H63" s="40" t="s">
        <v>62</v>
      </c>
      <c r="I63">
        <v>60</v>
      </c>
      <c r="J63" s="40" t="s">
        <v>209</v>
      </c>
      <c r="K63" s="40" t="s">
        <v>136</v>
      </c>
      <c r="L63" s="40" t="s">
        <v>74</v>
      </c>
      <c r="M63" s="40" t="s">
        <v>75</v>
      </c>
      <c r="N63" s="40"/>
      <c r="O63" s="40" t="s">
        <v>58</v>
      </c>
      <c r="P63" s="40" t="s">
        <v>58</v>
      </c>
      <c r="Q63" s="40"/>
      <c r="R63" s="40" t="s">
        <v>57</v>
      </c>
      <c r="S63">
        <v>141</v>
      </c>
      <c r="T63">
        <v>1</v>
      </c>
      <c r="U63" s="1"/>
      <c r="V63" s="1"/>
      <c r="W63" s="1"/>
      <c r="X63" s="1"/>
      <c r="Y63" s="1"/>
      <c r="Z63" s="40"/>
      <c r="AA63">
        <v>140</v>
      </c>
      <c r="AB63">
        <v>1</v>
      </c>
      <c r="AC63" s="1"/>
      <c r="AD63" s="40"/>
      <c r="AE63" s="1"/>
      <c r="AF63" s="1"/>
      <c r="AG63" s="1"/>
      <c r="AH63" s="40"/>
      <c r="AI63" s="1"/>
      <c r="AJ63" s="40">
        <f>_xlfn.MAXIFS(_01towers[02tss.Rev],_01towers[05_id],_01towers[[#This Row],[05_id]])</f>
        <v>1</v>
      </c>
      <c r="AK63" s="40" t="b">
        <f>IF(_01towers[[#This Row],[Count Rev TSS]]=_01towers[[#This Row],[02tss.Rev]],TRUE,FALSE)</f>
        <v>1</v>
      </c>
      <c r="AL63" s="40">
        <f>_xlfn.MAXIFS(_01towers[10colo_app.Rev],_01towers[05_id],_01towers[[#This Row],[05_id]])</f>
        <v>1</v>
      </c>
      <c r="AM63" s="40" t="b">
        <f>IF(_01towers[[#This Row],[Count Rev Colo App]]=_01towers[[#This Row],[10colo_app.Rev]],TRUE,FALSE)</f>
        <v>1</v>
      </c>
      <c r="AN63" s="40" t="b">
        <f>IF(AND(_01towers[[#This Row],[Test Rev Colo]]=TRUE,_01towers[[#This Row],[Test Rev TSS]]=TRUE),TRUE,FALSE)</f>
        <v>1</v>
      </c>
      <c r="AO63" s="40" t="str">
        <f>IF(_01towers[[#This Row],[Test Active]]=TRUE,_01towers[[#This Row],[Prevalidation Status]],"")</f>
        <v>Prevalidation Rejected</v>
      </c>
      <c r="AP63" s="40" t="str">
        <f>IF(_01towers[[#This Row],[Active Prevalidation Status]]="Under Prevalidation",
IF(M63="","Review",M63),"")</f>
        <v/>
      </c>
      <c r="AQ63" s="40" t="str">
        <f>IF(_01towers[[#This Row],[Active Prevalidation Status]]="Under Prevalidation",
IF(N63="","Review",N63),"")</f>
        <v/>
      </c>
      <c r="AR63" s="40" t="str">
        <f>IF(_01towers[[#This Row],[Active Prevalidation Status]]="Under Prevalidation",
IF(O63="","Review",O63),"")</f>
        <v/>
      </c>
      <c r="AS63" s="40" t="str">
        <f>IF(_01towers[[#This Row],[Active Prevalidation Status]]="Under Prevalidation",
IF(P63="","Review",P63),"")</f>
        <v/>
      </c>
      <c r="AT63" s="40" t="str">
        <f>IF(_01towers[[#This Row],[Active Prevalidation Status]]="Under Prevalidation",
IF(Q63="","Review",Q63),"")</f>
        <v/>
      </c>
      <c r="AU63" s="40" t="str">
        <f>IF(_01towers[[#This Row],[Active Prevalidation Status]]="Under Prevalidation",
IF(R63="","Review",R63),"")</f>
        <v/>
      </c>
      <c r="AV63" s="40">
        <f>COUNTIF(_01towers[[#This Row],[SAQ_Result2]:[Community_Result2]],"OK")</f>
        <v>0</v>
      </c>
      <c r="AW63" s="1" t="str">
        <f>IF(AND(OR(_01towers[[#This Row],[Active Prevalidation Status]]="Under Prevalidation",_01towers[[#This Row],[Active Prevalidation Status]]="Prevalidated"),_01towers[[#This Row],[02tss.TSSR_From_Engineer]]&gt;0),"Submitted","")</f>
        <v/>
      </c>
      <c r="AX63" s="40" t="str">
        <f>IF(OR(_01towers[[#This Row],[Active Prevalidation Status]]="Under Prevalidation",_01towers[[#This Row],[Active Prevalidation Status]]="Prevalidated"),_01towers[[#This Row],[02tss.TSS_Result]],"")</f>
        <v/>
      </c>
      <c r="AY63" s="40" t="str">
        <f>IF(AND(_01towers[[#This Row],[Active TSS Result]]="Approved",_01towers[[#This Row],[Active Prevalidation Status]]="Prevalidated"),"In Process","")</f>
        <v/>
      </c>
      <c r="AZ63" s="40" t="str">
        <f>IF(AND(_01towers[[#This Row],[Active TSS Result]]="Approved",_01towers[[#This Row],[Active Prevalidation Status]]="Prevalidated"),_01towers[[#This Row],[10colo_app.Colo_App_Result]],"")</f>
        <v/>
      </c>
      <c r="BA63" s="40">
        <f>COUNTIF(_20work_order[05_id],_01towers[[#This Row],[05_id]])</f>
        <v>0</v>
      </c>
      <c r="BB63" s="40">
        <f>COUNTIFS(_20work_order[05_id],_01towers[[#This Row],[05_id]],_20work_order[Actual_End],"&gt;0")</f>
        <v>0</v>
      </c>
      <c r="BC63" s="40" t="str">
        <f>IF(_01towers[[#This Row],[Completed Work Orders]]&gt;0,"Work Completed",
IF(_01towers[[#This Row],[Count Work Orders]]&gt;0,"Work in Progress",""))</f>
        <v/>
      </c>
      <c r="BD6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63" s="40" t="str">
        <f>_xlfn.SWITCH(_01towers[[#This Row],[Final Colo Status full]],"Commercial Approval Requested","Under Prevalidation",_01towers[[#This Row],[Final Colo Status full]])</f>
        <v>Prevalidation Rejected</v>
      </c>
    </row>
    <row r="64" spans="1:57" hidden="1" x14ac:dyDescent="0.35">
      <c r="A64" s="40" t="s">
        <v>210</v>
      </c>
      <c r="B64" s="40" t="s">
        <v>90</v>
      </c>
      <c r="C64" s="40" t="s">
        <v>82</v>
      </c>
      <c r="D64">
        <v>6</v>
      </c>
      <c r="E64" s="40" t="s">
        <v>98</v>
      </c>
      <c r="F64">
        <v>96.128299999999996</v>
      </c>
      <c r="G64">
        <v>16.828479999999999</v>
      </c>
      <c r="H64" s="40" t="s">
        <v>99</v>
      </c>
      <c r="I64">
        <v>61</v>
      </c>
      <c r="J64" s="40" t="s">
        <v>211</v>
      </c>
      <c r="K64" s="40" t="s">
        <v>136</v>
      </c>
      <c r="L64" s="40" t="s">
        <v>74</v>
      </c>
      <c r="M64" s="40" t="s">
        <v>75</v>
      </c>
      <c r="N64" s="40"/>
      <c r="O64" s="40" t="s">
        <v>58</v>
      </c>
      <c r="P64" s="40" t="s">
        <v>75</v>
      </c>
      <c r="Q64" s="40"/>
      <c r="R64" s="40" t="s">
        <v>57</v>
      </c>
      <c r="S64">
        <v>143</v>
      </c>
      <c r="T64">
        <v>1</v>
      </c>
      <c r="U64" s="1"/>
      <c r="V64" s="1"/>
      <c r="W64" s="1"/>
      <c r="X64" s="1"/>
      <c r="Y64" s="1"/>
      <c r="Z64" s="40"/>
      <c r="AA64">
        <v>142</v>
      </c>
      <c r="AB64">
        <v>1</v>
      </c>
      <c r="AC64" s="1"/>
      <c r="AD64" s="40"/>
      <c r="AE64" s="1"/>
      <c r="AF64" s="1"/>
      <c r="AG64" s="1"/>
      <c r="AH64" s="40"/>
      <c r="AI64" s="1"/>
      <c r="AJ64" s="40">
        <f>_xlfn.MAXIFS(_01towers[02tss.Rev],_01towers[05_id],_01towers[[#This Row],[05_id]])</f>
        <v>1</v>
      </c>
      <c r="AK64" s="40" t="b">
        <f>IF(_01towers[[#This Row],[Count Rev TSS]]=_01towers[[#This Row],[02tss.Rev]],TRUE,FALSE)</f>
        <v>1</v>
      </c>
      <c r="AL64" s="40">
        <f>_xlfn.MAXIFS(_01towers[10colo_app.Rev],_01towers[05_id],_01towers[[#This Row],[05_id]])</f>
        <v>1</v>
      </c>
      <c r="AM64" s="40" t="b">
        <f>IF(_01towers[[#This Row],[Count Rev Colo App]]=_01towers[[#This Row],[10colo_app.Rev]],TRUE,FALSE)</f>
        <v>1</v>
      </c>
      <c r="AN64" s="40" t="b">
        <f>IF(AND(_01towers[[#This Row],[Test Rev Colo]]=TRUE,_01towers[[#This Row],[Test Rev TSS]]=TRUE),TRUE,FALSE)</f>
        <v>1</v>
      </c>
      <c r="AO64" s="40" t="str">
        <f>IF(_01towers[[#This Row],[Test Active]]=TRUE,_01towers[[#This Row],[Prevalidation Status]],"")</f>
        <v>Prevalidation Rejected</v>
      </c>
      <c r="AP64" s="40" t="str">
        <f>IF(_01towers[[#This Row],[Active Prevalidation Status]]="Under Prevalidation",
IF(M64="","Review",M64),"")</f>
        <v/>
      </c>
      <c r="AQ64" s="40" t="str">
        <f>IF(_01towers[[#This Row],[Active Prevalidation Status]]="Under Prevalidation",
IF(N64="","Review",N64),"")</f>
        <v/>
      </c>
      <c r="AR64" s="40" t="str">
        <f>IF(_01towers[[#This Row],[Active Prevalidation Status]]="Under Prevalidation",
IF(O64="","Review",O64),"")</f>
        <v/>
      </c>
      <c r="AS64" s="40" t="str">
        <f>IF(_01towers[[#This Row],[Active Prevalidation Status]]="Under Prevalidation",
IF(P64="","Review",P64),"")</f>
        <v/>
      </c>
      <c r="AT64" s="40" t="str">
        <f>IF(_01towers[[#This Row],[Active Prevalidation Status]]="Under Prevalidation",
IF(Q64="","Review",Q64),"")</f>
        <v/>
      </c>
      <c r="AU64" s="40" t="str">
        <f>IF(_01towers[[#This Row],[Active Prevalidation Status]]="Under Prevalidation",
IF(R64="","Review",R64),"")</f>
        <v/>
      </c>
      <c r="AV64" s="40">
        <f>COUNTIF(_01towers[[#This Row],[SAQ_Result2]:[Community_Result2]],"OK")</f>
        <v>0</v>
      </c>
      <c r="AW64" s="1" t="str">
        <f>IF(AND(OR(_01towers[[#This Row],[Active Prevalidation Status]]="Under Prevalidation",_01towers[[#This Row],[Active Prevalidation Status]]="Prevalidated"),_01towers[[#This Row],[02tss.TSSR_From_Engineer]]&gt;0),"Submitted","")</f>
        <v/>
      </c>
      <c r="AX64" s="40" t="str">
        <f>IF(OR(_01towers[[#This Row],[Active Prevalidation Status]]="Under Prevalidation",_01towers[[#This Row],[Active Prevalidation Status]]="Prevalidated"),_01towers[[#This Row],[02tss.TSS_Result]],"")</f>
        <v/>
      </c>
      <c r="AY64" s="40" t="str">
        <f>IF(AND(_01towers[[#This Row],[Active TSS Result]]="Approved",_01towers[[#This Row],[Active Prevalidation Status]]="Prevalidated"),"In Process","")</f>
        <v/>
      </c>
      <c r="AZ64" s="40" t="str">
        <f>IF(AND(_01towers[[#This Row],[Active TSS Result]]="Approved",_01towers[[#This Row],[Active Prevalidation Status]]="Prevalidated"),_01towers[[#This Row],[10colo_app.Colo_App_Result]],"")</f>
        <v/>
      </c>
      <c r="BA64" s="40">
        <f>COUNTIF(_20work_order[05_id],_01towers[[#This Row],[05_id]])</f>
        <v>0</v>
      </c>
      <c r="BB64" s="40">
        <f>COUNTIFS(_20work_order[05_id],_01towers[[#This Row],[05_id]],_20work_order[Actual_End],"&gt;0")</f>
        <v>0</v>
      </c>
      <c r="BC64" s="40" t="str">
        <f>IF(_01towers[[#This Row],[Completed Work Orders]]&gt;0,"Work Completed",
IF(_01towers[[#This Row],[Count Work Orders]]&gt;0,"Work in Progress",""))</f>
        <v/>
      </c>
      <c r="BD6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64" s="40" t="str">
        <f>_xlfn.SWITCH(_01towers[[#This Row],[Final Colo Status full]],"Commercial Approval Requested","Under Prevalidation",_01towers[[#This Row],[Final Colo Status full]])</f>
        <v>Prevalidation Rejected</v>
      </c>
    </row>
    <row r="65" spans="1:57" hidden="1" x14ac:dyDescent="0.35">
      <c r="A65" s="40" t="s">
        <v>212</v>
      </c>
      <c r="B65" s="40" t="s">
        <v>50</v>
      </c>
      <c r="C65" s="40" t="s">
        <v>51</v>
      </c>
      <c r="D65">
        <v>40</v>
      </c>
      <c r="E65" s="40" t="s">
        <v>79</v>
      </c>
      <c r="F65">
        <v>94.307649999999995</v>
      </c>
      <c r="G65">
        <v>24.211559999999999</v>
      </c>
      <c r="H65" s="40" t="s">
        <v>53</v>
      </c>
      <c r="I65">
        <v>62</v>
      </c>
      <c r="J65" s="40" t="s">
        <v>211</v>
      </c>
      <c r="K65" s="40" t="s">
        <v>136</v>
      </c>
      <c r="L65" s="40" t="s">
        <v>74</v>
      </c>
      <c r="M65" s="40" t="s">
        <v>75</v>
      </c>
      <c r="N65" s="40"/>
      <c r="O65" s="40"/>
      <c r="P65" s="40" t="s">
        <v>58</v>
      </c>
      <c r="Q65" s="40"/>
      <c r="R65" s="40" t="s">
        <v>58</v>
      </c>
      <c r="S65">
        <v>88</v>
      </c>
      <c r="T65">
        <v>1</v>
      </c>
      <c r="U65" s="1"/>
      <c r="V65" s="1"/>
      <c r="W65" s="1"/>
      <c r="X65" s="1"/>
      <c r="Y65" s="1"/>
      <c r="Z65" s="40"/>
      <c r="AA65">
        <v>87</v>
      </c>
      <c r="AB65">
        <v>1</v>
      </c>
      <c r="AC65" s="1"/>
      <c r="AD65" s="40"/>
      <c r="AE65" s="1"/>
      <c r="AF65" s="1"/>
      <c r="AG65" s="1"/>
      <c r="AH65" s="40"/>
      <c r="AI65" s="1"/>
      <c r="AJ65" s="40">
        <f>_xlfn.MAXIFS(_01towers[02tss.Rev],_01towers[05_id],_01towers[[#This Row],[05_id]])</f>
        <v>1</v>
      </c>
      <c r="AK65" s="40" t="b">
        <f>IF(_01towers[[#This Row],[Count Rev TSS]]=_01towers[[#This Row],[02tss.Rev]],TRUE,FALSE)</f>
        <v>1</v>
      </c>
      <c r="AL65" s="40">
        <f>_xlfn.MAXIFS(_01towers[10colo_app.Rev],_01towers[05_id],_01towers[[#This Row],[05_id]])</f>
        <v>1</v>
      </c>
      <c r="AM65" s="40" t="b">
        <f>IF(_01towers[[#This Row],[Count Rev Colo App]]=_01towers[[#This Row],[10colo_app.Rev]],TRUE,FALSE)</f>
        <v>1</v>
      </c>
      <c r="AN65" s="40" t="b">
        <f>IF(AND(_01towers[[#This Row],[Test Rev Colo]]=TRUE,_01towers[[#This Row],[Test Rev TSS]]=TRUE),TRUE,FALSE)</f>
        <v>1</v>
      </c>
      <c r="AO65" s="40" t="str">
        <f>IF(_01towers[[#This Row],[Test Active]]=TRUE,_01towers[[#This Row],[Prevalidation Status]],"")</f>
        <v>Prevalidation Rejected</v>
      </c>
      <c r="AP65" s="40" t="str">
        <f>IF(_01towers[[#This Row],[Active Prevalidation Status]]="Under Prevalidation",
IF(M65="","Review",M65),"")</f>
        <v/>
      </c>
      <c r="AQ65" s="40" t="str">
        <f>IF(_01towers[[#This Row],[Active Prevalidation Status]]="Under Prevalidation",
IF(N65="","Review",N65),"")</f>
        <v/>
      </c>
      <c r="AR65" s="40" t="str">
        <f>IF(_01towers[[#This Row],[Active Prevalidation Status]]="Under Prevalidation",
IF(O65="","Review",O65),"")</f>
        <v/>
      </c>
      <c r="AS65" s="40" t="str">
        <f>IF(_01towers[[#This Row],[Active Prevalidation Status]]="Under Prevalidation",
IF(P65="","Review",P65),"")</f>
        <v/>
      </c>
      <c r="AT65" s="40" t="str">
        <f>IF(_01towers[[#This Row],[Active Prevalidation Status]]="Under Prevalidation",
IF(Q65="","Review",Q65),"")</f>
        <v/>
      </c>
      <c r="AU65" s="40" t="str">
        <f>IF(_01towers[[#This Row],[Active Prevalidation Status]]="Under Prevalidation",
IF(R65="","Review",R65),"")</f>
        <v/>
      </c>
      <c r="AV65" s="40">
        <f>COUNTIF(_01towers[[#This Row],[SAQ_Result2]:[Community_Result2]],"OK")</f>
        <v>0</v>
      </c>
      <c r="AW65" s="1" t="str">
        <f>IF(AND(OR(_01towers[[#This Row],[Active Prevalidation Status]]="Under Prevalidation",_01towers[[#This Row],[Active Prevalidation Status]]="Prevalidated"),_01towers[[#This Row],[02tss.TSSR_From_Engineer]]&gt;0),"Submitted","")</f>
        <v/>
      </c>
      <c r="AX65" s="40" t="str">
        <f>IF(OR(_01towers[[#This Row],[Active Prevalidation Status]]="Under Prevalidation",_01towers[[#This Row],[Active Prevalidation Status]]="Prevalidated"),_01towers[[#This Row],[02tss.TSS_Result]],"")</f>
        <v/>
      </c>
      <c r="AY65" s="40" t="str">
        <f>IF(AND(_01towers[[#This Row],[Active TSS Result]]="Approved",_01towers[[#This Row],[Active Prevalidation Status]]="Prevalidated"),"In Process","")</f>
        <v/>
      </c>
      <c r="AZ65" s="40" t="str">
        <f>IF(AND(_01towers[[#This Row],[Active TSS Result]]="Approved",_01towers[[#This Row],[Active Prevalidation Status]]="Prevalidated"),_01towers[[#This Row],[10colo_app.Colo_App_Result]],"")</f>
        <v/>
      </c>
      <c r="BA65" s="40">
        <f>COUNTIF(_20work_order[05_id],_01towers[[#This Row],[05_id]])</f>
        <v>0</v>
      </c>
      <c r="BB65" s="40">
        <f>COUNTIFS(_20work_order[05_id],_01towers[[#This Row],[05_id]],_20work_order[Actual_End],"&gt;0")</f>
        <v>0</v>
      </c>
      <c r="BC65" s="40" t="str">
        <f>IF(_01towers[[#This Row],[Completed Work Orders]]&gt;0,"Work Completed",
IF(_01towers[[#This Row],[Count Work Orders]]&gt;0,"Work in Progress",""))</f>
        <v/>
      </c>
      <c r="BD6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65" s="40" t="str">
        <f>_xlfn.SWITCH(_01towers[[#This Row],[Final Colo Status full]],"Commercial Approval Requested","Under Prevalidation",_01towers[[#This Row],[Final Colo Status full]])</f>
        <v>Prevalidation Rejected</v>
      </c>
    </row>
    <row r="66" spans="1:57" hidden="1" x14ac:dyDescent="0.35">
      <c r="A66" s="40" t="s">
        <v>213</v>
      </c>
      <c r="B66" s="40" t="s">
        <v>90</v>
      </c>
      <c r="C66" s="40" t="s">
        <v>82</v>
      </c>
      <c r="D66">
        <v>6</v>
      </c>
      <c r="E66" s="40" t="s">
        <v>98</v>
      </c>
      <c r="F66">
        <v>96.12106</v>
      </c>
      <c r="G66">
        <v>16.845330000000001</v>
      </c>
      <c r="H66" s="40" t="s">
        <v>53</v>
      </c>
      <c r="I66">
        <v>63</v>
      </c>
      <c r="J66" s="40" t="s">
        <v>214</v>
      </c>
      <c r="K66" s="40" t="s">
        <v>136</v>
      </c>
      <c r="L66" s="40" t="s">
        <v>74</v>
      </c>
      <c r="M66" s="40" t="s">
        <v>75</v>
      </c>
      <c r="N66" s="40"/>
      <c r="O66" s="40" t="s">
        <v>58</v>
      </c>
      <c r="P66" s="40" t="s">
        <v>58</v>
      </c>
      <c r="Q66" s="40" t="s">
        <v>75</v>
      </c>
      <c r="R66" s="40" t="s">
        <v>57</v>
      </c>
      <c r="S66">
        <v>139</v>
      </c>
      <c r="T66">
        <v>1</v>
      </c>
      <c r="U66" s="1"/>
      <c r="V66" s="1"/>
      <c r="W66" s="1"/>
      <c r="X66" s="1"/>
      <c r="Y66" s="1"/>
      <c r="Z66" s="40"/>
      <c r="AA66">
        <v>138</v>
      </c>
      <c r="AB66">
        <v>1</v>
      </c>
      <c r="AC66" s="1"/>
      <c r="AD66" s="40"/>
      <c r="AE66" s="1"/>
      <c r="AF66" s="1"/>
      <c r="AG66" s="1"/>
      <c r="AH66" s="40"/>
      <c r="AI66" s="1"/>
      <c r="AJ66" s="40">
        <f>_xlfn.MAXIFS(_01towers[02tss.Rev],_01towers[05_id],_01towers[[#This Row],[05_id]])</f>
        <v>1</v>
      </c>
      <c r="AK66" s="40" t="b">
        <f>IF(_01towers[[#This Row],[Count Rev TSS]]=_01towers[[#This Row],[02tss.Rev]],TRUE,FALSE)</f>
        <v>1</v>
      </c>
      <c r="AL66" s="40">
        <f>_xlfn.MAXIFS(_01towers[10colo_app.Rev],_01towers[05_id],_01towers[[#This Row],[05_id]])</f>
        <v>1</v>
      </c>
      <c r="AM66" s="40" t="b">
        <f>IF(_01towers[[#This Row],[Count Rev Colo App]]=_01towers[[#This Row],[10colo_app.Rev]],TRUE,FALSE)</f>
        <v>1</v>
      </c>
      <c r="AN66" s="40" t="b">
        <f>IF(AND(_01towers[[#This Row],[Test Rev Colo]]=TRUE,_01towers[[#This Row],[Test Rev TSS]]=TRUE),TRUE,FALSE)</f>
        <v>1</v>
      </c>
      <c r="AO66" s="40" t="str">
        <f>IF(_01towers[[#This Row],[Test Active]]=TRUE,_01towers[[#This Row],[Prevalidation Status]],"")</f>
        <v>Prevalidation Rejected</v>
      </c>
      <c r="AP66" s="40" t="str">
        <f>IF(_01towers[[#This Row],[Active Prevalidation Status]]="Under Prevalidation",
IF(M66="","Review",M66),"")</f>
        <v/>
      </c>
      <c r="AQ66" s="40" t="str">
        <f>IF(_01towers[[#This Row],[Active Prevalidation Status]]="Under Prevalidation",
IF(N66="","Review",N66),"")</f>
        <v/>
      </c>
      <c r="AR66" s="40" t="str">
        <f>IF(_01towers[[#This Row],[Active Prevalidation Status]]="Under Prevalidation",
IF(O66="","Review",O66),"")</f>
        <v/>
      </c>
      <c r="AS66" s="40" t="str">
        <f>IF(_01towers[[#This Row],[Active Prevalidation Status]]="Under Prevalidation",
IF(P66="","Review",P66),"")</f>
        <v/>
      </c>
      <c r="AT66" s="40" t="str">
        <f>IF(_01towers[[#This Row],[Active Prevalidation Status]]="Under Prevalidation",
IF(Q66="","Review",Q66),"")</f>
        <v/>
      </c>
      <c r="AU66" s="40" t="str">
        <f>IF(_01towers[[#This Row],[Active Prevalidation Status]]="Under Prevalidation",
IF(R66="","Review",R66),"")</f>
        <v/>
      </c>
      <c r="AV66" s="40">
        <f>COUNTIF(_01towers[[#This Row],[SAQ_Result2]:[Community_Result2]],"OK")</f>
        <v>0</v>
      </c>
      <c r="AW66" s="1" t="str">
        <f>IF(AND(OR(_01towers[[#This Row],[Active Prevalidation Status]]="Under Prevalidation",_01towers[[#This Row],[Active Prevalidation Status]]="Prevalidated"),_01towers[[#This Row],[02tss.TSSR_From_Engineer]]&gt;0),"Submitted","")</f>
        <v/>
      </c>
      <c r="AX66" s="40" t="str">
        <f>IF(OR(_01towers[[#This Row],[Active Prevalidation Status]]="Under Prevalidation",_01towers[[#This Row],[Active Prevalidation Status]]="Prevalidated"),_01towers[[#This Row],[02tss.TSS_Result]],"")</f>
        <v/>
      </c>
      <c r="AY66" s="40" t="str">
        <f>IF(AND(_01towers[[#This Row],[Active TSS Result]]="Approved",_01towers[[#This Row],[Active Prevalidation Status]]="Prevalidated"),"In Process","")</f>
        <v/>
      </c>
      <c r="AZ66" s="40" t="str">
        <f>IF(AND(_01towers[[#This Row],[Active TSS Result]]="Approved",_01towers[[#This Row],[Active Prevalidation Status]]="Prevalidated"),_01towers[[#This Row],[10colo_app.Colo_App_Result]],"")</f>
        <v/>
      </c>
      <c r="BA66" s="40">
        <f>COUNTIF(_20work_order[05_id],_01towers[[#This Row],[05_id]])</f>
        <v>0</v>
      </c>
      <c r="BB66" s="40">
        <f>COUNTIFS(_20work_order[05_id],_01towers[[#This Row],[05_id]],_20work_order[Actual_End],"&gt;0")</f>
        <v>0</v>
      </c>
      <c r="BC66" s="40" t="str">
        <f>IF(_01towers[[#This Row],[Completed Work Orders]]&gt;0,"Work Completed",
IF(_01towers[[#This Row],[Count Work Orders]]&gt;0,"Work in Progress",""))</f>
        <v/>
      </c>
      <c r="BD6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66" s="40" t="str">
        <f>_xlfn.SWITCH(_01towers[[#This Row],[Final Colo Status full]],"Commercial Approval Requested","Under Prevalidation",_01towers[[#This Row],[Final Colo Status full]])</f>
        <v>Prevalidation Rejected</v>
      </c>
    </row>
    <row r="67" spans="1:57" hidden="1" x14ac:dyDescent="0.35">
      <c r="A67" s="40" t="s">
        <v>215</v>
      </c>
      <c r="B67" s="40" t="s">
        <v>50</v>
      </c>
      <c r="C67" s="40" t="s">
        <v>51</v>
      </c>
      <c r="D67">
        <v>40</v>
      </c>
      <c r="E67" s="40" t="s">
        <v>79</v>
      </c>
      <c r="F67">
        <v>94.316220000000001</v>
      </c>
      <c r="G67">
        <v>24.22118</v>
      </c>
      <c r="H67" s="40" t="s">
        <v>53</v>
      </c>
      <c r="I67">
        <v>64</v>
      </c>
      <c r="J67" s="40" t="s">
        <v>211</v>
      </c>
      <c r="K67" s="40" t="s">
        <v>136</v>
      </c>
      <c r="L67" s="40" t="s">
        <v>74</v>
      </c>
      <c r="M67" s="40" t="s">
        <v>75</v>
      </c>
      <c r="N67" s="40"/>
      <c r="O67" s="40"/>
      <c r="P67" s="40" t="s">
        <v>58</v>
      </c>
      <c r="Q67" s="40"/>
      <c r="R67" s="40" t="s">
        <v>58</v>
      </c>
      <c r="S67">
        <v>89</v>
      </c>
      <c r="T67">
        <v>1</v>
      </c>
      <c r="U67" s="1"/>
      <c r="V67" s="1"/>
      <c r="W67" s="1"/>
      <c r="X67" s="1"/>
      <c r="Y67" s="1"/>
      <c r="Z67" s="40"/>
      <c r="AA67">
        <v>88</v>
      </c>
      <c r="AB67">
        <v>1</v>
      </c>
      <c r="AC67" s="1"/>
      <c r="AD67" s="40"/>
      <c r="AE67" s="1"/>
      <c r="AF67" s="1"/>
      <c r="AG67" s="1"/>
      <c r="AH67" s="40"/>
      <c r="AI67" s="1"/>
      <c r="AJ67" s="40">
        <f>_xlfn.MAXIFS(_01towers[02tss.Rev],_01towers[05_id],_01towers[[#This Row],[05_id]])</f>
        <v>1</v>
      </c>
      <c r="AK67" s="40" t="b">
        <f>IF(_01towers[[#This Row],[Count Rev TSS]]=_01towers[[#This Row],[02tss.Rev]],TRUE,FALSE)</f>
        <v>1</v>
      </c>
      <c r="AL67" s="40">
        <f>_xlfn.MAXIFS(_01towers[10colo_app.Rev],_01towers[05_id],_01towers[[#This Row],[05_id]])</f>
        <v>1</v>
      </c>
      <c r="AM67" s="40" t="b">
        <f>IF(_01towers[[#This Row],[Count Rev Colo App]]=_01towers[[#This Row],[10colo_app.Rev]],TRUE,FALSE)</f>
        <v>1</v>
      </c>
      <c r="AN67" s="40" t="b">
        <f>IF(AND(_01towers[[#This Row],[Test Rev Colo]]=TRUE,_01towers[[#This Row],[Test Rev TSS]]=TRUE),TRUE,FALSE)</f>
        <v>1</v>
      </c>
      <c r="AO67" s="40" t="str">
        <f>IF(_01towers[[#This Row],[Test Active]]=TRUE,_01towers[[#This Row],[Prevalidation Status]],"")</f>
        <v>Prevalidation Rejected</v>
      </c>
      <c r="AP67" s="40" t="str">
        <f>IF(_01towers[[#This Row],[Active Prevalidation Status]]="Under Prevalidation",
IF(M67="","Review",M67),"")</f>
        <v/>
      </c>
      <c r="AQ67" s="40" t="str">
        <f>IF(_01towers[[#This Row],[Active Prevalidation Status]]="Under Prevalidation",
IF(N67="","Review",N67),"")</f>
        <v/>
      </c>
      <c r="AR67" s="40" t="str">
        <f>IF(_01towers[[#This Row],[Active Prevalidation Status]]="Under Prevalidation",
IF(O67="","Review",O67),"")</f>
        <v/>
      </c>
      <c r="AS67" s="40" t="str">
        <f>IF(_01towers[[#This Row],[Active Prevalidation Status]]="Under Prevalidation",
IF(P67="","Review",P67),"")</f>
        <v/>
      </c>
      <c r="AT67" s="40" t="str">
        <f>IF(_01towers[[#This Row],[Active Prevalidation Status]]="Under Prevalidation",
IF(Q67="","Review",Q67),"")</f>
        <v/>
      </c>
      <c r="AU67" s="40" t="str">
        <f>IF(_01towers[[#This Row],[Active Prevalidation Status]]="Under Prevalidation",
IF(R67="","Review",R67),"")</f>
        <v/>
      </c>
      <c r="AV67" s="40">
        <f>COUNTIF(_01towers[[#This Row],[SAQ_Result2]:[Community_Result2]],"OK")</f>
        <v>0</v>
      </c>
      <c r="AW67" s="1" t="str">
        <f>IF(AND(OR(_01towers[[#This Row],[Active Prevalidation Status]]="Under Prevalidation",_01towers[[#This Row],[Active Prevalidation Status]]="Prevalidated"),_01towers[[#This Row],[02tss.TSSR_From_Engineer]]&gt;0),"Submitted","")</f>
        <v/>
      </c>
      <c r="AX67" s="40" t="str">
        <f>IF(OR(_01towers[[#This Row],[Active Prevalidation Status]]="Under Prevalidation",_01towers[[#This Row],[Active Prevalidation Status]]="Prevalidated"),_01towers[[#This Row],[02tss.TSS_Result]],"")</f>
        <v/>
      </c>
      <c r="AY67" s="40" t="str">
        <f>IF(AND(_01towers[[#This Row],[Active TSS Result]]="Approved",_01towers[[#This Row],[Active Prevalidation Status]]="Prevalidated"),"In Process","")</f>
        <v/>
      </c>
      <c r="AZ67" s="40" t="str">
        <f>IF(AND(_01towers[[#This Row],[Active TSS Result]]="Approved",_01towers[[#This Row],[Active Prevalidation Status]]="Prevalidated"),_01towers[[#This Row],[10colo_app.Colo_App_Result]],"")</f>
        <v/>
      </c>
      <c r="BA67" s="40">
        <f>COUNTIF(_20work_order[05_id],_01towers[[#This Row],[05_id]])</f>
        <v>0</v>
      </c>
      <c r="BB67" s="40">
        <f>COUNTIFS(_20work_order[05_id],_01towers[[#This Row],[05_id]],_20work_order[Actual_End],"&gt;0")</f>
        <v>0</v>
      </c>
      <c r="BC67" s="40" t="str">
        <f>IF(_01towers[[#This Row],[Completed Work Orders]]&gt;0,"Work Completed",
IF(_01towers[[#This Row],[Count Work Orders]]&gt;0,"Work in Progress",""))</f>
        <v/>
      </c>
      <c r="BD6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67" s="40" t="str">
        <f>_xlfn.SWITCH(_01towers[[#This Row],[Final Colo Status full]],"Commercial Approval Requested","Under Prevalidation",_01towers[[#This Row],[Final Colo Status full]])</f>
        <v>Prevalidation Rejected</v>
      </c>
    </row>
    <row r="68" spans="1:57" hidden="1" x14ac:dyDescent="0.35">
      <c r="A68" s="40" t="s">
        <v>216</v>
      </c>
      <c r="B68" s="40" t="s">
        <v>85</v>
      </c>
      <c r="C68" s="40" t="s">
        <v>51</v>
      </c>
      <c r="D68">
        <v>45</v>
      </c>
      <c r="E68" s="40" t="s">
        <v>175</v>
      </c>
      <c r="F68">
        <v>95.225800000000007</v>
      </c>
      <c r="G68">
        <v>18.833290000000002</v>
      </c>
      <c r="H68" s="40" t="s">
        <v>53</v>
      </c>
      <c r="I68">
        <v>66</v>
      </c>
      <c r="J68" s="40" t="s">
        <v>571</v>
      </c>
      <c r="K68" s="40" t="s">
        <v>136</v>
      </c>
      <c r="L68" s="40" t="s">
        <v>64</v>
      </c>
      <c r="M68" s="40" t="s">
        <v>57</v>
      </c>
      <c r="N68" s="40" t="s">
        <v>57</v>
      </c>
      <c r="O68" s="40" t="s">
        <v>57</v>
      </c>
      <c r="P68" s="40" t="s">
        <v>57</v>
      </c>
      <c r="Q68" s="40" t="s">
        <v>57</v>
      </c>
      <c r="R68" s="40" t="s">
        <v>57</v>
      </c>
      <c r="S68">
        <v>23</v>
      </c>
      <c r="T68">
        <v>1</v>
      </c>
      <c r="U68" s="1"/>
      <c r="V68" s="1"/>
      <c r="W68" s="1"/>
      <c r="X68" s="1"/>
      <c r="Y68" s="1"/>
      <c r="Z68" s="40"/>
      <c r="AA68">
        <v>23</v>
      </c>
      <c r="AB68">
        <v>1</v>
      </c>
      <c r="AC68" s="1"/>
      <c r="AD68" s="40"/>
      <c r="AE68" s="1"/>
      <c r="AF68" s="1"/>
      <c r="AG68" s="1"/>
      <c r="AH68" s="40"/>
      <c r="AI68" s="1"/>
      <c r="AJ68" s="40">
        <f>_xlfn.MAXIFS(_01towers[02tss.Rev],_01towers[05_id],_01towers[[#This Row],[05_id]])</f>
        <v>1</v>
      </c>
      <c r="AK68" s="40" t="b">
        <f>IF(_01towers[[#This Row],[Count Rev TSS]]=_01towers[[#This Row],[02tss.Rev]],TRUE,FALSE)</f>
        <v>1</v>
      </c>
      <c r="AL68" s="40">
        <f>_xlfn.MAXIFS(_01towers[10colo_app.Rev],_01towers[05_id],_01towers[[#This Row],[05_id]])</f>
        <v>1</v>
      </c>
      <c r="AM68" s="40" t="b">
        <f>IF(_01towers[[#This Row],[Count Rev Colo App]]=_01towers[[#This Row],[10colo_app.Rev]],TRUE,FALSE)</f>
        <v>1</v>
      </c>
      <c r="AN68" s="40" t="b">
        <f>IF(AND(_01towers[[#This Row],[Test Rev Colo]]=TRUE,_01towers[[#This Row],[Test Rev TSS]]=TRUE),TRUE,FALSE)</f>
        <v>1</v>
      </c>
      <c r="AO68" s="40" t="str">
        <f>IF(_01towers[[#This Row],[Test Active]]=TRUE,_01towers[[#This Row],[Prevalidation Status]],"")</f>
        <v>Prevalidated</v>
      </c>
      <c r="AP68" s="40" t="str">
        <f>IF(_01towers[[#This Row],[Active Prevalidation Status]]="Under Prevalidation",
IF(M68="","Review",M68),"")</f>
        <v/>
      </c>
      <c r="AQ68" s="40" t="str">
        <f>IF(_01towers[[#This Row],[Active Prevalidation Status]]="Under Prevalidation",
IF(N68="","Review",N68),"")</f>
        <v/>
      </c>
      <c r="AR68" s="40" t="str">
        <f>IF(_01towers[[#This Row],[Active Prevalidation Status]]="Under Prevalidation",
IF(O68="","Review",O68),"")</f>
        <v/>
      </c>
      <c r="AS68" s="40" t="str">
        <f>IF(_01towers[[#This Row],[Active Prevalidation Status]]="Under Prevalidation",
IF(P68="","Review",P68),"")</f>
        <v/>
      </c>
      <c r="AT68" s="40" t="str">
        <f>IF(_01towers[[#This Row],[Active Prevalidation Status]]="Under Prevalidation",
IF(Q68="","Review",Q68),"")</f>
        <v/>
      </c>
      <c r="AU68" s="40" t="str">
        <f>IF(_01towers[[#This Row],[Active Prevalidation Status]]="Under Prevalidation",
IF(R68="","Review",R68),"")</f>
        <v/>
      </c>
      <c r="AV68" s="40">
        <f>COUNTIF(_01towers[[#This Row],[SAQ_Result2]:[Community_Result2]],"OK")</f>
        <v>0</v>
      </c>
      <c r="AW68" s="1" t="str">
        <f>IF(AND(OR(_01towers[[#This Row],[Active Prevalidation Status]]="Under Prevalidation",_01towers[[#This Row],[Active Prevalidation Status]]="Prevalidated"),_01towers[[#This Row],[02tss.TSSR_From_Engineer]]&gt;0),"Submitted","")</f>
        <v/>
      </c>
      <c r="AX68" s="40">
        <f>IF(OR(_01towers[[#This Row],[Active Prevalidation Status]]="Under Prevalidation",_01towers[[#This Row],[Active Prevalidation Status]]="Prevalidated"),_01towers[[#This Row],[02tss.TSS_Result]],"")</f>
        <v>0</v>
      </c>
      <c r="AY68" s="40" t="str">
        <f>IF(AND(_01towers[[#This Row],[Active TSS Result]]="Approved",_01towers[[#This Row],[Active Prevalidation Status]]="Prevalidated"),"In Process","")</f>
        <v/>
      </c>
      <c r="AZ68" s="40" t="str">
        <f>IF(AND(_01towers[[#This Row],[Active TSS Result]]="Approved",_01towers[[#This Row],[Active Prevalidation Status]]="Prevalidated"),_01towers[[#This Row],[10colo_app.Colo_App_Result]],"")</f>
        <v/>
      </c>
      <c r="BA68" s="40">
        <f>COUNTIF(_20work_order[05_id],_01towers[[#This Row],[05_id]])</f>
        <v>0</v>
      </c>
      <c r="BB68" s="40">
        <f>COUNTIFS(_20work_order[05_id],_01towers[[#This Row],[05_id]],_20work_order[Actual_End],"&gt;0")</f>
        <v>0</v>
      </c>
      <c r="BC68" s="40" t="str">
        <f>IF(_01towers[[#This Row],[Completed Work Orders]]&gt;0,"Work Completed",
IF(_01towers[[#This Row],[Count Work Orders]]&gt;0,"Work in Progress",""))</f>
        <v/>
      </c>
      <c r="BD6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68" s="40" t="str">
        <f>_xlfn.SWITCH(_01towers[[#This Row],[Final Colo Status full]],"Commercial Approval Requested","Under Prevalidation",_01towers[[#This Row],[Final Colo Status full]])</f>
        <v>Prevalidated - TSSR in Process</v>
      </c>
    </row>
    <row r="69" spans="1:57" hidden="1" x14ac:dyDescent="0.35">
      <c r="A69" s="40" t="s">
        <v>217</v>
      </c>
      <c r="B69" s="40" t="s">
        <v>90</v>
      </c>
      <c r="C69" s="40" t="s">
        <v>82</v>
      </c>
      <c r="D69">
        <v>6</v>
      </c>
      <c r="E69" s="40" t="s">
        <v>98</v>
      </c>
      <c r="F69">
        <v>96.199849999999998</v>
      </c>
      <c r="G69">
        <v>16.829660000000001</v>
      </c>
      <c r="H69" s="40" t="s">
        <v>53</v>
      </c>
      <c r="I69">
        <v>67</v>
      </c>
      <c r="J69" s="40" t="s">
        <v>218</v>
      </c>
      <c r="K69" s="40" t="s">
        <v>136</v>
      </c>
      <c r="L69" s="40" t="s">
        <v>74</v>
      </c>
      <c r="M69" s="40" t="s">
        <v>75</v>
      </c>
      <c r="N69" s="40"/>
      <c r="O69" s="40" t="s">
        <v>58</v>
      </c>
      <c r="P69" s="40" t="s">
        <v>58</v>
      </c>
      <c r="Q69" s="40"/>
      <c r="R69" s="40" t="s">
        <v>57</v>
      </c>
      <c r="S69">
        <v>164</v>
      </c>
      <c r="T69">
        <v>1</v>
      </c>
      <c r="U69" s="1"/>
      <c r="V69" s="1"/>
      <c r="W69" s="1"/>
      <c r="X69" s="1"/>
      <c r="Y69" s="1"/>
      <c r="Z69" s="40"/>
      <c r="AA69">
        <v>163</v>
      </c>
      <c r="AB69">
        <v>1</v>
      </c>
      <c r="AC69" s="1"/>
      <c r="AD69" s="40"/>
      <c r="AE69" s="1"/>
      <c r="AF69" s="1"/>
      <c r="AG69" s="1"/>
      <c r="AH69" s="40"/>
      <c r="AI69" s="1"/>
      <c r="AJ69" s="40">
        <f>_xlfn.MAXIFS(_01towers[02tss.Rev],_01towers[05_id],_01towers[[#This Row],[05_id]])</f>
        <v>1</v>
      </c>
      <c r="AK69" s="40" t="b">
        <f>IF(_01towers[[#This Row],[Count Rev TSS]]=_01towers[[#This Row],[02tss.Rev]],TRUE,FALSE)</f>
        <v>1</v>
      </c>
      <c r="AL69" s="40">
        <f>_xlfn.MAXIFS(_01towers[10colo_app.Rev],_01towers[05_id],_01towers[[#This Row],[05_id]])</f>
        <v>1</v>
      </c>
      <c r="AM69" s="40" t="b">
        <f>IF(_01towers[[#This Row],[Count Rev Colo App]]=_01towers[[#This Row],[10colo_app.Rev]],TRUE,FALSE)</f>
        <v>1</v>
      </c>
      <c r="AN69" s="40" t="b">
        <f>IF(AND(_01towers[[#This Row],[Test Rev Colo]]=TRUE,_01towers[[#This Row],[Test Rev TSS]]=TRUE),TRUE,FALSE)</f>
        <v>1</v>
      </c>
      <c r="AO69" s="40" t="str">
        <f>IF(_01towers[[#This Row],[Test Active]]=TRUE,_01towers[[#This Row],[Prevalidation Status]],"")</f>
        <v>Prevalidation Rejected</v>
      </c>
      <c r="AP69" s="40" t="str">
        <f>IF(_01towers[[#This Row],[Active Prevalidation Status]]="Under Prevalidation",
IF(M69="","Review",M69),"")</f>
        <v/>
      </c>
      <c r="AQ69" s="40" t="str">
        <f>IF(_01towers[[#This Row],[Active Prevalidation Status]]="Under Prevalidation",
IF(N69="","Review",N69),"")</f>
        <v/>
      </c>
      <c r="AR69" s="40" t="str">
        <f>IF(_01towers[[#This Row],[Active Prevalidation Status]]="Under Prevalidation",
IF(O69="","Review",O69),"")</f>
        <v/>
      </c>
      <c r="AS69" s="40" t="str">
        <f>IF(_01towers[[#This Row],[Active Prevalidation Status]]="Under Prevalidation",
IF(P69="","Review",P69),"")</f>
        <v/>
      </c>
      <c r="AT69" s="40" t="str">
        <f>IF(_01towers[[#This Row],[Active Prevalidation Status]]="Under Prevalidation",
IF(Q69="","Review",Q69),"")</f>
        <v/>
      </c>
      <c r="AU69" s="40" t="str">
        <f>IF(_01towers[[#This Row],[Active Prevalidation Status]]="Under Prevalidation",
IF(R69="","Review",R69),"")</f>
        <v/>
      </c>
      <c r="AV69" s="40">
        <f>COUNTIF(_01towers[[#This Row],[SAQ_Result2]:[Community_Result2]],"OK")</f>
        <v>0</v>
      </c>
      <c r="AW69" s="1" t="str">
        <f>IF(AND(OR(_01towers[[#This Row],[Active Prevalidation Status]]="Under Prevalidation",_01towers[[#This Row],[Active Prevalidation Status]]="Prevalidated"),_01towers[[#This Row],[02tss.TSSR_From_Engineer]]&gt;0),"Submitted","")</f>
        <v/>
      </c>
      <c r="AX69" s="40" t="str">
        <f>IF(OR(_01towers[[#This Row],[Active Prevalidation Status]]="Under Prevalidation",_01towers[[#This Row],[Active Prevalidation Status]]="Prevalidated"),_01towers[[#This Row],[02tss.TSS_Result]],"")</f>
        <v/>
      </c>
      <c r="AY69" s="40" t="str">
        <f>IF(AND(_01towers[[#This Row],[Active TSS Result]]="Approved",_01towers[[#This Row],[Active Prevalidation Status]]="Prevalidated"),"In Process","")</f>
        <v/>
      </c>
      <c r="AZ69" s="40" t="str">
        <f>IF(AND(_01towers[[#This Row],[Active TSS Result]]="Approved",_01towers[[#This Row],[Active Prevalidation Status]]="Prevalidated"),_01towers[[#This Row],[10colo_app.Colo_App_Result]],"")</f>
        <v/>
      </c>
      <c r="BA69" s="40">
        <f>COUNTIF(_20work_order[05_id],_01towers[[#This Row],[05_id]])</f>
        <v>0</v>
      </c>
      <c r="BB69" s="40">
        <f>COUNTIFS(_20work_order[05_id],_01towers[[#This Row],[05_id]],_20work_order[Actual_End],"&gt;0")</f>
        <v>0</v>
      </c>
      <c r="BC69" s="40" t="str">
        <f>IF(_01towers[[#This Row],[Completed Work Orders]]&gt;0,"Work Completed",
IF(_01towers[[#This Row],[Count Work Orders]]&gt;0,"Work in Progress",""))</f>
        <v/>
      </c>
      <c r="BD6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69" s="40" t="str">
        <f>_xlfn.SWITCH(_01towers[[#This Row],[Final Colo Status full]],"Commercial Approval Requested","Under Prevalidation",_01towers[[#This Row],[Final Colo Status full]])</f>
        <v>Prevalidation Rejected</v>
      </c>
    </row>
    <row r="70" spans="1:57" hidden="1" x14ac:dyDescent="0.35">
      <c r="A70" s="40" t="s">
        <v>219</v>
      </c>
      <c r="B70" s="40" t="s">
        <v>90</v>
      </c>
      <c r="C70" s="40" t="s">
        <v>51</v>
      </c>
      <c r="D70">
        <v>35</v>
      </c>
      <c r="E70" s="40" t="s">
        <v>94</v>
      </c>
      <c r="F70">
        <v>97.612520000000004</v>
      </c>
      <c r="G70">
        <v>16.526730000000001</v>
      </c>
      <c r="H70" s="40" t="s">
        <v>53</v>
      </c>
      <c r="I70">
        <v>68</v>
      </c>
      <c r="J70" s="40" t="s">
        <v>211</v>
      </c>
      <c r="K70" s="40" t="s">
        <v>136</v>
      </c>
      <c r="L70" s="40" t="s">
        <v>64</v>
      </c>
      <c r="M70" s="40" t="s">
        <v>57</v>
      </c>
      <c r="N70" s="40" t="s">
        <v>57</v>
      </c>
      <c r="O70" s="40" t="s">
        <v>57</v>
      </c>
      <c r="P70" s="40" t="s">
        <v>57</v>
      </c>
      <c r="Q70" s="40" t="s">
        <v>57</v>
      </c>
      <c r="R70" s="40" t="s">
        <v>57</v>
      </c>
      <c r="S70">
        <v>97</v>
      </c>
      <c r="T70">
        <v>1</v>
      </c>
      <c r="U70" s="1"/>
      <c r="V70" s="1"/>
      <c r="W70" s="1"/>
      <c r="X70" s="1"/>
      <c r="Y70" s="1"/>
      <c r="Z70" s="40"/>
      <c r="AA70">
        <v>96</v>
      </c>
      <c r="AB70">
        <v>1</v>
      </c>
      <c r="AC70" s="1"/>
      <c r="AD70" s="40"/>
      <c r="AE70" s="1"/>
      <c r="AF70" s="1"/>
      <c r="AG70" s="1"/>
      <c r="AH70" s="40"/>
      <c r="AI70" s="1"/>
      <c r="AJ70" s="40">
        <f>_xlfn.MAXIFS(_01towers[02tss.Rev],_01towers[05_id],_01towers[[#This Row],[05_id]])</f>
        <v>1</v>
      </c>
      <c r="AK70" s="40" t="b">
        <f>IF(_01towers[[#This Row],[Count Rev TSS]]=_01towers[[#This Row],[02tss.Rev]],TRUE,FALSE)</f>
        <v>1</v>
      </c>
      <c r="AL70" s="40">
        <f>_xlfn.MAXIFS(_01towers[10colo_app.Rev],_01towers[05_id],_01towers[[#This Row],[05_id]])</f>
        <v>1</v>
      </c>
      <c r="AM70" s="40" t="b">
        <f>IF(_01towers[[#This Row],[Count Rev Colo App]]=_01towers[[#This Row],[10colo_app.Rev]],TRUE,FALSE)</f>
        <v>1</v>
      </c>
      <c r="AN70" s="40" t="b">
        <f>IF(AND(_01towers[[#This Row],[Test Rev Colo]]=TRUE,_01towers[[#This Row],[Test Rev TSS]]=TRUE),TRUE,FALSE)</f>
        <v>1</v>
      </c>
      <c r="AO70" s="40" t="str">
        <f>IF(_01towers[[#This Row],[Test Active]]=TRUE,_01towers[[#This Row],[Prevalidation Status]],"")</f>
        <v>Prevalidated</v>
      </c>
      <c r="AP70" s="40" t="str">
        <f>IF(_01towers[[#This Row],[Active Prevalidation Status]]="Under Prevalidation",
IF(M70="","Review",M70),"")</f>
        <v/>
      </c>
      <c r="AQ70" s="40" t="str">
        <f>IF(_01towers[[#This Row],[Active Prevalidation Status]]="Under Prevalidation",
IF(N70="","Review",N70),"")</f>
        <v/>
      </c>
      <c r="AR70" s="40" t="str">
        <f>IF(_01towers[[#This Row],[Active Prevalidation Status]]="Under Prevalidation",
IF(O70="","Review",O70),"")</f>
        <v/>
      </c>
      <c r="AS70" s="40" t="str">
        <f>IF(_01towers[[#This Row],[Active Prevalidation Status]]="Under Prevalidation",
IF(P70="","Review",P70),"")</f>
        <v/>
      </c>
      <c r="AT70" s="40" t="str">
        <f>IF(_01towers[[#This Row],[Active Prevalidation Status]]="Under Prevalidation",
IF(Q70="","Review",Q70),"")</f>
        <v/>
      </c>
      <c r="AU70" s="40" t="str">
        <f>IF(_01towers[[#This Row],[Active Prevalidation Status]]="Under Prevalidation",
IF(R70="","Review",R70),"")</f>
        <v/>
      </c>
      <c r="AV70" s="40">
        <f>COUNTIF(_01towers[[#This Row],[SAQ_Result2]:[Community_Result2]],"OK")</f>
        <v>0</v>
      </c>
      <c r="AW70" s="1" t="str">
        <f>IF(AND(OR(_01towers[[#This Row],[Active Prevalidation Status]]="Under Prevalidation",_01towers[[#This Row],[Active Prevalidation Status]]="Prevalidated"),_01towers[[#This Row],[02tss.TSSR_From_Engineer]]&gt;0),"Submitted","")</f>
        <v/>
      </c>
      <c r="AX70" s="40">
        <f>IF(OR(_01towers[[#This Row],[Active Prevalidation Status]]="Under Prevalidation",_01towers[[#This Row],[Active Prevalidation Status]]="Prevalidated"),_01towers[[#This Row],[02tss.TSS_Result]],"")</f>
        <v>0</v>
      </c>
      <c r="AY70" s="40" t="str">
        <f>IF(AND(_01towers[[#This Row],[Active TSS Result]]="Approved",_01towers[[#This Row],[Active Prevalidation Status]]="Prevalidated"),"In Process","")</f>
        <v/>
      </c>
      <c r="AZ70" s="40" t="str">
        <f>IF(AND(_01towers[[#This Row],[Active TSS Result]]="Approved",_01towers[[#This Row],[Active Prevalidation Status]]="Prevalidated"),_01towers[[#This Row],[10colo_app.Colo_App_Result]],"")</f>
        <v/>
      </c>
      <c r="BA70" s="40">
        <f>COUNTIF(_20work_order[05_id],_01towers[[#This Row],[05_id]])</f>
        <v>0</v>
      </c>
      <c r="BB70" s="40">
        <f>COUNTIFS(_20work_order[05_id],_01towers[[#This Row],[05_id]],_20work_order[Actual_End],"&gt;0")</f>
        <v>0</v>
      </c>
      <c r="BC70" s="40" t="str">
        <f>IF(_01towers[[#This Row],[Completed Work Orders]]&gt;0,"Work Completed",
IF(_01towers[[#This Row],[Count Work Orders]]&gt;0,"Work in Progress",""))</f>
        <v/>
      </c>
      <c r="BD7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70" s="40" t="str">
        <f>_xlfn.SWITCH(_01towers[[#This Row],[Final Colo Status full]],"Commercial Approval Requested","Under Prevalidation",_01towers[[#This Row],[Final Colo Status full]])</f>
        <v>Prevalidated - TSSR in Process</v>
      </c>
    </row>
    <row r="71" spans="1:57" hidden="1" x14ac:dyDescent="0.35">
      <c r="A71" s="40" t="s">
        <v>220</v>
      </c>
      <c r="B71" s="40" t="s">
        <v>90</v>
      </c>
      <c r="C71" s="40" t="s">
        <v>51</v>
      </c>
      <c r="D71">
        <v>60</v>
      </c>
      <c r="E71" s="40" t="s">
        <v>221</v>
      </c>
      <c r="F71">
        <v>95.458770000000001</v>
      </c>
      <c r="G71">
        <v>16.992170000000002</v>
      </c>
      <c r="H71" s="40" t="s">
        <v>53</v>
      </c>
      <c r="I71">
        <v>69</v>
      </c>
      <c r="J71" s="40" t="s">
        <v>572</v>
      </c>
      <c r="K71" s="40" t="s">
        <v>136</v>
      </c>
      <c r="L71" s="40" t="s">
        <v>64</v>
      </c>
      <c r="M71" s="40" t="s">
        <v>57</v>
      </c>
      <c r="N71" s="40" t="s">
        <v>57</v>
      </c>
      <c r="O71" s="40" t="s">
        <v>57</v>
      </c>
      <c r="P71" s="40" t="s">
        <v>57</v>
      </c>
      <c r="Q71" s="40" t="s">
        <v>57</v>
      </c>
      <c r="R71" s="40" t="s">
        <v>57</v>
      </c>
      <c r="S71">
        <v>1</v>
      </c>
      <c r="T71">
        <v>1</v>
      </c>
      <c r="U71" s="1"/>
      <c r="V71" s="1"/>
      <c r="W71" s="1"/>
      <c r="X71" s="1"/>
      <c r="Y71" s="1"/>
      <c r="Z71" s="40"/>
      <c r="AA71">
        <v>1</v>
      </c>
      <c r="AB71">
        <v>1</v>
      </c>
      <c r="AC71" s="1"/>
      <c r="AD71" s="40"/>
      <c r="AE71" s="1"/>
      <c r="AF71" s="1"/>
      <c r="AG71" s="1"/>
      <c r="AH71" s="40"/>
      <c r="AI71" s="1"/>
      <c r="AJ71" s="40">
        <f>_xlfn.MAXIFS(_01towers[02tss.Rev],_01towers[05_id],_01towers[[#This Row],[05_id]])</f>
        <v>1</v>
      </c>
      <c r="AK71" s="40" t="b">
        <f>IF(_01towers[[#This Row],[Count Rev TSS]]=_01towers[[#This Row],[02tss.Rev]],TRUE,FALSE)</f>
        <v>1</v>
      </c>
      <c r="AL71" s="40">
        <f>_xlfn.MAXIFS(_01towers[10colo_app.Rev],_01towers[05_id],_01towers[[#This Row],[05_id]])</f>
        <v>1</v>
      </c>
      <c r="AM71" s="40" t="b">
        <f>IF(_01towers[[#This Row],[Count Rev Colo App]]=_01towers[[#This Row],[10colo_app.Rev]],TRUE,FALSE)</f>
        <v>1</v>
      </c>
      <c r="AN71" s="40" t="b">
        <f>IF(AND(_01towers[[#This Row],[Test Rev Colo]]=TRUE,_01towers[[#This Row],[Test Rev TSS]]=TRUE),TRUE,FALSE)</f>
        <v>1</v>
      </c>
      <c r="AO71" s="40" t="str">
        <f>IF(_01towers[[#This Row],[Test Active]]=TRUE,_01towers[[#This Row],[Prevalidation Status]],"")</f>
        <v>Prevalidated</v>
      </c>
      <c r="AP71" s="40" t="str">
        <f>IF(_01towers[[#This Row],[Active Prevalidation Status]]="Under Prevalidation",
IF(M71="","Review",M71),"")</f>
        <v/>
      </c>
      <c r="AQ71" s="40" t="str">
        <f>IF(_01towers[[#This Row],[Active Prevalidation Status]]="Under Prevalidation",
IF(N71="","Review",N71),"")</f>
        <v/>
      </c>
      <c r="AR71" s="40" t="str">
        <f>IF(_01towers[[#This Row],[Active Prevalidation Status]]="Under Prevalidation",
IF(O71="","Review",O71),"")</f>
        <v/>
      </c>
      <c r="AS71" s="40" t="str">
        <f>IF(_01towers[[#This Row],[Active Prevalidation Status]]="Under Prevalidation",
IF(P71="","Review",P71),"")</f>
        <v/>
      </c>
      <c r="AT71" s="40" t="str">
        <f>IF(_01towers[[#This Row],[Active Prevalidation Status]]="Under Prevalidation",
IF(Q71="","Review",Q71),"")</f>
        <v/>
      </c>
      <c r="AU71" s="40" t="str">
        <f>IF(_01towers[[#This Row],[Active Prevalidation Status]]="Under Prevalidation",
IF(R71="","Review",R71),"")</f>
        <v/>
      </c>
      <c r="AV71" s="40">
        <f>COUNTIF(_01towers[[#This Row],[SAQ_Result2]:[Community_Result2]],"OK")</f>
        <v>0</v>
      </c>
      <c r="AW71" s="1" t="str">
        <f>IF(AND(OR(_01towers[[#This Row],[Active Prevalidation Status]]="Under Prevalidation",_01towers[[#This Row],[Active Prevalidation Status]]="Prevalidated"),_01towers[[#This Row],[02tss.TSSR_From_Engineer]]&gt;0),"Submitted","")</f>
        <v/>
      </c>
      <c r="AX71" s="40">
        <f>IF(OR(_01towers[[#This Row],[Active Prevalidation Status]]="Under Prevalidation",_01towers[[#This Row],[Active Prevalidation Status]]="Prevalidated"),_01towers[[#This Row],[02tss.TSS_Result]],"")</f>
        <v>0</v>
      </c>
      <c r="AY71" s="40" t="str">
        <f>IF(AND(_01towers[[#This Row],[Active TSS Result]]="Approved",_01towers[[#This Row],[Active Prevalidation Status]]="Prevalidated"),"In Process","")</f>
        <v/>
      </c>
      <c r="AZ71" s="40" t="str">
        <f>IF(AND(_01towers[[#This Row],[Active TSS Result]]="Approved",_01towers[[#This Row],[Active Prevalidation Status]]="Prevalidated"),_01towers[[#This Row],[10colo_app.Colo_App_Result]],"")</f>
        <v/>
      </c>
      <c r="BA71" s="40">
        <f>COUNTIF(_20work_order[05_id],_01towers[[#This Row],[05_id]])</f>
        <v>0</v>
      </c>
      <c r="BB71" s="40">
        <f>COUNTIFS(_20work_order[05_id],_01towers[[#This Row],[05_id]],_20work_order[Actual_End],"&gt;0")</f>
        <v>0</v>
      </c>
      <c r="BC71" s="40" t="str">
        <f>IF(_01towers[[#This Row],[Completed Work Orders]]&gt;0,"Work Completed",
IF(_01towers[[#This Row],[Count Work Orders]]&gt;0,"Work in Progress",""))</f>
        <v/>
      </c>
      <c r="BD7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71" s="40" t="str">
        <f>_xlfn.SWITCH(_01towers[[#This Row],[Final Colo Status full]],"Commercial Approval Requested","Under Prevalidation",_01towers[[#This Row],[Final Colo Status full]])</f>
        <v>Prevalidated - TSSR in Process</v>
      </c>
    </row>
    <row r="72" spans="1:57" hidden="1" x14ac:dyDescent="0.35">
      <c r="A72" s="40" t="s">
        <v>222</v>
      </c>
      <c r="B72" s="40" t="s">
        <v>90</v>
      </c>
      <c r="C72" s="40" t="s">
        <v>51</v>
      </c>
      <c r="D72">
        <v>50</v>
      </c>
      <c r="E72" s="40" t="s">
        <v>94</v>
      </c>
      <c r="F72">
        <v>97.367232999999999</v>
      </c>
      <c r="G72">
        <v>16.917822999999999</v>
      </c>
      <c r="H72" s="40" t="s">
        <v>53</v>
      </c>
      <c r="I72">
        <v>70</v>
      </c>
      <c r="J72" s="40" t="s">
        <v>600</v>
      </c>
      <c r="K72" s="40" t="s">
        <v>136</v>
      </c>
      <c r="L72" s="40" t="s">
        <v>64</v>
      </c>
      <c r="M72" s="40" t="s">
        <v>57</v>
      </c>
      <c r="N72" s="40" t="s">
        <v>57</v>
      </c>
      <c r="O72" s="40" t="s">
        <v>57</v>
      </c>
      <c r="P72" s="40" t="s">
        <v>57</v>
      </c>
      <c r="Q72" s="40" t="s">
        <v>57</v>
      </c>
      <c r="R72" s="40" t="s">
        <v>57</v>
      </c>
      <c r="S72">
        <v>117</v>
      </c>
      <c r="T72">
        <v>1</v>
      </c>
      <c r="U72" s="1"/>
      <c r="V72" s="1"/>
      <c r="W72" s="1"/>
      <c r="X72" s="1"/>
      <c r="Y72" s="1"/>
      <c r="Z72" s="40"/>
      <c r="AA72">
        <v>116</v>
      </c>
      <c r="AB72">
        <v>1</v>
      </c>
      <c r="AC72" s="1"/>
      <c r="AD72" s="40"/>
      <c r="AE72" s="1"/>
      <c r="AF72" s="1"/>
      <c r="AG72" s="1"/>
      <c r="AH72" s="40"/>
      <c r="AI72" s="1"/>
      <c r="AJ72" s="40">
        <f>_xlfn.MAXIFS(_01towers[02tss.Rev],_01towers[05_id],_01towers[[#This Row],[05_id]])</f>
        <v>1</v>
      </c>
      <c r="AK72" s="40" t="b">
        <f>IF(_01towers[[#This Row],[Count Rev TSS]]=_01towers[[#This Row],[02tss.Rev]],TRUE,FALSE)</f>
        <v>1</v>
      </c>
      <c r="AL72" s="40">
        <f>_xlfn.MAXIFS(_01towers[10colo_app.Rev],_01towers[05_id],_01towers[[#This Row],[05_id]])</f>
        <v>1</v>
      </c>
      <c r="AM72" s="40" t="b">
        <f>IF(_01towers[[#This Row],[Count Rev Colo App]]=_01towers[[#This Row],[10colo_app.Rev]],TRUE,FALSE)</f>
        <v>1</v>
      </c>
      <c r="AN72" s="40" t="b">
        <f>IF(AND(_01towers[[#This Row],[Test Rev Colo]]=TRUE,_01towers[[#This Row],[Test Rev TSS]]=TRUE),TRUE,FALSE)</f>
        <v>1</v>
      </c>
      <c r="AO72" s="40" t="str">
        <f>IF(_01towers[[#This Row],[Test Active]]=TRUE,_01towers[[#This Row],[Prevalidation Status]],"")</f>
        <v>Prevalidated</v>
      </c>
      <c r="AP72" s="40" t="str">
        <f>IF(_01towers[[#This Row],[Active Prevalidation Status]]="Under Prevalidation",
IF(M72="","Review",M72),"")</f>
        <v/>
      </c>
      <c r="AQ72" s="40" t="str">
        <f>IF(_01towers[[#This Row],[Active Prevalidation Status]]="Under Prevalidation",
IF(N72="","Review",N72),"")</f>
        <v/>
      </c>
      <c r="AR72" s="40" t="str">
        <f>IF(_01towers[[#This Row],[Active Prevalidation Status]]="Under Prevalidation",
IF(O72="","Review",O72),"")</f>
        <v/>
      </c>
      <c r="AS72" s="40" t="str">
        <f>IF(_01towers[[#This Row],[Active Prevalidation Status]]="Under Prevalidation",
IF(P72="","Review",P72),"")</f>
        <v/>
      </c>
      <c r="AT72" s="40" t="str">
        <f>IF(_01towers[[#This Row],[Active Prevalidation Status]]="Under Prevalidation",
IF(Q72="","Review",Q72),"")</f>
        <v/>
      </c>
      <c r="AU72" s="40" t="str">
        <f>IF(_01towers[[#This Row],[Active Prevalidation Status]]="Under Prevalidation",
IF(R72="","Review",R72),"")</f>
        <v/>
      </c>
      <c r="AV72" s="40">
        <f>COUNTIF(_01towers[[#This Row],[SAQ_Result2]:[Community_Result2]],"OK")</f>
        <v>0</v>
      </c>
      <c r="AW72" s="1" t="str">
        <f>IF(AND(OR(_01towers[[#This Row],[Active Prevalidation Status]]="Under Prevalidation",_01towers[[#This Row],[Active Prevalidation Status]]="Prevalidated"),_01towers[[#This Row],[02tss.TSSR_From_Engineer]]&gt;0),"Submitted","")</f>
        <v/>
      </c>
      <c r="AX72" s="40">
        <f>IF(OR(_01towers[[#This Row],[Active Prevalidation Status]]="Under Prevalidation",_01towers[[#This Row],[Active Prevalidation Status]]="Prevalidated"),_01towers[[#This Row],[02tss.TSS_Result]],"")</f>
        <v>0</v>
      </c>
      <c r="AY72" s="40" t="str">
        <f>IF(AND(_01towers[[#This Row],[Active TSS Result]]="Approved",_01towers[[#This Row],[Active Prevalidation Status]]="Prevalidated"),"In Process","")</f>
        <v/>
      </c>
      <c r="AZ72" s="40" t="str">
        <f>IF(AND(_01towers[[#This Row],[Active TSS Result]]="Approved",_01towers[[#This Row],[Active Prevalidation Status]]="Prevalidated"),_01towers[[#This Row],[10colo_app.Colo_App_Result]],"")</f>
        <v/>
      </c>
      <c r="BA72" s="40">
        <f>COUNTIF(_20work_order[05_id],_01towers[[#This Row],[05_id]])</f>
        <v>0</v>
      </c>
      <c r="BB72" s="40">
        <f>COUNTIFS(_20work_order[05_id],_01towers[[#This Row],[05_id]],_20work_order[Actual_End],"&gt;0")</f>
        <v>0</v>
      </c>
      <c r="BC72" s="40" t="str">
        <f>IF(_01towers[[#This Row],[Completed Work Orders]]&gt;0,"Work Completed",
IF(_01towers[[#This Row],[Count Work Orders]]&gt;0,"Work in Progress",""))</f>
        <v/>
      </c>
      <c r="BD7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72" s="40" t="str">
        <f>_xlfn.SWITCH(_01towers[[#This Row],[Final Colo Status full]],"Commercial Approval Requested","Under Prevalidation",_01towers[[#This Row],[Final Colo Status full]])</f>
        <v>Prevalidated - TSSR in Process</v>
      </c>
    </row>
    <row r="73" spans="1:57" hidden="1" x14ac:dyDescent="0.35">
      <c r="A73" s="40" t="s">
        <v>223</v>
      </c>
      <c r="B73" s="40" t="s">
        <v>90</v>
      </c>
      <c r="C73" s="40" t="s">
        <v>51</v>
      </c>
      <c r="D73">
        <v>60</v>
      </c>
      <c r="E73" s="40" t="s">
        <v>94</v>
      </c>
      <c r="F73">
        <v>97.080719999999999</v>
      </c>
      <c r="G73">
        <v>17.40193</v>
      </c>
      <c r="H73" s="40" t="s">
        <v>53</v>
      </c>
      <c r="I73">
        <v>71</v>
      </c>
      <c r="J73" s="40" t="s">
        <v>601</v>
      </c>
      <c r="K73" s="40" t="s">
        <v>136</v>
      </c>
      <c r="L73" s="40" t="s">
        <v>64</v>
      </c>
      <c r="M73" s="40" t="s">
        <v>57</v>
      </c>
      <c r="N73" s="40" t="s">
        <v>57</v>
      </c>
      <c r="O73" s="40" t="s">
        <v>57</v>
      </c>
      <c r="P73" s="40" t="s">
        <v>57</v>
      </c>
      <c r="Q73" s="40" t="s">
        <v>57</v>
      </c>
      <c r="R73" s="40" t="s">
        <v>57</v>
      </c>
      <c r="S73">
        <v>110</v>
      </c>
      <c r="T73">
        <v>1</v>
      </c>
      <c r="U73" s="1">
        <v>43299</v>
      </c>
      <c r="V73" s="1">
        <v>43299</v>
      </c>
      <c r="W73" s="1">
        <v>43301</v>
      </c>
      <c r="X73" s="1"/>
      <c r="Y73" s="1"/>
      <c r="Z73" s="40"/>
      <c r="AA73">
        <v>109</v>
      </c>
      <c r="AB73">
        <v>1</v>
      </c>
      <c r="AC73" s="1"/>
      <c r="AD73" s="40"/>
      <c r="AE73" s="1"/>
      <c r="AF73" s="1"/>
      <c r="AG73" s="1"/>
      <c r="AH73" s="40"/>
      <c r="AI73" s="1"/>
      <c r="AJ73" s="40">
        <f>_xlfn.MAXIFS(_01towers[02tss.Rev],_01towers[05_id],_01towers[[#This Row],[05_id]])</f>
        <v>1</v>
      </c>
      <c r="AK73" s="40" t="b">
        <f>IF(_01towers[[#This Row],[Count Rev TSS]]=_01towers[[#This Row],[02tss.Rev]],TRUE,FALSE)</f>
        <v>1</v>
      </c>
      <c r="AL73" s="40">
        <f>_xlfn.MAXIFS(_01towers[10colo_app.Rev],_01towers[05_id],_01towers[[#This Row],[05_id]])</f>
        <v>1</v>
      </c>
      <c r="AM73" s="40" t="b">
        <f>IF(_01towers[[#This Row],[Count Rev Colo App]]=_01towers[[#This Row],[10colo_app.Rev]],TRUE,FALSE)</f>
        <v>1</v>
      </c>
      <c r="AN73" s="40" t="b">
        <f>IF(AND(_01towers[[#This Row],[Test Rev Colo]]=TRUE,_01towers[[#This Row],[Test Rev TSS]]=TRUE),TRUE,FALSE)</f>
        <v>1</v>
      </c>
      <c r="AO73" s="40" t="str">
        <f>IF(_01towers[[#This Row],[Test Active]]=TRUE,_01towers[[#This Row],[Prevalidation Status]],"")</f>
        <v>Prevalidated</v>
      </c>
      <c r="AP73" s="40" t="str">
        <f>IF(_01towers[[#This Row],[Active Prevalidation Status]]="Under Prevalidation",
IF(M73="","Review",M73),"")</f>
        <v/>
      </c>
      <c r="AQ73" s="40" t="str">
        <f>IF(_01towers[[#This Row],[Active Prevalidation Status]]="Under Prevalidation",
IF(N73="","Review",N73),"")</f>
        <v/>
      </c>
      <c r="AR73" s="40" t="str">
        <f>IF(_01towers[[#This Row],[Active Prevalidation Status]]="Under Prevalidation",
IF(O73="","Review",O73),"")</f>
        <v/>
      </c>
      <c r="AS73" s="40" t="str">
        <f>IF(_01towers[[#This Row],[Active Prevalidation Status]]="Under Prevalidation",
IF(P73="","Review",P73),"")</f>
        <v/>
      </c>
      <c r="AT73" s="40" t="str">
        <f>IF(_01towers[[#This Row],[Active Prevalidation Status]]="Under Prevalidation",
IF(Q73="","Review",Q73),"")</f>
        <v/>
      </c>
      <c r="AU73" s="40" t="str">
        <f>IF(_01towers[[#This Row],[Active Prevalidation Status]]="Under Prevalidation",
IF(R73="","Review",R73),"")</f>
        <v/>
      </c>
      <c r="AV73" s="40">
        <f>COUNTIF(_01towers[[#This Row],[SAQ_Result2]:[Community_Result2]],"OK")</f>
        <v>0</v>
      </c>
      <c r="AW73" s="1" t="str">
        <f>IF(AND(OR(_01towers[[#This Row],[Active Prevalidation Status]]="Under Prevalidation",_01towers[[#This Row],[Active Prevalidation Status]]="Prevalidated"),_01towers[[#This Row],[02tss.TSSR_From_Engineer]]&gt;0),"Submitted","")</f>
        <v>Submitted</v>
      </c>
      <c r="AX73" s="40">
        <f>IF(OR(_01towers[[#This Row],[Active Prevalidation Status]]="Under Prevalidation",_01towers[[#This Row],[Active Prevalidation Status]]="Prevalidated"),_01towers[[#This Row],[02tss.TSS_Result]],"")</f>
        <v>0</v>
      </c>
      <c r="AY73" s="40" t="str">
        <f>IF(AND(_01towers[[#This Row],[Active TSS Result]]="Approved",_01towers[[#This Row],[Active Prevalidation Status]]="Prevalidated"),"In Process","")</f>
        <v/>
      </c>
      <c r="AZ73" s="40" t="str">
        <f>IF(AND(_01towers[[#This Row],[Active TSS Result]]="Approved",_01towers[[#This Row],[Active Prevalidation Status]]="Prevalidated"),_01towers[[#This Row],[10colo_app.Colo_App_Result]],"")</f>
        <v/>
      </c>
      <c r="BA73" s="40">
        <f>COUNTIF(_20work_order[05_id],_01towers[[#This Row],[05_id]])</f>
        <v>0</v>
      </c>
      <c r="BB73" s="40">
        <f>COUNTIFS(_20work_order[05_id],_01towers[[#This Row],[05_id]],_20work_order[Actual_End],"&gt;0")</f>
        <v>0</v>
      </c>
      <c r="BC73" s="40" t="str">
        <f>IF(_01towers[[#This Row],[Completed Work Orders]]&gt;0,"Work Completed",
IF(_01towers[[#This Row],[Count Work Orders]]&gt;0,"Work in Progress",""))</f>
        <v/>
      </c>
      <c r="BD7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73" s="40" t="str">
        <f>_xlfn.SWITCH(_01towers[[#This Row],[Final Colo Status full]],"Commercial Approval Requested","Under Prevalidation",_01towers[[#This Row],[Final Colo Status full]])</f>
        <v>Prevalidated - TSSR in Process</v>
      </c>
    </row>
    <row r="74" spans="1:57" hidden="1" x14ac:dyDescent="0.35">
      <c r="A74" s="40" t="s">
        <v>224</v>
      </c>
      <c r="B74" s="40" t="s">
        <v>90</v>
      </c>
      <c r="C74" s="40" t="s">
        <v>51</v>
      </c>
      <c r="D74">
        <v>40</v>
      </c>
      <c r="E74" s="40" t="s">
        <v>175</v>
      </c>
      <c r="F74">
        <v>96.674965</v>
      </c>
      <c r="G74">
        <v>17.800554999999999</v>
      </c>
      <c r="H74" s="40" t="s">
        <v>53</v>
      </c>
      <c r="I74">
        <v>72</v>
      </c>
      <c r="J74" s="40" t="s">
        <v>225</v>
      </c>
      <c r="K74" s="40" t="s">
        <v>136</v>
      </c>
      <c r="L74" s="40" t="s">
        <v>64</v>
      </c>
      <c r="M74" s="40" t="s">
        <v>57</v>
      </c>
      <c r="N74" s="40" t="s">
        <v>57</v>
      </c>
      <c r="O74" s="40" t="s">
        <v>57</v>
      </c>
      <c r="P74" s="40" t="s">
        <v>57</v>
      </c>
      <c r="Q74" s="40" t="s">
        <v>57</v>
      </c>
      <c r="R74" s="40" t="s">
        <v>57</v>
      </c>
      <c r="S74">
        <v>30</v>
      </c>
      <c r="T74">
        <v>1</v>
      </c>
      <c r="U74" s="1">
        <v>43265</v>
      </c>
      <c r="V74" s="1"/>
      <c r="W74" s="1"/>
      <c r="X74" s="1"/>
      <c r="Y74" s="1"/>
      <c r="Z74" s="40"/>
      <c r="AA74">
        <v>29</v>
      </c>
      <c r="AB74">
        <v>1</v>
      </c>
      <c r="AC74" s="1"/>
      <c r="AD74" s="40"/>
      <c r="AE74" s="1"/>
      <c r="AF74" s="1"/>
      <c r="AG74" s="1"/>
      <c r="AH74" s="40"/>
      <c r="AI74" s="1"/>
      <c r="AJ74" s="40">
        <f>_xlfn.MAXIFS(_01towers[02tss.Rev],_01towers[05_id],_01towers[[#This Row],[05_id]])</f>
        <v>1</v>
      </c>
      <c r="AK74" s="40" t="b">
        <f>IF(_01towers[[#This Row],[Count Rev TSS]]=_01towers[[#This Row],[02tss.Rev]],TRUE,FALSE)</f>
        <v>1</v>
      </c>
      <c r="AL74" s="40">
        <f>_xlfn.MAXIFS(_01towers[10colo_app.Rev],_01towers[05_id],_01towers[[#This Row],[05_id]])</f>
        <v>1</v>
      </c>
      <c r="AM74" s="40" t="b">
        <f>IF(_01towers[[#This Row],[Count Rev Colo App]]=_01towers[[#This Row],[10colo_app.Rev]],TRUE,FALSE)</f>
        <v>1</v>
      </c>
      <c r="AN74" s="40" t="b">
        <f>IF(AND(_01towers[[#This Row],[Test Rev Colo]]=TRUE,_01towers[[#This Row],[Test Rev TSS]]=TRUE),TRUE,FALSE)</f>
        <v>1</v>
      </c>
      <c r="AO74" s="40" t="str">
        <f>IF(_01towers[[#This Row],[Test Active]]=TRUE,_01towers[[#This Row],[Prevalidation Status]],"")</f>
        <v>Prevalidated</v>
      </c>
      <c r="AP74" s="40" t="str">
        <f>IF(_01towers[[#This Row],[Active Prevalidation Status]]="Under Prevalidation",
IF(M74="","Review",M74),"")</f>
        <v/>
      </c>
      <c r="AQ74" s="40" t="str">
        <f>IF(_01towers[[#This Row],[Active Prevalidation Status]]="Under Prevalidation",
IF(N74="","Review",N74),"")</f>
        <v/>
      </c>
      <c r="AR74" s="40" t="str">
        <f>IF(_01towers[[#This Row],[Active Prevalidation Status]]="Under Prevalidation",
IF(O74="","Review",O74),"")</f>
        <v/>
      </c>
      <c r="AS74" s="40" t="str">
        <f>IF(_01towers[[#This Row],[Active Prevalidation Status]]="Under Prevalidation",
IF(P74="","Review",P74),"")</f>
        <v/>
      </c>
      <c r="AT74" s="40" t="str">
        <f>IF(_01towers[[#This Row],[Active Prevalidation Status]]="Under Prevalidation",
IF(Q74="","Review",Q74),"")</f>
        <v/>
      </c>
      <c r="AU74" s="40" t="str">
        <f>IF(_01towers[[#This Row],[Active Prevalidation Status]]="Under Prevalidation",
IF(R74="","Review",R74),"")</f>
        <v/>
      </c>
      <c r="AV74" s="40">
        <f>COUNTIF(_01towers[[#This Row],[SAQ_Result2]:[Community_Result2]],"OK")</f>
        <v>0</v>
      </c>
      <c r="AW74" s="1" t="str">
        <f>IF(AND(OR(_01towers[[#This Row],[Active Prevalidation Status]]="Under Prevalidation",_01towers[[#This Row],[Active Prevalidation Status]]="Prevalidated"),_01towers[[#This Row],[02tss.TSSR_From_Engineer]]&gt;0),"Submitted","")</f>
        <v/>
      </c>
      <c r="AX74" s="40">
        <f>IF(OR(_01towers[[#This Row],[Active Prevalidation Status]]="Under Prevalidation",_01towers[[#This Row],[Active Prevalidation Status]]="Prevalidated"),_01towers[[#This Row],[02tss.TSS_Result]],"")</f>
        <v>0</v>
      </c>
      <c r="AY74" s="40" t="str">
        <f>IF(AND(_01towers[[#This Row],[Active TSS Result]]="Approved",_01towers[[#This Row],[Active Prevalidation Status]]="Prevalidated"),"In Process","")</f>
        <v/>
      </c>
      <c r="AZ74" s="40" t="str">
        <f>IF(AND(_01towers[[#This Row],[Active TSS Result]]="Approved",_01towers[[#This Row],[Active Prevalidation Status]]="Prevalidated"),_01towers[[#This Row],[10colo_app.Colo_App_Result]],"")</f>
        <v/>
      </c>
      <c r="BA74" s="40">
        <f>COUNTIF(_20work_order[05_id],_01towers[[#This Row],[05_id]])</f>
        <v>0</v>
      </c>
      <c r="BB74" s="40">
        <f>COUNTIFS(_20work_order[05_id],_01towers[[#This Row],[05_id]],_20work_order[Actual_End],"&gt;0")</f>
        <v>0</v>
      </c>
      <c r="BC74" s="40" t="str">
        <f>IF(_01towers[[#This Row],[Completed Work Orders]]&gt;0,"Work Completed",
IF(_01towers[[#This Row],[Count Work Orders]]&gt;0,"Work in Progress",""))</f>
        <v/>
      </c>
      <c r="BD7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74" s="40" t="str">
        <f>_xlfn.SWITCH(_01towers[[#This Row],[Final Colo Status full]],"Commercial Approval Requested","Under Prevalidation",_01towers[[#This Row],[Final Colo Status full]])</f>
        <v>Prevalidated - TSSR in Process</v>
      </c>
    </row>
    <row r="75" spans="1:57" hidden="1" x14ac:dyDescent="0.35">
      <c r="A75" s="40" t="s">
        <v>226</v>
      </c>
      <c r="B75" s="40" t="s">
        <v>90</v>
      </c>
      <c r="C75" s="40" t="s">
        <v>51</v>
      </c>
      <c r="D75">
        <v>40</v>
      </c>
      <c r="E75" s="40" t="s">
        <v>175</v>
      </c>
      <c r="F75">
        <v>96.672887000000003</v>
      </c>
      <c r="G75">
        <v>17.805772000000001</v>
      </c>
      <c r="H75" s="40" t="s">
        <v>53</v>
      </c>
      <c r="I75">
        <v>73</v>
      </c>
      <c r="J75" s="40" t="s">
        <v>211</v>
      </c>
      <c r="K75" s="40" t="s">
        <v>136</v>
      </c>
      <c r="L75" s="40" t="s">
        <v>74</v>
      </c>
      <c r="M75" s="40" t="s">
        <v>57</v>
      </c>
      <c r="N75" s="40" t="s">
        <v>57</v>
      </c>
      <c r="O75" s="40" t="s">
        <v>57</v>
      </c>
      <c r="P75" s="40" t="s">
        <v>75</v>
      </c>
      <c r="Q75" s="40" t="s">
        <v>57</v>
      </c>
      <c r="R75" s="40" t="s">
        <v>58</v>
      </c>
      <c r="S75">
        <v>31</v>
      </c>
      <c r="T75">
        <v>1</v>
      </c>
      <c r="U75" s="1"/>
      <c r="V75" s="1"/>
      <c r="W75" s="1"/>
      <c r="X75" s="1"/>
      <c r="Y75" s="1"/>
      <c r="Z75" s="40"/>
      <c r="AA75">
        <v>30</v>
      </c>
      <c r="AB75">
        <v>1</v>
      </c>
      <c r="AC75" s="1"/>
      <c r="AD75" s="40"/>
      <c r="AE75" s="1"/>
      <c r="AF75" s="1"/>
      <c r="AG75" s="1"/>
      <c r="AH75" s="40"/>
      <c r="AI75" s="1"/>
      <c r="AJ75" s="40">
        <f>_xlfn.MAXIFS(_01towers[02tss.Rev],_01towers[05_id],_01towers[[#This Row],[05_id]])</f>
        <v>1</v>
      </c>
      <c r="AK75" s="40" t="b">
        <f>IF(_01towers[[#This Row],[Count Rev TSS]]=_01towers[[#This Row],[02tss.Rev]],TRUE,FALSE)</f>
        <v>1</v>
      </c>
      <c r="AL75" s="40">
        <f>_xlfn.MAXIFS(_01towers[10colo_app.Rev],_01towers[05_id],_01towers[[#This Row],[05_id]])</f>
        <v>1</v>
      </c>
      <c r="AM75" s="40" t="b">
        <f>IF(_01towers[[#This Row],[Count Rev Colo App]]=_01towers[[#This Row],[10colo_app.Rev]],TRUE,FALSE)</f>
        <v>1</v>
      </c>
      <c r="AN75" s="40" t="b">
        <f>IF(AND(_01towers[[#This Row],[Test Rev Colo]]=TRUE,_01towers[[#This Row],[Test Rev TSS]]=TRUE),TRUE,FALSE)</f>
        <v>1</v>
      </c>
      <c r="AO75" s="40" t="str">
        <f>IF(_01towers[[#This Row],[Test Active]]=TRUE,_01towers[[#This Row],[Prevalidation Status]],"")</f>
        <v>Prevalidation Rejected</v>
      </c>
      <c r="AP75" s="40" t="str">
        <f>IF(_01towers[[#This Row],[Active Prevalidation Status]]="Under Prevalidation",
IF(M75="","Review",M75),"")</f>
        <v/>
      </c>
      <c r="AQ75" s="40" t="str">
        <f>IF(_01towers[[#This Row],[Active Prevalidation Status]]="Under Prevalidation",
IF(N75="","Review",N75),"")</f>
        <v/>
      </c>
      <c r="AR75" s="40" t="str">
        <f>IF(_01towers[[#This Row],[Active Prevalidation Status]]="Under Prevalidation",
IF(O75="","Review",O75),"")</f>
        <v/>
      </c>
      <c r="AS75" s="40" t="str">
        <f>IF(_01towers[[#This Row],[Active Prevalidation Status]]="Under Prevalidation",
IF(P75="","Review",P75),"")</f>
        <v/>
      </c>
      <c r="AT75" s="40" t="str">
        <f>IF(_01towers[[#This Row],[Active Prevalidation Status]]="Under Prevalidation",
IF(Q75="","Review",Q75),"")</f>
        <v/>
      </c>
      <c r="AU75" s="40" t="str">
        <f>IF(_01towers[[#This Row],[Active Prevalidation Status]]="Under Prevalidation",
IF(R75="","Review",R75),"")</f>
        <v/>
      </c>
      <c r="AV75" s="40">
        <f>COUNTIF(_01towers[[#This Row],[SAQ_Result2]:[Community_Result2]],"OK")</f>
        <v>0</v>
      </c>
      <c r="AW75" s="1" t="str">
        <f>IF(AND(OR(_01towers[[#This Row],[Active Prevalidation Status]]="Under Prevalidation",_01towers[[#This Row],[Active Prevalidation Status]]="Prevalidated"),_01towers[[#This Row],[02tss.TSSR_From_Engineer]]&gt;0),"Submitted","")</f>
        <v/>
      </c>
      <c r="AX75" s="40" t="str">
        <f>IF(OR(_01towers[[#This Row],[Active Prevalidation Status]]="Under Prevalidation",_01towers[[#This Row],[Active Prevalidation Status]]="Prevalidated"),_01towers[[#This Row],[02tss.TSS_Result]],"")</f>
        <v/>
      </c>
      <c r="AY75" s="40" t="str">
        <f>IF(AND(_01towers[[#This Row],[Active TSS Result]]="Approved",_01towers[[#This Row],[Active Prevalidation Status]]="Prevalidated"),"In Process","")</f>
        <v/>
      </c>
      <c r="AZ75" s="40" t="str">
        <f>IF(AND(_01towers[[#This Row],[Active TSS Result]]="Approved",_01towers[[#This Row],[Active Prevalidation Status]]="Prevalidated"),_01towers[[#This Row],[10colo_app.Colo_App_Result]],"")</f>
        <v/>
      </c>
      <c r="BA75" s="40">
        <f>COUNTIF(_20work_order[05_id],_01towers[[#This Row],[05_id]])</f>
        <v>0</v>
      </c>
      <c r="BB75" s="40">
        <f>COUNTIFS(_20work_order[05_id],_01towers[[#This Row],[05_id]],_20work_order[Actual_End],"&gt;0")</f>
        <v>0</v>
      </c>
      <c r="BC75" s="40" t="str">
        <f>IF(_01towers[[#This Row],[Completed Work Orders]]&gt;0,"Work Completed",
IF(_01towers[[#This Row],[Count Work Orders]]&gt;0,"Work in Progress",""))</f>
        <v/>
      </c>
      <c r="BD7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75" s="40" t="str">
        <f>_xlfn.SWITCH(_01towers[[#This Row],[Final Colo Status full]],"Commercial Approval Requested","Under Prevalidation",_01towers[[#This Row],[Final Colo Status full]])</f>
        <v>Prevalidation Rejected</v>
      </c>
    </row>
    <row r="76" spans="1:57" hidden="1" x14ac:dyDescent="0.35">
      <c r="A76" s="40" t="s">
        <v>227</v>
      </c>
      <c r="B76" s="40" t="s">
        <v>90</v>
      </c>
      <c r="C76" s="40" t="s">
        <v>82</v>
      </c>
      <c r="D76">
        <v>6</v>
      </c>
      <c r="E76" s="40" t="s">
        <v>98</v>
      </c>
      <c r="F76">
        <v>96.154110000000003</v>
      </c>
      <c r="G76">
        <v>16.881530000000001</v>
      </c>
      <c r="H76" s="40" t="s">
        <v>53</v>
      </c>
      <c r="I76">
        <v>74</v>
      </c>
      <c r="J76" s="40" t="s">
        <v>228</v>
      </c>
      <c r="K76" s="40" t="s">
        <v>136</v>
      </c>
      <c r="L76" s="40" t="s">
        <v>74</v>
      </c>
      <c r="M76" s="40" t="s">
        <v>75</v>
      </c>
      <c r="N76" s="40"/>
      <c r="O76" s="40" t="s">
        <v>58</v>
      </c>
      <c r="P76" s="40" t="s">
        <v>57</v>
      </c>
      <c r="Q76" s="40"/>
      <c r="R76" s="40" t="s">
        <v>75</v>
      </c>
      <c r="S76">
        <v>151</v>
      </c>
      <c r="T76">
        <v>1</v>
      </c>
      <c r="U76" s="1"/>
      <c r="V76" s="1"/>
      <c r="W76" s="1"/>
      <c r="X76" s="1"/>
      <c r="Y76" s="1"/>
      <c r="Z76" s="40"/>
      <c r="AA76">
        <v>150</v>
      </c>
      <c r="AB76">
        <v>1</v>
      </c>
      <c r="AC76" s="1"/>
      <c r="AD76" s="40"/>
      <c r="AE76" s="1"/>
      <c r="AF76" s="1"/>
      <c r="AG76" s="1"/>
      <c r="AH76" s="40"/>
      <c r="AI76" s="1"/>
      <c r="AJ76" s="40">
        <f>_xlfn.MAXIFS(_01towers[02tss.Rev],_01towers[05_id],_01towers[[#This Row],[05_id]])</f>
        <v>1</v>
      </c>
      <c r="AK76" s="40" t="b">
        <f>IF(_01towers[[#This Row],[Count Rev TSS]]=_01towers[[#This Row],[02tss.Rev]],TRUE,FALSE)</f>
        <v>1</v>
      </c>
      <c r="AL76" s="40">
        <f>_xlfn.MAXIFS(_01towers[10colo_app.Rev],_01towers[05_id],_01towers[[#This Row],[05_id]])</f>
        <v>1</v>
      </c>
      <c r="AM76" s="40" t="b">
        <f>IF(_01towers[[#This Row],[Count Rev Colo App]]=_01towers[[#This Row],[10colo_app.Rev]],TRUE,FALSE)</f>
        <v>1</v>
      </c>
      <c r="AN76" s="40" t="b">
        <f>IF(AND(_01towers[[#This Row],[Test Rev Colo]]=TRUE,_01towers[[#This Row],[Test Rev TSS]]=TRUE),TRUE,FALSE)</f>
        <v>1</v>
      </c>
      <c r="AO76" s="40" t="str">
        <f>IF(_01towers[[#This Row],[Test Active]]=TRUE,_01towers[[#This Row],[Prevalidation Status]],"")</f>
        <v>Prevalidation Rejected</v>
      </c>
      <c r="AP76" s="40" t="str">
        <f>IF(_01towers[[#This Row],[Active Prevalidation Status]]="Under Prevalidation",
IF(M76="","Review",M76),"")</f>
        <v/>
      </c>
      <c r="AQ76" s="40" t="str">
        <f>IF(_01towers[[#This Row],[Active Prevalidation Status]]="Under Prevalidation",
IF(N76="","Review",N76),"")</f>
        <v/>
      </c>
      <c r="AR76" s="40" t="str">
        <f>IF(_01towers[[#This Row],[Active Prevalidation Status]]="Under Prevalidation",
IF(O76="","Review",O76),"")</f>
        <v/>
      </c>
      <c r="AS76" s="40" t="str">
        <f>IF(_01towers[[#This Row],[Active Prevalidation Status]]="Under Prevalidation",
IF(P76="","Review",P76),"")</f>
        <v/>
      </c>
      <c r="AT76" s="40" t="str">
        <f>IF(_01towers[[#This Row],[Active Prevalidation Status]]="Under Prevalidation",
IF(Q76="","Review",Q76),"")</f>
        <v/>
      </c>
      <c r="AU76" s="40" t="str">
        <f>IF(_01towers[[#This Row],[Active Prevalidation Status]]="Under Prevalidation",
IF(R76="","Review",R76),"")</f>
        <v/>
      </c>
      <c r="AV76" s="40">
        <f>COUNTIF(_01towers[[#This Row],[SAQ_Result2]:[Community_Result2]],"OK")</f>
        <v>0</v>
      </c>
      <c r="AW76" s="1" t="str">
        <f>IF(AND(OR(_01towers[[#This Row],[Active Prevalidation Status]]="Under Prevalidation",_01towers[[#This Row],[Active Prevalidation Status]]="Prevalidated"),_01towers[[#This Row],[02tss.TSSR_From_Engineer]]&gt;0),"Submitted","")</f>
        <v/>
      </c>
      <c r="AX76" s="40" t="str">
        <f>IF(OR(_01towers[[#This Row],[Active Prevalidation Status]]="Under Prevalidation",_01towers[[#This Row],[Active Prevalidation Status]]="Prevalidated"),_01towers[[#This Row],[02tss.TSS_Result]],"")</f>
        <v/>
      </c>
      <c r="AY76" s="40" t="str">
        <f>IF(AND(_01towers[[#This Row],[Active TSS Result]]="Approved",_01towers[[#This Row],[Active Prevalidation Status]]="Prevalidated"),"In Process","")</f>
        <v/>
      </c>
      <c r="AZ76" s="40" t="str">
        <f>IF(AND(_01towers[[#This Row],[Active TSS Result]]="Approved",_01towers[[#This Row],[Active Prevalidation Status]]="Prevalidated"),_01towers[[#This Row],[10colo_app.Colo_App_Result]],"")</f>
        <v/>
      </c>
      <c r="BA76" s="40">
        <f>COUNTIF(_20work_order[05_id],_01towers[[#This Row],[05_id]])</f>
        <v>0</v>
      </c>
      <c r="BB76" s="40">
        <f>COUNTIFS(_20work_order[05_id],_01towers[[#This Row],[05_id]],_20work_order[Actual_End],"&gt;0")</f>
        <v>0</v>
      </c>
      <c r="BC76" s="40" t="str">
        <f>IF(_01towers[[#This Row],[Completed Work Orders]]&gt;0,"Work Completed",
IF(_01towers[[#This Row],[Count Work Orders]]&gt;0,"Work in Progress",""))</f>
        <v/>
      </c>
      <c r="BD7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76" s="40" t="str">
        <f>_xlfn.SWITCH(_01towers[[#This Row],[Final Colo Status full]],"Commercial Approval Requested","Under Prevalidation",_01towers[[#This Row],[Final Colo Status full]])</f>
        <v>Prevalidation Rejected</v>
      </c>
    </row>
    <row r="77" spans="1:57" hidden="1" x14ac:dyDescent="0.35">
      <c r="A77" s="40" t="s">
        <v>229</v>
      </c>
      <c r="B77" s="40" t="s">
        <v>90</v>
      </c>
      <c r="C77" s="40" t="s">
        <v>51</v>
      </c>
      <c r="D77">
        <v>35</v>
      </c>
      <c r="E77" s="40" t="s">
        <v>98</v>
      </c>
      <c r="F77">
        <v>96.155940000000001</v>
      </c>
      <c r="G77">
        <v>16.963090000000001</v>
      </c>
      <c r="H77" s="40" t="s">
        <v>53</v>
      </c>
      <c r="I77">
        <v>75</v>
      </c>
      <c r="J77" s="40" t="s">
        <v>230</v>
      </c>
      <c r="K77" s="40" t="s">
        <v>136</v>
      </c>
      <c r="L77" s="40" t="s">
        <v>64</v>
      </c>
      <c r="M77" s="40" t="s">
        <v>57</v>
      </c>
      <c r="N77" s="40" t="s">
        <v>57</v>
      </c>
      <c r="O77" s="40" t="s">
        <v>57</v>
      </c>
      <c r="P77" s="40" t="s">
        <v>57</v>
      </c>
      <c r="Q77" s="40" t="s">
        <v>57</v>
      </c>
      <c r="R77" s="40" t="s">
        <v>57</v>
      </c>
      <c r="S77">
        <v>136</v>
      </c>
      <c r="T77">
        <v>1</v>
      </c>
      <c r="U77" s="1">
        <v>43262</v>
      </c>
      <c r="V77" s="1">
        <v>43263</v>
      </c>
      <c r="W77" s="1">
        <v>43263</v>
      </c>
      <c r="X77" s="1">
        <v>43263</v>
      </c>
      <c r="Y77" s="1"/>
      <c r="Z77" s="40" t="s">
        <v>59</v>
      </c>
      <c r="AA77">
        <v>135</v>
      </c>
      <c r="AB77">
        <v>1</v>
      </c>
      <c r="AC77" s="1"/>
      <c r="AD77" s="40"/>
      <c r="AE77" s="1"/>
      <c r="AF77" s="1"/>
      <c r="AG77" s="1"/>
      <c r="AH77" s="40"/>
      <c r="AI77" s="1"/>
      <c r="AJ77" s="40">
        <f>_xlfn.MAXIFS(_01towers[02tss.Rev],_01towers[05_id],_01towers[[#This Row],[05_id]])</f>
        <v>1</v>
      </c>
      <c r="AK77" s="40" t="b">
        <f>IF(_01towers[[#This Row],[Count Rev TSS]]=_01towers[[#This Row],[02tss.Rev]],TRUE,FALSE)</f>
        <v>1</v>
      </c>
      <c r="AL77" s="40">
        <f>_xlfn.MAXIFS(_01towers[10colo_app.Rev],_01towers[05_id],_01towers[[#This Row],[05_id]])</f>
        <v>1</v>
      </c>
      <c r="AM77" s="40" t="b">
        <f>IF(_01towers[[#This Row],[Count Rev Colo App]]=_01towers[[#This Row],[10colo_app.Rev]],TRUE,FALSE)</f>
        <v>1</v>
      </c>
      <c r="AN77" s="40" t="b">
        <f>IF(AND(_01towers[[#This Row],[Test Rev Colo]]=TRUE,_01towers[[#This Row],[Test Rev TSS]]=TRUE),TRUE,FALSE)</f>
        <v>1</v>
      </c>
      <c r="AO77" s="40" t="str">
        <f>IF(_01towers[[#This Row],[Test Active]]=TRUE,_01towers[[#This Row],[Prevalidation Status]],"")</f>
        <v>Prevalidated</v>
      </c>
      <c r="AP77" s="40" t="str">
        <f>IF(_01towers[[#This Row],[Active Prevalidation Status]]="Under Prevalidation",
IF(M77="","Review",M77),"")</f>
        <v/>
      </c>
      <c r="AQ77" s="40" t="str">
        <f>IF(_01towers[[#This Row],[Active Prevalidation Status]]="Under Prevalidation",
IF(N77="","Review",N77),"")</f>
        <v/>
      </c>
      <c r="AR77" s="40" t="str">
        <f>IF(_01towers[[#This Row],[Active Prevalidation Status]]="Under Prevalidation",
IF(O77="","Review",O77),"")</f>
        <v/>
      </c>
      <c r="AS77" s="40" t="str">
        <f>IF(_01towers[[#This Row],[Active Prevalidation Status]]="Under Prevalidation",
IF(P77="","Review",P77),"")</f>
        <v/>
      </c>
      <c r="AT77" s="40" t="str">
        <f>IF(_01towers[[#This Row],[Active Prevalidation Status]]="Under Prevalidation",
IF(Q77="","Review",Q77),"")</f>
        <v/>
      </c>
      <c r="AU77" s="40" t="str">
        <f>IF(_01towers[[#This Row],[Active Prevalidation Status]]="Under Prevalidation",
IF(R77="","Review",R77),"")</f>
        <v/>
      </c>
      <c r="AV77" s="40">
        <f>COUNTIF(_01towers[[#This Row],[SAQ_Result2]:[Community_Result2]],"OK")</f>
        <v>0</v>
      </c>
      <c r="AW77" s="1" t="str">
        <f>IF(AND(OR(_01towers[[#This Row],[Active Prevalidation Status]]="Under Prevalidation",_01towers[[#This Row],[Active Prevalidation Status]]="Prevalidated"),_01towers[[#This Row],[02tss.TSSR_From_Engineer]]&gt;0),"Submitted","")</f>
        <v>Submitted</v>
      </c>
      <c r="AX77" s="40" t="str">
        <f>IF(OR(_01towers[[#This Row],[Active Prevalidation Status]]="Under Prevalidation",_01towers[[#This Row],[Active Prevalidation Status]]="Prevalidated"),_01towers[[#This Row],[02tss.TSS_Result]],"")</f>
        <v>Approved</v>
      </c>
      <c r="AY77" s="40" t="str">
        <f>IF(AND(_01towers[[#This Row],[Active TSS Result]]="Approved",_01towers[[#This Row],[Active Prevalidation Status]]="Prevalidated"),"In Process","")</f>
        <v>In Process</v>
      </c>
      <c r="AZ77" s="40">
        <f>IF(AND(_01towers[[#This Row],[Active TSS Result]]="Approved",_01towers[[#This Row],[Active Prevalidation Status]]="Prevalidated"),_01towers[[#This Row],[10colo_app.Colo_App_Result]],"")</f>
        <v>0</v>
      </c>
      <c r="BA77" s="40">
        <f>COUNTIF(_20work_order[05_id],_01towers[[#This Row],[05_id]])</f>
        <v>0</v>
      </c>
      <c r="BB77" s="40">
        <f>COUNTIFS(_20work_order[05_id],_01towers[[#This Row],[05_id]],_20work_order[Actual_End],"&gt;0")</f>
        <v>0</v>
      </c>
      <c r="BC77" s="40" t="str">
        <f>IF(_01towers[[#This Row],[Completed Work Orders]]&gt;0,"Work Completed",
IF(_01towers[[#This Row],[Count Work Orders]]&gt;0,"Work in Progress",""))</f>
        <v/>
      </c>
      <c r="BD7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77" s="40" t="str">
        <f>_xlfn.SWITCH(_01towers[[#This Row],[Final Colo Status full]],"Commercial Approval Requested","Under Prevalidation",_01towers[[#This Row],[Final Colo Status full]])</f>
        <v>Prevalidated - TSSR Done</v>
      </c>
    </row>
    <row r="78" spans="1:57" hidden="1" x14ac:dyDescent="0.35">
      <c r="A78" s="40" t="s">
        <v>231</v>
      </c>
      <c r="B78" s="40" t="s">
        <v>90</v>
      </c>
      <c r="C78" s="40" t="s">
        <v>82</v>
      </c>
      <c r="D78">
        <v>6</v>
      </c>
      <c r="E78" s="40" t="s">
        <v>98</v>
      </c>
      <c r="F78">
        <v>96.122259999999997</v>
      </c>
      <c r="G78">
        <v>16.808720000000001</v>
      </c>
      <c r="H78" s="40" t="s">
        <v>53</v>
      </c>
      <c r="I78">
        <v>76</v>
      </c>
      <c r="J78" s="40" t="s">
        <v>232</v>
      </c>
      <c r="K78" s="40" t="s">
        <v>136</v>
      </c>
      <c r="L78" s="40" t="s">
        <v>74</v>
      </c>
      <c r="M78" s="40" t="s">
        <v>75</v>
      </c>
      <c r="N78" s="40"/>
      <c r="O78" s="40" t="s">
        <v>58</v>
      </c>
      <c r="P78" s="40" t="s">
        <v>57</v>
      </c>
      <c r="Q78" s="40"/>
      <c r="R78" s="40" t="s">
        <v>57</v>
      </c>
      <c r="S78">
        <v>144</v>
      </c>
      <c r="T78">
        <v>1</v>
      </c>
      <c r="U78" s="1"/>
      <c r="V78" s="1"/>
      <c r="W78" s="1"/>
      <c r="X78" s="1"/>
      <c r="Y78" s="1"/>
      <c r="Z78" s="40"/>
      <c r="AA78">
        <v>143</v>
      </c>
      <c r="AB78">
        <v>1</v>
      </c>
      <c r="AC78" s="1"/>
      <c r="AD78" s="40"/>
      <c r="AE78" s="1"/>
      <c r="AF78" s="1"/>
      <c r="AG78" s="1"/>
      <c r="AH78" s="40"/>
      <c r="AI78" s="1"/>
      <c r="AJ78" s="40">
        <f>_xlfn.MAXIFS(_01towers[02tss.Rev],_01towers[05_id],_01towers[[#This Row],[05_id]])</f>
        <v>1</v>
      </c>
      <c r="AK78" s="40" t="b">
        <f>IF(_01towers[[#This Row],[Count Rev TSS]]=_01towers[[#This Row],[02tss.Rev]],TRUE,FALSE)</f>
        <v>1</v>
      </c>
      <c r="AL78" s="40">
        <f>_xlfn.MAXIFS(_01towers[10colo_app.Rev],_01towers[05_id],_01towers[[#This Row],[05_id]])</f>
        <v>1</v>
      </c>
      <c r="AM78" s="40" t="b">
        <f>IF(_01towers[[#This Row],[Count Rev Colo App]]=_01towers[[#This Row],[10colo_app.Rev]],TRUE,FALSE)</f>
        <v>1</v>
      </c>
      <c r="AN78" s="40" t="b">
        <f>IF(AND(_01towers[[#This Row],[Test Rev Colo]]=TRUE,_01towers[[#This Row],[Test Rev TSS]]=TRUE),TRUE,FALSE)</f>
        <v>1</v>
      </c>
      <c r="AO78" s="40" t="str">
        <f>IF(_01towers[[#This Row],[Test Active]]=TRUE,_01towers[[#This Row],[Prevalidation Status]],"")</f>
        <v>Prevalidation Rejected</v>
      </c>
      <c r="AP78" s="40" t="str">
        <f>IF(_01towers[[#This Row],[Active Prevalidation Status]]="Under Prevalidation",
IF(M78="","Review",M78),"")</f>
        <v/>
      </c>
      <c r="AQ78" s="40" t="str">
        <f>IF(_01towers[[#This Row],[Active Prevalidation Status]]="Under Prevalidation",
IF(N78="","Review",N78),"")</f>
        <v/>
      </c>
      <c r="AR78" s="40" t="str">
        <f>IF(_01towers[[#This Row],[Active Prevalidation Status]]="Under Prevalidation",
IF(O78="","Review",O78),"")</f>
        <v/>
      </c>
      <c r="AS78" s="40" t="str">
        <f>IF(_01towers[[#This Row],[Active Prevalidation Status]]="Under Prevalidation",
IF(P78="","Review",P78),"")</f>
        <v/>
      </c>
      <c r="AT78" s="40" t="str">
        <f>IF(_01towers[[#This Row],[Active Prevalidation Status]]="Under Prevalidation",
IF(Q78="","Review",Q78),"")</f>
        <v/>
      </c>
      <c r="AU78" s="40" t="str">
        <f>IF(_01towers[[#This Row],[Active Prevalidation Status]]="Under Prevalidation",
IF(R78="","Review",R78),"")</f>
        <v/>
      </c>
      <c r="AV78" s="40">
        <f>COUNTIF(_01towers[[#This Row],[SAQ_Result2]:[Community_Result2]],"OK")</f>
        <v>0</v>
      </c>
      <c r="AW78" s="1" t="str">
        <f>IF(AND(OR(_01towers[[#This Row],[Active Prevalidation Status]]="Under Prevalidation",_01towers[[#This Row],[Active Prevalidation Status]]="Prevalidated"),_01towers[[#This Row],[02tss.TSSR_From_Engineer]]&gt;0),"Submitted","")</f>
        <v/>
      </c>
      <c r="AX78" s="40" t="str">
        <f>IF(OR(_01towers[[#This Row],[Active Prevalidation Status]]="Under Prevalidation",_01towers[[#This Row],[Active Prevalidation Status]]="Prevalidated"),_01towers[[#This Row],[02tss.TSS_Result]],"")</f>
        <v/>
      </c>
      <c r="AY78" s="40" t="str">
        <f>IF(AND(_01towers[[#This Row],[Active TSS Result]]="Approved",_01towers[[#This Row],[Active Prevalidation Status]]="Prevalidated"),"In Process","")</f>
        <v/>
      </c>
      <c r="AZ78" s="40" t="str">
        <f>IF(AND(_01towers[[#This Row],[Active TSS Result]]="Approved",_01towers[[#This Row],[Active Prevalidation Status]]="Prevalidated"),_01towers[[#This Row],[10colo_app.Colo_App_Result]],"")</f>
        <v/>
      </c>
      <c r="BA78" s="40">
        <f>COUNTIF(_20work_order[05_id],_01towers[[#This Row],[05_id]])</f>
        <v>0</v>
      </c>
      <c r="BB78" s="40">
        <f>COUNTIFS(_20work_order[05_id],_01towers[[#This Row],[05_id]],_20work_order[Actual_End],"&gt;0")</f>
        <v>0</v>
      </c>
      <c r="BC78" s="40" t="str">
        <f>IF(_01towers[[#This Row],[Completed Work Orders]]&gt;0,"Work Completed",
IF(_01towers[[#This Row],[Count Work Orders]]&gt;0,"Work in Progress",""))</f>
        <v/>
      </c>
      <c r="BD7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78" s="40" t="str">
        <f>_xlfn.SWITCH(_01towers[[#This Row],[Final Colo Status full]],"Commercial Approval Requested","Under Prevalidation",_01towers[[#This Row],[Final Colo Status full]])</f>
        <v>Prevalidation Rejected</v>
      </c>
    </row>
    <row r="79" spans="1:57" hidden="1" x14ac:dyDescent="0.35">
      <c r="A79" s="40" t="s">
        <v>233</v>
      </c>
      <c r="B79" s="40" t="s">
        <v>90</v>
      </c>
      <c r="C79" s="40" t="s">
        <v>82</v>
      </c>
      <c r="D79">
        <v>6</v>
      </c>
      <c r="E79" s="40" t="s">
        <v>98</v>
      </c>
      <c r="F79">
        <v>96.127430000000004</v>
      </c>
      <c r="G79">
        <v>16.806640000000002</v>
      </c>
      <c r="H79" s="40" t="s">
        <v>53</v>
      </c>
      <c r="I79">
        <v>77</v>
      </c>
      <c r="J79" s="40" t="s">
        <v>211</v>
      </c>
      <c r="K79" s="40" t="s">
        <v>136</v>
      </c>
      <c r="L79" s="40" t="s">
        <v>74</v>
      </c>
      <c r="M79" s="40" t="s">
        <v>75</v>
      </c>
      <c r="N79" s="40"/>
      <c r="O79" s="40" t="s">
        <v>58</v>
      </c>
      <c r="P79" s="40" t="s">
        <v>75</v>
      </c>
      <c r="Q79" s="40"/>
      <c r="R79" s="40" t="s">
        <v>57</v>
      </c>
      <c r="S79">
        <v>130</v>
      </c>
      <c r="T79">
        <v>1</v>
      </c>
      <c r="U79" s="1"/>
      <c r="V79" s="1"/>
      <c r="W79" s="1"/>
      <c r="X79" s="1"/>
      <c r="Y79" s="1"/>
      <c r="Z79" s="40"/>
      <c r="AA79">
        <v>129</v>
      </c>
      <c r="AB79">
        <v>1</v>
      </c>
      <c r="AC79" s="1"/>
      <c r="AD79" s="40"/>
      <c r="AE79" s="1"/>
      <c r="AF79" s="1"/>
      <c r="AG79" s="1"/>
      <c r="AH79" s="40"/>
      <c r="AI79" s="1"/>
      <c r="AJ79" s="40">
        <f>_xlfn.MAXIFS(_01towers[02tss.Rev],_01towers[05_id],_01towers[[#This Row],[05_id]])</f>
        <v>1</v>
      </c>
      <c r="AK79" s="40" t="b">
        <f>IF(_01towers[[#This Row],[Count Rev TSS]]=_01towers[[#This Row],[02tss.Rev]],TRUE,FALSE)</f>
        <v>1</v>
      </c>
      <c r="AL79" s="40">
        <f>_xlfn.MAXIFS(_01towers[10colo_app.Rev],_01towers[05_id],_01towers[[#This Row],[05_id]])</f>
        <v>1</v>
      </c>
      <c r="AM79" s="40" t="b">
        <f>IF(_01towers[[#This Row],[Count Rev Colo App]]=_01towers[[#This Row],[10colo_app.Rev]],TRUE,FALSE)</f>
        <v>1</v>
      </c>
      <c r="AN79" s="40" t="b">
        <f>IF(AND(_01towers[[#This Row],[Test Rev Colo]]=TRUE,_01towers[[#This Row],[Test Rev TSS]]=TRUE),TRUE,FALSE)</f>
        <v>1</v>
      </c>
      <c r="AO79" s="40" t="str">
        <f>IF(_01towers[[#This Row],[Test Active]]=TRUE,_01towers[[#This Row],[Prevalidation Status]],"")</f>
        <v>Prevalidation Rejected</v>
      </c>
      <c r="AP79" s="40" t="str">
        <f>IF(_01towers[[#This Row],[Active Prevalidation Status]]="Under Prevalidation",
IF(M79="","Review",M79),"")</f>
        <v/>
      </c>
      <c r="AQ79" s="40" t="str">
        <f>IF(_01towers[[#This Row],[Active Prevalidation Status]]="Under Prevalidation",
IF(N79="","Review",N79),"")</f>
        <v/>
      </c>
      <c r="AR79" s="40" t="str">
        <f>IF(_01towers[[#This Row],[Active Prevalidation Status]]="Under Prevalidation",
IF(O79="","Review",O79),"")</f>
        <v/>
      </c>
      <c r="AS79" s="40" t="str">
        <f>IF(_01towers[[#This Row],[Active Prevalidation Status]]="Under Prevalidation",
IF(P79="","Review",P79),"")</f>
        <v/>
      </c>
      <c r="AT79" s="40" t="str">
        <f>IF(_01towers[[#This Row],[Active Prevalidation Status]]="Under Prevalidation",
IF(Q79="","Review",Q79),"")</f>
        <v/>
      </c>
      <c r="AU79" s="40" t="str">
        <f>IF(_01towers[[#This Row],[Active Prevalidation Status]]="Under Prevalidation",
IF(R79="","Review",R79),"")</f>
        <v/>
      </c>
      <c r="AV79" s="40">
        <f>COUNTIF(_01towers[[#This Row],[SAQ_Result2]:[Community_Result2]],"OK")</f>
        <v>0</v>
      </c>
      <c r="AW79" s="1" t="str">
        <f>IF(AND(OR(_01towers[[#This Row],[Active Prevalidation Status]]="Under Prevalidation",_01towers[[#This Row],[Active Prevalidation Status]]="Prevalidated"),_01towers[[#This Row],[02tss.TSSR_From_Engineer]]&gt;0),"Submitted","")</f>
        <v/>
      </c>
      <c r="AX79" s="40" t="str">
        <f>IF(OR(_01towers[[#This Row],[Active Prevalidation Status]]="Under Prevalidation",_01towers[[#This Row],[Active Prevalidation Status]]="Prevalidated"),_01towers[[#This Row],[02tss.TSS_Result]],"")</f>
        <v/>
      </c>
      <c r="AY79" s="40" t="str">
        <f>IF(AND(_01towers[[#This Row],[Active TSS Result]]="Approved",_01towers[[#This Row],[Active Prevalidation Status]]="Prevalidated"),"In Process","")</f>
        <v/>
      </c>
      <c r="AZ79" s="40" t="str">
        <f>IF(AND(_01towers[[#This Row],[Active TSS Result]]="Approved",_01towers[[#This Row],[Active Prevalidation Status]]="Prevalidated"),_01towers[[#This Row],[10colo_app.Colo_App_Result]],"")</f>
        <v/>
      </c>
      <c r="BA79" s="40">
        <f>COUNTIF(_20work_order[05_id],_01towers[[#This Row],[05_id]])</f>
        <v>0</v>
      </c>
      <c r="BB79" s="40">
        <f>COUNTIFS(_20work_order[05_id],_01towers[[#This Row],[05_id]],_20work_order[Actual_End],"&gt;0")</f>
        <v>0</v>
      </c>
      <c r="BC79" s="40" t="str">
        <f>IF(_01towers[[#This Row],[Completed Work Orders]]&gt;0,"Work Completed",
IF(_01towers[[#This Row],[Count Work Orders]]&gt;0,"Work in Progress",""))</f>
        <v/>
      </c>
      <c r="BD7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79" s="40" t="str">
        <f>_xlfn.SWITCH(_01towers[[#This Row],[Final Colo Status full]],"Commercial Approval Requested","Under Prevalidation",_01towers[[#This Row],[Final Colo Status full]])</f>
        <v>Prevalidation Rejected</v>
      </c>
    </row>
    <row r="80" spans="1:57" x14ac:dyDescent="0.35">
      <c r="A80" s="40" t="s">
        <v>234</v>
      </c>
      <c r="B80" s="40" t="s">
        <v>90</v>
      </c>
      <c r="C80" s="40" t="s">
        <v>82</v>
      </c>
      <c r="D80">
        <v>6</v>
      </c>
      <c r="E80" s="40" t="s">
        <v>98</v>
      </c>
      <c r="F80">
        <v>96.159409999999994</v>
      </c>
      <c r="G80">
        <v>16.889949999999999</v>
      </c>
      <c r="H80" s="40" t="s">
        <v>53</v>
      </c>
      <c r="I80">
        <v>78</v>
      </c>
      <c r="J80" s="40" t="s">
        <v>235</v>
      </c>
      <c r="K80" s="40" t="s">
        <v>136</v>
      </c>
      <c r="L80" s="40" t="s">
        <v>56</v>
      </c>
      <c r="M80" s="40" t="s">
        <v>57</v>
      </c>
      <c r="N80" s="40" t="s">
        <v>57</v>
      </c>
      <c r="O80" s="40" t="s">
        <v>58</v>
      </c>
      <c r="P80" s="40" t="s">
        <v>58</v>
      </c>
      <c r="Q80" s="40" t="s">
        <v>57</v>
      </c>
      <c r="R80" s="40" t="s">
        <v>57</v>
      </c>
      <c r="S80">
        <v>177</v>
      </c>
      <c r="T80">
        <v>1</v>
      </c>
      <c r="U80" s="1">
        <v>43263</v>
      </c>
      <c r="V80" s="1">
        <v>43265</v>
      </c>
      <c r="W80" s="1">
        <v>43268</v>
      </c>
      <c r="X80" s="1">
        <v>43268</v>
      </c>
      <c r="Y80" s="1"/>
      <c r="Z80" s="40" t="s">
        <v>59</v>
      </c>
      <c r="AA80">
        <v>176</v>
      </c>
      <c r="AB80">
        <v>1</v>
      </c>
      <c r="AC80" s="1"/>
      <c r="AD80" s="40"/>
      <c r="AE80" s="1"/>
      <c r="AF80" s="1"/>
      <c r="AG80" s="1"/>
      <c r="AH80" s="40"/>
      <c r="AI80" s="1"/>
      <c r="AJ80" s="40">
        <f>_xlfn.MAXIFS(_01towers[02tss.Rev],_01towers[05_id],_01towers[[#This Row],[05_id]])</f>
        <v>1</v>
      </c>
      <c r="AK80" s="40" t="b">
        <f>IF(_01towers[[#This Row],[Count Rev TSS]]=_01towers[[#This Row],[02tss.Rev]],TRUE,FALSE)</f>
        <v>1</v>
      </c>
      <c r="AL80" s="40">
        <f>_xlfn.MAXIFS(_01towers[10colo_app.Rev],_01towers[05_id],_01towers[[#This Row],[05_id]])</f>
        <v>1</v>
      </c>
      <c r="AM80" s="40" t="b">
        <f>IF(_01towers[[#This Row],[Count Rev Colo App]]=_01towers[[#This Row],[10colo_app.Rev]],TRUE,FALSE)</f>
        <v>1</v>
      </c>
      <c r="AN80" s="40" t="b">
        <f>IF(AND(_01towers[[#This Row],[Test Rev Colo]]=TRUE,_01towers[[#This Row],[Test Rev TSS]]=TRUE),TRUE,FALSE)</f>
        <v>1</v>
      </c>
      <c r="AO80" s="40" t="str">
        <f>IF(_01towers[[#This Row],[Test Active]]=TRUE,_01towers[[#This Row],[Prevalidation Status]],"")</f>
        <v>Commercial Approval Requested</v>
      </c>
      <c r="AP80" s="40" t="str">
        <f>IF(_01towers[[#This Row],[Active Prevalidation Status]]="Under Prevalidation",
IF(M80="","Review",M80),"")</f>
        <v/>
      </c>
      <c r="AQ80" s="40" t="str">
        <f>IF(_01towers[[#This Row],[Active Prevalidation Status]]="Under Prevalidation",
IF(N80="","Review",N80),"")</f>
        <v/>
      </c>
      <c r="AR80" s="40" t="str">
        <f>IF(_01towers[[#This Row],[Active Prevalidation Status]]="Under Prevalidation",
IF(O80="","Review",O80),"")</f>
        <v/>
      </c>
      <c r="AS80" s="40" t="str">
        <f>IF(_01towers[[#This Row],[Active Prevalidation Status]]="Under Prevalidation",
IF(P80="","Review",P80),"")</f>
        <v/>
      </c>
      <c r="AT80" s="40" t="str">
        <f>IF(_01towers[[#This Row],[Active Prevalidation Status]]="Under Prevalidation",
IF(Q80="","Review",Q80),"")</f>
        <v/>
      </c>
      <c r="AU80" s="40" t="str">
        <f>IF(_01towers[[#This Row],[Active Prevalidation Status]]="Under Prevalidation",
IF(R80="","Review",R80),"")</f>
        <v/>
      </c>
      <c r="AV80" s="40">
        <f>COUNTIF(_01towers[[#This Row],[SAQ_Result2]:[Community_Result2]],"OK")</f>
        <v>0</v>
      </c>
      <c r="AW80" s="1" t="str">
        <f>IF(AND(OR(_01towers[[#This Row],[Active Prevalidation Status]]="Under Prevalidation",_01towers[[#This Row],[Active Prevalidation Status]]="Prevalidated"),_01towers[[#This Row],[02tss.TSSR_From_Engineer]]&gt;0),"Submitted","")</f>
        <v/>
      </c>
      <c r="AX80" s="40" t="str">
        <f>IF(OR(_01towers[[#This Row],[Active Prevalidation Status]]="Under Prevalidation",_01towers[[#This Row],[Active Prevalidation Status]]="Prevalidated"),_01towers[[#This Row],[02tss.TSS_Result]],"")</f>
        <v/>
      </c>
      <c r="AY80" s="40" t="str">
        <f>IF(AND(_01towers[[#This Row],[Active TSS Result]]="Approved",_01towers[[#This Row],[Active Prevalidation Status]]="Prevalidated"),"In Process","")</f>
        <v/>
      </c>
      <c r="AZ80" s="40" t="str">
        <f>IF(AND(_01towers[[#This Row],[Active TSS Result]]="Approved",_01towers[[#This Row],[Active Prevalidation Status]]="Prevalidated"),_01towers[[#This Row],[10colo_app.Colo_App_Result]],"")</f>
        <v/>
      </c>
      <c r="BA80" s="40">
        <f>COUNTIF(_20work_order[05_id],_01towers[[#This Row],[05_id]])</f>
        <v>0</v>
      </c>
      <c r="BB80" s="40">
        <f>COUNTIFS(_20work_order[05_id],_01towers[[#This Row],[05_id]],_20work_order[Actual_End],"&gt;0")</f>
        <v>0</v>
      </c>
      <c r="BC80" s="40" t="str">
        <f>IF(_01towers[[#This Row],[Completed Work Orders]]&gt;0,"Work Completed",
IF(_01towers[[#This Row],[Count Work Orders]]&gt;0,"Work in Progress",""))</f>
        <v/>
      </c>
      <c r="BD8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80" s="40" t="str">
        <f>_xlfn.SWITCH(_01towers[[#This Row],[Final Colo Status full]],"Commercial Approval Requested","Under Prevalidation",_01towers[[#This Row],[Final Colo Status full]])</f>
        <v>Under Prevalidation</v>
      </c>
    </row>
    <row r="81" spans="1:57" hidden="1" x14ac:dyDescent="0.35">
      <c r="A81" s="40" t="s">
        <v>236</v>
      </c>
      <c r="B81" s="40" t="s">
        <v>90</v>
      </c>
      <c r="C81" s="40" t="s">
        <v>51</v>
      </c>
      <c r="D81">
        <v>45</v>
      </c>
      <c r="E81" s="40" t="s">
        <v>175</v>
      </c>
      <c r="F81">
        <v>96.438190000000006</v>
      </c>
      <c r="G81">
        <v>18.48301</v>
      </c>
      <c r="H81" s="40" t="s">
        <v>150</v>
      </c>
      <c r="I81">
        <v>79</v>
      </c>
      <c r="J81" s="40" t="s">
        <v>671</v>
      </c>
      <c r="K81" s="40" t="s">
        <v>136</v>
      </c>
      <c r="L81" s="40" t="s">
        <v>64</v>
      </c>
      <c r="M81" s="40" t="s">
        <v>57</v>
      </c>
      <c r="N81" s="40" t="s">
        <v>57</v>
      </c>
      <c r="O81" s="40" t="s">
        <v>57</v>
      </c>
      <c r="P81" s="40" t="s">
        <v>57</v>
      </c>
      <c r="Q81" s="40" t="s">
        <v>57</v>
      </c>
      <c r="R81" s="40" t="s">
        <v>57</v>
      </c>
      <c r="S81">
        <v>22</v>
      </c>
      <c r="T81">
        <v>1</v>
      </c>
      <c r="U81" s="1">
        <v>43286</v>
      </c>
      <c r="V81" s="1">
        <v>43287</v>
      </c>
      <c r="W81" s="1">
        <v>43290</v>
      </c>
      <c r="X81" s="1">
        <v>43279</v>
      </c>
      <c r="Y81" s="1"/>
      <c r="Z81" s="40" t="s">
        <v>59</v>
      </c>
      <c r="AA81">
        <v>22</v>
      </c>
      <c r="AB81">
        <v>1</v>
      </c>
      <c r="AC81" s="1">
        <v>43279</v>
      </c>
      <c r="AD81" s="40" t="s">
        <v>570</v>
      </c>
      <c r="AE81" s="1">
        <v>43200</v>
      </c>
      <c r="AF81" s="1"/>
      <c r="AG81" s="1"/>
      <c r="AH81" s="40"/>
      <c r="AI81" s="1"/>
      <c r="AJ81" s="40">
        <f>_xlfn.MAXIFS(_01towers[02tss.Rev],_01towers[05_id],_01towers[[#This Row],[05_id]])</f>
        <v>1</v>
      </c>
      <c r="AK81" s="40" t="b">
        <f>IF(_01towers[[#This Row],[Count Rev TSS]]=_01towers[[#This Row],[02tss.Rev]],TRUE,FALSE)</f>
        <v>1</v>
      </c>
      <c r="AL81" s="40">
        <f>_xlfn.MAXIFS(_01towers[10colo_app.Rev],_01towers[05_id],_01towers[[#This Row],[05_id]])</f>
        <v>1</v>
      </c>
      <c r="AM81" s="40" t="b">
        <f>IF(_01towers[[#This Row],[Count Rev Colo App]]=_01towers[[#This Row],[10colo_app.Rev]],TRUE,FALSE)</f>
        <v>1</v>
      </c>
      <c r="AN81" s="40" t="b">
        <f>IF(AND(_01towers[[#This Row],[Test Rev Colo]]=TRUE,_01towers[[#This Row],[Test Rev TSS]]=TRUE),TRUE,FALSE)</f>
        <v>1</v>
      </c>
      <c r="AO81" s="40" t="str">
        <f>IF(_01towers[[#This Row],[Test Active]]=TRUE,_01towers[[#This Row],[Prevalidation Status]],"")</f>
        <v>Prevalidated</v>
      </c>
      <c r="AP81" s="40" t="str">
        <f>IF(_01towers[[#This Row],[Active Prevalidation Status]]="Under Prevalidation",
IF(M81="","Review",M81),"")</f>
        <v/>
      </c>
      <c r="AQ81" s="40" t="str">
        <f>IF(_01towers[[#This Row],[Active Prevalidation Status]]="Under Prevalidation",
IF(N81="","Review",N81),"")</f>
        <v/>
      </c>
      <c r="AR81" s="40" t="str">
        <f>IF(_01towers[[#This Row],[Active Prevalidation Status]]="Under Prevalidation",
IF(O81="","Review",O81),"")</f>
        <v/>
      </c>
      <c r="AS81" s="40" t="str">
        <f>IF(_01towers[[#This Row],[Active Prevalidation Status]]="Under Prevalidation",
IF(P81="","Review",P81),"")</f>
        <v/>
      </c>
      <c r="AT81" s="40" t="str">
        <f>IF(_01towers[[#This Row],[Active Prevalidation Status]]="Under Prevalidation",
IF(Q81="","Review",Q81),"")</f>
        <v/>
      </c>
      <c r="AU81" s="40" t="str">
        <f>IF(_01towers[[#This Row],[Active Prevalidation Status]]="Under Prevalidation",
IF(R81="","Review",R81),"")</f>
        <v/>
      </c>
      <c r="AV81" s="40">
        <f>COUNTIF(_01towers[[#This Row],[SAQ_Result2]:[Community_Result2]],"OK")</f>
        <v>0</v>
      </c>
      <c r="AW81" s="1" t="str">
        <f>IF(AND(OR(_01towers[[#This Row],[Active Prevalidation Status]]="Under Prevalidation",_01towers[[#This Row],[Active Prevalidation Status]]="Prevalidated"),_01towers[[#This Row],[02tss.TSSR_From_Engineer]]&gt;0),"Submitted","")</f>
        <v>Submitted</v>
      </c>
      <c r="AX81" s="40" t="str">
        <f>IF(OR(_01towers[[#This Row],[Active Prevalidation Status]]="Under Prevalidation",_01towers[[#This Row],[Active Prevalidation Status]]="Prevalidated"),_01towers[[#This Row],[02tss.TSS_Result]],"")</f>
        <v>Approved</v>
      </c>
      <c r="AY81" s="40" t="str">
        <f>IF(AND(_01towers[[#This Row],[Active TSS Result]]="Approved",_01towers[[#This Row],[Active Prevalidation Status]]="Prevalidated"),"In Process","")</f>
        <v>In Process</v>
      </c>
      <c r="AZ81" s="40" t="str">
        <f>IF(AND(_01towers[[#This Row],[Active TSS Result]]="Approved",_01towers[[#This Row],[Active Prevalidation Status]]="Prevalidated"),_01towers[[#This Row],[10colo_app.Colo_App_Result]],"")</f>
        <v>NTP Received</v>
      </c>
      <c r="BA81" s="40">
        <f>COUNTIF(_20work_order[05_id],_01towers[[#This Row],[05_id]])</f>
        <v>0</v>
      </c>
      <c r="BB81" s="40">
        <f>COUNTIFS(_20work_order[05_id],_01towers[[#This Row],[05_id]],_20work_order[Actual_End],"&gt;0")</f>
        <v>0</v>
      </c>
      <c r="BC81" s="40" t="str">
        <f>IF(_01towers[[#This Row],[Completed Work Orders]]&gt;0,"Work Completed",
IF(_01towers[[#This Row],[Count Work Orders]]&gt;0,"Work in Progress",""))</f>
        <v/>
      </c>
      <c r="BD8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81" s="40" t="str">
        <f>_xlfn.SWITCH(_01towers[[#This Row],[Final Colo Status full]],"Commercial Approval Requested","Under Prevalidation",_01towers[[#This Row],[Final Colo Status full]])</f>
        <v>NTP Received</v>
      </c>
    </row>
    <row r="82" spans="1:57" hidden="1" x14ac:dyDescent="0.35">
      <c r="A82" s="40" t="s">
        <v>237</v>
      </c>
      <c r="B82" s="40" t="s">
        <v>90</v>
      </c>
      <c r="C82" s="40" t="s">
        <v>82</v>
      </c>
      <c r="D82">
        <v>6</v>
      </c>
      <c r="E82" s="40" t="s">
        <v>98</v>
      </c>
      <c r="F82">
        <v>96.204009999999997</v>
      </c>
      <c r="G82">
        <v>16.77928</v>
      </c>
      <c r="H82" s="40" t="s">
        <v>53</v>
      </c>
      <c r="I82">
        <v>80</v>
      </c>
      <c r="J82" s="40" t="s">
        <v>238</v>
      </c>
      <c r="K82" s="40" t="s">
        <v>136</v>
      </c>
      <c r="L82" s="40" t="s">
        <v>74</v>
      </c>
      <c r="M82" s="40" t="s">
        <v>75</v>
      </c>
      <c r="N82" s="40"/>
      <c r="O82" s="40" t="s">
        <v>58</v>
      </c>
      <c r="P82" s="40" t="s">
        <v>75</v>
      </c>
      <c r="Q82" s="40"/>
      <c r="R82" s="40" t="s">
        <v>57</v>
      </c>
      <c r="S82">
        <v>148</v>
      </c>
      <c r="T82">
        <v>1</v>
      </c>
      <c r="U82" s="1"/>
      <c r="V82" s="1"/>
      <c r="W82" s="1"/>
      <c r="X82" s="1"/>
      <c r="Y82" s="1"/>
      <c r="Z82" s="40"/>
      <c r="AA82">
        <v>147</v>
      </c>
      <c r="AB82">
        <v>1</v>
      </c>
      <c r="AC82" s="1"/>
      <c r="AD82" s="40"/>
      <c r="AE82" s="1"/>
      <c r="AF82" s="1"/>
      <c r="AG82" s="1"/>
      <c r="AH82" s="40"/>
      <c r="AI82" s="1"/>
      <c r="AJ82" s="40">
        <f>_xlfn.MAXIFS(_01towers[02tss.Rev],_01towers[05_id],_01towers[[#This Row],[05_id]])</f>
        <v>1</v>
      </c>
      <c r="AK82" s="40" t="b">
        <f>IF(_01towers[[#This Row],[Count Rev TSS]]=_01towers[[#This Row],[02tss.Rev]],TRUE,FALSE)</f>
        <v>1</v>
      </c>
      <c r="AL82" s="40">
        <f>_xlfn.MAXIFS(_01towers[10colo_app.Rev],_01towers[05_id],_01towers[[#This Row],[05_id]])</f>
        <v>1</v>
      </c>
      <c r="AM82" s="40" t="b">
        <f>IF(_01towers[[#This Row],[Count Rev Colo App]]=_01towers[[#This Row],[10colo_app.Rev]],TRUE,FALSE)</f>
        <v>1</v>
      </c>
      <c r="AN82" s="40" t="b">
        <f>IF(AND(_01towers[[#This Row],[Test Rev Colo]]=TRUE,_01towers[[#This Row],[Test Rev TSS]]=TRUE),TRUE,FALSE)</f>
        <v>1</v>
      </c>
      <c r="AO82" s="40" t="str">
        <f>IF(_01towers[[#This Row],[Test Active]]=TRUE,_01towers[[#This Row],[Prevalidation Status]],"")</f>
        <v>Prevalidation Rejected</v>
      </c>
      <c r="AP82" s="40" t="str">
        <f>IF(_01towers[[#This Row],[Active Prevalidation Status]]="Under Prevalidation",
IF(M82="","Review",M82),"")</f>
        <v/>
      </c>
      <c r="AQ82" s="40" t="str">
        <f>IF(_01towers[[#This Row],[Active Prevalidation Status]]="Under Prevalidation",
IF(N82="","Review",N82),"")</f>
        <v/>
      </c>
      <c r="AR82" s="40" t="str">
        <f>IF(_01towers[[#This Row],[Active Prevalidation Status]]="Under Prevalidation",
IF(O82="","Review",O82),"")</f>
        <v/>
      </c>
      <c r="AS82" s="40" t="str">
        <f>IF(_01towers[[#This Row],[Active Prevalidation Status]]="Under Prevalidation",
IF(P82="","Review",P82),"")</f>
        <v/>
      </c>
      <c r="AT82" s="40" t="str">
        <f>IF(_01towers[[#This Row],[Active Prevalidation Status]]="Under Prevalidation",
IF(Q82="","Review",Q82),"")</f>
        <v/>
      </c>
      <c r="AU82" s="40" t="str">
        <f>IF(_01towers[[#This Row],[Active Prevalidation Status]]="Under Prevalidation",
IF(R82="","Review",R82),"")</f>
        <v/>
      </c>
      <c r="AV82" s="40">
        <f>COUNTIF(_01towers[[#This Row],[SAQ_Result2]:[Community_Result2]],"OK")</f>
        <v>0</v>
      </c>
      <c r="AW82" s="1" t="str">
        <f>IF(AND(OR(_01towers[[#This Row],[Active Prevalidation Status]]="Under Prevalidation",_01towers[[#This Row],[Active Prevalidation Status]]="Prevalidated"),_01towers[[#This Row],[02tss.TSSR_From_Engineer]]&gt;0),"Submitted","")</f>
        <v/>
      </c>
      <c r="AX82" s="40" t="str">
        <f>IF(OR(_01towers[[#This Row],[Active Prevalidation Status]]="Under Prevalidation",_01towers[[#This Row],[Active Prevalidation Status]]="Prevalidated"),_01towers[[#This Row],[02tss.TSS_Result]],"")</f>
        <v/>
      </c>
      <c r="AY82" s="40" t="str">
        <f>IF(AND(_01towers[[#This Row],[Active TSS Result]]="Approved",_01towers[[#This Row],[Active Prevalidation Status]]="Prevalidated"),"In Process","")</f>
        <v/>
      </c>
      <c r="AZ82" s="40" t="str">
        <f>IF(AND(_01towers[[#This Row],[Active TSS Result]]="Approved",_01towers[[#This Row],[Active Prevalidation Status]]="Prevalidated"),_01towers[[#This Row],[10colo_app.Colo_App_Result]],"")</f>
        <v/>
      </c>
      <c r="BA82" s="40">
        <f>COUNTIF(_20work_order[05_id],_01towers[[#This Row],[05_id]])</f>
        <v>0</v>
      </c>
      <c r="BB82" s="40">
        <f>COUNTIFS(_20work_order[05_id],_01towers[[#This Row],[05_id]],_20work_order[Actual_End],"&gt;0")</f>
        <v>0</v>
      </c>
      <c r="BC82" s="40" t="str">
        <f>IF(_01towers[[#This Row],[Completed Work Orders]]&gt;0,"Work Completed",
IF(_01towers[[#This Row],[Count Work Orders]]&gt;0,"Work in Progress",""))</f>
        <v/>
      </c>
      <c r="BD8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82" s="40" t="str">
        <f>_xlfn.SWITCH(_01towers[[#This Row],[Final Colo Status full]],"Commercial Approval Requested","Under Prevalidation",_01towers[[#This Row],[Final Colo Status full]])</f>
        <v>Prevalidation Rejected</v>
      </c>
    </row>
    <row r="83" spans="1:57" hidden="1" x14ac:dyDescent="0.35">
      <c r="A83" s="40" t="s">
        <v>239</v>
      </c>
      <c r="B83" s="40" t="s">
        <v>90</v>
      </c>
      <c r="C83" s="40" t="s">
        <v>82</v>
      </c>
      <c r="D83">
        <v>6</v>
      </c>
      <c r="E83" s="40" t="s">
        <v>98</v>
      </c>
      <c r="F83">
        <v>96.198689999999999</v>
      </c>
      <c r="G83">
        <v>16.78387</v>
      </c>
      <c r="H83" s="40" t="s">
        <v>53</v>
      </c>
      <c r="I83">
        <v>81</v>
      </c>
      <c r="J83" s="40" t="s">
        <v>211</v>
      </c>
      <c r="K83" s="40" t="s">
        <v>136</v>
      </c>
      <c r="L83" s="40" t="s">
        <v>74</v>
      </c>
      <c r="M83" s="40" t="s">
        <v>75</v>
      </c>
      <c r="N83" s="40"/>
      <c r="O83" s="40" t="s">
        <v>58</v>
      </c>
      <c r="P83" s="40" t="s">
        <v>75</v>
      </c>
      <c r="Q83" s="40"/>
      <c r="R83" s="40" t="s">
        <v>57</v>
      </c>
      <c r="S83">
        <v>147</v>
      </c>
      <c r="T83">
        <v>1</v>
      </c>
      <c r="U83" s="1"/>
      <c r="V83" s="1"/>
      <c r="W83" s="1"/>
      <c r="X83" s="1"/>
      <c r="Y83" s="1"/>
      <c r="Z83" s="40"/>
      <c r="AA83">
        <v>146</v>
      </c>
      <c r="AB83">
        <v>1</v>
      </c>
      <c r="AC83" s="1"/>
      <c r="AD83" s="40"/>
      <c r="AE83" s="1"/>
      <c r="AF83" s="1"/>
      <c r="AG83" s="1"/>
      <c r="AH83" s="40"/>
      <c r="AI83" s="1"/>
      <c r="AJ83" s="40">
        <f>_xlfn.MAXIFS(_01towers[02tss.Rev],_01towers[05_id],_01towers[[#This Row],[05_id]])</f>
        <v>1</v>
      </c>
      <c r="AK83" s="40" t="b">
        <f>IF(_01towers[[#This Row],[Count Rev TSS]]=_01towers[[#This Row],[02tss.Rev]],TRUE,FALSE)</f>
        <v>1</v>
      </c>
      <c r="AL83" s="40">
        <f>_xlfn.MAXIFS(_01towers[10colo_app.Rev],_01towers[05_id],_01towers[[#This Row],[05_id]])</f>
        <v>1</v>
      </c>
      <c r="AM83" s="40" t="b">
        <f>IF(_01towers[[#This Row],[Count Rev Colo App]]=_01towers[[#This Row],[10colo_app.Rev]],TRUE,FALSE)</f>
        <v>1</v>
      </c>
      <c r="AN83" s="40" t="b">
        <f>IF(AND(_01towers[[#This Row],[Test Rev Colo]]=TRUE,_01towers[[#This Row],[Test Rev TSS]]=TRUE),TRUE,FALSE)</f>
        <v>1</v>
      </c>
      <c r="AO83" s="40" t="str">
        <f>IF(_01towers[[#This Row],[Test Active]]=TRUE,_01towers[[#This Row],[Prevalidation Status]],"")</f>
        <v>Prevalidation Rejected</v>
      </c>
      <c r="AP83" s="40" t="str">
        <f>IF(_01towers[[#This Row],[Active Prevalidation Status]]="Under Prevalidation",
IF(M83="","Review",M83),"")</f>
        <v/>
      </c>
      <c r="AQ83" s="40" t="str">
        <f>IF(_01towers[[#This Row],[Active Prevalidation Status]]="Under Prevalidation",
IF(N83="","Review",N83),"")</f>
        <v/>
      </c>
      <c r="AR83" s="40" t="str">
        <f>IF(_01towers[[#This Row],[Active Prevalidation Status]]="Under Prevalidation",
IF(O83="","Review",O83),"")</f>
        <v/>
      </c>
      <c r="AS83" s="40" t="str">
        <f>IF(_01towers[[#This Row],[Active Prevalidation Status]]="Under Prevalidation",
IF(P83="","Review",P83),"")</f>
        <v/>
      </c>
      <c r="AT83" s="40" t="str">
        <f>IF(_01towers[[#This Row],[Active Prevalidation Status]]="Under Prevalidation",
IF(Q83="","Review",Q83),"")</f>
        <v/>
      </c>
      <c r="AU83" s="40" t="str">
        <f>IF(_01towers[[#This Row],[Active Prevalidation Status]]="Under Prevalidation",
IF(R83="","Review",R83),"")</f>
        <v/>
      </c>
      <c r="AV83" s="40">
        <f>COUNTIF(_01towers[[#This Row],[SAQ_Result2]:[Community_Result2]],"OK")</f>
        <v>0</v>
      </c>
      <c r="AW83" s="1" t="str">
        <f>IF(AND(OR(_01towers[[#This Row],[Active Prevalidation Status]]="Under Prevalidation",_01towers[[#This Row],[Active Prevalidation Status]]="Prevalidated"),_01towers[[#This Row],[02tss.TSSR_From_Engineer]]&gt;0),"Submitted","")</f>
        <v/>
      </c>
      <c r="AX83" s="40" t="str">
        <f>IF(OR(_01towers[[#This Row],[Active Prevalidation Status]]="Under Prevalidation",_01towers[[#This Row],[Active Prevalidation Status]]="Prevalidated"),_01towers[[#This Row],[02tss.TSS_Result]],"")</f>
        <v/>
      </c>
      <c r="AY83" s="40" t="str">
        <f>IF(AND(_01towers[[#This Row],[Active TSS Result]]="Approved",_01towers[[#This Row],[Active Prevalidation Status]]="Prevalidated"),"In Process","")</f>
        <v/>
      </c>
      <c r="AZ83" s="40" t="str">
        <f>IF(AND(_01towers[[#This Row],[Active TSS Result]]="Approved",_01towers[[#This Row],[Active Prevalidation Status]]="Prevalidated"),_01towers[[#This Row],[10colo_app.Colo_App_Result]],"")</f>
        <v/>
      </c>
      <c r="BA83" s="40">
        <f>COUNTIF(_20work_order[05_id],_01towers[[#This Row],[05_id]])</f>
        <v>0</v>
      </c>
      <c r="BB83" s="40">
        <f>COUNTIFS(_20work_order[05_id],_01towers[[#This Row],[05_id]],_20work_order[Actual_End],"&gt;0")</f>
        <v>0</v>
      </c>
      <c r="BC83" s="40" t="str">
        <f>IF(_01towers[[#This Row],[Completed Work Orders]]&gt;0,"Work Completed",
IF(_01towers[[#This Row],[Count Work Orders]]&gt;0,"Work in Progress",""))</f>
        <v/>
      </c>
      <c r="BD8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83" s="40" t="str">
        <f>_xlfn.SWITCH(_01towers[[#This Row],[Final Colo Status full]],"Commercial Approval Requested","Under Prevalidation",_01towers[[#This Row],[Final Colo Status full]])</f>
        <v>Prevalidation Rejected</v>
      </c>
    </row>
    <row r="84" spans="1:57" hidden="1" x14ac:dyDescent="0.35">
      <c r="A84" s="40" t="s">
        <v>240</v>
      </c>
      <c r="B84" s="40" t="s">
        <v>90</v>
      </c>
      <c r="C84" s="40" t="s">
        <v>51</v>
      </c>
      <c r="D84">
        <v>60</v>
      </c>
      <c r="E84" s="40" t="s">
        <v>175</v>
      </c>
      <c r="F84">
        <v>96.667159999999996</v>
      </c>
      <c r="G84">
        <v>17.796710000000001</v>
      </c>
      <c r="H84" s="40" t="s">
        <v>53</v>
      </c>
      <c r="I84">
        <v>83</v>
      </c>
      <c r="J84" s="40" t="s">
        <v>241</v>
      </c>
      <c r="K84" s="40" t="s">
        <v>136</v>
      </c>
      <c r="L84" s="40" t="s">
        <v>64</v>
      </c>
      <c r="M84" s="40" t="s">
        <v>57</v>
      </c>
      <c r="N84" s="40" t="s">
        <v>57</v>
      </c>
      <c r="O84" s="40" t="s">
        <v>57</v>
      </c>
      <c r="P84" s="40" t="s">
        <v>57</v>
      </c>
      <c r="Q84" s="40" t="s">
        <v>57</v>
      </c>
      <c r="R84" s="40" t="s">
        <v>57</v>
      </c>
      <c r="S84">
        <v>20</v>
      </c>
      <c r="T84">
        <v>1</v>
      </c>
      <c r="U84" s="1"/>
      <c r="V84" s="1"/>
      <c r="W84" s="1"/>
      <c r="X84" s="1"/>
      <c r="Y84" s="1"/>
      <c r="Z84" s="40"/>
      <c r="AA84">
        <v>20</v>
      </c>
      <c r="AB84">
        <v>1</v>
      </c>
      <c r="AC84" s="1"/>
      <c r="AD84" s="40"/>
      <c r="AE84" s="1"/>
      <c r="AF84" s="1"/>
      <c r="AG84" s="1"/>
      <c r="AH84" s="40"/>
      <c r="AI84" s="1"/>
      <c r="AJ84" s="40">
        <f>_xlfn.MAXIFS(_01towers[02tss.Rev],_01towers[05_id],_01towers[[#This Row],[05_id]])</f>
        <v>1</v>
      </c>
      <c r="AK84" s="40" t="b">
        <f>IF(_01towers[[#This Row],[Count Rev TSS]]=_01towers[[#This Row],[02tss.Rev]],TRUE,FALSE)</f>
        <v>1</v>
      </c>
      <c r="AL84" s="40">
        <f>_xlfn.MAXIFS(_01towers[10colo_app.Rev],_01towers[05_id],_01towers[[#This Row],[05_id]])</f>
        <v>1</v>
      </c>
      <c r="AM84" s="40" t="b">
        <f>IF(_01towers[[#This Row],[Count Rev Colo App]]=_01towers[[#This Row],[10colo_app.Rev]],TRUE,FALSE)</f>
        <v>1</v>
      </c>
      <c r="AN84" s="40" t="b">
        <f>IF(AND(_01towers[[#This Row],[Test Rev Colo]]=TRUE,_01towers[[#This Row],[Test Rev TSS]]=TRUE),TRUE,FALSE)</f>
        <v>1</v>
      </c>
      <c r="AO84" s="40" t="str">
        <f>IF(_01towers[[#This Row],[Test Active]]=TRUE,_01towers[[#This Row],[Prevalidation Status]],"")</f>
        <v>Prevalidated</v>
      </c>
      <c r="AP84" s="40" t="str">
        <f>IF(_01towers[[#This Row],[Active Prevalidation Status]]="Under Prevalidation",
IF(M84="","Review",M84),"")</f>
        <v/>
      </c>
      <c r="AQ84" s="40" t="str">
        <f>IF(_01towers[[#This Row],[Active Prevalidation Status]]="Under Prevalidation",
IF(N84="","Review",N84),"")</f>
        <v/>
      </c>
      <c r="AR84" s="40" t="str">
        <f>IF(_01towers[[#This Row],[Active Prevalidation Status]]="Under Prevalidation",
IF(O84="","Review",O84),"")</f>
        <v/>
      </c>
      <c r="AS84" s="40" t="str">
        <f>IF(_01towers[[#This Row],[Active Prevalidation Status]]="Under Prevalidation",
IF(P84="","Review",P84),"")</f>
        <v/>
      </c>
      <c r="AT84" s="40" t="str">
        <f>IF(_01towers[[#This Row],[Active Prevalidation Status]]="Under Prevalidation",
IF(Q84="","Review",Q84),"")</f>
        <v/>
      </c>
      <c r="AU84" s="40" t="str">
        <f>IF(_01towers[[#This Row],[Active Prevalidation Status]]="Under Prevalidation",
IF(R84="","Review",R84),"")</f>
        <v/>
      </c>
      <c r="AV84" s="40">
        <f>COUNTIF(_01towers[[#This Row],[SAQ_Result2]:[Community_Result2]],"OK")</f>
        <v>0</v>
      </c>
      <c r="AW84" s="1" t="str">
        <f>IF(AND(OR(_01towers[[#This Row],[Active Prevalidation Status]]="Under Prevalidation",_01towers[[#This Row],[Active Prevalidation Status]]="Prevalidated"),_01towers[[#This Row],[02tss.TSSR_From_Engineer]]&gt;0),"Submitted","")</f>
        <v/>
      </c>
      <c r="AX84" s="40">
        <f>IF(OR(_01towers[[#This Row],[Active Prevalidation Status]]="Under Prevalidation",_01towers[[#This Row],[Active Prevalidation Status]]="Prevalidated"),_01towers[[#This Row],[02tss.TSS_Result]],"")</f>
        <v>0</v>
      </c>
      <c r="AY84" s="40" t="str">
        <f>IF(AND(_01towers[[#This Row],[Active TSS Result]]="Approved",_01towers[[#This Row],[Active Prevalidation Status]]="Prevalidated"),"In Process","")</f>
        <v/>
      </c>
      <c r="AZ84" s="40" t="str">
        <f>IF(AND(_01towers[[#This Row],[Active TSS Result]]="Approved",_01towers[[#This Row],[Active Prevalidation Status]]="Prevalidated"),_01towers[[#This Row],[10colo_app.Colo_App_Result]],"")</f>
        <v/>
      </c>
      <c r="BA84" s="40">
        <f>COUNTIF(_20work_order[05_id],_01towers[[#This Row],[05_id]])</f>
        <v>0</v>
      </c>
      <c r="BB84" s="40">
        <f>COUNTIFS(_20work_order[05_id],_01towers[[#This Row],[05_id]],_20work_order[Actual_End],"&gt;0")</f>
        <v>0</v>
      </c>
      <c r="BC84" s="40" t="str">
        <f>IF(_01towers[[#This Row],[Completed Work Orders]]&gt;0,"Work Completed",
IF(_01towers[[#This Row],[Count Work Orders]]&gt;0,"Work in Progress",""))</f>
        <v/>
      </c>
      <c r="BD8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84" s="40" t="str">
        <f>_xlfn.SWITCH(_01towers[[#This Row],[Final Colo Status full]],"Commercial Approval Requested","Under Prevalidation",_01towers[[#This Row],[Final Colo Status full]])</f>
        <v>Prevalidated - TSSR in Process</v>
      </c>
    </row>
    <row r="85" spans="1:57" hidden="1" x14ac:dyDescent="0.35">
      <c r="A85" s="40" t="s">
        <v>242</v>
      </c>
      <c r="B85" s="40" t="s">
        <v>90</v>
      </c>
      <c r="C85" s="40" t="s">
        <v>82</v>
      </c>
      <c r="D85">
        <v>6</v>
      </c>
      <c r="E85" s="40" t="s">
        <v>98</v>
      </c>
      <c r="F85">
        <v>96.191491080000006</v>
      </c>
      <c r="G85">
        <v>16.782439100000001</v>
      </c>
      <c r="H85" s="40" t="s">
        <v>243</v>
      </c>
      <c r="I85">
        <v>84</v>
      </c>
      <c r="J85" s="40" t="s">
        <v>244</v>
      </c>
      <c r="K85" s="40" t="s">
        <v>136</v>
      </c>
      <c r="L85" s="40" t="s">
        <v>74</v>
      </c>
      <c r="M85" s="40" t="s">
        <v>75</v>
      </c>
      <c r="N85" s="40"/>
      <c r="O85" s="40" t="s">
        <v>58</v>
      </c>
      <c r="P85" s="40" t="s">
        <v>57</v>
      </c>
      <c r="Q85" s="40"/>
      <c r="R85" s="40" t="s">
        <v>57</v>
      </c>
      <c r="S85">
        <v>146</v>
      </c>
      <c r="T85">
        <v>1</v>
      </c>
      <c r="U85" s="1"/>
      <c r="V85" s="1"/>
      <c r="W85" s="1"/>
      <c r="X85" s="1"/>
      <c r="Y85" s="1"/>
      <c r="Z85" s="40"/>
      <c r="AA85">
        <v>145</v>
      </c>
      <c r="AB85">
        <v>1</v>
      </c>
      <c r="AC85" s="1"/>
      <c r="AD85" s="40"/>
      <c r="AE85" s="1"/>
      <c r="AF85" s="1"/>
      <c r="AG85" s="1"/>
      <c r="AH85" s="40"/>
      <c r="AI85" s="1"/>
      <c r="AJ85" s="40">
        <f>_xlfn.MAXIFS(_01towers[02tss.Rev],_01towers[05_id],_01towers[[#This Row],[05_id]])</f>
        <v>1</v>
      </c>
      <c r="AK85" s="40" t="b">
        <f>IF(_01towers[[#This Row],[Count Rev TSS]]=_01towers[[#This Row],[02tss.Rev]],TRUE,FALSE)</f>
        <v>1</v>
      </c>
      <c r="AL85" s="40">
        <f>_xlfn.MAXIFS(_01towers[10colo_app.Rev],_01towers[05_id],_01towers[[#This Row],[05_id]])</f>
        <v>1</v>
      </c>
      <c r="AM85" s="40" t="b">
        <f>IF(_01towers[[#This Row],[Count Rev Colo App]]=_01towers[[#This Row],[10colo_app.Rev]],TRUE,FALSE)</f>
        <v>1</v>
      </c>
      <c r="AN85" s="40" t="b">
        <f>IF(AND(_01towers[[#This Row],[Test Rev Colo]]=TRUE,_01towers[[#This Row],[Test Rev TSS]]=TRUE),TRUE,FALSE)</f>
        <v>1</v>
      </c>
      <c r="AO85" s="40" t="str">
        <f>IF(_01towers[[#This Row],[Test Active]]=TRUE,_01towers[[#This Row],[Prevalidation Status]],"")</f>
        <v>Prevalidation Rejected</v>
      </c>
      <c r="AP85" s="40" t="str">
        <f>IF(_01towers[[#This Row],[Active Prevalidation Status]]="Under Prevalidation",
IF(M85="","Review",M85),"")</f>
        <v/>
      </c>
      <c r="AQ85" s="40" t="str">
        <f>IF(_01towers[[#This Row],[Active Prevalidation Status]]="Under Prevalidation",
IF(N85="","Review",N85),"")</f>
        <v/>
      </c>
      <c r="AR85" s="40" t="str">
        <f>IF(_01towers[[#This Row],[Active Prevalidation Status]]="Under Prevalidation",
IF(O85="","Review",O85),"")</f>
        <v/>
      </c>
      <c r="AS85" s="40" t="str">
        <f>IF(_01towers[[#This Row],[Active Prevalidation Status]]="Under Prevalidation",
IF(P85="","Review",P85),"")</f>
        <v/>
      </c>
      <c r="AT85" s="40" t="str">
        <f>IF(_01towers[[#This Row],[Active Prevalidation Status]]="Under Prevalidation",
IF(Q85="","Review",Q85),"")</f>
        <v/>
      </c>
      <c r="AU85" s="40" t="str">
        <f>IF(_01towers[[#This Row],[Active Prevalidation Status]]="Under Prevalidation",
IF(R85="","Review",R85),"")</f>
        <v/>
      </c>
      <c r="AV85" s="40">
        <f>COUNTIF(_01towers[[#This Row],[SAQ_Result2]:[Community_Result2]],"OK")</f>
        <v>0</v>
      </c>
      <c r="AW85" s="1" t="str">
        <f>IF(AND(OR(_01towers[[#This Row],[Active Prevalidation Status]]="Under Prevalidation",_01towers[[#This Row],[Active Prevalidation Status]]="Prevalidated"),_01towers[[#This Row],[02tss.TSSR_From_Engineer]]&gt;0),"Submitted","")</f>
        <v/>
      </c>
      <c r="AX85" s="40" t="str">
        <f>IF(OR(_01towers[[#This Row],[Active Prevalidation Status]]="Under Prevalidation",_01towers[[#This Row],[Active Prevalidation Status]]="Prevalidated"),_01towers[[#This Row],[02tss.TSS_Result]],"")</f>
        <v/>
      </c>
      <c r="AY85" s="40" t="str">
        <f>IF(AND(_01towers[[#This Row],[Active TSS Result]]="Approved",_01towers[[#This Row],[Active Prevalidation Status]]="Prevalidated"),"In Process","")</f>
        <v/>
      </c>
      <c r="AZ85" s="40" t="str">
        <f>IF(AND(_01towers[[#This Row],[Active TSS Result]]="Approved",_01towers[[#This Row],[Active Prevalidation Status]]="Prevalidated"),_01towers[[#This Row],[10colo_app.Colo_App_Result]],"")</f>
        <v/>
      </c>
      <c r="BA85" s="40">
        <f>COUNTIF(_20work_order[05_id],_01towers[[#This Row],[05_id]])</f>
        <v>0</v>
      </c>
      <c r="BB85" s="40">
        <f>COUNTIFS(_20work_order[05_id],_01towers[[#This Row],[05_id]],_20work_order[Actual_End],"&gt;0")</f>
        <v>0</v>
      </c>
      <c r="BC85" s="40" t="str">
        <f>IF(_01towers[[#This Row],[Completed Work Orders]]&gt;0,"Work Completed",
IF(_01towers[[#This Row],[Count Work Orders]]&gt;0,"Work in Progress",""))</f>
        <v/>
      </c>
      <c r="BD8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85" s="40" t="str">
        <f>_xlfn.SWITCH(_01towers[[#This Row],[Final Colo Status full]],"Commercial Approval Requested","Under Prevalidation",_01towers[[#This Row],[Final Colo Status full]])</f>
        <v>Prevalidation Rejected</v>
      </c>
    </row>
    <row r="86" spans="1:57" x14ac:dyDescent="0.35">
      <c r="A86" s="40" t="s">
        <v>245</v>
      </c>
      <c r="B86" s="40" t="s">
        <v>90</v>
      </c>
      <c r="C86" s="40" t="s">
        <v>51</v>
      </c>
      <c r="D86">
        <v>40</v>
      </c>
      <c r="E86" s="40" t="s">
        <v>94</v>
      </c>
      <c r="F86">
        <v>97.357810000000001</v>
      </c>
      <c r="G86">
        <v>16.92483</v>
      </c>
      <c r="H86" s="40" t="s">
        <v>150</v>
      </c>
      <c r="I86">
        <v>85</v>
      </c>
      <c r="J86" s="40" t="s">
        <v>573</v>
      </c>
      <c r="K86" s="40" t="s">
        <v>136</v>
      </c>
      <c r="L86" s="40" t="s">
        <v>56</v>
      </c>
      <c r="M86" s="40" t="s">
        <v>57</v>
      </c>
      <c r="N86" s="40" t="s">
        <v>57</v>
      </c>
      <c r="O86" s="40" t="s">
        <v>57</v>
      </c>
      <c r="P86" s="40" t="s">
        <v>58</v>
      </c>
      <c r="Q86" s="40" t="s">
        <v>57</v>
      </c>
      <c r="R86" s="40" t="s">
        <v>57</v>
      </c>
      <c r="S86">
        <v>114</v>
      </c>
      <c r="T86">
        <v>1</v>
      </c>
      <c r="U86" s="1">
        <v>43299</v>
      </c>
      <c r="V86" s="1">
        <v>43299</v>
      </c>
      <c r="W86" s="1">
        <v>43301</v>
      </c>
      <c r="X86" s="1"/>
      <c r="Y86" s="1"/>
      <c r="Z86" s="40"/>
      <c r="AA86">
        <v>113</v>
      </c>
      <c r="AB86">
        <v>1</v>
      </c>
      <c r="AC86" s="1"/>
      <c r="AD86" s="40"/>
      <c r="AE86" s="1"/>
      <c r="AF86" s="1"/>
      <c r="AG86" s="1"/>
      <c r="AH86" s="40"/>
      <c r="AI86" s="1"/>
      <c r="AJ86" s="40">
        <f>_xlfn.MAXIFS(_01towers[02tss.Rev],_01towers[05_id],_01towers[[#This Row],[05_id]])</f>
        <v>1</v>
      </c>
      <c r="AK86" s="40" t="b">
        <f>IF(_01towers[[#This Row],[Count Rev TSS]]=_01towers[[#This Row],[02tss.Rev]],TRUE,FALSE)</f>
        <v>1</v>
      </c>
      <c r="AL86" s="40">
        <f>_xlfn.MAXIFS(_01towers[10colo_app.Rev],_01towers[05_id],_01towers[[#This Row],[05_id]])</f>
        <v>1</v>
      </c>
      <c r="AM86" s="40" t="b">
        <f>IF(_01towers[[#This Row],[Count Rev Colo App]]=_01towers[[#This Row],[10colo_app.Rev]],TRUE,FALSE)</f>
        <v>1</v>
      </c>
      <c r="AN86" s="40" t="b">
        <f>IF(AND(_01towers[[#This Row],[Test Rev Colo]]=TRUE,_01towers[[#This Row],[Test Rev TSS]]=TRUE),TRUE,FALSE)</f>
        <v>1</v>
      </c>
      <c r="AO86" s="40" t="str">
        <f>IF(_01towers[[#This Row],[Test Active]]=TRUE,_01towers[[#This Row],[Prevalidation Status]],"")</f>
        <v>Commercial Approval Requested</v>
      </c>
      <c r="AP86" s="40" t="str">
        <f>IF(_01towers[[#This Row],[Active Prevalidation Status]]="Under Prevalidation",
IF(M86="","Review",M86),"")</f>
        <v/>
      </c>
      <c r="AQ86" s="40" t="str">
        <f>IF(_01towers[[#This Row],[Active Prevalidation Status]]="Under Prevalidation",
IF(N86="","Review",N86),"")</f>
        <v/>
      </c>
      <c r="AR86" s="40" t="str">
        <f>IF(_01towers[[#This Row],[Active Prevalidation Status]]="Under Prevalidation",
IF(O86="","Review",O86),"")</f>
        <v/>
      </c>
      <c r="AS86" s="40" t="str">
        <f>IF(_01towers[[#This Row],[Active Prevalidation Status]]="Under Prevalidation",
IF(P86="","Review",P86),"")</f>
        <v/>
      </c>
      <c r="AT86" s="40" t="str">
        <f>IF(_01towers[[#This Row],[Active Prevalidation Status]]="Under Prevalidation",
IF(Q86="","Review",Q86),"")</f>
        <v/>
      </c>
      <c r="AU86" s="40" t="str">
        <f>IF(_01towers[[#This Row],[Active Prevalidation Status]]="Under Prevalidation",
IF(R86="","Review",R86),"")</f>
        <v/>
      </c>
      <c r="AV86" s="40">
        <f>COUNTIF(_01towers[[#This Row],[SAQ_Result2]:[Community_Result2]],"OK")</f>
        <v>0</v>
      </c>
      <c r="AW86" s="1" t="str">
        <f>IF(AND(OR(_01towers[[#This Row],[Active Prevalidation Status]]="Under Prevalidation",_01towers[[#This Row],[Active Prevalidation Status]]="Prevalidated"),_01towers[[#This Row],[02tss.TSSR_From_Engineer]]&gt;0),"Submitted","")</f>
        <v/>
      </c>
      <c r="AX86" s="40" t="str">
        <f>IF(OR(_01towers[[#This Row],[Active Prevalidation Status]]="Under Prevalidation",_01towers[[#This Row],[Active Prevalidation Status]]="Prevalidated"),_01towers[[#This Row],[02tss.TSS_Result]],"")</f>
        <v/>
      </c>
      <c r="AY86" s="40" t="str">
        <f>IF(AND(_01towers[[#This Row],[Active TSS Result]]="Approved",_01towers[[#This Row],[Active Prevalidation Status]]="Prevalidated"),"In Process","")</f>
        <v/>
      </c>
      <c r="AZ86" s="40" t="str">
        <f>IF(AND(_01towers[[#This Row],[Active TSS Result]]="Approved",_01towers[[#This Row],[Active Prevalidation Status]]="Prevalidated"),_01towers[[#This Row],[10colo_app.Colo_App_Result]],"")</f>
        <v/>
      </c>
      <c r="BA86" s="40">
        <f>COUNTIF(_20work_order[05_id],_01towers[[#This Row],[05_id]])</f>
        <v>0</v>
      </c>
      <c r="BB86" s="40">
        <f>COUNTIFS(_20work_order[05_id],_01towers[[#This Row],[05_id]],_20work_order[Actual_End],"&gt;0")</f>
        <v>0</v>
      </c>
      <c r="BC86" s="40" t="str">
        <f>IF(_01towers[[#This Row],[Completed Work Orders]]&gt;0,"Work Completed",
IF(_01towers[[#This Row],[Count Work Orders]]&gt;0,"Work in Progress",""))</f>
        <v/>
      </c>
      <c r="BD8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86" s="40" t="str">
        <f>_xlfn.SWITCH(_01towers[[#This Row],[Final Colo Status full]],"Commercial Approval Requested","Under Prevalidation",_01towers[[#This Row],[Final Colo Status full]])</f>
        <v>Under Prevalidation</v>
      </c>
    </row>
    <row r="87" spans="1:57" hidden="1" x14ac:dyDescent="0.35">
      <c r="A87" s="40" t="s">
        <v>246</v>
      </c>
      <c r="B87" s="40" t="s">
        <v>90</v>
      </c>
      <c r="C87" s="40" t="s">
        <v>51</v>
      </c>
      <c r="D87">
        <v>35</v>
      </c>
      <c r="E87" s="40" t="s">
        <v>98</v>
      </c>
      <c r="F87">
        <v>96.091740000000001</v>
      </c>
      <c r="G87">
        <v>16.97606</v>
      </c>
      <c r="H87" s="40" t="s">
        <v>99</v>
      </c>
      <c r="I87">
        <v>86</v>
      </c>
      <c r="J87" s="40" t="s">
        <v>247</v>
      </c>
      <c r="K87" s="40" t="s">
        <v>136</v>
      </c>
      <c r="L87" s="40" t="s">
        <v>64</v>
      </c>
      <c r="M87" s="40" t="s">
        <v>57</v>
      </c>
      <c r="N87" s="40" t="s">
        <v>57</v>
      </c>
      <c r="O87" s="40" t="s">
        <v>57</v>
      </c>
      <c r="P87" s="40" t="s">
        <v>57</v>
      </c>
      <c r="Q87" s="40" t="s">
        <v>57</v>
      </c>
      <c r="R87" s="40" t="s">
        <v>57</v>
      </c>
      <c r="S87">
        <v>170</v>
      </c>
      <c r="T87">
        <v>1</v>
      </c>
      <c r="U87" s="1"/>
      <c r="V87" s="1"/>
      <c r="W87" s="1"/>
      <c r="X87" s="1"/>
      <c r="Y87" s="1"/>
      <c r="Z87" s="40"/>
      <c r="AA87">
        <v>169</v>
      </c>
      <c r="AB87">
        <v>1</v>
      </c>
      <c r="AC87" s="1"/>
      <c r="AD87" s="40"/>
      <c r="AE87" s="1"/>
      <c r="AF87" s="1"/>
      <c r="AG87" s="1"/>
      <c r="AH87" s="40"/>
      <c r="AI87" s="1"/>
      <c r="AJ87" s="40">
        <f>_xlfn.MAXIFS(_01towers[02tss.Rev],_01towers[05_id],_01towers[[#This Row],[05_id]])</f>
        <v>1</v>
      </c>
      <c r="AK87" s="40" t="b">
        <f>IF(_01towers[[#This Row],[Count Rev TSS]]=_01towers[[#This Row],[02tss.Rev]],TRUE,FALSE)</f>
        <v>1</v>
      </c>
      <c r="AL87" s="40">
        <f>_xlfn.MAXIFS(_01towers[10colo_app.Rev],_01towers[05_id],_01towers[[#This Row],[05_id]])</f>
        <v>1</v>
      </c>
      <c r="AM87" s="40" t="b">
        <f>IF(_01towers[[#This Row],[Count Rev Colo App]]=_01towers[[#This Row],[10colo_app.Rev]],TRUE,FALSE)</f>
        <v>1</v>
      </c>
      <c r="AN87" s="40" t="b">
        <f>IF(AND(_01towers[[#This Row],[Test Rev Colo]]=TRUE,_01towers[[#This Row],[Test Rev TSS]]=TRUE),TRUE,FALSE)</f>
        <v>1</v>
      </c>
      <c r="AO87" s="40" t="str">
        <f>IF(_01towers[[#This Row],[Test Active]]=TRUE,_01towers[[#This Row],[Prevalidation Status]],"")</f>
        <v>Prevalidated</v>
      </c>
      <c r="AP87" s="40" t="str">
        <f>IF(_01towers[[#This Row],[Active Prevalidation Status]]="Under Prevalidation",
IF(M87="","Review",M87),"")</f>
        <v/>
      </c>
      <c r="AQ87" s="40" t="str">
        <f>IF(_01towers[[#This Row],[Active Prevalidation Status]]="Under Prevalidation",
IF(N87="","Review",N87),"")</f>
        <v/>
      </c>
      <c r="AR87" s="40" t="str">
        <f>IF(_01towers[[#This Row],[Active Prevalidation Status]]="Under Prevalidation",
IF(O87="","Review",O87),"")</f>
        <v/>
      </c>
      <c r="AS87" s="40" t="str">
        <f>IF(_01towers[[#This Row],[Active Prevalidation Status]]="Under Prevalidation",
IF(P87="","Review",P87),"")</f>
        <v/>
      </c>
      <c r="AT87" s="40" t="str">
        <f>IF(_01towers[[#This Row],[Active Prevalidation Status]]="Under Prevalidation",
IF(Q87="","Review",Q87),"")</f>
        <v/>
      </c>
      <c r="AU87" s="40" t="str">
        <f>IF(_01towers[[#This Row],[Active Prevalidation Status]]="Under Prevalidation",
IF(R87="","Review",R87),"")</f>
        <v/>
      </c>
      <c r="AV87" s="40">
        <f>COUNTIF(_01towers[[#This Row],[SAQ_Result2]:[Community_Result2]],"OK")</f>
        <v>0</v>
      </c>
      <c r="AW87" s="1" t="str">
        <f>IF(AND(OR(_01towers[[#This Row],[Active Prevalidation Status]]="Under Prevalidation",_01towers[[#This Row],[Active Prevalidation Status]]="Prevalidated"),_01towers[[#This Row],[02tss.TSSR_From_Engineer]]&gt;0),"Submitted","")</f>
        <v/>
      </c>
      <c r="AX87" s="40">
        <f>IF(OR(_01towers[[#This Row],[Active Prevalidation Status]]="Under Prevalidation",_01towers[[#This Row],[Active Prevalidation Status]]="Prevalidated"),_01towers[[#This Row],[02tss.TSS_Result]],"")</f>
        <v>0</v>
      </c>
      <c r="AY87" s="40" t="str">
        <f>IF(AND(_01towers[[#This Row],[Active TSS Result]]="Approved",_01towers[[#This Row],[Active Prevalidation Status]]="Prevalidated"),"In Process","")</f>
        <v/>
      </c>
      <c r="AZ87" s="40" t="str">
        <f>IF(AND(_01towers[[#This Row],[Active TSS Result]]="Approved",_01towers[[#This Row],[Active Prevalidation Status]]="Prevalidated"),_01towers[[#This Row],[10colo_app.Colo_App_Result]],"")</f>
        <v/>
      </c>
      <c r="BA87" s="40">
        <f>COUNTIF(_20work_order[05_id],_01towers[[#This Row],[05_id]])</f>
        <v>0</v>
      </c>
      <c r="BB87" s="40">
        <f>COUNTIFS(_20work_order[05_id],_01towers[[#This Row],[05_id]],_20work_order[Actual_End],"&gt;0")</f>
        <v>0</v>
      </c>
      <c r="BC87" s="40" t="str">
        <f>IF(_01towers[[#This Row],[Completed Work Orders]]&gt;0,"Work Completed",
IF(_01towers[[#This Row],[Count Work Orders]]&gt;0,"Work in Progress",""))</f>
        <v/>
      </c>
      <c r="BD8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87" s="40" t="str">
        <f>_xlfn.SWITCH(_01towers[[#This Row],[Final Colo Status full]],"Commercial Approval Requested","Under Prevalidation",_01towers[[#This Row],[Final Colo Status full]])</f>
        <v>Prevalidated - TSSR in Process</v>
      </c>
    </row>
    <row r="88" spans="1:57" hidden="1" x14ac:dyDescent="0.35">
      <c r="A88" s="40" t="s">
        <v>248</v>
      </c>
      <c r="B88" s="40" t="s">
        <v>90</v>
      </c>
      <c r="C88" s="40" t="s">
        <v>249</v>
      </c>
      <c r="D88">
        <v>12</v>
      </c>
      <c r="E88" s="40" t="s">
        <v>98</v>
      </c>
      <c r="F88">
        <v>96.090760000000003</v>
      </c>
      <c r="G88">
        <v>16.8596</v>
      </c>
      <c r="H88" s="40" t="s">
        <v>53</v>
      </c>
      <c r="I88">
        <v>87</v>
      </c>
      <c r="J88" s="40" t="s">
        <v>250</v>
      </c>
      <c r="K88" s="40" t="s">
        <v>136</v>
      </c>
      <c r="L88" s="40" t="s">
        <v>74</v>
      </c>
      <c r="M88" s="40" t="s">
        <v>75</v>
      </c>
      <c r="N88" s="40"/>
      <c r="O88" s="40" t="s">
        <v>58</v>
      </c>
      <c r="P88" s="40" t="s">
        <v>57</v>
      </c>
      <c r="Q88" s="40"/>
      <c r="R88" s="40" t="s">
        <v>58</v>
      </c>
      <c r="S88">
        <v>137</v>
      </c>
      <c r="T88">
        <v>1</v>
      </c>
      <c r="U88" s="1"/>
      <c r="V88" s="1"/>
      <c r="W88" s="1"/>
      <c r="X88" s="1"/>
      <c r="Y88" s="1"/>
      <c r="Z88" s="40"/>
      <c r="AA88">
        <v>136</v>
      </c>
      <c r="AB88">
        <v>1</v>
      </c>
      <c r="AC88" s="1"/>
      <c r="AD88" s="40"/>
      <c r="AE88" s="1"/>
      <c r="AF88" s="1"/>
      <c r="AG88" s="1"/>
      <c r="AH88" s="40"/>
      <c r="AI88" s="1"/>
      <c r="AJ88" s="40">
        <f>_xlfn.MAXIFS(_01towers[02tss.Rev],_01towers[05_id],_01towers[[#This Row],[05_id]])</f>
        <v>1</v>
      </c>
      <c r="AK88" s="40" t="b">
        <f>IF(_01towers[[#This Row],[Count Rev TSS]]=_01towers[[#This Row],[02tss.Rev]],TRUE,FALSE)</f>
        <v>1</v>
      </c>
      <c r="AL88" s="40">
        <f>_xlfn.MAXIFS(_01towers[10colo_app.Rev],_01towers[05_id],_01towers[[#This Row],[05_id]])</f>
        <v>1</v>
      </c>
      <c r="AM88" s="40" t="b">
        <f>IF(_01towers[[#This Row],[Count Rev Colo App]]=_01towers[[#This Row],[10colo_app.Rev]],TRUE,FALSE)</f>
        <v>1</v>
      </c>
      <c r="AN88" s="40" t="b">
        <f>IF(AND(_01towers[[#This Row],[Test Rev Colo]]=TRUE,_01towers[[#This Row],[Test Rev TSS]]=TRUE),TRUE,FALSE)</f>
        <v>1</v>
      </c>
      <c r="AO88" s="40" t="str">
        <f>IF(_01towers[[#This Row],[Test Active]]=TRUE,_01towers[[#This Row],[Prevalidation Status]],"")</f>
        <v>Prevalidation Rejected</v>
      </c>
      <c r="AP88" s="40" t="str">
        <f>IF(_01towers[[#This Row],[Active Prevalidation Status]]="Under Prevalidation",
IF(M88="","Review",M88),"")</f>
        <v/>
      </c>
      <c r="AQ88" s="40" t="str">
        <f>IF(_01towers[[#This Row],[Active Prevalidation Status]]="Under Prevalidation",
IF(N88="","Review",N88),"")</f>
        <v/>
      </c>
      <c r="AR88" s="40" t="str">
        <f>IF(_01towers[[#This Row],[Active Prevalidation Status]]="Under Prevalidation",
IF(O88="","Review",O88),"")</f>
        <v/>
      </c>
      <c r="AS88" s="40" t="str">
        <f>IF(_01towers[[#This Row],[Active Prevalidation Status]]="Under Prevalidation",
IF(P88="","Review",P88),"")</f>
        <v/>
      </c>
      <c r="AT88" s="40" t="str">
        <f>IF(_01towers[[#This Row],[Active Prevalidation Status]]="Under Prevalidation",
IF(Q88="","Review",Q88),"")</f>
        <v/>
      </c>
      <c r="AU88" s="40" t="str">
        <f>IF(_01towers[[#This Row],[Active Prevalidation Status]]="Under Prevalidation",
IF(R88="","Review",R88),"")</f>
        <v/>
      </c>
      <c r="AV88" s="40">
        <f>COUNTIF(_01towers[[#This Row],[SAQ_Result2]:[Community_Result2]],"OK")</f>
        <v>0</v>
      </c>
      <c r="AW88" s="1" t="str">
        <f>IF(AND(OR(_01towers[[#This Row],[Active Prevalidation Status]]="Under Prevalidation",_01towers[[#This Row],[Active Prevalidation Status]]="Prevalidated"),_01towers[[#This Row],[02tss.TSSR_From_Engineer]]&gt;0),"Submitted","")</f>
        <v/>
      </c>
      <c r="AX88" s="40" t="str">
        <f>IF(OR(_01towers[[#This Row],[Active Prevalidation Status]]="Under Prevalidation",_01towers[[#This Row],[Active Prevalidation Status]]="Prevalidated"),_01towers[[#This Row],[02tss.TSS_Result]],"")</f>
        <v/>
      </c>
      <c r="AY88" s="40" t="str">
        <f>IF(AND(_01towers[[#This Row],[Active TSS Result]]="Approved",_01towers[[#This Row],[Active Prevalidation Status]]="Prevalidated"),"In Process","")</f>
        <v/>
      </c>
      <c r="AZ88" s="40" t="str">
        <f>IF(AND(_01towers[[#This Row],[Active TSS Result]]="Approved",_01towers[[#This Row],[Active Prevalidation Status]]="Prevalidated"),_01towers[[#This Row],[10colo_app.Colo_App_Result]],"")</f>
        <v/>
      </c>
      <c r="BA88" s="40">
        <f>COUNTIF(_20work_order[05_id],_01towers[[#This Row],[05_id]])</f>
        <v>0</v>
      </c>
      <c r="BB88" s="40">
        <f>COUNTIFS(_20work_order[05_id],_01towers[[#This Row],[05_id]],_20work_order[Actual_End],"&gt;0")</f>
        <v>0</v>
      </c>
      <c r="BC88" s="40" t="str">
        <f>IF(_01towers[[#This Row],[Completed Work Orders]]&gt;0,"Work Completed",
IF(_01towers[[#This Row],[Count Work Orders]]&gt;0,"Work in Progress",""))</f>
        <v/>
      </c>
      <c r="BD8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88" s="40" t="str">
        <f>_xlfn.SWITCH(_01towers[[#This Row],[Final Colo Status full]],"Commercial Approval Requested","Under Prevalidation",_01towers[[#This Row],[Final Colo Status full]])</f>
        <v>Prevalidation Rejected</v>
      </c>
    </row>
    <row r="89" spans="1:57" hidden="1" x14ac:dyDescent="0.35">
      <c r="A89" s="40" t="s">
        <v>251</v>
      </c>
      <c r="B89" s="40" t="s">
        <v>90</v>
      </c>
      <c r="C89" s="40" t="s">
        <v>82</v>
      </c>
      <c r="D89">
        <v>6</v>
      </c>
      <c r="E89" s="40" t="s">
        <v>98</v>
      </c>
      <c r="F89">
        <v>96.198859999999996</v>
      </c>
      <c r="G89">
        <v>16.844390000000001</v>
      </c>
      <c r="H89" s="40" t="s">
        <v>53</v>
      </c>
      <c r="I89">
        <v>88</v>
      </c>
      <c r="J89" s="40" t="s">
        <v>252</v>
      </c>
      <c r="K89" s="40" t="s">
        <v>136</v>
      </c>
      <c r="L89" s="40" t="s">
        <v>74</v>
      </c>
      <c r="M89" s="40" t="s">
        <v>75</v>
      </c>
      <c r="N89" s="40"/>
      <c r="O89" s="40" t="s">
        <v>58</v>
      </c>
      <c r="P89" s="40" t="s">
        <v>57</v>
      </c>
      <c r="Q89" s="40"/>
      <c r="R89" s="40" t="s">
        <v>57</v>
      </c>
      <c r="S89">
        <v>160</v>
      </c>
      <c r="T89">
        <v>1</v>
      </c>
      <c r="U89" s="1"/>
      <c r="V89" s="1"/>
      <c r="W89" s="1"/>
      <c r="X89" s="1"/>
      <c r="Y89" s="1"/>
      <c r="Z89" s="40"/>
      <c r="AA89">
        <v>159</v>
      </c>
      <c r="AB89">
        <v>1</v>
      </c>
      <c r="AC89" s="1"/>
      <c r="AD89" s="40"/>
      <c r="AE89" s="1"/>
      <c r="AF89" s="1"/>
      <c r="AG89" s="1"/>
      <c r="AH89" s="40"/>
      <c r="AI89" s="1"/>
      <c r="AJ89" s="40">
        <f>_xlfn.MAXIFS(_01towers[02tss.Rev],_01towers[05_id],_01towers[[#This Row],[05_id]])</f>
        <v>1</v>
      </c>
      <c r="AK89" s="40" t="b">
        <f>IF(_01towers[[#This Row],[Count Rev TSS]]=_01towers[[#This Row],[02tss.Rev]],TRUE,FALSE)</f>
        <v>1</v>
      </c>
      <c r="AL89" s="40">
        <f>_xlfn.MAXIFS(_01towers[10colo_app.Rev],_01towers[05_id],_01towers[[#This Row],[05_id]])</f>
        <v>1</v>
      </c>
      <c r="AM89" s="40" t="b">
        <f>IF(_01towers[[#This Row],[Count Rev Colo App]]=_01towers[[#This Row],[10colo_app.Rev]],TRUE,FALSE)</f>
        <v>1</v>
      </c>
      <c r="AN89" s="40" t="b">
        <f>IF(AND(_01towers[[#This Row],[Test Rev Colo]]=TRUE,_01towers[[#This Row],[Test Rev TSS]]=TRUE),TRUE,FALSE)</f>
        <v>1</v>
      </c>
      <c r="AO89" s="40" t="str">
        <f>IF(_01towers[[#This Row],[Test Active]]=TRUE,_01towers[[#This Row],[Prevalidation Status]],"")</f>
        <v>Prevalidation Rejected</v>
      </c>
      <c r="AP89" s="40" t="str">
        <f>IF(_01towers[[#This Row],[Active Prevalidation Status]]="Under Prevalidation",
IF(M89="","Review",M89),"")</f>
        <v/>
      </c>
      <c r="AQ89" s="40" t="str">
        <f>IF(_01towers[[#This Row],[Active Prevalidation Status]]="Under Prevalidation",
IF(N89="","Review",N89),"")</f>
        <v/>
      </c>
      <c r="AR89" s="40" t="str">
        <f>IF(_01towers[[#This Row],[Active Prevalidation Status]]="Under Prevalidation",
IF(O89="","Review",O89),"")</f>
        <v/>
      </c>
      <c r="AS89" s="40" t="str">
        <f>IF(_01towers[[#This Row],[Active Prevalidation Status]]="Under Prevalidation",
IF(P89="","Review",P89),"")</f>
        <v/>
      </c>
      <c r="AT89" s="40" t="str">
        <f>IF(_01towers[[#This Row],[Active Prevalidation Status]]="Under Prevalidation",
IF(Q89="","Review",Q89),"")</f>
        <v/>
      </c>
      <c r="AU89" s="40" t="str">
        <f>IF(_01towers[[#This Row],[Active Prevalidation Status]]="Under Prevalidation",
IF(R89="","Review",R89),"")</f>
        <v/>
      </c>
      <c r="AV89" s="40">
        <f>COUNTIF(_01towers[[#This Row],[SAQ_Result2]:[Community_Result2]],"OK")</f>
        <v>0</v>
      </c>
      <c r="AW89" s="1" t="str">
        <f>IF(AND(OR(_01towers[[#This Row],[Active Prevalidation Status]]="Under Prevalidation",_01towers[[#This Row],[Active Prevalidation Status]]="Prevalidated"),_01towers[[#This Row],[02tss.TSSR_From_Engineer]]&gt;0),"Submitted","")</f>
        <v/>
      </c>
      <c r="AX89" s="40" t="str">
        <f>IF(OR(_01towers[[#This Row],[Active Prevalidation Status]]="Under Prevalidation",_01towers[[#This Row],[Active Prevalidation Status]]="Prevalidated"),_01towers[[#This Row],[02tss.TSS_Result]],"")</f>
        <v/>
      </c>
      <c r="AY89" s="40" t="str">
        <f>IF(AND(_01towers[[#This Row],[Active TSS Result]]="Approved",_01towers[[#This Row],[Active Prevalidation Status]]="Prevalidated"),"In Process","")</f>
        <v/>
      </c>
      <c r="AZ89" s="40" t="str">
        <f>IF(AND(_01towers[[#This Row],[Active TSS Result]]="Approved",_01towers[[#This Row],[Active Prevalidation Status]]="Prevalidated"),_01towers[[#This Row],[10colo_app.Colo_App_Result]],"")</f>
        <v/>
      </c>
      <c r="BA89" s="40">
        <f>COUNTIF(_20work_order[05_id],_01towers[[#This Row],[05_id]])</f>
        <v>0</v>
      </c>
      <c r="BB89" s="40">
        <f>COUNTIFS(_20work_order[05_id],_01towers[[#This Row],[05_id]],_20work_order[Actual_End],"&gt;0")</f>
        <v>0</v>
      </c>
      <c r="BC89" s="40" t="str">
        <f>IF(_01towers[[#This Row],[Completed Work Orders]]&gt;0,"Work Completed",
IF(_01towers[[#This Row],[Count Work Orders]]&gt;0,"Work in Progress",""))</f>
        <v/>
      </c>
      <c r="BD8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89" s="40" t="str">
        <f>_xlfn.SWITCH(_01towers[[#This Row],[Final Colo Status full]],"Commercial Approval Requested","Under Prevalidation",_01towers[[#This Row],[Final Colo Status full]])</f>
        <v>Prevalidation Rejected</v>
      </c>
    </row>
    <row r="90" spans="1:57" x14ac:dyDescent="0.35">
      <c r="A90" s="40" t="s">
        <v>253</v>
      </c>
      <c r="B90" s="40" t="s">
        <v>90</v>
      </c>
      <c r="C90" s="40" t="s">
        <v>82</v>
      </c>
      <c r="D90">
        <v>6</v>
      </c>
      <c r="E90" s="40" t="s">
        <v>98</v>
      </c>
      <c r="F90">
        <v>96.205460000000002</v>
      </c>
      <c r="G90">
        <v>16.843450000000001</v>
      </c>
      <c r="H90" s="40" t="s">
        <v>99</v>
      </c>
      <c r="I90">
        <v>89</v>
      </c>
      <c r="J90" s="40" t="s">
        <v>254</v>
      </c>
      <c r="K90" s="40" t="s">
        <v>136</v>
      </c>
      <c r="L90" s="40" t="s">
        <v>56</v>
      </c>
      <c r="M90" s="40" t="s">
        <v>57</v>
      </c>
      <c r="N90" s="40" t="s">
        <v>57</v>
      </c>
      <c r="O90" s="40" t="s">
        <v>58</v>
      </c>
      <c r="P90" s="40" t="s">
        <v>58</v>
      </c>
      <c r="Q90" s="40" t="s">
        <v>57</v>
      </c>
      <c r="R90" s="40" t="s">
        <v>57</v>
      </c>
      <c r="S90">
        <v>161</v>
      </c>
      <c r="T90">
        <v>1</v>
      </c>
      <c r="U90" s="1">
        <v>43264</v>
      </c>
      <c r="V90" s="1">
        <v>43263</v>
      </c>
      <c r="W90" s="1">
        <v>43263</v>
      </c>
      <c r="X90" s="1">
        <v>43263</v>
      </c>
      <c r="Y90" s="1"/>
      <c r="Z90" s="40" t="s">
        <v>59</v>
      </c>
      <c r="AA90">
        <v>160</v>
      </c>
      <c r="AB90">
        <v>1</v>
      </c>
      <c r="AC90" s="1"/>
      <c r="AD90" s="40"/>
      <c r="AE90" s="1"/>
      <c r="AF90" s="1"/>
      <c r="AG90" s="1"/>
      <c r="AH90" s="40"/>
      <c r="AI90" s="1"/>
      <c r="AJ90" s="40">
        <f>_xlfn.MAXIFS(_01towers[02tss.Rev],_01towers[05_id],_01towers[[#This Row],[05_id]])</f>
        <v>1</v>
      </c>
      <c r="AK90" s="40" t="b">
        <f>IF(_01towers[[#This Row],[Count Rev TSS]]=_01towers[[#This Row],[02tss.Rev]],TRUE,FALSE)</f>
        <v>1</v>
      </c>
      <c r="AL90" s="40">
        <f>_xlfn.MAXIFS(_01towers[10colo_app.Rev],_01towers[05_id],_01towers[[#This Row],[05_id]])</f>
        <v>1</v>
      </c>
      <c r="AM90" s="40" t="b">
        <f>IF(_01towers[[#This Row],[Count Rev Colo App]]=_01towers[[#This Row],[10colo_app.Rev]],TRUE,FALSE)</f>
        <v>1</v>
      </c>
      <c r="AN90" s="40" t="b">
        <f>IF(AND(_01towers[[#This Row],[Test Rev Colo]]=TRUE,_01towers[[#This Row],[Test Rev TSS]]=TRUE),TRUE,FALSE)</f>
        <v>1</v>
      </c>
      <c r="AO90" s="40" t="str">
        <f>IF(_01towers[[#This Row],[Test Active]]=TRUE,_01towers[[#This Row],[Prevalidation Status]],"")</f>
        <v>Commercial Approval Requested</v>
      </c>
      <c r="AP90" s="40" t="str">
        <f>IF(_01towers[[#This Row],[Active Prevalidation Status]]="Under Prevalidation",
IF(M90="","Review",M90),"")</f>
        <v/>
      </c>
      <c r="AQ90" s="40" t="str">
        <f>IF(_01towers[[#This Row],[Active Prevalidation Status]]="Under Prevalidation",
IF(N90="","Review",N90),"")</f>
        <v/>
      </c>
      <c r="AR90" s="40" t="str">
        <f>IF(_01towers[[#This Row],[Active Prevalidation Status]]="Under Prevalidation",
IF(O90="","Review",O90),"")</f>
        <v/>
      </c>
      <c r="AS90" s="40" t="str">
        <f>IF(_01towers[[#This Row],[Active Prevalidation Status]]="Under Prevalidation",
IF(P90="","Review",P90),"")</f>
        <v/>
      </c>
      <c r="AT90" s="40" t="str">
        <f>IF(_01towers[[#This Row],[Active Prevalidation Status]]="Under Prevalidation",
IF(Q90="","Review",Q90),"")</f>
        <v/>
      </c>
      <c r="AU90" s="40" t="str">
        <f>IF(_01towers[[#This Row],[Active Prevalidation Status]]="Under Prevalidation",
IF(R90="","Review",R90),"")</f>
        <v/>
      </c>
      <c r="AV90" s="40">
        <f>COUNTIF(_01towers[[#This Row],[SAQ_Result2]:[Community_Result2]],"OK")</f>
        <v>0</v>
      </c>
      <c r="AW90" s="1" t="str">
        <f>IF(AND(OR(_01towers[[#This Row],[Active Prevalidation Status]]="Under Prevalidation",_01towers[[#This Row],[Active Prevalidation Status]]="Prevalidated"),_01towers[[#This Row],[02tss.TSSR_From_Engineer]]&gt;0),"Submitted","")</f>
        <v/>
      </c>
      <c r="AX90" s="40" t="str">
        <f>IF(OR(_01towers[[#This Row],[Active Prevalidation Status]]="Under Prevalidation",_01towers[[#This Row],[Active Prevalidation Status]]="Prevalidated"),_01towers[[#This Row],[02tss.TSS_Result]],"")</f>
        <v/>
      </c>
      <c r="AY90" s="40" t="str">
        <f>IF(AND(_01towers[[#This Row],[Active TSS Result]]="Approved",_01towers[[#This Row],[Active Prevalidation Status]]="Prevalidated"),"In Process","")</f>
        <v/>
      </c>
      <c r="AZ90" s="40" t="str">
        <f>IF(AND(_01towers[[#This Row],[Active TSS Result]]="Approved",_01towers[[#This Row],[Active Prevalidation Status]]="Prevalidated"),_01towers[[#This Row],[10colo_app.Colo_App_Result]],"")</f>
        <v/>
      </c>
      <c r="BA90" s="40">
        <f>COUNTIF(_20work_order[05_id],_01towers[[#This Row],[05_id]])</f>
        <v>0</v>
      </c>
      <c r="BB90" s="40">
        <f>COUNTIFS(_20work_order[05_id],_01towers[[#This Row],[05_id]],_20work_order[Actual_End],"&gt;0")</f>
        <v>0</v>
      </c>
      <c r="BC90" s="40" t="str">
        <f>IF(_01towers[[#This Row],[Completed Work Orders]]&gt;0,"Work Completed",
IF(_01towers[[#This Row],[Count Work Orders]]&gt;0,"Work in Progress",""))</f>
        <v/>
      </c>
      <c r="BD9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90" s="40" t="str">
        <f>_xlfn.SWITCH(_01towers[[#This Row],[Final Colo Status full]],"Commercial Approval Requested","Under Prevalidation",_01towers[[#This Row],[Final Colo Status full]])</f>
        <v>Under Prevalidation</v>
      </c>
    </row>
    <row r="91" spans="1:57" hidden="1" x14ac:dyDescent="0.35">
      <c r="A91" s="40" t="s">
        <v>255</v>
      </c>
      <c r="B91" s="40" t="s">
        <v>90</v>
      </c>
      <c r="C91" s="40" t="s">
        <v>51</v>
      </c>
      <c r="D91">
        <v>50</v>
      </c>
      <c r="E91" s="40" t="s">
        <v>94</v>
      </c>
      <c r="F91">
        <v>97.720060000000004</v>
      </c>
      <c r="G91">
        <v>16.247440000000001</v>
      </c>
      <c r="H91" s="40" t="s">
        <v>62</v>
      </c>
      <c r="I91">
        <v>90</v>
      </c>
      <c r="J91" s="40" t="s">
        <v>256</v>
      </c>
      <c r="K91" s="40" t="s">
        <v>136</v>
      </c>
      <c r="L91" s="40" t="s">
        <v>64</v>
      </c>
      <c r="M91" s="40" t="s">
        <v>57</v>
      </c>
      <c r="N91" s="40" t="s">
        <v>57</v>
      </c>
      <c r="O91" s="40" t="s">
        <v>57</v>
      </c>
      <c r="P91" s="40" t="s">
        <v>57</v>
      </c>
      <c r="Q91" s="40" t="s">
        <v>57</v>
      </c>
      <c r="R91" s="40" t="s">
        <v>57</v>
      </c>
      <c r="S91">
        <v>113</v>
      </c>
      <c r="T91">
        <v>1</v>
      </c>
      <c r="U91" s="1">
        <v>43284</v>
      </c>
      <c r="V91" s="1">
        <v>43284</v>
      </c>
      <c r="W91" s="1">
        <v>43285</v>
      </c>
      <c r="X91" s="1">
        <v>43311</v>
      </c>
      <c r="Y91" s="1"/>
      <c r="Z91" s="40" t="s">
        <v>59</v>
      </c>
      <c r="AA91">
        <v>112</v>
      </c>
      <c r="AB91">
        <v>1</v>
      </c>
      <c r="AC91" s="1">
        <v>43311</v>
      </c>
      <c r="AD91" s="40" t="s">
        <v>570</v>
      </c>
      <c r="AE91" s="1"/>
      <c r="AF91" s="1"/>
      <c r="AG91" s="1"/>
      <c r="AH91" s="40"/>
      <c r="AI91" s="1"/>
      <c r="AJ91" s="40">
        <f>_xlfn.MAXIFS(_01towers[02tss.Rev],_01towers[05_id],_01towers[[#This Row],[05_id]])</f>
        <v>1</v>
      </c>
      <c r="AK91" s="40" t="b">
        <f>IF(_01towers[[#This Row],[Count Rev TSS]]=_01towers[[#This Row],[02tss.Rev]],TRUE,FALSE)</f>
        <v>1</v>
      </c>
      <c r="AL91" s="40">
        <f>_xlfn.MAXIFS(_01towers[10colo_app.Rev],_01towers[05_id],_01towers[[#This Row],[05_id]])</f>
        <v>1</v>
      </c>
      <c r="AM91" s="40" t="b">
        <f>IF(_01towers[[#This Row],[Count Rev Colo App]]=_01towers[[#This Row],[10colo_app.Rev]],TRUE,FALSE)</f>
        <v>1</v>
      </c>
      <c r="AN91" s="40" t="b">
        <f>IF(AND(_01towers[[#This Row],[Test Rev Colo]]=TRUE,_01towers[[#This Row],[Test Rev TSS]]=TRUE),TRUE,FALSE)</f>
        <v>1</v>
      </c>
      <c r="AO91" s="40" t="str">
        <f>IF(_01towers[[#This Row],[Test Active]]=TRUE,_01towers[[#This Row],[Prevalidation Status]],"")</f>
        <v>Prevalidated</v>
      </c>
      <c r="AP91" s="40" t="str">
        <f>IF(_01towers[[#This Row],[Active Prevalidation Status]]="Under Prevalidation",
IF(M91="","Review",M91),"")</f>
        <v/>
      </c>
      <c r="AQ91" s="40" t="str">
        <f>IF(_01towers[[#This Row],[Active Prevalidation Status]]="Under Prevalidation",
IF(N91="","Review",N91),"")</f>
        <v/>
      </c>
      <c r="AR91" s="40" t="str">
        <f>IF(_01towers[[#This Row],[Active Prevalidation Status]]="Under Prevalidation",
IF(O91="","Review",O91),"")</f>
        <v/>
      </c>
      <c r="AS91" s="40" t="str">
        <f>IF(_01towers[[#This Row],[Active Prevalidation Status]]="Under Prevalidation",
IF(P91="","Review",P91),"")</f>
        <v/>
      </c>
      <c r="AT91" s="40" t="str">
        <f>IF(_01towers[[#This Row],[Active Prevalidation Status]]="Under Prevalidation",
IF(Q91="","Review",Q91),"")</f>
        <v/>
      </c>
      <c r="AU91" s="40" t="str">
        <f>IF(_01towers[[#This Row],[Active Prevalidation Status]]="Under Prevalidation",
IF(R91="","Review",R91),"")</f>
        <v/>
      </c>
      <c r="AV91" s="40">
        <f>COUNTIF(_01towers[[#This Row],[SAQ_Result2]:[Community_Result2]],"OK")</f>
        <v>0</v>
      </c>
      <c r="AW91" s="1" t="str">
        <f>IF(AND(OR(_01towers[[#This Row],[Active Prevalidation Status]]="Under Prevalidation",_01towers[[#This Row],[Active Prevalidation Status]]="Prevalidated"),_01towers[[#This Row],[02tss.TSSR_From_Engineer]]&gt;0),"Submitted","")</f>
        <v>Submitted</v>
      </c>
      <c r="AX91" s="40" t="str">
        <f>IF(OR(_01towers[[#This Row],[Active Prevalidation Status]]="Under Prevalidation",_01towers[[#This Row],[Active Prevalidation Status]]="Prevalidated"),_01towers[[#This Row],[02tss.TSS_Result]],"")</f>
        <v>Approved</v>
      </c>
      <c r="AY91" s="40" t="str">
        <f>IF(AND(_01towers[[#This Row],[Active TSS Result]]="Approved",_01towers[[#This Row],[Active Prevalidation Status]]="Prevalidated"),"In Process","")</f>
        <v>In Process</v>
      </c>
      <c r="AZ91" s="40" t="str">
        <f>IF(AND(_01towers[[#This Row],[Active TSS Result]]="Approved",_01towers[[#This Row],[Active Prevalidation Status]]="Prevalidated"),_01towers[[#This Row],[10colo_app.Colo_App_Result]],"")</f>
        <v>NTP Received</v>
      </c>
      <c r="BA91" s="40">
        <f>COUNTIF(_20work_order[05_id],_01towers[[#This Row],[05_id]])</f>
        <v>1</v>
      </c>
      <c r="BB91" s="40">
        <f>COUNTIFS(_20work_order[05_id],_01towers[[#This Row],[05_id]],_20work_order[Actual_End],"&gt;0")</f>
        <v>1</v>
      </c>
      <c r="BC91" s="40" t="str">
        <f>IF(_01towers[[#This Row],[Completed Work Orders]]&gt;0,"Work Completed",
IF(_01towers[[#This Row],[Count Work Orders]]&gt;0,"Work in Progress",""))</f>
        <v>Work Completed</v>
      </c>
      <c r="BD9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91" s="40" t="str">
        <f>_xlfn.SWITCH(_01towers[[#This Row],[Final Colo Status full]],"Commercial Approval Requested","Under Prevalidation",_01towers[[#This Row],[Final Colo Status full]])</f>
        <v>Work Completed</v>
      </c>
    </row>
    <row r="92" spans="1:57" hidden="1" x14ac:dyDescent="0.35">
      <c r="A92" s="40" t="s">
        <v>257</v>
      </c>
      <c r="B92" s="40" t="s">
        <v>90</v>
      </c>
      <c r="C92" s="40" t="s">
        <v>51</v>
      </c>
      <c r="D92">
        <v>45</v>
      </c>
      <c r="E92" s="40" t="s">
        <v>94</v>
      </c>
      <c r="F92">
        <v>97.728729999999999</v>
      </c>
      <c r="G92">
        <v>16.252939999999999</v>
      </c>
      <c r="H92" s="40" t="s">
        <v>53</v>
      </c>
      <c r="I92">
        <v>91</v>
      </c>
      <c r="J92" s="40" t="s">
        <v>211</v>
      </c>
      <c r="K92" s="40" t="s">
        <v>136</v>
      </c>
      <c r="L92" s="40" t="s">
        <v>74</v>
      </c>
      <c r="M92" s="40" t="s">
        <v>57</v>
      </c>
      <c r="N92" s="40" t="s">
        <v>57</v>
      </c>
      <c r="O92" s="40" t="s">
        <v>57</v>
      </c>
      <c r="P92" s="40" t="s">
        <v>75</v>
      </c>
      <c r="Q92" s="40" t="s">
        <v>57</v>
      </c>
      <c r="R92" s="40" t="s">
        <v>57</v>
      </c>
      <c r="S92">
        <v>108</v>
      </c>
      <c r="T92">
        <v>1</v>
      </c>
      <c r="U92" s="1"/>
      <c r="V92" s="1"/>
      <c r="W92" s="1"/>
      <c r="X92" s="1"/>
      <c r="Y92" s="1"/>
      <c r="Z92" s="40"/>
      <c r="AA92">
        <v>107</v>
      </c>
      <c r="AB92">
        <v>1</v>
      </c>
      <c r="AC92" s="1"/>
      <c r="AD92" s="40"/>
      <c r="AE92" s="1"/>
      <c r="AF92" s="1"/>
      <c r="AG92" s="1"/>
      <c r="AH92" s="40"/>
      <c r="AI92" s="1"/>
      <c r="AJ92" s="40">
        <f>_xlfn.MAXIFS(_01towers[02tss.Rev],_01towers[05_id],_01towers[[#This Row],[05_id]])</f>
        <v>1</v>
      </c>
      <c r="AK92" s="40" t="b">
        <f>IF(_01towers[[#This Row],[Count Rev TSS]]=_01towers[[#This Row],[02tss.Rev]],TRUE,FALSE)</f>
        <v>1</v>
      </c>
      <c r="AL92" s="40">
        <f>_xlfn.MAXIFS(_01towers[10colo_app.Rev],_01towers[05_id],_01towers[[#This Row],[05_id]])</f>
        <v>1</v>
      </c>
      <c r="AM92" s="40" t="b">
        <f>IF(_01towers[[#This Row],[Count Rev Colo App]]=_01towers[[#This Row],[10colo_app.Rev]],TRUE,FALSE)</f>
        <v>1</v>
      </c>
      <c r="AN92" s="40" t="b">
        <f>IF(AND(_01towers[[#This Row],[Test Rev Colo]]=TRUE,_01towers[[#This Row],[Test Rev TSS]]=TRUE),TRUE,FALSE)</f>
        <v>1</v>
      </c>
      <c r="AO92" s="40" t="str">
        <f>IF(_01towers[[#This Row],[Test Active]]=TRUE,_01towers[[#This Row],[Prevalidation Status]],"")</f>
        <v>Prevalidation Rejected</v>
      </c>
      <c r="AP92" s="40" t="str">
        <f>IF(_01towers[[#This Row],[Active Prevalidation Status]]="Under Prevalidation",
IF(M92="","Review",M92),"")</f>
        <v/>
      </c>
      <c r="AQ92" s="40" t="str">
        <f>IF(_01towers[[#This Row],[Active Prevalidation Status]]="Under Prevalidation",
IF(N92="","Review",N92),"")</f>
        <v/>
      </c>
      <c r="AR92" s="40" t="str">
        <f>IF(_01towers[[#This Row],[Active Prevalidation Status]]="Under Prevalidation",
IF(O92="","Review",O92),"")</f>
        <v/>
      </c>
      <c r="AS92" s="40" t="str">
        <f>IF(_01towers[[#This Row],[Active Prevalidation Status]]="Under Prevalidation",
IF(P92="","Review",P92),"")</f>
        <v/>
      </c>
      <c r="AT92" s="40" t="str">
        <f>IF(_01towers[[#This Row],[Active Prevalidation Status]]="Under Prevalidation",
IF(Q92="","Review",Q92),"")</f>
        <v/>
      </c>
      <c r="AU92" s="40" t="str">
        <f>IF(_01towers[[#This Row],[Active Prevalidation Status]]="Under Prevalidation",
IF(R92="","Review",R92),"")</f>
        <v/>
      </c>
      <c r="AV92" s="40">
        <f>COUNTIF(_01towers[[#This Row],[SAQ_Result2]:[Community_Result2]],"OK")</f>
        <v>0</v>
      </c>
      <c r="AW92" s="1" t="str">
        <f>IF(AND(OR(_01towers[[#This Row],[Active Prevalidation Status]]="Under Prevalidation",_01towers[[#This Row],[Active Prevalidation Status]]="Prevalidated"),_01towers[[#This Row],[02tss.TSSR_From_Engineer]]&gt;0),"Submitted","")</f>
        <v/>
      </c>
      <c r="AX92" s="40" t="str">
        <f>IF(OR(_01towers[[#This Row],[Active Prevalidation Status]]="Under Prevalidation",_01towers[[#This Row],[Active Prevalidation Status]]="Prevalidated"),_01towers[[#This Row],[02tss.TSS_Result]],"")</f>
        <v/>
      </c>
      <c r="AY92" s="40" t="str">
        <f>IF(AND(_01towers[[#This Row],[Active TSS Result]]="Approved",_01towers[[#This Row],[Active Prevalidation Status]]="Prevalidated"),"In Process","")</f>
        <v/>
      </c>
      <c r="AZ92" s="40" t="str">
        <f>IF(AND(_01towers[[#This Row],[Active TSS Result]]="Approved",_01towers[[#This Row],[Active Prevalidation Status]]="Prevalidated"),_01towers[[#This Row],[10colo_app.Colo_App_Result]],"")</f>
        <v/>
      </c>
      <c r="BA92" s="40">
        <f>COUNTIF(_20work_order[05_id],_01towers[[#This Row],[05_id]])</f>
        <v>0</v>
      </c>
      <c r="BB92" s="40">
        <f>COUNTIFS(_20work_order[05_id],_01towers[[#This Row],[05_id]],_20work_order[Actual_End],"&gt;0")</f>
        <v>0</v>
      </c>
      <c r="BC92" s="40" t="str">
        <f>IF(_01towers[[#This Row],[Completed Work Orders]]&gt;0,"Work Completed",
IF(_01towers[[#This Row],[Count Work Orders]]&gt;0,"Work in Progress",""))</f>
        <v/>
      </c>
      <c r="BD9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92" s="40" t="str">
        <f>_xlfn.SWITCH(_01towers[[#This Row],[Final Colo Status full]],"Commercial Approval Requested","Under Prevalidation",_01towers[[#This Row],[Final Colo Status full]])</f>
        <v>Prevalidation Rejected</v>
      </c>
    </row>
    <row r="93" spans="1:57" x14ac:dyDescent="0.35">
      <c r="A93" s="40" t="s">
        <v>258</v>
      </c>
      <c r="B93" s="40" t="s">
        <v>90</v>
      </c>
      <c r="C93" s="40" t="s">
        <v>51</v>
      </c>
      <c r="D93">
        <v>35</v>
      </c>
      <c r="E93" s="40" t="s">
        <v>98</v>
      </c>
      <c r="F93">
        <v>96.175708</v>
      </c>
      <c r="G93">
        <v>16.879121999999999</v>
      </c>
      <c r="H93" s="40" t="s">
        <v>259</v>
      </c>
      <c r="I93">
        <v>92</v>
      </c>
      <c r="J93" s="40" t="s">
        <v>260</v>
      </c>
      <c r="K93" s="40" t="s">
        <v>136</v>
      </c>
      <c r="L93" s="40" t="s">
        <v>56</v>
      </c>
      <c r="M93" s="40" t="s">
        <v>57</v>
      </c>
      <c r="N93" s="40" t="s">
        <v>57</v>
      </c>
      <c r="O93" s="40" t="s">
        <v>58</v>
      </c>
      <c r="P93" s="40" t="s">
        <v>58</v>
      </c>
      <c r="Q93" s="40" t="s">
        <v>57</v>
      </c>
      <c r="R93" s="40" t="s">
        <v>57</v>
      </c>
      <c r="S93">
        <v>127</v>
      </c>
      <c r="T93">
        <v>1</v>
      </c>
      <c r="U93" s="1"/>
      <c r="V93" s="1"/>
      <c r="W93" s="1"/>
      <c r="X93" s="1"/>
      <c r="Y93" s="1"/>
      <c r="Z93" s="40"/>
      <c r="AA93">
        <v>126</v>
      </c>
      <c r="AB93">
        <v>1</v>
      </c>
      <c r="AC93" s="1"/>
      <c r="AD93" s="40"/>
      <c r="AE93" s="1"/>
      <c r="AF93" s="1"/>
      <c r="AG93" s="1"/>
      <c r="AH93" s="40"/>
      <c r="AI93" s="1"/>
      <c r="AJ93" s="40">
        <f>_xlfn.MAXIFS(_01towers[02tss.Rev],_01towers[05_id],_01towers[[#This Row],[05_id]])</f>
        <v>1</v>
      </c>
      <c r="AK93" s="40" t="b">
        <f>IF(_01towers[[#This Row],[Count Rev TSS]]=_01towers[[#This Row],[02tss.Rev]],TRUE,FALSE)</f>
        <v>1</v>
      </c>
      <c r="AL93" s="40">
        <f>_xlfn.MAXIFS(_01towers[10colo_app.Rev],_01towers[05_id],_01towers[[#This Row],[05_id]])</f>
        <v>1</v>
      </c>
      <c r="AM93" s="40" t="b">
        <f>IF(_01towers[[#This Row],[Count Rev Colo App]]=_01towers[[#This Row],[10colo_app.Rev]],TRUE,FALSE)</f>
        <v>1</v>
      </c>
      <c r="AN93" s="40" t="b">
        <f>IF(AND(_01towers[[#This Row],[Test Rev Colo]]=TRUE,_01towers[[#This Row],[Test Rev TSS]]=TRUE),TRUE,FALSE)</f>
        <v>1</v>
      </c>
      <c r="AO93" s="40" t="str">
        <f>IF(_01towers[[#This Row],[Test Active]]=TRUE,_01towers[[#This Row],[Prevalidation Status]],"")</f>
        <v>Commercial Approval Requested</v>
      </c>
      <c r="AP93" s="40" t="str">
        <f>IF(_01towers[[#This Row],[Active Prevalidation Status]]="Under Prevalidation",
IF(M93="","Review",M93),"")</f>
        <v/>
      </c>
      <c r="AQ93" s="40" t="str">
        <f>IF(_01towers[[#This Row],[Active Prevalidation Status]]="Under Prevalidation",
IF(N93="","Review",N93),"")</f>
        <v/>
      </c>
      <c r="AR93" s="40" t="str">
        <f>IF(_01towers[[#This Row],[Active Prevalidation Status]]="Under Prevalidation",
IF(O93="","Review",O93),"")</f>
        <v/>
      </c>
      <c r="AS93" s="40" t="str">
        <f>IF(_01towers[[#This Row],[Active Prevalidation Status]]="Under Prevalidation",
IF(P93="","Review",P93),"")</f>
        <v/>
      </c>
      <c r="AT93" s="40" t="str">
        <f>IF(_01towers[[#This Row],[Active Prevalidation Status]]="Under Prevalidation",
IF(Q93="","Review",Q93),"")</f>
        <v/>
      </c>
      <c r="AU93" s="40" t="str">
        <f>IF(_01towers[[#This Row],[Active Prevalidation Status]]="Under Prevalidation",
IF(R93="","Review",R93),"")</f>
        <v/>
      </c>
      <c r="AV93" s="40">
        <f>COUNTIF(_01towers[[#This Row],[SAQ_Result2]:[Community_Result2]],"OK")</f>
        <v>0</v>
      </c>
      <c r="AW93" s="1" t="str">
        <f>IF(AND(OR(_01towers[[#This Row],[Active Prevalidation Status]]="Under Prevalidation",_01towers[[#This Row],[Active Prevalidation Status]]="Prevalidated"),_01towers[[#This Row],[02tss.TSSR_From_Engineer]]&gt;0),"Submitted","")</f>
        <v/>
      </c>
      <c r="AX93" s="40" t="str">
        <f>IF(OR(_01towers[[#This Row],[Active Prevalidation Status]]="Under Prevalidation",_01towers[[#This Row],[Active Prevalidation Status]]="Prevalidated"),_01towers[[#This Row],[02tss.TSS_Result]],"")</f>
        <v/>
      </c>
      <c r="AY93" s="40" t="str">
        <f>IF(AND(_01towers[[#This Row],[Active TSS Result]]="Approved",_01towers[[#This Row],[Active Prevalidation Status]]="Prevalidated"),"In Process","")</f>
        <v/>
      </c>
      <c r="AZ93" s="40" t="str">
        <f>IF(AND(_01towers[[#This Row],[Active TSS Result]]="Approved",_01towers[[#This Row],[Active Prevalidation Status]]="Prevalidated"),_01towers[[#This Row],[10colo_app.Colo_App_Result]],"")</f>
        <v/>
      </c>
      <c r="BA93" s="40">
        <f>COUNTIF(_20work_order[05_id],_01towers[[#This Row],[05_id]])</f>
        <v>0</v>
      </c>
      <c r="BB93" s="40">
        <f>COUNTIFS(_20work_order[05_id],_01towers[[#This Row],[05_id]],_20work_order[Actual_End],"&gt;0")</f>
        <v>0</v>
      </c>
      <c r="BC93" s="40" t="str">
        <f>IF(_01towers[[#This Row],[Completed Work Orders]]&gt;0,"Work Completed",
IF(_01towers[[#This Row],[Count Work Orders]]&gt;0,"Work in Progress",""))</f>
        <v/>
      </c>
      <c r="BD9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93" s="40" t="str">
        <f>_xlfn.SWITCH(_01towers[[#This Row],[Final Colo Status full]],"Commercial Approval Requested","Under Prevalidation",_01towers[[#This Row],[Final Colo Status full]])</f>
        <v>Under Prevalidation</v>
      </c>
    </row>
    <row r="94" spans="1:57" x14ac:dyDescent="0.35">
      <c r="A94" s="40" t="s">
        <v>261</v>
      </c>
      <c r="B94" s="40" t="s">
        <v>90</v>
      </c>
      <c r="C94" s="40" t="s">
        <v>51</v>
      </c>
      <c r="D94">
        <v>35</v>
      </c>
      <c r="E94" s="40" t="s">
        <v>98</v>
      </c>
      <c r="F94">
        <v>96.220830000000007</v>
      </c>
      <c r="G94">
        <v>16.839479999999998</v>
      </c>
      <c r="H94" s="40" t="s">
        <v>259</v>
      </c>
      <c r="I94">
        <v>93</v>
      </c>
      <c r="J94" s="40" t="s">
        <v>262</v>
      </c>
      <c r="K94" s="40" t="s">
        <v>136</v>
      </c>
      <c r="L94" s="40" t="s">
        <v>56</v>
      </c>
      <c r="M94" s="40" t="s">
        <v>57</v>
      </c>
      <c r="N94" s="40" t="s">
        <v>57</v>
      </c>
      <c r="O94" s="40" t="s">
        <v>58</v>
      </c>
      <c r="P94" s="40" t="s">
        <v>58</v>
      </c>
      <c r="Q94" s="40" t="s">
        <v>57</v>
      </c>
      <c r="R94" s="40" t="s">
        <v>57</v>
      </c>
      <c r="S94">
        <v>162</v>
      </c>
      <c r="T94">
        <v>1</v>
      </c>
      <c r="U94" s="1">
        <v>43266</v>
      </c>
      <c r="V94" s="1">
        <v>43263</v>
      </c>
      <c r="W94" s="1">
        <v>43263</v>
      </c>
      <c r="X94" s="1">
        <v>43263</v>
      </c>
      <c r="Y94" s="1"/>
      <c r="Z94" s="40" t="s">
        <v>59</v>
      </c>
      <c r="AA94">
        <v>161</v>
      </c>
      <c r="AB94">
        <v>1</v>
      </c>
      <c r="AC94" s="1"/>
      <c r="AD94" s="40"/>
      <c r="AE94" s="1"/>
      <c r="AF94" s="1"/>
      <c r="AG94" s="1"/>
      <c r="AH94" s="40"/>
      <c r="AI94" s="1"/>
      <c r="AJ94" s="40">
        <f>_xlfn.MAXIFS(_01towers[02tss.Rev],_01towers[05_id],_01towers[[#This Row],[05_id]])</f>
        <v>1</v>
      </c>
      <c r="AK94" s="40" t="b">
        <f>IF(_01towers[[#This Row],[Count Rev TSS]]=_01towers[[#This Row],[02tss.Rev]],TRUE,FALSE)</f>
        <v>1</v>
      </c>
      <c r="AL94" s="40">
        <f>_xlfn.MAXIFS(_01towers[10colo_app.Rev],_01towers[05_id],_01towers[[#This Row],[05_id]])</f>
        <v>1</v>
      </c>
      <c r="AM94" s="40" t="b">
        <f>IF(_01towers[[#This Row],[Count Rev Colo App]]=_01towers[[#This Row],[10colo_app.Rev]],TRUE,FALSE)</f>
        <v>1</v>
      </c>
      <c r="AN94" s="40" t="b">
        <f>IF(AND(_01towers[[#This Row],[Test Rev Colo]]=TRUE,_01towers[[#This Row],[Test Rev TSS]]=TRUE),TRUE,FALSE)</f>
        <v>1</v>
      </c>
      <c r="AO94" s="40" t="str">
        <f>IF(_01towers[[#This Row],[Test Active]]=TRUE,_01towers[[#This Row],[Prevalidation Status]],"")</f>
        <v>Commercial Approval Requested</v>
      </c>
      <c r="AP94" s="40" t="str">
        <f>IF(_01towers[[#This Row],[Active Prevalidation Status]]="Under Prevalidation",
IF(M94="","Review",M94),"")</f>
        <v/>
      </c>
      <c r="AQ94" s="40" t="str">
        <f>IF(_01towers[[#This Row],[Active Prevalidation Status]]="Under Prevalidation",
IF(N94="","Review",N94),"")</f>
        <v/>
      </c>
      <c r="AR94" s="40" t="str">
        <f>IF(_01towers[[#This Row],[Active Prevalidation Status]]="Under Prevalidation",
IF(O94="","Review",O94),"")</f>
        <v/>
      </c>
      <c r="AS94" s="40" t="str">
        <f>IF(_01towers[[#This Row],[Active Prevalidation Status]]="Under Prevalidation",
IF(P94="","Review",P94),"")</f>
        <v/>
      </c>
      <c r="AT94" s="40" t="str">
        <f>IF(_01towers[[#This Row],[Active Prevalidation Status]]="Under Prevalidation",
IF(Q94="","Review",Q94),"")</f>
        <v/>
      </c>
      <c r="AU94" s="40" t="str">
        <f>IF(_01towers[[#This Row],[Active Prevalidation Status]]="Under Prevalidation",
IF(R94="","Review",R94),"")</f>
        <v/>
      </c>
      <c r="AV94" s="40">
        <f>COUNTIF(_01towers[[#This Row],[SAQ_Result2]:[Community_Result2]],"OK")</f>
        <v>0</v>
      </c>
      <c r="AW94" s="1" t="str">
        <f>IF(AND(OR(_01towers[[#This Row],[Active Prevalidation Status]]="Under Prevalidation",_01towers[[#This Row],[Active Prevalidation Status]]="Prevalidated"),_01towers[[#This Row],[02tss.TSSR_From_Engineer]]&gt;0),"Submitted","")</f>
        <v/>
      </c>
      <c r="AX94" s="40" t="str">
        <f>IF(OR(_01towers[[#This Row],[Active Prevalidation Status]]="Under Prevalidation",_01towers[[#This Row],[Active Prevalidation Status]]="Prevalidated"),_01towers[[#This Row],[02tss.TSS_Result]],"")</f>
        <v/>
      </c>
      <c r="AY94" s="40" t="str">
        <f>IF(AND(_01towers[[#This Row],[Active TSS Result]]="Approved",_01towers[[#This Row],[Active Prevalidation Status]]="Prevalidated"),"In Process","")</f>
        <v/>
      </c>
      <c r="AZ94" s="40" t="str">
        <f>IF(AND(_01towers[[#This Row],[Active TSS Result]]="Approved",_01towers[[#This Row],[Active Prevalidation Status]]="Prevalidated"),_01towers[[#This Row],[10colo_app.Colo_App_Result]],"")</f>
        <v/>
      </c>
      <c r="BA94" s="40">
        <f>COUNTIF(_20work_order[05_id],_01towers[[#This Row],[05_id]])</f>
        <v>0</v>
      </c>
      <c r="BB94" s="40">
        <f>COUNTIFS(_20work_order[05_id],_01towers[[#This Row],[05_id]],_20work_order[Actual_End],"&gt;0")</f>
        <v>0</v>
      </c>
      <c r="BC94" s="40" t="str">
        <f>IF(_01towers[[#This Row],[Completed Work Orders]]&gt;0,"Work Completed",
IF(_01towers[[#This Row],[Count Work Orders]]&gt;0,"Work in Progress",""))</f>
        <v/>
      </c>
      <c r="BD9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94" s="40" t="str">
        <f>_xlfn.SWITCH(_01towers[[#This Row],[Final Colo Status full]],"Commercial Approval Requested","Under Prevalidation",_01towers[[#This Row],[Final Colo Status full]])</f>
        <v>Under Prevalidation</v>
      </c>
    </row>
    <row r="95" spans="1:57" hidden="1" x14ac:dyDescent="0.35">
      <c r="A95" s="40" t="s">
        <v>263</v>
      </c>
      <c r="B95" s="40" t="s">
        <v>90</v>
      </c>
      <c r="C95" s="40" t="s">
        <v>264</v>
      </c>
      <c r="D95">
        <v>30</v>
      </c>
      <c r="E95" s="40" t="s">
        <v>98</v>
      </c>
      <c r="F95">
        <v>96.117549999999994</v>
      </c>
      <c r="G95">
        <v>16.893469</v>
      </c>
      <c r="H95" s="40" t="s">
        <v>265</v>
      </c>
      <c r="I95">
        <v>94</v>
      </c>
      <c r="J95" s="40" t="s">
        <v>211</v>
      </c>
      <c r="K95" s="40" t="s">
        <v>136</v>
      </c>
      <c r="L95" s="40" t="s">
        <v>74</v>
      </c>
      <c r="M95" s="40" t="s">
        <v>75</v>
      </c>
      <c r="N95" s="40"/>
      <c r="O95" s="40"/>
      <c r="P95" s="40" t="s">
        <v>75</v>
      </c>
      <c r="Q95" s="40"/>
      <c r="R95" s="40" t="s">
        <v>57</v>
      </c>
      <c r="S95">
        <v>174</v>
      </c>
      <c r="T95">
        <v>1</v>
      </c>
      <c r="U95" s="1"/>
      <c r="V95" s="1"/>
      <c r="W95" s="1"/>
      <c r="X95" s="1"/>
      <c r="Y95" s="1"/>
      <c r="Z95" s="40"/>
      <c r="AA95">
        <v>173</v>
      </c>
      <c r="AB95">
        <v>1</v>
      </c>
      <c r="AC95" s="1"/>
      <c r="AD95" s="40"/>
      <c r="AE95" s="1"/>
      <c r="AF95" s="1"/>
      <c r="AG95" s="1"/>
      <c r="AH95" s="40"/>
      <c r="AI95" s="1"/>
      <c r="AJ95" s="40">
        <f>_xlfn.MAXIFS(_01towers[02tss.Rev],_01towers[05_id],_01towers[[#This Row],[05_id]])</f>
        <v>1</v>
      </c>
      <c r="AK95" s="40" t="b">
        <f>IF(_01towers[[#This Row],[Count Rev TSS]]=_01towers[[#This Row],[02tss.Rev]],TRUE,FALSE)</f>
        <v>1</v>
      </c>
      <c r="AL95" s="40">
        <f>_xlfn.MAXIFS(_01towers[10colo_app.Rev],_01towers[05_id],_01towers[[#This Row],[05_id]])</f>
        <v>1</v>
      </c>
      <c r="AM95" s="40" t="b">
        <f>IF(_01towers[[#This Row],[Count Rev Colo App]]=_01towers[[#This Row],[10colo_app.Rev]],TRUE,FALSE)</f>
        <v>1</v>
      </c>
      <c r="AN95" s="40" t="b">
        <f>IF(AND(_01towers[[#This Row],[Test Rev Colo]]=TRUE,_01towers[[#This Row],[Test Rev TSS]]=TRUE),TRUE,FALSE)</f>
        <v>1</v>
      </c>
      <c r="AO95" s="40" t="str">
        <f>IF(_01towers[[#This Row],[Test Active]]=TRUE,_01towers[[#This Row],[Prevalidation Status]],"")</f>
        <v>Prevalidation Rejected</v>
      </c>
      <c r="AP95" s="40" t="str">
        <f>IF(_01towers[[#This Row],[Active Prevalidation Status]]="Under Prevalidation",
IF(M95="","Review",M95),"")</f>
        <v/>
      </c>
      <c r="AQ95" s="40" t="str">
        <f>IF(_01towers[[#This Row],[Active Prevalidation Status]]="Under Prevalidation",
IF(N95="","Review",N95),"")</f>
        <v/>
      </c>
      <c r="AR95" s="40" t="str">
        <f>IF(_01towers[[#This Row],[Active Prevalidation Status]]="Under Prevalidation",
IF(O95="","Review",O95),"")</f>
        <v/>
      </c>
      <c r="AS95" s="40" t="str">
        <f>IF(_01towers[[#This Row],[Active Prevalidation Status]]="Under Prevalidation",
IF(P95="","Review",P95),"")</f>
        <v/>
      </c>
      <c r="AT95" s="40" t="str">
        <f>IF(_01towers[[#This Row],[Active Prevalidation Status]]="Under Prevalidation",
IF(Q95="","Review",Q95),"")</f>
        <v/>
      </c>
      <c r="AU95" s="40" t="str">
        <f>IF(_01towers[[#This Row],[Active Prevalidation Status]]="Under Prevalidation",
IF(R95="","Review",R95),"")</f>
        <v/>
      </c>
      <c r="AV95" s="40">
        <f>COUNTIF(_01towers[[#This Row],[SAQ_Result2]:[Community_Result2]],"OK")</f>
        <v>0</v>
      </c>
      <c r="AW95" s="1" t="str">
        <f>IF(AND(OR(_01towers[[#This Row],[Active Prevalidation Status]]="Under Prevalidation",_01towers[[#This Row],[Active Prevalidation Status]]="Prevalidated"),_01towers[[#This Row],[02tss.TSSR_From_Engineer]]&gt;0),"Submitted","")</f>
        <v/>
      </c>
      <c r="AX95" s="40" t="str">
        <f>IF(OR(_01towers[[#This Row],[Active Prevalidation Status]]="Under Prevalidation",_01towers[[#This Row],[Active Prevalidation Status]]="Prevalidated"),_01towers[[#This Row],[02tss.TSS_Result]],"")</f>
        <v/>
      </c>
      <c r="AY95" s="40" t="str">
        <f>IF(AND(_01towers[[#This Row],[Active TSS Result]]="Approved",_01towers[[#This Row],[Active Prevalidation Status]]="Prevalidated"),"In Process","")</f>
        <v/>
      </c>
      <c r="AZ95" s="40" t="str">
        <f>IF(AND(_01towers[[#This Row],[Active TSS Result]]="Approved",_01towers[[#This Row],[Active Prevalidation Status]]="Prevalidated"),_01towers[[#This Row],[10colo_app.Colo_App_Result]],"")</f>
        <v/>
      </c>
      <c r="BA95" s="40">
        <f>COUNTIF(_20work_order[05_id],_01towers[[#This Row],[05_id]])</f>
        <v>0</v>
      </c>
      <c r="BB95" s="40">
        <f>COUNTIFS(_20work_order[05_id],_01towers[[#This Row],[05_id]],_20work_order[Actual_End],"&gt;0")</f>
        <v>0</v>
      </c>
      <c r="BC95" s="40" t="str">
        <f>IF(_01towers[[#This Row],[Completed Work Orders]]&gt;0,"Work Completed",
IF(_01towers[[#This Row],[Count Work Orders]]&gt;0,"Work in Progress",""))</f>
        <v/>
      </c>
      <c r="BD9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95" s="40" t="str">
        <f>_xlfn.SWITCH(_01towers[[#This Row],[Final Colo Status full]],"Commercial Approval Requested","Under Prevalidation",_01towers[[#This Row],[Final Colo Status full]])</f>
        <v>Prevalidation Rejected</v>
      </c>
    </row>
    <row r="96" spans="1:57" hidden="1" x14ac:dyDescent="0.35">
      <c r="A96" s="40" t="s">
        <v>266</v>
      </c>
      <c r="B96" s="40" t="s">
        <v>90</v>
      </c>
      <c r="C96" s="40" t="s">
        <v>51</v>
      </c>
      <c r="D96">
        <v>35</v>
      </c>
      <c r="E96" s="40" t="s">
        <v>98</v>
      </c>
      <c r="F96">
        <v>96.218909999999994</v>
      </c>
      <c r="G96">
        <v>16.886939999999999</v>
      </c>
      <c r="H96" s="40" t="s">
        <v>143</v>
      </c>
      <c r="I96">
        <v>95</v>
      </c>
      <c r="J96" s="40" t="s">
        <v>267</v>
      </c>
      <c r="K96" s="40" t="s">
        <v>136</v>
      </c>
      <c r="L96" s="40" t="s">
        <v>74</v>
      </c>
      <c r="M96" s="40" t="s">
        <v>75</v>
      </c>
      <c r="N96" s="40"/>
      <c r="O96" s="40" t="s">
        <v>57</v>
      </c>
      <c r="P96" s="40" t="s">
        <v>57</v>
      </c>
      <c r="Q96" s="40"/>
      <c r="R96" s="40" t="s">
        <v>75</v>
      </c>
      <c r="S96">
        <v>125</v>
      </c>
      <c r="T96">
        <v>1</v>
      </c>
      <c r="U96" s="1"/>
      <c r="V96" s="1"/>
      <c r="W96" s="1"/>
      <c r="X96" s="1"/>
      <c r="Y96" s="1"/>
      <c r="Z96" s="40"/>
      <c r="AA96">
        <v>124</v>
      </c>
      <c r="AB96">
        <v>1</v>
      </c>
      <c r="AC96" s="1"/>
      <c r="AD96" s="40"/>
      <c r="AE96" s="1"/>
      <c r="AF96" s="1"/>
      <c r="AG96" s="1"/>
      <c r="AH96" s="40"/>
      <c r="AI96" s="1"/>
      <c r="AJ96" s="40">
        <f>_xlfn.MAXIFS(_01towers[02tss.Rev],_01towers[05_id],_01towers[[#This Row],[05_id]])</f>
        <v>1</v>
      </c>
      <c r="AK96" s="40" t="b">
        <f>IF(_01towers[[#This Row],[Count Rev TSS]]=_01towers[[#This Row],[02tss.Rev]],TRUE,FALSE)</f>
        <v>1</v>
      </c>
      <c r="AL96" s="40">
        <f>_xlfn.MAXIFS(_01towers[10colo_app.Rev],_01towers[05_id],_01towers[[#This Row],[05_id]])</f>
        <v>1</v>
      </c>
      <c r="AM96" s="40" t="b">
        <f>IF(_01towers[[#This Row],[Count Rev Colo App]]=_01towers[[#This Row],[10colo_app.Rev]],TRUE,FALSE)</f>
        <v>1</v>
      </c>
      <c r="AN96" s="40" t="b">
        <f>IF(AND(_01towers[[#This Row],[Test Rev Colo]]=TRUE,_01towers[[#This Row],[Test Rev TSS]]=TRUE),TRUE,FALSE)</f>
        <v>1</v>
      </c>
      <c r="AO96" s="40" t="str">
        <f>IF(_01towers[[#This Row],[Test Active]]=TRUE,_01towers[[#This Row],[Prevalidation Status]],"")</f>
        <v>Prevalidation Rejected</v>
      </c>
      <c r="AP96" s="40" t="str">
        <f>IF(_01towers[[#This Row],[Active Prevalidation Status]]="Under Prevalidation",
IF(M96="","Review",M96),"")</f>
        <v/>
      </c>
      <c r="AQ96" s="40" t="str">
        <f>IF(_01towers[[#This Row],[Active Prevalidation Status]]="Under Prevalidation",
IF(N96="","Review",N96),"")</f>
        <v/>
      </c>
      <c r="AR96" s="40" t="str">
        <f>IF(_01towers[[#This Row],[Active Prevalidation Status]]="Under Prevalidation",
IF(O96="","Review",O96),"")</f>
        <v/>
      </c>
      <c r="AS96" s="40" t="str">
        <f>IF(_01towers[[#This Row],[Active Prevalidation Status]]="Under Prevalidation",
IF(P96="","Review",P96),"")</f>
        <v/>
      </c>
      <c r="AT96" s="40" t="str">
        <f>IF(_01towers[[#This Row],[Active Prevalidation Status]]="Under Prevalidation",
IF(Q96="","Review",Q96),"")</f>
        <v/>
      </c>
      <c r="AU96" s="40" t="str">
        <f>IF(_01towers[[#This Row],[Active Prevalidation Status]]="Under Prevalidation",
IF(R96="","Review",R96),"")</f>
        <v/>
      </c>
      <c r="AV96" s="40">
        <f>COUNTIF(_01towers[[#This Row],[SAQ_Result2]:[Community_Result2]],"OK")</f>
        <v>0</v>
      </c>
      <c r="AW96" s="1" t="str">
        <f>IF(AND(OR(_01towers[[#This Row],[Active Prevalidation Status]]="Under Prevalidation",_01towers[[#This Row],[Active Prevalidation Status]]="Prevalidated"),_01towers[[#This Row],[02tss.TSSR_From_Engineer]]&gt;0),"Submitted","")</f>
        <v/>
      </c>
      <c r="AX96" s="40" t="str">
        <f>IF(OR(_01towers[[#This Row],[Active Prevalidation Status]]="Under Prevalidation",_01towers[[#This Row],[Active Prevalidation Status]]="Prevalidated"),_01towers[[#This Row],[02tss.TSS_Result]],"")</f>
        <v/>
      </c>
      <c r="AY96" s="40" t="str">
        <f>IF(AND(_01towers[[#This Row],[Active TSS Result]]="Approved",_01towers[[#This Row],[Active Prevalidation Status]]="Prevalidated"),"In Process","")</f>
        <v/>
      </c>
      <c r="AZ96" s="40" t="str">
        <f>IF(AND(_01towers[[#This Row],[Active TSS Result]]="Approved",_01towers[[#This Row],[Active Prevalidation Status]]="Prevalidated"),_01towers[[#This Row],[10colo_app.Colo_App_Result]],"")</f>
        <v/>
      </c>
      <c r="BA96" s="40">
        <f>COUNTIF(_20work_order[05_id],_01towers[[#This Row],[05_id]])</f>
        <v>0</v>
      </c>
      <c r="BB96" s="40">
        <f>COUNTIFS(_20work_order[05_id],_01towers[[#This Row],[05_id]],_20work_order[Actual_End],"&gt;0")</f>
        <v>0</v>
      </c>
      <c r="BC96" s="40" t="str">
        <f>IF(_01towers[[#This Row],[Completed Work Orders]]&gt;0,"Work Completed",
IF(_01towers[[#This Row],[Count Work Orders]]&gt;0,"Work in Progress",""))</f>
        <v/>
      </c>
      <c r="BD9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96" s="40" t="str">
        <f>_xlfn.SWITCH(_01towers[[#This Row],[Final Colo Status full]],"Commercial Approval Requested","Under Prevalidation",_01towers[[#This Row],[Final Colo Status full]])</f>
        <v>Prevalidation Rejected</v>
      </c>
    </row>
    <row r="97" spans="1:57" x14ac:dyDescent="0.35">
      <c r="A97" s="40" t="s">
        <v>268</v>
      </c>
      <c r="B97" s="40" t="s">
        <v>90</v>
      </c>
      <c r="C97" s="40" t="s">
        <v>51</v>
      </c>
      <c r="D97">
        <v>35</v>
      </c>
      <c r="E97" s="40" t="s">
        <v>98</v>
      </c>
      <c r="F97">
        <v>96.224770000000007</v>
      </c>
      <c r="G97">
        <v>16.877269999999999</v>
      </c>
      <c r="H97" s="40" t="s">
        <v>269</v>
      </c>
      <c r="I97">
        <v>96</v>
      </c>
      <c r="J97" s="40" t="s">
        <v>270</v>
      </c>
      <c r="K97" s="40" t="s">
        <v>136</v>
      </c>
      <c r="L97" s="40" t="s">
        <v>56</v>
      </c>
      <c r="M97" s="40" t="s">
        <v>57</v>
      </c>
      <c r="N97" s="40" t="s">
        <v>57</v>
      </c>
      <c r="O97" s="40" t="s">
        <v>58</v>
      </c>
      <c r="P97" s="40" t="s">
        <v>58</v>
      </c>
      <c r="Q97" s="40" t="s">
        <v>57</v>
      </c>
      <c r="R97" s="40" t="s">
        <v>57</v>
      </c>
      <c r="S97">
        <v>128</v>
      </c>
      <c r="T97">
        <v>1</v>
      </c>
      <c r="U97" s="1">
        <v>43265</v>
      </c>
      <c r="V97" s="1">
        <v>43263</v>
      </c>
      <c r="W97" s="1">
        <v>43263</v>
      </c>
      <c r="X97" s="1">
        <v>43263</v>
      </c>
      <c r="Y97" s="1"/>
      <c r="Z97" s="40" t="s">
        <v>59</v>
      </c>
      <c r="AA97">
        <v>127</v>
      </c>
      <c r="AB97">
        <v>1</v>
      </c>
      <c r="AC97" s="1"/>
      <c r="AD97" s="40"/>
      <c r="AE97" s="1"/>
      <c r="AF97" s="1"/>
      <c r="AG97" s="1"/>
      <c r="AH97" s="40"/>
      <c r="AI97" s="1"/>
      <c r="AJ97" s="40">
        <f>_xlfn.MAXIFS(_01towers[02tss.Rev],_01towers[05_id],_01towers[[#This Row],[05_id]])</f>
        <v>1</v>
      </c>
      <c r="AK97" s="40" t="b">
        <f>IF(_01towers[[#This Row],[Count Rev TSS]]=_01towers[[#This Row],[02tss.Rev]],TRUE,FALSE)</f>
        <v>1</v>
      </c>
      <c r="AL97" s="40">
        <f>_xlfn.MAXIFS(_01towers[10colo_app.Rev],_01towers[05_id],_01towers[[#This Row],[05_id]])</f>
        <v>1</v>
      </c>
      <c r="AM97" s="40" t="b">
        <f>IF(_01towers[[#This Row],[Count Rev Colo App]]=_01towers[[#This Row],[10colo_app.Rev]],TRUE,FALSE)</f>
        <v>1</v>
      </c>
      <c r="AN97" s="40" t="b">
        <f>IF(AND(_01towers[[#This Row],[Test Rev Colo]]=TRUE,_01towers[[#This Row],[Test Rev TSS]]=TRUE),TRUE,FALSE)</f>
        <v>1</v>
      </c>
      <c r="AO97" s="40" t="str">
        <f>IF(_01towers[[#This Row],[Test Active]]=TRUE,_01towers[[#This Row],[Prevalidation Status]],"")</f>
        <v>Commercial Approval Requested</v>
      </c>
      <c r="AP97" s="40" t="str">
        <f>IF(_01towers[[#This Row],[Active Prevalidation Status]]="Under Prevalidation",
IF(M97="","Review",M97),"")</f>
        <v/>
      </c>
      <c r="AQ97" s="40" t="str">
        <f>IF(_01towers[[#This Row],[Active Prevalidation Status]]="Under Prevalidation",
IF(N97="","Review",N97),"")</f>
        <v/>
      </c>
      <c r="AR97" s="40" t="str">
        <f>IF(_01towers[[#This Row],[Active Prevalidation Status]]="Under Prevalidation",
IF(O97="","Review",O97),"")</f>
        <v/>
      </c>
      <c r="AS97" s="40" t="str">
        <f>IF(_01towers[[#This Row],[Active Prevalidation Status]]="Under Prevalidation",
IF(P97="","Review",P97),"")</f>
        <v/>
      </c>
      <c r="AT97" s="40" t="str">
        <f>IF(_01towers[[#This Row],[Active Prevalidation Status]]="Under Prevalidation",
IF(Q97="","Review",Q97),"")</f>
        <v/>
      </c>
      <c r="AU97" s="40" t="str">
        <f>IF(_01towers[[#This Row],[Active Prevalidation Status]]="Under Prevalidation",
IF(R97="","Review",R97),"")</f>
        <v/>
      </c>
      <c r="AV97" s="40">
        <f>COUNTIF(_01towers[[#This Row],[SAQ_Result2]:[Community_Result2]],"OK")</f>
        <v>0</v>
      </c>
      <c r="AW97" s="1" t="str">
        <f>IF(AND(OR(_01towers[[#This Row],[Active Prevalidation Status]]="Under Prevalidation",_01towers[[#This Row],[Active Prevalidation Status]]="Prevalidated"),_01towers[[#This Row],[02tss.TSSR_From_Engineer]]&gt;0),"Submitted","")</f>
        <v/>
      </c>
      <c r="AX97" s="40" t="str">
        <f>IF(OR(_01towers[[#This Row],[Active Prevalidation Status]]="Under Prevalidation",_01towers[[#This Row],[Active Prevalidation Status]]="Prevalidated"),_01towers[[#This Row],[02tss.TSS_Result]],"")</f>
        <v/>
      </c>
      <c r="AY97" s="40" t="str">
        <f>IF(AND(_01towers[[#This Row],[Active TSS Result]]="Approved",_01towers[[#This Row],[Active Prevalidation Status]]="Prevalidated"),"In Process","")</f>
        <v/>
      </c>
      <c r="AZ97" s="40" t="str">
        <f>IF(AND(_01towers[[#This Row],[Active TSS Result]]="Approved",_01towers[[#This Row],[Active Prevalidation Status]]="Prevalidated"),_01towers[[#This Row],[10colo_app.Colo_App_Result]],"")</f>
        <v/>
      </c>
      <c r="BA97" s="40">
        <f>COUNTIF(_20work_order[05_id],_01towers[[#This Row],[05_id]])</f>
        <v>0</v>
      </c>
      <c r="BB97" s="40">
        <f>COUNTIFS(_20work_order[05_id],_01towers[[#This Row],[05_id]],_20work_order[Actual_End],"&gt;0")</f>
        <v>0</v>
      </c>
      <c r="BC97" s="40" t="str">
        <f>IF(_01towers[[#This Row],[Completed Work Orders]]&gt;0,"Work Completed",
IF(_01towers[[#This Row],[Count Work Orders]]&gt;0,"Work in Progress",""))</f>
        <v/>
      </c>
      <c r="BD9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97" s="40" t="str">
        <f>_xlfn.SWITCH(_01towers[[#This Row],[Final Colo Status full]],"Commercial Approval Requested","Under Prevalidation",_01towers[[#This Row],[Final Colo Status full]])</f>
        <v>Under Prevalidation</v>
      </c>
    </row>
    <row r="98" spans="1:57" x14ac:dyDescent="0.35">
      <c r="A98" s="40" t="s">
        <v>271</v>
      </c>
      <c r="B98" s="40" t="s">
        <v>90</v>
      </c>
      <c r="C98" s="40" t="s">
        <v>82</v>
      </c>
      <c r="D98">
        <v>6</v>
      </c>
      <c r="E98" s="40" t="s">
        <v>98</v>
      </c>
      <c r="F98">
        <v>96.202629999999999</v>
      </c>
      <c r="G98">
        <v>16.90221</v>
      </c>
      <c r="H98" s="40" t="s">
        <v>53</v>
      </c>
      <c r="I98">
        <v>97</v>
      </c>
      <c r="J98" s="40" t="s">
        <v>602</v>
      </c>
      <c r="K98" s="40" t="s">
        <v>136</v>
      </c>
      <c r="L98" s="40" t="s">
        <v>56</v>
      </c>
      <c r="M98" s="40" t="s">
        <v>57</v>
      </c>
      <c r="N98" s="40" t="s">
        <v>57</v>
      </c>
      <c r="O98" s="40" t="s">
        <v>58</v>
      </c>
      <c r="P98" s="40" t="s">
        <v>58</v>
      </c>
      <c r="Q98" s="40" t="s">
        <v>57</v>
      </c>
      <c r="R98" s="40" t="s">
        <v>57</v>
      </c>
      <c r="S98">
        <v>178</v>
      </c>
      <c r="T98">
        <v>1</v>
      </c>
      <c r="U98" s="1">
        <v>43265</v>
      </c>
      <c r="V98" s="1">
        <v>43265</v>
      </c>
      <c r="W98" s="1">
        <v>43265</v>
      </c>
      <c r="X98" s="1">
        <v>43265</v>
      </c>
      <c r="Y98" s="1"/>
      <c r="Z98" s="40" t="s">
        <v>59</v>
      </c>
      <c r="AA98">
        <v>177</v>
      </c>
      <c r="AB98">
        <v>1</v>
      </c>
      <c r="AC98" s="1"/>
      <c r="AD98" s="40"/>
      <c r="AE98" s="1"/>
      <c r="AF98" s="1"/>
      <c r="AG98" s="1"/>
      <c r="AH98" s="40"/>
      <c r="AI98" s="1"/>
      <c r="AJ98" s="40">
        <f>_xlfn.MAXIFS(_01towers[02tss.Rev],_01towers[05_id],_01towers[[#This Row],[05_id]])</f>
        <v>1</v>
      </c>
      <c r="AK98" s="40" t="b">
        <f>IF(_01towers[[#This Row],[Count Rev TSS]]=_01towers[[#This Row],[02tss.Rev]],TRUE,FALSE)</f>
        <v>1</v>
      </c>
      <c r="AL98" s="40">
        <f>_xlfn.MAXIFS(_01towers[10colo_app.Rev],_01towers[05_id],_01towers[[#This Row],[05_id]])</f>
        <v>1</v>
      </c>
      <c r="AM98" s="40" t="b">
        <f>IF(_01towers[[#This Row],[Count Rev Colo App]]=_01towers[[#This Row],[10colo_app.Rev]],TRUE,FALSE)</f>
        <v>1</v>
      </c>
      <c r="AN98" s="40" t="b">
        <f>IF(AND(_01towers[[#This Row],[Test Rev Colo]]=TRUE,_01towers[[#This Row],[Test Rev TSS]]=TRUE),TRUE,FALSE)</f>
        <v>1</v>
      </c>
      <c r="AO98" s="40" t="str">
        <f>IF(_01towers[[#This Row],[Test Active]]=TRUE,_01towers[[#This Row],[Prevalidation Status]],"")</f>
        <v>Commercial Approval Requested</v>
      </c>
      <c r="AP98" s="40" t="str">
        <f>IF(_01towers[[#This Row],[Active Prevalidation Status]]="Under Prevalidation",
IF(M98="","Review",M98),"")</f>
        <v/>
      </c>
      <c r="AQ98" s="40" t="str">
        <f>IF(_01towers[[#This Row],[Active Prevalidation Status]]="Under Prevalidation",
IF(N98="","Review",N98),"")</f>
        <v/>
      </c>
      <c r="AR98" s="40" t="str">
        <f>IF(_01towers[[#This Row],[Active Prevalidation Status]]="Under Prevalidation",
IF(O98="","Review",O98),"")</f>
        <v/>
      </c>
      <c r="AS98" s="40" t="str">
        <f>IF(_01towers[[#This Row],[Active Prevalidation Status]]="Under Prevalidation",
IF(P98="","Review",P98),"")</f>
        <v/>
      </c>
      <c r="AT98" s="40" t="str">
        <f>IF(_01towers[[#This Row],[Active Prevalidation Status]]="Under Prevalidation",
IF(Q98="","Review",Q98),"")</f>
        <v/>
      </c>
      <c r="AU98" s="40" t="str">
        <f>IF(_01towers[[#This Row],[Active Prevalidation Status]]="Under Prevalidation",
IF(R98="","Review",R98),"")</f>
        <v/>
      </c>
      <c r="AV98" s="40">
        <f>COUNTIF(_01towers[[#This Row],[SAQ_Result2]:[Community_Result2]],"OK")</f>
        <v>0</v>
      </c>
      <c r="AW98" s="1" t="str">
        <f>IF(AND(OR(_01towers[[#This Row],[Active Prevalidation Status]]="Under Prevalidation",_01towers[[#This Row],[Active Prevalidation Status]]="Prevalidated"),_01towers[[#This Row],[02tss.TSSR_From_Engineer]]&gt;0),"Submitted","")</f>
        <v/>
      </c>
      <c r="AX98" s="40" t="str">
        <f>IF(OR(_01towers[[#This Row],[Active Prevalidation Status]]="Under Prevalidation",_01towers[[#This Row],[Active Prevalidation Status]]="Prevalidated"),_01towers[[#This Row],[02tss.TSS_Result]],"")</f>
        <v/>
      </c>
      <c r="AY98" s="40" t="str">
        <f>IF(AND(_01towers[[#This Row],[Active TSS Result]]="Approved",_01towers[[#This Row],[Active Prevalidation Status]]="Prevalidated"),"In Process","")</f>
        <v/>
      </c>
      <c r="AZ98" s="40" t="str">
        <f>IF(AND(_01towers[[#This Row],[Active TSS Result]]="Approved",_01towers[[#This Row],[Active Prevalidation Status]]="Prevalidated"),_01towers[[#This Row],[10colo_app.Colo_App_Result]],"")</f>
        <v/>
      </c>
      <c r="BA98" s="40">
        <f>COUNTIF(_20work_order[05_id],_01towers[[#This Row],[05_id]])</f>
        <v>0</v>
      </c>
      <c r="BB98" s="40">
        <f>COUNTIFS(_20work_order[05_id],_01towers[[#This Row],[05_id]],_20work_order[Actual_End],"&gt;0")</f>
        <v>0</v>
      </c>
      <c r="BC98" s="40" t="str">
        <f>IF(_01towers[[#This Row],[Completed Work Orders]]&gt;0,"Work Completed",
IF(_01towers[[#This Row],[Count Work Orders]]&gt;0,"Work in Progress",""))</f>
        <v/>
      </c>
      <c r="BD9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98" s="40" t="str">
        <f>_xlfn.SWITCH(_01towers[[#This Row],[Final Colo Status full]],"Commercial Approval Requested","Under Prevalidation",_01towers[[#This Row],[Final Colo Status full]])</f>
        <v>Under Prevalidation</v>
      </c>
    </row>
    <row r="99" spans="1:57" hidden="1" x14ac:dyDescent="0.35">
      <c r="A99" s="40" t="s">
        <v>272</v>
      </c>
      <c r="B99" s="40" t="s">
        <v>90</v>
      </c>
      <c r="C99" s="40" t="s">
        <v>51</v>
      </c>
      <c r="D99">
        <v>35</v>
      </c>
      <c r="E99" s="40" t="s">
        <v>98</v>
      </c>
      <c r="F99">
        <v>96.187155000000004</v>
      </c>
      <c r="G99">
        <v>16.916452</v>
      </c>
      <c r="H99" s="40" t="s">
        <v>150</v>
      </c>
      <c r="I99">
        <v>98</v>
      </c>
      <c r="J99" s="40" t="s">
        <v>273</v>
      </c>
      <c r="K99" s="40" t="s">
        <v>136</v>
      </c>
      <c r="L99" s="40" t="s">
        <v>64</v>
      </c>
      <c r="M99" s="40" t="s">
        <v>57</v>
      </c>
      <c r="N99" s="40" t="s">
        <v>57</v>
      </c>
      <c r="O99" s="40" t="s">
        <v>57</v>
      </c>
      <c r="P99" s="40" t="s">
        <v>57</v>
      </c>
      <c r="Q99" s="40" t="s">
        <v>57</v>
      </c>
      <c r="R99" s="40" t="s">
        <v>57</v>
      </c>
      <c r="S99">
        <v>123</v>
      </c>
      <c r="T99">
        <v>1</v>
      </c>
      <c r="U99" s="1">
        <v>43265</v>
      </c>
      <c r="V99" s="1">
        <v>43265</v>
      </c>
      <c r="W99" s="1">
        <v>43265</v>
      </c>
      <c r="X99" s="1">
        <v>43265</v>
      </c>
      <c r="Y99" s="1"/>
      <c r="Z99" s="40" t="s">
        <v>59</v>
      </c>
      <c r="AA99">
        <v>122</v>
      </c>
      <c r="AB99">
        <v>1</v>
      </c>
      <c r="AC99" s="1">
        <v>43278</v>
      </c>
      <c r="AD99" s="40" t="s">
        <v>570</v>
      </c>
      <c r="AE99" s="1"/>
      <c r="AF99" s="1"/>
      <c r="AG99" s="1"/>
      <c r="AH99" s="40"/>
      <c r="AI99" s="1"/>
      <c r="AJ99" s="40">
        <f>_xlfn.MAXIFS(_01towers[02tss.Rev],_01towers[05_id],_01towers[[#This Row],[05_id]])</f>
        <v>1</v>
      </c>
      <c r="AK99" s="40" t="b">
        <f>IF(_01towers[[#This Row],[Count Rev TSS]]=_01towers[[#This Row],[02tss.Rev]],TRUE,FALSE)</f>
        <v>1</v>
      </c>
      <c r="AL99" s="40">
        <f>_xlfn.MAXIFS(_01towers[10colo_app.Rev],_01towers[05_id],_01towers[[#This Row],[05_id]])</f>
        <v>1</v>
      </c>
      <c r="AM99" s="40" t="b">
        <f>IF(_01towers[[#This Row],[Count Rev Colo App]]=_01towers[[#This Row],[10colo_app.Rev]],TRUE,FALSE)</f>
        <v>1</v>
      </c>
      <c r="AN99" s="40" t="b">
        <f>IF(AND(_01towers[[#This Row],[Test Rev Colo]]=TRUE,_01towers[[#This Row],[Test Rev TSS]]=TRUE),TRUE,FALSE)</f>
        <v>1</v>
      </c>
      <c r="AO99" s="40" t="str">
        <f>IF(_01towers[[#This Row],[Test Active]]=TRUE,_01towers[[#This Row],[Prevalidation Status]],"")</f>
        <v>Prevalidated</v>
      </c>
      <c r="AP99" s="40" t="str">
        <f>IF(_01towers[[#This Row],[Active Prevalidation Status]]="Under Prevalidation",
IF(M99="","Review",M99),"")</f>
        <v/>
      </c>
      <c r="AQ99" s="40" t="str">
        <f>IF(_01towers[[#This Row],[Active Prevalidation Status]]="Under Prevalidation",
IF(N99="","Review",N99),"")</f>
        <v/>
      </c>
      <c r="AR99" s="40" t="str">
        <f>IF(_01towers[[#This Row],[Active Prevalidation Status]]="Under Prevalidation",
IF(O99="","Review",O99),"")</f>
        <v/>
      </c>
      <c r="AS99" s="40" t="str">
        <f>IF(_01towers[[#This Row],[Active Prevalidation Status]]="Under Prevalidation",
IF(P99="","Review",P99),"")</f>
        <v/>
      </c>
      <c r="AT99" s="40" t="str">
        <f>IF(_01towers[[#This Row],[Active Prevalidation Status]]="Under Prevalidation",
IF(Q99="","Review",Q99),"")</f>
        <v/>
      </c>
      <c r="AU99" s="40" t="str">
        <f>IF(_01towers[[#This Row],[Active Prevalidation Status]]="Under Prevalidation",
IF(R99="","Review",R99),"")</f>
        <v/>
      </c>
      <c r="AV99" s="40">
        <f>COUNTIF(_01towers[[#This Row],[SAQ_Result2]:[Community_Result2]],"OK")</f>
        <v>0</v>
      </c>
      <c r="AW99" s="1" t="str">
        <f>IF(AND(OR(_01towers[[#This Row],[Active Prevalidation Status]]="Under Prevalidation",_01towers[[#This Row],[Active Prevalidation Status]]="Prevalidated"),_01towers[[#This Row],[02tss.TSSR_From_Engineer]]&gt;0),"Submitted","")</f>
        <v>Submitted</v>
      </c>
      <c r="AX99" s="40" t="str">
        <f>IF(OR(_01towers[[#This Row],[Active Prevalidation Status]]="Under Prevalidation",_01towers[[#This Row],[Active Prevalidation Status]]="Prevalidated"),_01towers[[#This Row],[02tss.TSS_Result]],"")</f>
        <v>Approved</v>
      </c>
      <c r="AY99" s="40" t="str">
        <f>IF(AND(_01towers[[#This Row],[Active TSS Result]]="Approved",_01towers[[#This Row],[Active Prevalidation Status]]="Prevalidated"),"In Process","")</f>
        <v>In Process</v>
      </c>
      <c r="AZ99" s="40" t="str">
        <f>IF(AND(_01towers[[#This Row],[Active TSS Result]]="Approved",_01towers[[#This Row],[Active Prevalidation Status]]="Prevalidated"),_01towers[[#This Row],[10colo_app.Colo_App_Result]],"")</f>
        <v>NTP Received</v>
      </c>
      <c r="BA99" s="40">
        <f>COUNTIF(_20work_order[05_id],_01towers[[#This Row],[05_id]])</f>
        <v>0</v>
      </c>
      <c r="BB99" s="40">
        <f>COUNTIFS(_20work_order[05_id],_01towers[[#This Row],[05_id]],_20work_order[Actual_End],"&gt;0")</f>
        <v>0</v>
      </c>
      <c r="BC99" s="40" t="str">
        <f>IF(_01towers[[#This Row],[Completed Work Orders]]&gt;0,"Work Completed",
IF(_01towers[[#This Row],[Count Work Orders]]&gt;0,"Work in Progress",""))</f>
        <v/>
      </c>
      <c r="BD9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99" s="40" t="str">
        <f>_xlfn.SWITCH(_01towers[[#This Row],[Final Colo Status full]],"Commercial Approval Requested","Under Prevalidation",_01towers[[#This Row],[Final Colo Status full]])</f>
        <v>NTP Received</v>
      </c>
    </row>
    <row r="100" spans="1:57" hidden="1" x14ac:dyDescent="0.35">
      <c r="A100" s="40" t="s">
        <v>274</v>
      </c>
      <c r="B100" s="40" t="s">
        <v>90</v>
      </c>
      <c r="C100" s="40" t="s">
        <v>51</v>
      </c>
      <c r="D100">
        <v>35</v>
      </c>
      <c r="E100" s="40" t="s">
        <v>98</v>
      </c>
      <c r="F100">
        <v>96.046229999999994</v>
      </c>
      <c r="G100">
        <v>16.974609999999998</v>
      </c>
      <c r="H100" s="40" t="s">
        <v>62</v>
      </c>
      <c r="I100">
        <v>99</v>
      </c>
      <c r="J100" s="40" t="s">
        <v>275</v>
      </c>
      <c r="K100" s="40" t="s">
        <v>136</v>
      </c>
      <c r="L100" s="40" t="s">
        <v>64</v>
      </c>
      <c r="M100" s="40" t="s">
        <v>57</v>
      </c>
      <c r="N100" s="40" t="s">
        <v>57</v>
      </c>
      <c r="O100" s="40" t="s">
        <v>57</v>
      </c>
      <c r="P100" s="40" t="s">
        <v>57</v>
      </c>
      <c r="Q100" s="40" t="s">
        <v>57</v>
      </c>
      <c r="R100" s="40" t="s">
        <v>57</v>
      </c>
      <c r="S100">
        <v>171</v>
      </c>
      <c r="T100">
        <v>1</v>
      </c>
      <c r="U100" s="1"/>
      <c r="V100" s="1"/>
      <c r="W100" s="1"/>
      <c r="X100" s="1"/>
      <c r="Y100" s="1"/>
      <c r="Z100" s="40"/>
      <c r="AA100">
        <v>170</v>
      </c>
      <c r="AB100">
        <v>1</v>
      </c>
      <c r="AC100" s="1"/>
      <c r="AD100" s="40"/>
      <c r="AE100" s="1"/>
      <c r="AF100" s="1"/>
      <c r="AG100" s="1"/>
      <c r="AH100" s="40"/>
      <c r="AI100" s="1"/>
      <c r="AJ100" s="40">
        <f>_xlfn.MAXIFS(_01towers[02tss.Rev],_01towers[05_id],_01towers[[#This Row],[05_id]])</f>
        <v>1</v>
      </c>
      <c r="AK100" s="40" t="b">
        <f>IF(_01towers[[#This Row],[Count Rev TSS]]=_01towers[[#This Row],[02tss.Rev]],TRUE,FALSE)</f>
        <v>1</v>
      </c>
      <c r="AL100" s="40">
        <f>_xlfn.MAXIFS(_01towers[10colo_app.Rev],_01towers[05_id],_01towers[[#This Row],[05_id]])</f>
        <v>1</v>
      </c>
      <c r="AM100" s="40" t="b">
        <f>IF(_01towers[[#This Row],[Count Rev Colo App]]=_01towers[[#This Row],[10colo_app.Rev]],TRUE,FALSE)</f>
        <v>1</v>
      </c>
      <c r="AN100" s="40" t="b">
        <f>IF(AND(_01towers[[#This Row],[Test Rev Colo]]=TRUE,_01towers[[#This Row],[Test Rev TSS]]=TRUE),TRUE,FALSE)</f>
        <v>1</v>
      </c>
      <c r="AO100" s="40" t="str">
        <f>IF(_01towers[[#This Row],[Test Active]]=TRUE,_01towers[[#This Row],[Prevalidation Status]],"")</f>
        <v>Prevalidated</v>
      </c>
      <c r="AP100" s="40" t="str">
        <f>IF(_01towers[[#This Row],[Active Prevalidation Status]]="Under Prevalidation",
IF(M100="","Review",M100),"")</f>
        <v/>
      </c>
      <c r="AQ100" s="40" t="str">
        <f>IF(_01towers[[#This Row],[Active Prevalidation Status]]="Under Prevalidation",
IF(N100="","Review",N100),"")</f>
        <v/>
      </c>
      <c r="AR100" s="40" t="str">
        <f>IF(_01towers[[#This Row],[Active Prevalidation Status]]="Under Prevalidation",
IF(O100="","Review",O100),"")</f>
        <v/>
      </c>
      <c r="AS100" s="40" t="str">
        <f>IF(_01towers[[#This Row],[Active Prevalidation Status]]="Under Prevalidation",
IF(P100="","Review",P100),"")</f>
        <v/>
      </c>
      <c r="AT100" s="40" t="str">
        <f>IF(_01towers[[#This Row],[Active Prevalidation Status]]="Under Prevalidation",
IF(Q100="","Review",Q100),"")</f>
        <v/>
      </c>
      <c r="AU100" s="40" t="str">
        <f>IF(_01towers[[#This Row],[Active Prevalidation Status]]="Under Prevalidation",
IF(R100="","Review",R100),"")</f>
        <v/>
      </c>
      <c r="AV100" s="40">
        <f>COUNTIF(_01towers[[#This Row],[SAQ_Result2]:[Community_Result2]],"OK")</f>
        <v>0</v>
      </c>
      <c r="AW100" s="1" t="str">
        <f>IF(AND(OR(_01towers[[#This Row],[Active Prevalidation Status]]="Under Prevalidation",_01towers[[#This Row],[Active Prevalidation Status]]="Prevalidated"),_01towers[[#This Row],[02tss.TSSR_From_Engineer]]&gt;0),"Submitted","")</f>
        <v/>
      </c>
      <c r="AX100" s="40">
        <f>IF(OR(_01towers[[#This Row],[Active Prevalidation Status]]="Under Prevalidation",_01towers[[#This Row],[Active Prevalidation Status]]="Prevalidated"),_01towers[[#This Row],[02tss.TSS_Result]],"")</f>
        <v>0</v>
      </c>
      <c r="AY100" s="40" t="str">
        <f>IF(AND(_01towers[[#This Row],[Active TSS Result]]="Approved",_01towers[[#This Row],[Active Prevalidation Status]]="Prevalidated"),"In Process","")</f>
        <v/>
      </c>
      <c r="AZ100" s="40" t="str">
        <f>IF(AND(_01towers[[#This Row],[Active TSS Result]]="Approved",_01towers[[#This Row],[Active Prevalidation Status]]="Prevalidated"),_01towers[[#This Row],[10colo_app.Colo_App_Result]],"")</f>
        <v/>
      </c>
      <c r="BA100" s="40">
        <f>COUNTIF(_20work_order[05_id],_01towers[[#This Row],[05_id]])</f>
        <v>0</v>
      </c>
      <c r="BB100" s="40">
        <f>COUNTIFS(_20work_order[05_id],_01towers[[#This Row],[05_id]],_20work_order[Actual_End],"&gt;0")</f>
        <v>0</v>
      </c>
      <c r="BC100" s="40" t="str">
        <f>IF(_01towers[[#This Row],[Completed Work Orders]]&gt;0,"Work Completed",
IF(_01towers[[#This Row],[Count Work Orders]]&gt;0,"Work in Progress",""))</f>
        <v/>
      </c>
      <c r="BD10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00" s="40" t="str">
        <f>_xlfn.SWITCH(_01towers[[#This Row],[Final Colo Status full]],"Commercial Approval Requested","Under Prevalidation",_01towers[[#This Row],[Final Colo Status full]])</f>
        <v>Prevalidated - TSSR in Process</v>
      </c>
    </row>
    <row r="101" spans="1:57" hidden="1" x14ac:dyDescent="0.35">
      <c r="A101" s="40" t="s">
        <v>276</v>
      </c>
      <c r="B101" s="40" t="s">
        <v>90</v>
      </c>
      <c r="C101" s="40" t="s">
        <v>51</v>
      </c>
      <c r="D101">
        <v>35</v>
      </c>
      <c r="E101" s="40" t="s">
        <v>221</v>
      </c>
      <c r="F101">
        <v>95.701250000000002</v>
      </c>
      <c r="G101">
        <v>16.272659999999998</v>
      </c>
      <c r="H101" s="40" t="s">
        <v>143</v>
      </c>
      <c r="I101">
        <v>100</v>
      </c>
      <c r="J101" s="40" t="s">
        <v>603</v>
      </c>
      <c r="K101" s="40" t="s">
        <v>136</v>
      </c>
      <c r="L101" s="40" t="s">
        <v>74</v>
      </c>
      <c r="M101" s="40" t="s">
        <v>57</v>
      </c>
      <c r="N101" s="40"/>
      <c r="O101" s="40" t="s">
        <v>58</v>
      </c>
      <c r="P101" s="40" t="s">
        <v>57</v>
      </c>
      <c r="Q101" s="40"/>
      <c r="R101" s="40" t="s">
        <v>75</v>
      </c>
      <c r="S101">
        <v>5</v>
      </c>
      <c r="T101">
        <v>1</v>
      </c>
      <c r="U101" s="1"/>
      <c r="V101" s="1"/>
      <c r="W101" s="1"/>
      <c r="X101" s="1"/>
      <c r="Y101" s="1"/>
      <c r="Z101" s="40"/>
      <c r="AA101">
        <v>5</v>
      </c>
      <c r="AB101">
        <v>1</v>
      </c>
      <c r="AC101" s="1"/>
      <c r="AD101" s="40"/>
      <c r="AE101" s="1"/>
      <c r="AF101" s="1"/>
      <c r="AG101" s="1"/>
      <c r="AH101" s="40"/>
      <c r="AI101" s="1"/>
      <c r="AJ101" s="40">
        <f>_xlfn.MAXIFS(_01towers[02tss.Rev],_01towers[05_id],_01towers[[#This Row],[05_id]])</f>
        <v>1</v>
      </c>
      <c r="AK101" s="40" t="b">
        <f>IF(_01towers[[#This Row],[Count Rev TSS]]=_01towers[[#This Row],[02tss.Rev]],TRUE,FALSE)</f>
        <v>1</v>
      </c>
      <c r="AL101" s="40">
        <f>_xlfn.MAXIFS(_01towers[10colo_app.Rev],_01towers[05_id],_01towers[[#This Row],[05_id]])</f>
        <v>1</v>
      </c>
      <c r="AM101" s="40" t="b">
        <f>IF(_01towers[[#This Row],[Count Rev Colo App]]=_01towers[[#This Row],[10colo_app.Rev]],TRUE,FALSE)</f>
        <v>1</v>
      </c>
      <c r="AN101" s="40" t="b">
        <f>IF(AND(_01towers[[#This Row],[Test Rev Colo]]=TRUE,_01towers[[#This Row],[Test Rev TSS]]=TRUE),TRUE,FALSE)</f>
        <v>1</v>
      </c>
      <c r="AO101" s="40" t="str">
        <f>IF(_01towers[[#This Row],[Test Active]]=TRUE,_01towers[[#This Row],[Prevalidation Status]],"")</f>
        <v>Prevalidation Rejected</v>
      </c>
      <c r="AP101" s="40" t="str">
        <f>IF(_01towers[[#This Row],[Active Prevalidation Status]]="Under Prevalidation",
IF(M101="","Review",M101),"")</f>
        <v/>
      </c>
      <c r="AQ101" s="40" t="str">
        <f>IF(_01towers[[#This Row],[Active Prevalidation Status]]="Under Prevalidation",
IF(N101="","Review",N101),"")</f>
        <v/>
      </c>
      <c r="AR101" s="40" t="str">
        <f>IF(_01towers[[#This Row],[Active Prevalidation Status]]="Under Prevalidation",
IF(O101="","Review",O101),"")</f>
        <v/>
      </c>
      <c r="AS101" s="40" t="str">
        <f>IF(_01towers[[#This Row],[Active Prevalidation Status]]="Under Prevalidation",
IF(P101="","Review",P101),"")</f>
        <v/>
      </c>
      <c r="AT101" s="40" t="str">
        <f>IF(_01towers[[#This Row],[Active Prevalidation Status]]="Under Prevalidation",
IF(Q101="","Review",Q101),"")</f>
        <v/>
      </c>
      <c r="AU101" s="40" t="str">
        <f>IF(_01towers[[#This Row],[Active Prevalidation Status]]="Under Prevalidation",
IF(R101="","Review",R101),"")</f>
        <v/>
      </c>
      <c r="AV101" s="40">
        <f>COUNTIF(_01towers[[#This Row],[SAQ_Result2]:[Community_Result2]],"OK")</f>
        <v>0</v>
      </c>
      <c r="AW101" s="1" t="str">
        <f>IF(AND(OR(_01towers[[#This Row],[Active Prevalidation Status]]="Under Prevalidation",_01towers[[#This Row],[Active Prevalidation Status]]="Prevalidated"),_01towers[[#This Row],[02tss.TSSR_From_Engineer]]&gt;0),"Submitted","")</f>
        <v/>
      </c>
      <c r="AX101" s="40" t="str">
        <f>IF(OR(_01towers[[#This Row],[Active Prevalidation Status]]="Under Prevalidation",_01towers[[#This Row],[Active Prevalidation Status]]="Prevalidated"),_01towers[[#This Row],[02tss.TSS_Result]],"")</f>
        <v/>
      </c>
      <c r="AY101" s="40" t="str">
        <f>IF(AND(_01towers[[#This Row],[Active TSS Result]]="Approved",_01towers[[#This Row],[Active Prevalidation Status]]="Prevalidated"),"In Process","")</f>
        <v/>
      </c>
      <c r="AZ101" s="40" t="str">
        <f>IF(AND(_01towers[[#This Row],[Active TSS Result]]="Approved",_01towers[[#This Row],[Active Prevalidation Status]]="Prevalidated"),_01towers[[#This Row],[10colo_app.Colo_App_Result]],"")</f>
        <v/>
      </c>
      <c r="BA101" s="40">
        <f>COUNTIF(_20work_order[05_id],_01towers[[#This Row],[05_id]])</f>
        <v>0</v>
      </c>
      <c r="BB101" s="40">
        <f>COUNTIFS(_20work_order[05_id],_01towers[[#This Row],[05_id]],_20work_order[Actual_End],"&gt;0")</f>
        <v>0</v>
      </c>
      <c r="BC101" s="40" t="str">
        <f>IF(_01towers[[#This Row],[Completed Work Orders]]&gt;0,"Work Completed",
IF(_01towers[[#This Row],[Count Work Orders]]&gt;0,"Work in Progress",""))</f>
        <v/>
      </c>
      <c r="BD10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01" s="40" t="str">
        <f>_xlfn.SWITCH(_01towers[[#This Row],[Final Colo Status full]],"Commercial Approval Requested","Under Prevalidation",_01towers[[#This Row],[Final Colo Status full]])</f>
        <v>Prevalidation Rejected</v>
      </c>
    </row>
    <row r="102" spans="1:57" hidden="1" x14ac:dyDescent="0.35">
      <c r="A102" s="40" t="s">
        <v>277</v>
      </c>
      <c r="B102" s="40" t="s">
        <v>90</v>
      </c>
      <c r="C102" s="40" t="s">
        <v>72</v>
      </c>
      <c r="D102">
        <v>30</v>
      </c>
      <c r="E102" s="40" t="s">
        <v>98</v>
      </c>
      <c r="F102">
        <v>96.070430000000002</v>
      </c>
      <c r="G102">
        <v>16.995509999999999</v>
      </c>
      <c r="H102" s="40" t="s">
        <v>53</v>
      </c>
      <c r="I102">
        <v>101</v>
      </c>
      <c r="J102" s="40" t="s">
        <v>604</v>
      </c>
      <c r="K102" s="40" t="s">
        <v>136</v>
      </c>
      <c r="L102" s="40" t="s">
        <v>74</v>
      </c>
      <c r="M102" s="40" t="s">
        <v>57</v>
      </c>
      <c r="N102" s="40" t="s">
        <v>57</v>
      </c>
      <c r="O102" s="40" t="s">
        <v>57</v>
      </c>
      <c r="P102" s="40" t="s">
        <v>58</v>
      </c>
      <c r="Q102" s="40" t="s">
        <v>57</v>
      </c>
      <c r="R102" s="40" t="s">
        <v>57</v>
      </c>
      <c r="S102">
        <v>121</v>
      </c>
      <c r="T102">
        <v>1</v>
      </c>
      <c r="U102" s="1">
        <v>43262</v>
      </c>
      <c r="V102" s="1">
        <v>43262</v>
      </c>
      <c r="W102" s="1">
        <v>43262</v>
      </c>
      <c r="X102" s="1">
        <v>43262</v>
      </c>
      <c r="Y102" s="1"/>
      <c r="Z102" s="40" t="s">
        <v>59</v>
      </c>
      <c r="AA102">
        <v>120</v>
      </c>
      <c r="AB102">
        <v>1</v>
      </c>
      <c r="AC102" s="1"/>
      <c r="AD102" s="40"/>
      <c r="AE102" s="1"/>
      <c r="AF102" s="1"/>
      <c r="AG102" s="1"/>
      <c r="AH102" s="40"/>
      <c r="AI102" s="1"/>
      <c r="AJ102" s="40">
        <f>_xlfn.MAXIFS(_01towers[02tss.Rev],_01towers[05_id],_01towers[[#This Row],[05_id]])</f>
        <v>1</v>
      </c>
      <c r="AK102" s="40" t="b">
        <f>IF(_01towers[[#This Row],[Count Rev TSS]]=_01towers[[#This Row],[02tss.Rev]],TRUE,FALSE)</f>
        <v>1</v>
      </c>
      <c r="AL102" s="40">
        <f>_xlfn.MAXIFS(_01towers[10colo_app.Rev],_01towers[05_id],_01towers[[#This Row],[05_id]])</f>
        <v>1</v>
      </c>
      <c r="AM102" s="40" t="b">
        <f>IF(_01towers[[#This Row],[Count Rev Colo App]]=_01towers[[#This Row],[10colo_app.Rev]],TRUE,FALSE)</f>
        <v>1</v>
      </c>
      <c r="AN102" s="40" t="b">
        <f>IF(AND(_01towers[[#This Row],[Test Rev Colo]]=TRUE,_01towers[[#This Row],[Test Rev TSS]]=TRUE),TRUE,FALSE)</f>
        <v>1</v>
      </c>
      <c r="AO102" s="40" t="str">
        <f>IF(_01towers[[#This Row],[Test Active]]=TRUE,_01towers[[#This Row],[Prevalidation Status]],"")</f>
        <v>Prevalidation Rejected</v>
      </c>
      <c r="AP102" s="40" t="str">
        <f>IF(_01towers[[#This Row],[Active Prevalidation Status]]="Under Prevalidation",
IF(M102="","Review",M102),"")</f>
        <v/>
      </c>
      <c r="AQ102" s="40" t="str">
        <f>IF(_01towers[[#This Row],[Active Prevalidation Status]]="Under Prevalidation",
IF(N102="","Review",N102),"")</f>
        <v/>
      </c>
      <c r="AR102" s="40" t="str">
        <f>IF(_01towers[[#This Row],[Active Prevalidation Status]]="Under Prevalidation",
IF(O102="","Review",O102),"")</f>
        <v/>
      </c>
      <c r="AS102" s="40" t="str">
        <f>IF(_01towers[[#This Row],[Active Prevalidation Status]]="Under Prevalidation",
IF(P102="","Review",P102),"")</f>
        <v/>
      </c>
      <c r="AT102" s="40" t="str">
        <f>IF(_01towers[[#This Row],[Active Prevalidation Status]]="Under Prevalidation",
IF(Q102="","Review",Q102),"")</f>
        <v/>
      </c>
      <c r="AU102" s="40" t="str">
        <f>IF(_01towers[[#This Row],[Active Prevalidation Status]]="Under Prevalidation",
IF(R102="","Review",R102),"")</f>
        <v/>
      </c>
      <c r="AV102" s="40">
        <f>COUNTIF(_01towers[[#This Row],[SAQ_Result2]:[Community_Result2]],"OK")</f>
        <v>0</v>
      </c>
      <c r="AW102" s="1" t="str">
        <f>IF(AND(OR(_01towers[[#This Row],[Active Prevalidation Status]]="Under Prevalidation",_01towers[[#This Row],[Active Prevalidation Status]]="Prevalidated"),_01towers[[#This Row],[02tss.TSSR_From_Engineer]]&gt;0),"Submitted","")</f>
        <v/>
      </c>
      <c r="AX102" s="40" t="str">
        <f>IF(OR(_01towers[[#This Row],[Active Prevalidation Status]]="Under Prevalidation",_01towers[[#This Row],[Active Prevalidation Status]]="Prevalidated"),_01towers[[#This Row],[02tss.TSS_Result]],"")</f>
        <v/>
      </c>
      <c r="AY102" s="40" t="str">
        <f>IF(AND(_01towers[[#This Row],[Active TSS Result]]="Approved",_01towers[[#This Row],[Active Prevalidation Status]]="Prevalidated"),"In Process","")</f>
        <v/>
      </c>
      <c r="AZ102" s="40" t="str">
        <f>IF(AND(_01towers[[#This Row],[Active TSS Result]]="Approved",_01towers[[#This Row],[Active Prevalidation Status]]="Prevalidated"),_01towers[[#This Row],[10colo_app.Colo_App_Result]],"")</f>
        <v/>
      </c>
      <c r="BA102" s="40">
        <f>COUNTIF(_20work_order[05_id],_01towers[[#This Row],[05_id]])</f>
        <v>0</v>
      </c>
      <c r="BB102" s="40">
        <f>COUNTIFS(_20work_order[05_id],_01towers[[#This Row],[05_id]],_20work_order[Actual_End],"&gt;0")</f>
        <v>0</v>
      </c>
      <c r="BC102" s="40" t="str">
        <f>IF(_01towers[[#This Row],[Completed Work Orders]]&gt;0,"Work Completed",
IF(_01towers[[#This Row],[Count Work Orders]]&gt;0,"Work in Progress",""))</f>
        <v/>
      </c>
      <c r="BD10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02" s="40" t="str">
        <f>_xlfn.SWITCH(_01towers[[#This Row],[Final Colo Status full]],"Commercial Approval Requested","Under Prevalidation",_01towers[[#This Row],[Final Colo Status full]])</f>
        <v>Prevalidation Rejected</v>
      </c>
    </row>
    <row r="103" spans="1:57" x14ac:dyDescent="0.35">
      <c r="A103" s="40" t="s">
        <v>278</v>
      </c>
      <c r="B103" s="40" t="s">
        <v>90</v>
      </c>
      <c r="C103" s="40" t="s">
        <v>51</v>
      </c>
      <c r="D103">
        <v>60</v>
      </c>
      <c r="E103" s="40" t="s">
        <v>94</v>
      </c>
      <c r="F103">
        <v>97.451819999999998</v>
      </c>
      <c r="G103">
        <v>16.619900000000001</v>
      </c>
      <c r="H103" s="40" t="s">
        <v>150</v>
      </c>
      <c r="I103">
        <v>102</v>
      </c>
      <c r="J103" s="40" t="s">
        <v>211</v>
      </c>
      <c r="K103" s="40" t="s">
        <v>136</v>
      </c>
      <c r="L103" s="40" t="s">
        <v>56</v>
      </c>
      <c r="M103" s="40" t="s">
        <v>57</v>
      </c>
      <c r="N103" s="40" t="s">
        <v>57</v>
      </c>
      <c r="O103" s="40" t="s">
        <v>57</v>
      </c>
      <c r="P103" s="40" t="s">
        <v>58</v>
      </c>
      <c r="Q103" s="40" t="s">
        <v>57</v>
      </c>
      <c r="R103" s="40" t="s">
        <v>57</v>
      </c>
      <c r="S103">
        <v>109</v>
      </c>
      <c r="T103">
        <v>1</v>
      </c>
      <c r="U103" s="1"/>
      <c r="V103" s="1"/>
      <c r="W103" s="1"/>
      <c r="X103" s="1"/>
      <c r="Y103" s="1"/>
      <c r="Z103" s="40"/>
      <c r="AA103">
        <v>108</v>
      </c>
      <c r="AB103">
        <v>1</v>
      </c>
      <c r="AC103" s="1"/>
      <c r="AD103" s="40"/>
      <c r="AE103" s="1"/>
      <c r="AF103" s="1"/>
      <c r="AG103" s="1"/>
      <c r="AH103" s="40"/>
      <c r="AI103" s="1"/>
      <c r="AJ103" s="40">
        <f>_xlfn.MAXIFS(_01towers[02tss.Rev],_01towers[05_id],_01towers[[#This Row],[05_id]])</f>
        <v>1</v>
      </c>
      <c r="AK103" s="40" t="b">
        <f>IF(_01towers[[#This Row],[Count Rev TSS]]=_01towers[[#This Row],[02tss.Rev]],TRUE,FALSE)</f>
        <v>1</v>
      </c>
      <c r="AL103" s="40">
        <f>_xlfn.MAXIFS(_01towers[10colo_app.Rev],_01towers[05_id],_01towers[[#This Row],[05_id]])</f>
        <v>1</v>
      </c>
      <c r="AM103" s="40" t="b">
        <f>IF(_01towers[[#This Row],[Count Rev Colo App]]=_01towers[[#This Row],[10colo_app.Rev]],TRUE,FALSE)</f>
        <v>1</v>
      </c>
      <c r="AN103" s="40" t="b">
        <f>IF(AND(_01towers[[#This Row],[Test Rev Colo]]=TRUE,_01towers[[#This Row],[Test Rev TSS]]=TRUE),TRUE,FALSE)</f>
        <v>1</v>
      </c>
      <c r="AO103" s="40" t="str">
        <f>IF(_01towers[[#This Row],[Test Active]]=TRUE,_01towers[[#This Row],[Prevalidation Status]],"")</f>
        <v>Commercial Approval Requested</v>
      </c>
      <c r="AP103" s="40" t="str">
        <f>IF(_01towers[[#This Row],[Active Prevalidation Status]]="Under Prevalidation",
IF(M103="","Review",M103),"")</f>
        <v/>
      </c>
      <c r="AQ103" s="40" t="str">
        <f>IF(_01towers[[#This Row],[Active Prevalidation Status]]="Under Prevalidation",
IF(N103="","Review",N103),"")</f>
        <v/>
      </c>
      <c r="AR103" s="40" t="str">
        <f>IF(_01towers[[#This Row],[Active Prevalidation Status]]="Under Prevalidation",
IF(O103="","Review",O103),"")</f>
        <v/>
      </c>
      <c r="AS103" s="40" t="str">
        <f>IF(_01towers[[#This Row],[Active Prevalidation Status]]="Under Prevalidation",
IF(P103="","Review",P103),"")</f>
        <v/>
      </c>
      <c r="AT103" s="40" t="str">
        <f>IF(_01towers[[#This Row],[Active Prevalidation Status]]="Under Prevalidation",
IF(Q103="","Review",Q103),"")</f>
        <v/>
      </c>
      <c r="AU103" s="40" t="str">
        <f>IF(_01towers[[#This Row],[Active Prevalidation Status]]="Under Prevalidation",
IF(R103="","Review",R103),"")</f>
        <v/>
      </c>
      <c r="AV103" s="40">
        <f>COUNTIF(_01towers[[#This Row],[SAQ_Result2]:[Community_Result2]],"OK")</f>
        <v>0</v>
      </c>
      <c r="AW103" s="1" t="str">
        <f>IF(AND(OR(_01towers[[#This Row],[Active Prevalidation Status]]="Under Prevalidation",_01towers[[#This Row],[Active Prevalidation Status]]="Prevalidated"),_01towers[[#This Row],[02tss.TSSR_From_Engineer]]&gt;0),"Submitted","")</f>
        <v/>
      </c>
      <c r="AX103" s="40" t="str">
        <f>IF(OR(_01towers[[#This Row],[Active Prevalidation Status]]="Under Prevalidation",_01towers[[#This Row],[Active Prevalidation Status]]="Prevalidated"),_01towers[[#This Row],[02tss.TSS_Result]],"")</f>
        <v/>
      </c>
      <c r="AY103" s="40" t="str">
        <f>IF(AND(_01towers[[#This Row],[Active TSS Result]]="Approved",_01towers[[#This Row],[Active Prevalidation Status]]="Prevalidated"),"In Process","")</f>
        <v/>
      </c>
      <c r="AZ103" s="40" t="str">
        <f>IF(AND(_01towers[[#This Row],[Active TSS Result]]="Approved",_01towers[[#This Row],[Active Prevalidation Status]]="Prevalidated"),_01towers[[#This Row],[10colo_app.Colo_App_Result]],"")</f>
        <v/>
      </c>
      <c r="BA103" s="40">
        <f>COUNTIF(_20work_order[05_id],_01towers[[#This Row],[05_id]])</f>
        <v>0</v>
      </c>
      <c r="BB103" s="40">
        <f>COUNTIFS(_20work_order[05_id],_01towers[[#This Row],[05_id]],_20work_order[Actual_End],"&gt;0")</f>
        <v>0</v>
      </c>
      <c r="BC103" s="40" t="str">
        <f>IF(_01towers[[#This Row],[Completed Work Orders]]&gt;0,"Work Completed",
IF(_01towers[[#This Row],[Count Work Orders]]&gt;0,"Work in Progress",""))</f>
        <v/>
      </c>
      <c r="BD10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03" s="40" t="str">
        <f>_xlfn.SWITCH(_01towers[[#This Row],[Final Colo Status full]],"Commercial Approval Requested","Under Prevalidation",_01towers[[#This Row],[Final Colo Status full]])</f>
        <v>Under Prevalidation</v>
      </c>
    </row>
    <row r="104" spans="1:57" x14ac:dyDescent="0.35">
      <c r="A104" s="40" t="s">
        <v>279</v>
      </c>
      <c r="B104" s="40" t="s">
        <v>90</v>
      </c>
      <c r="C104" s="40" t="s">
        <v>51</v>
      </c>
      <c r="D104">
        <v>35</v>
      </c>
      <c r="E104" s="40" t="s">
        <v>98</v>
      </c>
      <c r="F104">
        <v>96.144559999999998</v>
      </c>
      <c r="G104">
        <v>16.97756</v>
      </c>
      <c r="H104" s="40" t="s">
        <v>143</v>
      </c>
      <c r="I104">
        <v>103</v>
      </c>
      <c r="J104" s="40" t="s">
        <v>280</v>
      </c>
      <c r="K104" s="40" t="s">
        <v>136</v>
      </c>
      <c r="L104" s="40" t="s">
        <v>56</v>
      </c>
      <c r="M104" s="40" t="s">
        <v>57</v>
      </c>
      <c r="N104" s="40" t="s">
        <v>57</v>
      </c>
      <c r="O104" s="40" t="s">
        <v>58</v>
      </c>
      <c r="P104" s="40" t="s">
        <v>58</v>
      </c>
      <c r="Q104" s="40" t="s">
        <v>57</v>
      </c>
      <c r="R104" s="40" t="s">
        <v>57</v>
      </c>
      <c r="S104">
        <v>169</v>
      </c>
      <c r="T104">
        <v>1</v>
      </c>
      <c r="U104" s="1">
        <v>43262</v>
      </c>
      <c r="V104" s="1">
        <v>43262</v>
      </c>
      <c r="W104" s="1">
        <v>43262</v>
      </c>
      <c r="X104" s="1">
        <v>43262</v>
      </c>
      <c r="Y104" s="1"/>
      <c r="Z104" s="40" t="s">
        <v>59</v>
      </c>
      <c r="AA104">
        <v>168</v>
      </c>
      <c r="AB104">
        <v>1</v>
      </c>
      <c r="AC104" s="1"/>
      <c r="AD104" s="40"/>
      <c r="AE104" s="1"/>
      <c r="AF104" s="1"/>
      <c r="AG104" s="1"/>
      <c r="AH104" s="40"/>
      <c r="AI104" s="1"/>
      <c r="AJ104" s="40">
        <f>_xlfn.MAXIFS(_01towers[02tss.Rev],_01towers[05_id],_01towers[[#This Row],[05_id]])</f>
        <v>1</v>
      </c>
      <c r="AK104" s="40" t="b">
        <f>IF(_01towers[[#This Row],[Count Rev TSS]]=_01towers[[#This Row],[02tss.Rev]],TRUE,FALSE)</f>
        <v>1</v>
      </c>
      <c r="AL104" s="40">
        <f>_xlfn.MAXIFS(_01towers[10colo_app.Rev],_01towers[05_id],_01towers[[#This Row],[05_id]])</f>
        <v>1</v>
      </c>
      <c r="AM104" s="40" t="b">
        <f>IF(_01towers[[#This Row],[Count Rev Colo App]]=_01towers[[#This Row],[10colo_app.Rev]],TRUE,FALSE)</f>
        <v>1</v>
      </c>
      <c r="AN104" s="40" t="b">
        <f>IF(AND(_01towers[[#This Row],[Test Rev Colo]]=TRUE,_01towers[[#This Row],[Test Rev TSS]]=TRUE),TRUE,FALSE)</f>
        <v>1</v>
      </c>
      <c r="AO104" s="40" t="str">
        <f>IF(_01towers[[#This Row],[Test Active]]=TRUE,_01towers[[#This Row],[Prevalidation Status]],"")</f>
        <v>Commercial Approval Requested</v>
      </c>
      <c r="AP104" s="40" t="str">
        <f>IF(_01towers[[#This Row],[Active Prevalidation Status]]="Under Prevalidation",
IF(M104="","Review",M104),"")</f>
        <v/>
      </c>
      <c r="AQ104" s="40" t="str">
        <f>IF(_01towers[[#This Row],[Active Prevalidation Status]]="Under Prevalidation",
IF(N104="","Review",N104),"")</f>
        <v/>
      </c>
      <c r="AR104" s="40" t="str">
        <f>IF(_01towers[[#This Row],[Active Prevalidation Status]]="Under Prevalidation",
IF(O104="","Review",O104),"")</f>
        <v/>
      </c>
      <c r="AS104" s="40" t="str">
        <f>IF(_01towers[[#This Row],[Active Prevalidation Status]]="Under Prevalidation",
IF(P104="","Review",P104),"")</f>
        <v/>
      </c>
      <c r="AT104" s="40" t="str">
        <f>IF(_01towers[[#This Row],[Active Prevalidation Status]]="Under Prevalidation",
IF(Q104="","Review",Q104),"")</f>
        <v/>
      </c>
      <c r="AU104" s="40" t="str">
        <f>IF(_01towers[[#This Row],[Active Prevalidation Status]]="Under Prevalidation",
IF(R104="","Review",R104),"")</f>
        <v/>
      </c>
      <c r="AV104" s="40">
        <f>COUNTIF(_01towers[[#This Row],[SAQ_Result2]:[Community_Result2]],"OK")</f>
        <v>0</v>
      </c>
      <c r="AW104" s="1" t="str">
        <f>IF(AND(OR(_01towers[[#This Row],[Active Prevalidation Status]]="Under Prevalidation",_01towers[[#This Row],[Active Prevalidation Status]]="Prevalidated"),_01towers[[#This Row],[02tss.TSSR_From_Engineer]]&gt;0),"Submitted","")</f>
        <v/>
      </c>
      <c r="AX104" s="40" t="str">
        <f>IF(OR(_01towers[[#This Row],[Active Prevalidation Status]]="Under Prevalidation",_01towers[[#This Row],[Active Prevalidation Status]]="Prevalidated"),_01towers[[#This Row],[02tss.TSS_Result]],"")</f>
        <v/>
      </c>
      <c r="AY104" s="40" t="str">
        <f>IF(AND(_01towers[[#This Row],[Active TSS Result]]="Approved",_01towers[[#This Row],[Active Prevalidation Status]]="Prevalidated"),"In Process","")</f>
        <v/>
      </c>
      <c r="AZ104" s="40" t="str">
        <f>IF(AND(_01towers[[#This Row],[Active TSS Result]]="Approved",_01towers[[#This Row],[Active Prevalidation Status]]="Prevalidated"),_01towers[[#This Row],[10colo_app.Colo_App_Result]],"")</f>
        <v/>
      </c>
      <c r="BA104" s="40">
        <f>COUNTIF(_20work_order[05_id],_01towers[[#This Row],[05_id]])</f>
        <v>0</v>
      </c>
      <c r="BB104" s="40">
        <f>COUNTIFS(_20work_order[05_id],_01towers[[#This Row],[05_id]],_20work_order[Actual_End],"&gt;0")</f>
        <v>0</v>
      </c>
      <c r="BC104" s="40" t="str">
        <f>IF(_01towers[[#This Row],[Completed Work Orders]]&gt;0,"Work Completed",
IF(_01towers[[#This Row],[Count Work Orders]]&gt;0,"Work in Progress",""))</f>
        <v/>
      </c>
      <c r="BD10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04" s="40" t="str">
        <f>_xlfn.SWITCH(_01towers[[#This Row],[Final Colo Status full]],"Commercial Approval Requested","Under Prevalidation",_01towers[[#This Row],[Final Colo Status full]])</f>
        <v>Under Prevalidation</v>
      </c>
    </row>
    <row r="105" spans="1:57" x14ac:dyDescent="0.35">
      <c r="A105" s="40" t="s">
        <v>281</v>
      </c>
      <c r="B105" s="40" t="s">
        <v>90</v>
      </c>
      <c r="C105" s="40" t="s">
        <v>51</v>
      </c>
      <c r="D105">
        <v>35</v>
      </c>
      <c r="E105" s="40" t="s">
        <v>98</v>
      </c>
      <c r="F105">
        <v>96.162769999999995</v>
      </c>
      <c r="G105">
        <v>16.990829999999999</v>
      </c>
      <c r="H105" s="40" t="s">
        <v>143</v>
      </c>
      <c r="I105">
        <v>104</v>
      </c>
      <c r="J105" s="40" t="s">
        <v>605</v>
      </c>
      <c r="K105" s="40" t="s">
        <v>136</v>
      </c>
      <c r="L105" s="40" t="s">
        <v>56</v>
      </c>
      <c r="M105" s="40" t="s">
        <v>57</v>
      </c>
      <c r="N105" s="40" t="s">
        <v>57</v>
      </c>
      <c r="O105" s="40" t="s">
        <v>58</v>
      </c>
      <c r="P105" s="40" t="s">
        <v>57</v>
      </c>
      <c r="Q105" s="40" t="s">
        <v>57</v>
      </c>
      <c r="R105" s="40" t="s">
        <v>57</v>
      </c>
      <c r="S105">
        <v>168</v>
      </c>
      <c r="T105">
        <v>1</v>
      </c>
      <c r="U105" s="1"/>
      <c r="V105" s="1"/>
      <c r="W105" s="1"/>
      <c r="X105" s="1"/>
      <c r="Y105" s="1"/>
      <c r="Z105" s="40"/>
      <c r="AA105">
        <v>167</v>
      </c>
      <c r="AB105">
        <v>1</v>
      </c>
      <c r="AC105" s="1"/>
      <c r="AD105" s="40"/>
      <c r="AE105" s="1"/>
      <c r="AF105" s="1"/>
      <c r="AG105" s="1"/>
      <c r="AH105" s="40"/>
      <c r="AI105" s="1"/>
      <c r="AJ105" s="40">
        <f>_xlfn.MAXIFS(_01towers[02tss.Rev],_01towers[05_id],_01towers[[#This Row],[05_id]])</f>
        <v>1</v>
      </c>
      <c r="AK105" s="40" t="b">
        <f>IF(_01towers[[#This Row],[Count Rev TSS]]=_01towers[[#This Row],[02tss.Rev]],TRUE,FALSE)</f>
        <v>1</v>
      </c>
      <c r="AL105" s="40">
        <f>_xlfn.MAXIFS(_01towers[10colo_app.Rev],_01towers[05_id],_01towers[[#This Row],[05_id]])</f>
        <v>1</v>
      </c>
      <c r="AM105" s="40" t="b">
        <f>IF(_01towers[[#This Row],[Count Rev Colo App]]=_01towers[[#This Row],[10colo_app.Rev]],TRUE,FALSE)</f>
        <v>1</v>
      </c>
      <c r="AN105" s="40" t="b">
        <f>IF(AND(_01towers[[#This Row],[Test Rev Colo]]=TRUE,_01towers[[#This Row],[Test Rev TSS]]=TRUE),TRUE,FALSE)</f>
        <v>1</v>
      </c>
      <c r="AO105" s="40" t="str">
        <f>IF(_01towers[[#This Row],[Test Active]]=TRUE,_01towers[[#This Row],[Prevalidation Status]],"")</f>
        <v>Commercial Approval Requested</v>
      </c>
      <c r="AP105" s="40" t="str">
        <f>IF(_01towers[[#This Row],[Active Prevalidation Status]]="Under Prevalidation",
IF(M105="","Review",M105),"")</f>
        <v/>
      </c>
      <c r="AQ105" s="40" t="str">
        <f>IF(_01towers[[#This Row],[Active Prevalidation Status]]="Under Prevalidation",
IF(N105="","Review",N105),"")</f>
        <v/>
      </c>
      <c r="AR105" s="40" t="str">
        <f>IF(_01towers[[#This Row],[Active Prevalidation Status]]="Under Prevalidation",
IF(O105="","Review",O105),"")</f>
        <v/>
      </c>
      <c r="AS105" s="40" t="str">
        <f>IF(_01towers[[#This Row],[Active Prevalidation Status]]="Under Prevalidation",
IF(P105="","Review",P105),"")</f>
        <v/>
      </c>
      <c r="AT105" s="40" t="str">
        <f>IF(_01towers[[#This Row],[Active Prevalidation Status]]="Under Prevalidation",
IF(Q105="","Review",Q105),"")</f>
        <v/>
      </c>
      <c r="AU105" s="40" t="str">
        <f>IF(_01towers[[#This Row],[Active Prevalidation Status]]="Under Prevalidation",
IF(R105="","Review",R105),"")</f>
        <v/>
      </c>
      <c r="AV105" s="40">
        <f>COUNTIF(_01towers[[#This Row],[SAQ_Result2]:[Community_Result2]],"OK")</f>
        <v>0</v>
      </c>
      <c r="AW105" s="1" t="str">
        <f>IF(AND(OR(_01towers[[#This Row],[Active Prevalidation Status]]="Under Prevalidation",_01towers[[#This Row],[Active Prevalidation Status]]="Prevalidated"),_01towers[[#This Row],[02tss.TSSR_From_Engineer]]&gt;0),"Submitted","")</f>
        <v/>
      </c>
      <c r="AX105" s="40" t="str">
        <f>IF(OR(_01towers[[#This Row],[Active Prevalidation Status]]="Under Prevalidation",_01towers[[#This Row],[Active Prevalidation Status]]="Prevalidated"),_01towers[[#This Row],[02tss.TSS_Result]],"")</f>
        <v/>
      </c>
      <c r="AY105" s="40" t="str">
        <f>IF(AND(_01towers[[#This Row],[Active TSS Result]]="Approved",_01towers[[#This Row],[Active Prevalidation Status]]="Prevalidated"),"In Process","")</f>
        <v/>
      </c>
      <c r="AZ105" s="40" t="str">
        <f>IF(AND(_01towers[[#This Row],[Active TSS Result]]="Approved",_01towers[[#This Row],[Active Prevalidation Status]]="Prevalidated"),_01towers[[#This Row],[10colo_app.Colo_App_Result]],"")</f>
        <v/>
      </c>
      <c r="BA105" s="40">
        <f>COUNTIF(_20work_order[05_id],_01towers[[#This Row],[05_id]])</f>
        <v>0</v>
      </c>
      <c r="BB105" s="40">
        <f>COUNTIFS(_20work_order[05_id],_01towers[[#This Row],[05_id]],_20work_order[Actual_End],"&gt;0")</f>
        <v>0</v>
      </c>
      <c r="BC105" s="40" t="str">
        <f>IF(_01towers[[#This Row],[Completed Work Orders]]&gt;0,"Work Completed",
IF(_01towers[[#This Row],[Count Work Orders]]&gt;0,"Work in Progress",""))</f>
        <v/>
      </c>
      <c r="BD10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05" s="40" t="str">
        <f>_xlfn.SWITCH(_01towers[[#This Row],[Final Colo Status full]],"Commercial Approval Requested","Under Prevalidation",_01towers[[#This Row],[Final Colo Status full]])</f>
        <v>Under Prevalidation</v>
      </c>
    </row>
    <row r="106" spans="1:57" hidden="1" x14ac:dyDescent="0.35">
      <c r="A106" s="40" t="s">
        <v>282</v>
      </c>
      <c r="B106" s="40" t="s">
        <v>90</v>
      </c>
      <c r="C106" s="40" t="s">
        <v>51</v>
      </c>
      <c r="D106">
        <v>35</v>
      </c>
      <c r="E106" s="40" t="s">
        <v>98</v>
      </c>
      <c r="F106">
        <v>96.116069999999993</v>
      </c>
      <c r="G106">
        <v>16.886189999999999</v>
      </c>
      <c r="H106" s="40" t="s">
        <v>150</v>
      </c>
      <c r="I106">
        <v>105</v>
      </c>
      <c r="J106" s="40" t="s">
        <v>283</v>
      </c>
      <c r="K106" s="40" t="s">
        <v>136</v>
      </c>
      <c r="L106" s="40" t="s">
        <v>64</v>
      </c>
      <c r="M106" s="40" t="s">
        <v>57</v>
      </c>
      <c r="N106" s="40" t="s">
        <v>57</v>
      </c>
      <c r="O106" s="40" t="s">
        <v>57</v>
      </c>
      <c r="P106" s="40" t="s">
        <v>57</v>
      </c>
      <c r="Q106" s="40" t="s">
        <v>57</v>
      </c>
      <c r="R106" s="40" t="s">
        <v>57</v>
      </c>
      <c r="S106">
        <v>176</v>
      </c>
      <c r="T106">
        <v>1</v>
      </c>
      <c r="U106" s="1">
        <v>43263</v>
      </c>
      <c r="V106" s="1">
        <v>43265</v>
      </c>
      <c r="W106" s="1">
        <v>43268</v>
      </c>
      <c r="X106" s="1">
        <v>43268</v>
      </c>
      <c r="Y106" s="1"/>
      <c r="Z106" s="40" t="s">
        <v>59</v>
      </c>
      <c r="AA106">
        <v>175</v>
      </c>
      <c r="AB106">
        <v>1</v>
      </c>
      <c r="AC106" s="1">
        <v>43279</v>
      </c>
      <c r="AD106" s="40" t="s">
        <v>570</v>
      </c>
      <c r="AE106" s="1"/>
      <c r="AF106" s="1"/>
      <c r="AG106" s="1"/>
      <c r="AH106" s="40"/>
      <c r="AI106" s="1"/>
      <c r="AJ106" s="40">
        <f>_xlfn.MAXIFS(_01towers[02tss.Rev],_01towers[05_id],_01towers[[#This Row],[05_id]])</f>
        <v>1</v>
      </c>
      <c r="AK106" s="40" t="b">
        <f>IF(_01towers[[#This Row],[Count Rev TSS]]=_01towers[[#This Row],[02tss.Rev]],TRUE,FALSE)</f>
        <v>1</v>
      </c>
      <c r="AL106" s="40">
        <f>_xlfn.MAXIFS(_01towers[10colo_app.Rev],_01towers[05_id],_01towers[[#This Row],[05_id]])</f>
        <v>1</v>
      </c>
      <c r="AM106" s="40" t="b">
        <f>IF(_01towers[[#This Row],[Count Rev Colo App]]=_01towers[[#This Row],[10colo_app.Rev]],TRUE,FALSE)</f>
        <v>1</v>
      </c>
      <c r="AN106" s="40" t="b">
        <f>IF(AND(_01towers[[#This Row],[Test Rev Colo]]=TRUE,_01towers[[#This Row],[Test Rev TSS]]=TRUE),TRUE,FALSE)</f>
        <v>1</v>
      </c>
      <c r="AO106" s="40" t="str">
        <f>IF(_01towers[[#This Row],[Test Active]]=TRUE,_01towers[[#This Row],[Prevalidation Status]],"")</f>
        <v>Prevalidated</v>
      </c>
      <c r="AP106" s="40" t="str">
        <f>IF(_01towers[[#This Row],[Active Prevalidation Status]]="Under Prevalidation",
IF(M106="","Review",M106),"")</f>
        <v/>
      </c>
      <c r="AQ106" s="40" t="str">
        <f>IF(_01towers[[#This Row],[Active Prevalidation Status]]="Under Prevalidation",
IF(N106="","Review",N106),"")</f>
        <v/>
      </c>
      <c r="AR106" s="40" t="str">
        <f>IF(_01towers[[#This Row],[Active Prevalidation Status]]="Under Prevalidation",
IF(O106="","Review",O106),"")</f>
        <v/>
      </c>
      <c r="AS106" s="40" t="str">
        <f>IF(_01towers[[#This Row],[Active Prevalidation Status]]="Under Prevalidation",
IF(P106="","Review",P106),"")</f>
        <v/>
      </c>
      <c r="AT106" s="40" t="str">
        <f>IF(_01towers[[#This Row],[Active Prevalidation Status]]="Under Prevalidation",
IF(Q106="","Review",Q106),"")</f>
        <v/>
      </c>
      <c r="AU106" s="40" t="str">
        <f>IF(_01towers[[#This Row],[Active Prevalidation Status]]="Under Prevalidation",
IF(R106="","Review",R106),"")</f>
        <v/>
      </c>
      <c r="AV106" s="40">
        <f>COUNTIF(_01towers[[#This Row],[SAQ_Result2]:[Community_Result2]],"OK")</f>
        <v>0</v>
      </c>
      <c r="AW106" s="1" t="str">
        <f>IF(AND(OR(_01towers[[#This Row],[Active Prevalidation Status]]="Under Prevalidation",_01towers[[#This Row],[Active Prevalidation Status]]="Prevalidated"),_01towers[[#This Row],[02tss.TSSR_From_Engineer]]&gt;0),"Submitted","")</f>
        <v>Submitted</v>
      </c>
      <c r="AX106" s="40" t="str">
        <f>IF(OR(_01towers[[#This Row],[Active Prevalidation Status]]="Under Prevalidation",_01towers[[#This Row],[Active Prevalidation Status]]="Prevalidated"),_01towers[[#This Row],[02tss.TSS_Result]],"")</f>
        <v>Approved</v>
      </c>
      <c r="AY106" s="40" t="str">
        <f>IF(AND(_01towers[[#This Row],[Active TSS Result]]="Approved",_01towers[[#This Row],[Active Prevalidation Status]]="Prevalidated"),"In Process","")</f>
        <v>In Process</v>
      </c>
      <c r="AZ106" s="40" t="str">
        <f>IF(AND(_01towers[[#This Row],[Active TSS Result]]="Approved",_01towers[[#This Row],[Active Prevalidation Status]]="Prevalidated"),_01towers[[#This Row],[10colo_app.Colo_App_Result]],"")</f>
        <v>NTP Received</v>
      </c>
      <c r="BA106" s="40">
        <f>COUNTIF(_20work_order[05_id],_01towers[[#This Row],[05_id]])</f>
        <v>0</v>
      </c>
      <c r="BB106" s="40">
        <f>COUNTIFS(_20work_order[05_id],_01towers[[#This Row],[05_id]],_20work_order[Actual_End],"&gt;0")</f>
        <v>0</v>
      </c>
      <c r="BC106" s="40" t="str">
        <f>IF(_01towers[[#This Row],[Completed Work Orders]]&gt;0,"Work Completed",
IF(_01towers[[#This Row],[Count Work Orders]]&gt;0,"Work in Progress",""))</f>
        <v/>
      </c>
      <c r="BD10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106" s="40" t="str">
        <f>_xlfn.SWITCH(_01towers[[#This Row],[Final Colo Status full]],"Commercial Approval Requested","Under Prevalidation",_01towers[[#This Row],[Final Colo Status full]])</f>
        <v>NTP Received</v>
      </c>
    </row>
    <row r="107" spans="1:57" hidden="1" x14ac:dyDescent="0.35">
      <c r="A107" s="40" t="s">
        <v>284</v>
      </c>
      <c r="B107" s="40" t="s">
        <v>90</v>
      </c>
      <c r="C107" s="40" t="s">
        <v>82</v>
      </c>
      <c r="D107">
        <v>6</v>
      </c>
      <c r="E107" s="40" t="s">
        <v>98</v>
      </c>
      <c r="F107">
        <v>96.117804000000007</v>
      </c>
      <c r="G107">
        <v>16.881150000000002</v>
      </c>
      <c r="H107" s="40" t="s">
        <v>53</v>
      </c>
      <c r="I107">
        <v>106</v>
      </c>
      <c r="J107" s="40" t="s">
        <v>211</v>
      </c>
      <c r="K107" s="40" t="s">
        <v>136</v>
      </c>
      <c r="L107" s="40" t="s">
        <v>74</v>
      </c>
      <c r="M107" s="40" t="s">
        <v>57</v>
      </c>
      <c r="N107" s="40"/>
      <c r="O107" s="40" t="s">
        <v>58</v>
      </c>
      <c r="P107" s="40"/>
      <c r="Q107" s="40"/>
      <c r="R107" s="40" t="s">
        <v>75</v>
      </c>
      <c r="S107">
        <v>126</v>
      </c>
      <c r="T107">
        <v>1</v>
      </c>
      <c r="U107" s="1"/>
      <c r="V107" s="1"/>
      <c r="W107" s="1"/>
      <c r="X107" s="1"/>
      <c r="Y107" s="1"/>
      <c r="Z107" s="40"/>
      <c r="AA107">
        <v>125</v>
      </c>
      <c r="AB107">
        <v>1</v>
      </c>
      <c r="AC107" s="1"/>
      <c r="AD107" s="40"/>
      <c r="AE107" s="1"/>
      <c r="AF107" s="1"/>
      <c r="AG107" s="1"/>
      <c r="AH107" s="40"/>
      <c r="AI107" s="1"/>
      <c r="AJ107" s="40">
        <f>_xlfn.MAXIFS(_01towers[02tss.Rev],_01towers[05_id],_01towers[[#This Row],[05_id]])</f>
        <v>1</v>
      </c>
      <c r="AK107" s="40" t="b">
        <f>IF(_01towers[[#This Row],[Count Rev TSS]]=_01towers[[#This Row],[02tss.Rev]],TRUE,FALSE)</f>
        <v>1</v>
      </c>
      <c r="AL107" s="40">
        <f>_xlfn.MAXIFS(_01towers[10colo_app.Rev],_01towers[05_id],_01towers[[#This Row],[05_id]])</f>
        <v>1</v>
      </c>
      <c r="AM107" s="40" t="b">
        <f>IF(_01towers[[#This Row],[Count Rev Colo App]]=_01towers[[#This Row],[10colo_app.Rev]],TRUE,FALSE)</f>
        <v>1</v>
      </c>
      <c r="AN107" s="40" t="b">
        <f>IF(AND(_01towers[[#This Row],[Test Rev Colo]]=TRUE,_01towers[[#This Row],[Test Rev TSS]]=TRUE),TRUE,FALSE)</f>
        <v>1</v>
      </c>
      <c r="AO107" s="40" t="str">
        <f>IF(_01towers[[#This Row],[Test Active]]=TRUE,_01towers[[#This Row],[Prevalidation Status]],"")</f>
        <v>Prevalidation Rejected</v>
      </c>
      <c r="AP107" s="40" t="str">
        <f>IF(_01towers[[#This Row],[Active Prevalidation Status]]="Under Prevalidation",
IF(M107="","Review",M107),"")</f>
        <v/>
      </c>
      <c r="AQ107" s="40" t="str">
        <f>IF(_01towers[[#This Row],[Active Prevalidation Status]]="Under Prevalidation",
IF(N107="","Review",N107),"")</f>
        <v/>
      </c>
      <c r="AR107" s="40" t="str">
        <f>IF(_01towers[[#This Row],[Active Prevalidation Status]]="Under Prevalidation",
IF(O107="","Review",O107),"")</f>
        <v/>
      </c>
      <c r="AS107" s="40" t="str">
        <f>IF(_01towers[[#This Row],[Active Prevalidation Status]]="Under Prevalidation",
IF(P107="","Review",P107),"")</f>
        <v/>
      </c>
      <c r="AT107" s="40" t="str">
        <f>IF(_01towers[[#This Row],[Active Prevalidation Status]]="Under Prevalidation",
IF(Q107="","Review",Q107),"")</f>
        <v/>
      </c>
      <c r="AU107" s="40" t="str">
        <f>IF(_01towers[[#This Row],[Active Prevalidation Status]]="Under Prevalidation",
IF(R107="","Review",R107),"")</f>
        <v/>
      </c>
      <c r="AV107" s="40">
        <f>COUNTIF(_01towers[[#This Row],[SAQ_Result2]:[Community_Result2]],"OK")</f>
        <v>0</v>
      </c>
      <c r="AW107" s="1" t="str">
        <f>IF(AND(OR(_01towers[[#This Row],[Active Prevalidation Status]]="Under Prevalidation",_01towers[[#This Row],[Active Prevalidation Status]]="Prevalidated"),_01towers[[#This Row],[02tss.TSSR_From_Engineer]]&gt;0),"Submitted","")</f>
        <v/>
      </c>
      <c r="AX107" s="40" t="str">
        <f>IF(OR(_01towers[[#This Row],[Active Prevalidation Status]]="Under Prevalidation",_01towers[[#This Row],[Active Prevalidation Status]]="Prevalidated"),_01towers[[#This Row],[02tss.TSS_Result]],"")</f>
        <v/>
      </c>
      <c r="AY107" s="40" t="str">
        <f>IF(AND(_01towers[[#This Row],[Active TSS Result]]="Approved",_01towers[[#This Row],[Active Prevalidation Status]]="Prevalidated"),"In Process","")</f>
        <v/>
      </c>
      <c r="AZ107" s="40" t="str">
        <f>IF(AND(_01towers[[#This Row],[Active TSS Result]]="Approved",_01towers[[#This Row],[Active Prevalidation Status]]="Prevalidated"),_01towers[[#This Row],[10colo_app.Colo_App_Result]],"")</f>
        <v/>
      </c>
      <c r="BA107" s="40">
        <f>COUNTIF(_20work_order[05_id],_01towers[[#This Row],[05_id]])</f>
        <v>0</v>
      </c>
      <c r="BB107" s="40">
        <f>COUNTIFS(_20work_order[05_id],_01towers[[#This Row],[05_id]],_20work_order[Actual_End],"&gt;0")</f>
        <v>0</v>
      </c>
      <c r="BC107" s="40" t="str">
        <f>IF(_01towers[[#This Row],[Completed Work Orders]]&gt;0,"Work Completed",
IF(_01towers[[#This Row],[Count Work Orders]]&gt;0,"Work in Progress",""))</f>
        <v/>
      </c>
      <c r="BD10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07" s="40" t="str">
        <f>_xlfn.SWITCH(_01towers[[#This Row],[Final Colo Status full]],"Commercial Approval Requested","Under Prevalidation",_01towers[[#This Row],[Final Colo Status full]])</f>
        <v>Prevalidation Rejected</v>
      </c>
    </row>
    <row r="108" spans="1:57" hidden="1" x14ac:dyDescent="0.35">
      <c r="A108" s="40" t="s">
        <v>285</v>
      </c>
      <c r="B108" s="40" t="s">
        <v>85</v>
      </c>
      <c r="C108" s="40" t="s">
        <v>51</v>
      </c>
      <c r="D108">
        <v>45</v>
      </c>
      <c r="E108" s="40" t="s">
        <v>175</v>
      </c>
      <c r="F108">
        <v>96.368179999999995</v>
      </c>
      <c r="G108">
        <v>19.033850000000001</v>
      </c>
      <c r="H108" s="40" t="s">
        <v>53</v>
      </c>
      <c r="I108">
        <v>107</v>
      </c>
      <c r="J108" s="40" t="s">
        <v>286</v>
      </c>
      <c r="K108" s="40" t="s">
        <v>136</v>
      </c>
      <c r="L108" s="40" t="s">
        <v>64</v>
      </c>
      <c r="M108" s="40" t="s">
        <v>57</v>
      </c>
      <c r="N108" s="40" t="s">
        <v>57</v>
      </c>
      <c r="O108" s="40" t="s">
        <v>57</v>
      </c>
      <c r="P108" s="40" t="s">
        <v>57</v>
      </c>
      <c r="Q108" s="40" t="s">
        <v>57</v>
      </c>
      <c r="R108" s="40" t="s">
        <v>57</v>
      </c>
      <c r="S108">
        <v>24</v>
      </c>
      <c r="T108">
        <v>1</v>
      </c>
      <c r="U108" s="1">
        <v>43266</v>
      </c>
      <c r="V108" s="1"/>
      <c r="W108" s="1"/>
      <c r="X108" s="1"/>
      <c r="Y108" s="1"/>
      <c r="Z108" s="40"/>
      <c r="AA108">
        <v>24</v>
      </c>
      <c r="AB108">
        <v>1</v>
      </c>
      <c r="AC108" s="1"/>
      <c r="AD108" s="40"/>
      <c r="AE108" s="1">
        <v>43237</v>
      </c>
      <c r="AF108" s="1"/>
      <c r="AG108" s="1"/>
      <c r="AH108" s="40"/>
      <c r="AI108" s="1"/>
      <c r="AJ108" s="40">
        <f>_xlfn.MAXIFS(_01towers[02tss.Rev],_01towers[05_id],_01towers[[#This Row],[05_id]])</f>
        <v>1</v>
      </c>
      <c r="AK108" s="40" t="b">
        <f>IF(_01towers[[#This Row],[Count Rev TSS]]=_01towers[[#This Row],[02tss.Rev]],TRUE,FALSE)</f>
        <v>1</v>
      </c>
      <c r="AL108" s="40">
        <f>_xlfn.MAXIFS(_01towers[10colo_app.Rev],_01towers[05_id],_01towers[[#This Row],[05_id]])</f>
        <v>1</v>
      </c>
      <c r="AM108" s="40" t="b">
        <f>IF(_01towers[[#This Row],[Count Rev Colo App]]=_01towers[[#This Row],[10colo_app.Rev]],TRUE,FALSE)</f>
        <v>1</v>
      </c>
      <c r="AN108" s="40" t="b">
        <f>IF(AND(_01towers[[#This Row],[Test Rev Colo]]=TRUE,_01towers[[#This Row],[Test Rev TSS]]=TRUE),TRUE,FALSE)</f>
        <v>1</v>
      </c>
      <c r="AO108" s="40" t="str">
        <f>IF(_01towers[[#This Row],[Test Active]]=TRUE,_01towers[[#This Row],[Prevalidation Status]],"")</f>
        <v>Prevalidated</v>
      </c>
      <c r="AP108" s="40" t="str">
        <f>IF(_01towers[[#This Row],[Active Prevalidation Status]]="Under Prevalidation",
IF(M108="","Review",M108),"")</f>
        <v/>
      </c>
      <c r="AQ108" s="40" t="str">
        <f>IF(_01towers[[#This Row],[Active Prevalidation Status]]="Under Prevalidation",
IF(N108="","Review",N108),"")</f>
        <v/>
      </c>
      <c r="AR108" s="40" t="str">
        <f>IF(_01towers[[#This Row],[Active Prevalidation Status]]="Under Prevalidation",
IF(O108="","Review",O108),"")</f>
        <v/>
      </c>
      <c r="AS108" s="40" t="str">
        <f>IF(_01towers[[#This Row],[Active Prevalidation Status]]="Under Prevalidation",
IF(P108="","Review",P108),"")</f>
        <v/>
      </c>
      <c r="AT108" s="40" t="str">
        <f>IF(_01towers[[#This Row],[Active Prevalidation Status]]="Under Prevalidation",
IF(Q108="","Review",Q108),"")</f>
        <v/>
      </c>
      <c r="AU108" s="40" t="str">
        <f>IF(_01towers[[#This Row],[Active Prevalidation Status]]="Under Prevalidation",
IF(R108="","Review",R108),"")</f>
        <v/>
      </c>
      <c r="AV108" s="40">
        <f>COUNTIF(_01towers[[#This Row],[SAQ_Result2]:[Community_Result2]],"OK")</f>
        <v>0</v>
      </c>
      <c r="AW108" s="1" t="str">
        <f>IF(AND(OR(_01towers[[#This Row],[Active Prevalidation Status]]="Under Prevalidation",_01towers[[#This Row],[Active Prevalidation Status]]="Prevalidated"),_01towers[[#This Row],[02tss.TSSR_From_Engineer]]&gt;0),"Submitted","")</f>
        <v/>
      </c>
      <c r="AX108" s="40">
        <f>IF(OR(_01towers[[#This Row],[Active Prevalidation Status]]="Under Prevalidation",_01towers[[#This Row],[Active Prevalidation Status]]="Prevalidated"),_01towers[[#This Row],[02tss.TSS_Result]],"")</f>
        <v>0</v>
      </c>
      <c r="AY108" s="40" t="str">
        <f>IF(AND(_01towers[[#This Row],[Active TSS Result]]="Approved",_01towers[[#This Row],[Active Prevalidation Status]]="Prevalidated"),"In Process","")</f>
        <v/>
      </c>
      <c r="AZ108" s="40" t="str">
        <f>IF(AND(_01towers[[#This Row],[Active TSS Result]]="Approved",_01towers[[#This Row],[Active Prevalidation Status]]="Prevalidated"),_01towers[[#This Row],[10colo_app.Colo_App_Result]],"")</f>
        <v/>
      </c>
      <c r="BA108" s="40">
        <f>COUNTIF(_20work_order[05_id],_01towers[[#This Row],[05_id]])</f>
        <v>1</v>
      </c>
      <c r="BB108" s="40">
        <f>COUNTIFS(_20work_order[05_id],_01towers[[#This Row],[05_id]],_20work_order[Actual_End],"&gt;0")</f>
        <v>1</v>
      </c>
      <c r="BC108" s="40" t="str">
        <f>IF(_01towers[[#This Row],[Completed Work Orders]]&gt;0,"Work Completed",
IF(_01towers[[#This Row],[Count Work Orders]]&gt;0,"Work in Progress",""))</f>
        <v>Work Completed</v>
      </c>
      <c r="BD10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08" s="40" t="str">
        <f>_xlfn.SWITCH(_01towers[[#This Row],[Final Colo Status full]],"Commercial Approval Requested","Under Prevalidation",_01towers[[#This Row],[Final Colo Status full]])</f>
        <v>Prevalidated - TSSR in Process</v>
      </c>
    </row>
    <row r="109" spans="1:57" hidden="1" x14ac:dyDescent="0.35">
      <c r="A109" s="40" t="s">
        <v>287</v>
      </c>
      <c r="B109" s="40" t="s">
        <v>90</v>
      </c>
      <c r="C109" s="40" t="s">
        <v>51</v>
      </c>
      <c r="D109">
        <v>60</v>
      </c>
      <c r="E109" s="40" t="s">
        <v>94</v>
      </c>
      <c r="F109">
        <v>96.897360000000006</v>
      </c>
      <c r="G109">
        <v>17.519970000000001</v>
      </c>
      <c r="H109" s="40" t="s">
        <v>62</v>
      </c>
      <c r="I109">
        <v>108</v>
      </c>
      <c r="J109" s="40" t="s">
        <v>288</v>
      </c>
      <c r="K109" s="40" t="s">
        <v>136</v>
      </c>
      <c r="L109" s="40" t="s">
        <v>64</v>
      </c>
      <c r="M109" s="40" t="s">
        <v>57</v>
      </c>
      <c r="N109" s="40" t="s">
        <v>57</v>
      </c>
      <c r="O109" s="40" t="s">
        <v>57</v>
      </c>
      <c r="P109" s="40" t="s">
        <v>57</v>
      </c>
      <c r="Q109" s="40" t="s">
        <v>57</v>
      </c>
      <c r="R109" s="40" t="s">
        <v>57</v>
      </c>
      <c r="S109">
        <v>116</v>
      </c>
      <c r="T109">
        <v>1</v>
      </c>
      <c r="U109" s="1">
        <v>43271</v>
      </c>
      <c r="V109" s="1"/>
      <c r="W109" s="1"/>
      <c r="X109" s="1"/>
      <c r="Y109" s="1"/>
      <c r="Z109" s="40"/>
      <c r="AA109">
        <v>115</v>
      </c>
      <c r="AB109">
        <v>1</v>
      </c>
      <c r="AC109" s="1"/>
      <c r="AD109" s="40"/>
      <c r="AE109" s="1"/>
      <c r="AF109" s="1"/>
      <c r="AG109" s="1"/>
      <c r="AH109" s="40"/>
      <c r="AI109" s="1"/>
      <c r="AJ109" s="40">
        <f>_xlfn.MAXIFS(_01towers[02tss.Rev],_01towers[05_id],_01towers[[#This Row],[05_id]])</f>
        <v>1</v>
      </c>
      <c r="AK109" s="40" t="b">
        <f>IF(_01towers[[#This Row],[Count Rev TSS]]=_01towers[[#This Row],[02tss.Rev]],TRUE,FALSE)</f>
        <v>1</v>
      </c>
      <c r="AL109" s="40">
        <f>_xlfn.MAXIFS(_01towers[10colo_app.Rev],_01towers[05_id],_01towers[[#This Row],[05_id]])</f>
        <v>1</v>
      </c>
      <c r="AM109" s="40" t="b">
        <f>IF(_01towers[[#This Row],[Count Rev Colo App]]=_01towers[[#This Row],[10colo_app.Rev]],TRUE,FALSE)</f>
        <v>1</v>
      </c>
      <c r="AN109" s="40" t="b">
        <f>IF(AND(_01towers[[#This Row],[Test Rev Colo]]=TRUE,_01towers[[#This Row],[Test Rev TSS]]=TRUE),TRUE,FALSE)</f>
        <v>1</v>
      </c>
      <c r="AO109" s="40" t="str">
        <f>IF(_01towers[[#This Row],[Test Active]]=TRUE,_01towers[[#This Row],[Prevalidation Status]],"")</f>
        <v>Prevalidated</v>
      </c>
      <c r="AP109" s="40" t="str">
        <f>IF(_01towers[[#This Row],[Active Prevalidation Status]]="Under Prevalidation",
IF(M109="","Review",M109),"")</f>
        <v/>
      </c>
      <c r="AQ109" s="40" t="str">
        <f>IF(_01towers[[#This Row],[Active Prevalidation Status]]="Under Prevalidation",
IF(N109="","Review",N109),"")</f>
        <v/>
      </c>
      <c r="AR109" s="40" t="str">
        <f>IF(_01towers[[#This Row],[Active Prevalidation Status]]="Under Prevalidation",
IF(O109="","Review",O109),"")</f>
        <v/>
      </c>
      <c r="AS109" s="40" t="str">
        <f>IF(_01towers[[#This Row],[Active Prevalidation Status]]="Under Prevalidation",
IF(P109="","Review",P109),"")</f>
        <v/>
      </c>
      <c r="AT109" s="40" t="str">
        <f>IF(_01towers[[#This Row],[Active Prevalidation Status]]="Under Prevalidation",
IF(Q109="","Review",Q109),"")</f>
        <v/>
      </c>
      <c r="AU109" s="40" t="str">
        <f>IF(_01towers[[#This Row],[Active Prevalidation Status]]="Under Prevalidation",
IF(R109="","Review",R109),"")</f>
        <v/>
      </c>
      <c r="AV109" s="40">
        <f>COUNTIF(_01towers[[#This Row],[SAQ_Result2]:[Community_Result2]],"OK")</f>
        <v>0</v>
      </c>
      <c r="AW109" s="1" t="str">
        <f>IF(AND(OR(_01towers[[#This Row],[Active Prevalidation Status]]="Under Prevalidation",_01towers[[#This Row],[Active Prevalidation Status]]="Prevalidated"),_01towers[[#This Row],[02tss.TSSR_From_Engineer]]&gt;0),"Submitted","")</f>
        <v/>
      </c>
      <c r="AX109" s="40">
        <f>IF(OR(_01towers[[#This Row],[Active Prevalidation Status]]="Under Prevalidation",_01towers[[#This Row],[Active Prevalidation Status]]="Prevalidated"),_01towers[[#This Row],[02tss.TSS_Result]],"")</f>
        <v>0</v>
      </c>
      <c r="AY109" s="40" t="str">
        <f>IF(AND(_01towers[[#This Row],[Active TSS Result]]="Approved",_01towers[[#This Row],[Active Prevalidation Status]]="Prevalidated"),"In Process","")</f>
        <v/>
      </c>
      <c r="AZ109" s="40" t="str">
        <f>IF(AND(_01towers[[#This Row],[Active TSS Result]]="Approved",_01towers[[#This Row],[Active Prevalidation Status]]="Prevalidated"),_01towers[[#This Row],[10colo_app.Colo_App_Result]],"")</f>
        <v/>
      </c>
      <c r="BA109" s="40">
        <f>COUNTIF(_20work_order[05_id],_01towers[[#This Row],[05_id]])</f>
        <v>1</v>
      </c>
      <c r="BB109" s="40">
        <f>COUNTIFS(_20work_order[05_id],_01towers[[#This Row],[05_id]],_20work_order[Actual_End],"&gt;0")</f>
        <v>1</v>
      </c>
      <c r="BC109" s="40" t="str">
        <f>IF(_01towers[[#This Row],[Completed Work Orders]]&gt;0,"Work Completed",
IF(_01towers[[#This Row],[Count Work Orders]]&gt;0,"Work in Progress",""))</f>
        <v>Work Completed</v>
      </c>
      <c r="BD10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09" s="40" t="str">
        <f>_xlfn.SWITCH(_01towers[[#This Row],[Final Colo Status full]],"Commercial Approval Requested","Under Prevalidation",_01towers[[#This Row],[Final Colo Status full]])</f>
        <v>Prevalidated - TSSR in Process</v>
      </c>
    </row>
    <row r="110" spans="1:57" hidden="1" x14ac:dyDescent="0.35">
      <c r="A110" s="40" t="s">
        <v>289</v>
      </c>
      <c r="B110" s="40" t="s">
        <v>90</v>
      </c>
      <c r="C110" s="40" t="s">
        <v>82</v>
      </c>
      <c r="D110">
        <v>9</v>
      </c>
      <c r="E110" s="40" t="s">
        <v>98</v>
      </c>
      <c r="F110">
        <v>96.087959999999995</v>
      </c>
      <c r="G110">
        <v>16.837140000000002</v>
      </c>
      <c r="H110" s="40" t="s">
        <v>53</v>
      </c>
      <c r="I110">
        <v>109</v>
      </c>
      <c r="J110" s="40" t="s">
        <v>290</v>
      </c>
      <c r="K110" s="40" t="s">
        <v>136</v>
      </c>
      <c r="L110" s="40" t="s">
        <v>74</v>
      </c>
      <c r="M110" s="40" t="s">
        <v>75</v>
      </c>
      <c r="N110" s="40"/>
      <c r="O110" s="40" t="s">
        <v>58</v>
      </c>
      <c r="P110" s="40"/>
      <c r="Q110" s="40"/>
      <c r="R110" s="40" t="s">
        <v>57</v>
      </c>
      <c r="S110">
        <v>140</v>
      </c>
      <c r="T110">
        <v>1</v>
      </c>
      <c r="U110" s="1"/>
      <c r="V110" s="1"/>
      <c r="W110" s="1"/>
      <c r="X110" s="1"/>
      <c r="Y110" s="1"/>
      <c r="Z110" s="40"/>
      <c r="AA110">
        <v>139</v>
      </c>
      <c r="AB110">
        <v>1</v>
      </c>
      <c r="AC110" s="1"/>
      <c r="AD110" s="40"/>
      <c r="AE110" s="1"/>
      <c r="AF110" s="1"/>
      <c r="AG110" s="1"/>
      <c r="AH110" s="40"/>
      <c r="AI110" s="1"/>
      <c r="AJ110" s="40">
        <f>_xlfn.MAXIFS(_01towers[02tss.Rev],_01towers[05_id],_01towers[[#This Row],[05_id]])</f>
        <v>1</v>
      </c>
      <c r="AK110" s="40" t="b">
        <f>IF(_01towers[[#This Row],[Count Rev TSS]]=_01towers[[#This Row],[02tss.Rev]],TRUE,FALSE)</f>
        <v>1</v>
      </c>
      <c r="AL110" s="40">
        <f>_xlfn.MAXIFS(_01towers[10colo_app.Rev],_01towers[05_id],_01towers[[#This Row],[05_id]])</f>
        <v>1</v>
      </c>
      <c r="AM110" s="40" t="b">
        <f>IF(_01towers[[#This Row],[Count Rev Colo App]]=_01towers[[#This Row],[10colo_app.Rev]],TRUE,FALSE)</f>
        <v>1</v>
      </c>
      <c r="AN110" s="40" t="b">
        <f>IF(AND(_01towers[[#This Row],[Test Rev Colo]]=TRUE,_01towers[[#This Row],[Test Rev TSS]]=TRUE),TRUE,FALSE)</f>
        <v>1</v>
      </c>
      <c r="AO110" s="40" t="str">
        <f>IF(_01towers[[#This Row],[Test Active]]=TRUE,_01towers[[#This Row],[Prevalidation Status]],"")</f>
        <v>Prevalidation Rejected</v>
      </c>
      <c r="AP110" s="40" t="str">
        <f>IF(_01towers[[#This Row],[Active Prevalidation Status]]="Under Prevalidation",
IF(M110="","Review",M110),"")</f>
        <v/>
      </c>
      <c r="AQ110" s="40" t="str">
        <f>IF(_01towers[[#This Row],[Active Prevalidation Status]]="Under Prevalidation",
IF(N110="","Review",N110),"")</f>
        <v/>
      </c>
      <c r="AR110" s="40" t="str">
        <f>IF(_01towers[[#This Row],[Active Prevalidation Status]]="Under Prevalidation",
IF(O110="","Review",O110),"")</f>
        <v/>
      </c>
      <c r="AS110" s="40" t="str">
        <f>IF(_01towers[[#This Row],[Active Prevalidation Status]]="Under Prevalidation",
IF(P110="","Review",P110),"")</f>
        <v/>
      </c>
      <c r="AT110" s="40" t="str">
        <f>IF(_01towers[[#This Row],[Active Prevalidation Status]]="Under Prevalidation",
IF(Q110="","Review",Q110),"")</f>
        <v/>
      </c>
      <c r="AU110" s="40" t="str">
        <f>IF(_01towers[[#This Row],[Active Prevalidation Status]]="Under Prevalidation",
IF(R110="","Review",R110),"")</f>
        <v/>
      </c>
      <c r="AV110" s="40">
        <f>COUNTIF(_01towers[[#This Row],[SAQ_Result2]:[Community_Result2]],"OK")</f>
        <v>0</v>
      </c>
      <c r="AW110" s="1" t="str">
        <f>IF(AND(OR(_01towers[[#This Row],[Active Prevalidation Status]]="Under Prevalidation",_01towers[[#This Row],[Active Prevalidation Status]]="Prevalidated"),_01towers[[#This Row],[02tss.TSSR_From_Engineer]]&gt;0),"Submitted","")</f>
        <v/>
      </c>
      <c r="AX110" s="40" t="str">
        <f>IF(OR(_01towers[[#This Row],[Active Prevalidation Status]]="Under Prevalidation",_01towers[[#This Row],[Active Prevalidation Status]]="Prevalidated"),_01towers[[#This Row],[02tss.TSS_Result]],"")</f>
        <v/>
      </c>
      <c r="AY110" s="40" t="str">
        <f>IF(AND(_01towers[[#This Row],[Active TSS Result]]="Approved",_01towers[[#This Row],[Active Prevalidation Status]]="Prevalidated"),"In Process","")</f>
        <v/>
      </c>
      <c r="AZ110" s="40" t="str">
        <f>IF(AND(_01towers[[#This Row],[Active TSS Result]]="Approved",_01towers[[#This Row],[Active Prevalidation Status]]="Prevalidated"),_01towers[[#This Row],[10colo_app.Colo_App_Result]],"")</f>
        <v/>
      </c>
      <c r="BA110" s="40">
        <f>COUNTIF(_20work_order[05_id],_01towers[[#This Row],[05_id]])</f>
        <v>0</v>
      </c>
      <c r="BB110" s="40">
        <f>COUNTIFS(_20work_order[05_id],_01towers[[#This Row],[05_id]],_20work_order[Actual_End],"&gt;0")</f>
        <v>0</v>
      </c>
      <c r="BC110" s="40" t="str">
        <f>IF(_01towers[[#This Row],[Completed Work Orders]]&gt;0,"Work Completed",
IF(_01towers[[#This Row],[Count Work Orders]]&gt;0,"Work in Progress",""))</f>
        <v/>
      </c>
      <c r="BD11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10" s="40" t="str">
        <f>_xlfn.SWITCH(_01towers[[#This Row],[Final Colo Status full]],"Commercial Approval Requested","Under Prevalidation",_01towers[[#This Row],[Final Colo Status full]])</f>
        <v>Prevalidation Rejected</v>
      </c>
    </row>
    <row r="111" spans="1:57" hidden="1" x14ac:dyDescent="0.35">
      <c r="A111" s="40" t="s">
        <v>291</v>
      </c>
      <c r="B111" s="40" t="s">
        <v>90</v>
      </c>
      <c r="C111" s="40" t="s">
        <v>51</v>
      </c>
      <c r="D111">
        <v>60</v>
      </c>
      <c r="E111" s="40" t="s">
        <v>175</v>
      </c>
      <c r="F111">
        <v>96.762554699999995</v>
      </c>
      <c r="G111">
        <v>17.8209506</v>
      </c>
      <c r="H111" s="40" t="s">
        <v>62</v>
      </c>
      <c r="I111">
        <v>110</v>
      </c>
      <c r="J111" s="40" t="s">
        <v>211</v>
      </c>
      <c r="K111" s="40" t="s">
        <v>136</v>
      </c>
      <c r="L111" s="40" t="s">
        <v>74</v>
      </c>
      <c r="M111" s="40" t="s">
        <v>57</v>
      </c>
      <c r="N111" s="40" t="s">
        <v>57</v>
      </c>
      <c r="O111" s="40" t="s">
        <v>57</v>
      </c>
      <c r="P111" s="40" t="s">
        <v>57</v>
      </c>
      <c r="Q111" s="40" t="s">
        <v>57</v>
      </c>
      <c r="R111" s="40" t="s">
        <v>75</v>
      </c>
      <c r="S111">
        <v>26</v>
      </c>
      <c r="T111">
        <v>1</v>
      </c>
      <c r="U111" s="1"/>
      <c r="V111" s="1"/>
      <c r="W111" s="1"/>
      <c r="X111" s="1"/>
      <c r="Y111" s="1"/>
      <c r="Z111" s="40"/>
      <c r="AA111">
        <v>26</v>
      </c>
      <c r="AB111">
        <v>1</v>
      </c>
      <c r="AC111" s="1"/>
      <c r="AD111" s="40"/>
      <c r="AE111" s="1">
        <v>43244</v>
      </c>
      <c r="AF111" s="1"/>
      <c r="AG111" s="1"/>
      <c r="AH111" s="40"/>
      <c r="AI111" s="1"/>
      <c r="AJ111" s="40">
        <f>_xlfn.MAXIFS(_01towers[02tss.Rev],_01towers[05_id],_01towers[[#This Row],[05_id]])</f>
        <v>1</v>
      </c>
      <c r="AK111" s="40" t="b">
        <f>IF(_01towers[[#This Row],[Count Rev TSS]]=_01towers[[#This Row],[02tss.Rev]],TRUE,FALSE)</f>
        <v>1</v>
      </c>
      <c r="AL111" s="40">
        <f>_xlfn.MAXIFS(_01towers[10colo_app.Rev],_01towers[05_id],_01towers[[#This Row],[05_id]])</f>
        <v>1</v>
      </c>
      <c r="AM111" s="40" t="b">
        <f>IF(_01towers[[#This Row],[Count Rev Colo App]]=_01towers[[#This Row],[10colo_app.Rev]],TRUE,FALSE)</f>
        <v>1</v>
      </c>
      <c r="AN111" s="40" t="b">
        <f>IF(AND(_01towers[[#This Row],[Test Rev Colo]]=TRUE,_01towers[[#This Row],[Test Rev TSS]]=TRUE),TRUE,FALSE)</f>
        <v>1</v>
      </c>
      <c r="AO111" s="40" t="str">
        <f>IF(_01towers[[#This Row],[Test Active]]=TRUE,_01towers[[#This Row],[Prevalidation Status]],"")</f>
        <v>Prevalidation Rejected</v>
      </c>
      <c r="AP111" s="40" t="str">
        <f>IF(_01towers[[#This Row],[Active Prevalidation Status]]="Under Prevalidation",
IF(M111="","Review",M111),"")</f>
        <v/>
      </c>
      <c r="AQ111" s="40" t="str">
        <f>IF(_01towers[[#This Row],[Active Prevalidation Status]]="Under Prevalidation",
IF(N111="","Review",N111),"")</f>
        <v/>
      </c>
      <c r="AR111" s="40" t="str">
        <f>IF(_01towers[[#This Row],[Active Prevalidation Status]]="Under Prevalidation",
IF(O111="","Review",O111),"")</f>
        <v/>
      </c>
      <c r="AS111" s="40" t="str">
        <f>IF(_01towers[[#This Row],[Active Prevalidation Status]]="Under Prevalidation",
IF(P111="","Review",P111),"")</f>
        <v/>
      </c>
      <c r="AT111" s="40" t="str">
        <f>IF(_01towers[[#This Row],[Active Prevalidation Status]]="Under Prevalidation",
IF(Q111="","Review",Q111),"")</f>
        <v/>
      </c>
      <c r="AU111" s="40" t="str">
        <f>IF(_01towers[[#This Row],[Active Prevalidation Status]]="Under Prevalidation",
IF(R111="","Review",R111),"")</f>
        <v/>
      </c>
      <c r="AV111" s="40">
        <f>COUNTIF(_01towers[[#This Row],[SAQ_Result2]:[Community_Result2]],"OK")</f>
        <v>0</v>
      </c>
      <c r="AW111" s="1" t="str">
        <f>IF(AND(OR(_01towers[[#This Row],[Active Prevalidation Status]]="Under Prevalidation",_01towers[[#This Row],[Active Prevalidation Status]]="Prevalidated"),_01towers[[#This Row],[02tss.TSSR_From_Engineer]]&gt;0),"Submitted","")</f>
        <v/>
      </c>
      <c r="AX111" s="40" t="str">
        <f>IF(OR(_01towers[[#This Row],[Active Prevalidation Status]]="Under Prevalidation",_01towers[[#This Row],[Active Prevalidation Status]]="Prevalidated"),_01towers[[#This Row],[02tss.TSS_Result]],"")</f>
        <v/>
      </c>
      <c r="AY111" s="40" t="str">
        <f>IF(AND(_01towers[[#This Row],[Active TSS Result]]="Approved",_01towers[[#This Row],[Active Prevalidation Status]]="Prevalidated"),"In Process","")</f>
        <v/>
      </c>
      <c r="AZ111" s="40" t="str">
        <f>IF(AND(_01towers[[#This Row],[Active TSS Result]]="Approved",_01towers[[#This Row],[Active Prevalidation Status]]="Prevalidated"),_01towers[[#This Row],[10colo_app.Colo_App_Result]],"")</f>
        <v/>
      </c>
      <c r="BA111" s="40">
        <f>COUNTIF(_20work_order[05_id],_01towers[[#This Row],[05_id]])</f>
        <v>0</v>
      </c>
      <c r="BB111" s="40">
        <f>COUNTIFS(_20work_order[05_id],_01towers[[#This Row],[05_id]],_20work_order[Actual_End],"&gt;0")</f>
        <v>0</v>
      </c>
      <c r="BC111" s="40" t="str">
        <f>IF(_01towers[[#This Row],[Completed Work Orders]]&gt;0,"Work Completed",
IF(_01towers[[#This Row],[Count Work Orders]]&gt;0,"Work in Progress",""))</f>
        <v/>
      </c>
      <c r="BD11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11" s="40" t="str">
        <f>_xlfn.SWITCH(_01towers[[#This Row],[Final Colo Status full]],"Commercial Approval Requested","Under Prevalidation",_01towers[[#This Row],[Final Colo Status full]])</f>
        <v>Prevalidation Rejected</v>
      </c>
    </row>
    <row r="112" spans="1:57" x14ac:dyDescent="0.35">
      <c r="A112" s="40" t="s">
        <v>292</v>
      </c>
      <c r="B112" s="40" t="s">
        <v>90</v>
      </c>
      <c r="C112" s="40" t="s">
        <v>82</v>
      </c>
      <c r="D112">
        <v>6</v>
      </c>
      <c r="E112" s="40" t="s">
        <v>98</v>
      </c>
      <c r="F112">
        <v>96.201480000000004</v>
      </c>
      <c r="G112">
        <v>16.791650000000001</v>
      </c>
      <c r="H112" s="40" t="s">
        <v>99</v>
      </c>
      <c r="I112">
        <v>111</v>
      </c>
      <c r="J112" s="40" t="s">
        <v>606</v>
      </c>
      <c r="K112" s="40" t="s">
        <v>136</v>
      </c>
      <c r="L112" s="40" t="s">
        <v>56</v>
      </c>
      <c r="M112" s="40" t="s">
        <v>57</v>
      </c>
      <c r="N112" s="40" t="s">
        <v>57</v>
      </c>
      <c r="O112" s="40" t="s">
        <v>58</v>
      </c>
      <c r="P112" s="40" t="s">
        <v>58</v>
      </c>
      <c r="Q112" s="40" t="s">
        <v>57</v>
      </c>
      <c r="R112" s="40" t="s">
        <v>57</v>
      </c>
      <c r="S112">
        <v>145</v>
      </c>
      <c r="T112">
        <v>1</v>
      </c>
      <c r="U112" s="1">
        <v>43264</v>
      </c>
      <c r="V112" s="1">
        <v>43298</v>
      </c>
      <c r="W112" s="1">
        <v>43304</v>
      </c>
      <c r="X112" s="1"/>
      <c r="Y112" s="1"/>
      <c r="Z112" s="40"/>
      <c r="AA112">
        <v>144</v>
      </c>
      <c r="AB112">
        <v>1</v>
      </c>
      <c r="AC112" s="1"/>
      <c r="AD112" s="40"/>
      <c r="AE112" s="1"/>
      <c r="AF112" s="1"/>
      <c r="AG112" s="1"/>
      <c r="AH112" s="40"/>
      <c r="AI112" s="1"/>
      <c r="AJ112" s="40">
        <f>_xlfn.MAXIFS(_01towers[02tss.Rev],_01towers[05_id],_01towers[[#This Row],[05_id]])</f>
        <v>1</v>
      </c>
      <c r="AK112" s="40" t="b">
        <f>IF(_01towers[[#This Row],[Count Rev TSS]]=_01towers[[#This Row],[02tss.Rev]],TRUE,FALSE)</f>
        <v>1</v>
      </c>
      <c r="AL112" s="40">
        <f>_xlfn.MAXIFS(_01towers[10colo_app.Rev],_01towers[05_id],_01towers[[#This Row],[05_id]])</f>
        <v>1</v>
      </c>
      <c r="AM112" s="40" t="b">
        <f>IF(_01towers[[#This Row],[Count Rev Colo App]]=_01towers[[#This Row],[10colo_app.Rev]],TRUE,FALSE)</f>
        <v>1</v>
      </c>
      <c r="AN112" s="40" t="b">
        <f>IF(AND(_01towers[[#This Row],[Test Rev Colo]]=TRUE,_01towers[[#This Row],[Test Rev TSS]]=TRUE),TRUE,FALSE)</f>
        <v>1</v>
      </c>
      <c r="AO112" s="40" t="str">
        <f>IF(_01towers[[#This Row],[Test Active]]=TRUE,_01towers[[#This Row],[Prevalidation Status]],"")</f>
        <v>Commercial Approval Requested</v>
      </c>
      <c r="AP112" s="40" t="str">
        <f>IF(_01towers[[#This Row],[Active Prevalidation Status]]="Under Prevalidation",
IF(M112="","Review",M112),"")</f>
        <v/>
      </c>
      <c r="AQ112" s="40" t="str">
        <f>IF(_01towers[[#This Row],[Active Prevalidation Status]]="Under Prevalidation",
IF(N112="","Review",N112),"")</f>
        <v/>
      </c>
      <c r="AR112" s="40" t="str">
        <f>IF(_01towers[[#This Row],[Active Prevalidation Status]]="Under Prevalidation",
IF(O112="","Review",O112),"")</f>
        <v/>
      </c>
      <c r="AS112" s="40" t="str">
        <f>IF(_01towers[[#This Row],[Active Prevalidation Status]]="Under Prevalidation",
IF(P112="","Review",P112),"")</f>
        <v/>
      </c>
      <c r="AT112" s="40" t="str">
        <f>IF(_01towers[[#This Row],[Active Prevalidation Status]]="Under Prevalidation",
IF(Q112="","Review",Q112),"")</f>
        <v/>
      </c>
      <c r="AU112" s="40" t="str">
        <f>IF(_01towers[[#This Row],[Active Prevalidation Status]]="Under Prevalidation",
IF(R112="","Review",R112),"")</f>
        <v/>
      </c>
      <c r="AV112" s="40">
        <f>COUNTIF(_01towers[[#This Row],[SAQ_Result2]:[Community_Result2]],"OK")</f>
        <v>0</v>
      </c>
      <c r="AW112" s="1" t="str">
        <f>IF(AND(OR(_01towers[[#This Row],[Active Prevalidation Status]]="Under Prevalidation",_01towers[[#This Row],[Active Prevalidation Status]]="Prevalidated"),_01towers[[#This Row],[02tss.TSSR_From_Engineer]]&gt;0),"Submitted","")</f>
        <v/>
      </c>
      <c r="AX112" s="40" t="str">
        <f>IF(OR(_01towers[[#This Row],[Active Prevalidation Status]]="Under Prevalidation",_01towers[[#This Row],[Active Prevalidation Status]]="Prevalidated"),_01towers[[#This Row],[02tss.TSS_Result]],"")</f>
        <v/>
      </c>
      <c r="AY112" s="40" t="str">
        <f>IF(AND(_01towers[[#This Row],[Active TSS Result]]="Approved",_01towers[[#This Row],[Active Prevalidation Status]]="Prevalidated"),"In Process","")</f>
        <v/>
      </c>
      <c r="AZ112" s="40" t="str">
        <f>IF(AND(_01towers[[#This Row],[Active TSS Result]]="Approved",_01towers[[#This Row],[Active Prevalidation Status]]="Prevalidated"),_01towers[[#This Row],[10colo_app.Colo_App_Result]],"")</f>
        <v/>
      </c>
      <c r="BA112" s="40">
        <f>COUNTIF(_20work_order[05_id],_01towers[[#This Row],[05_id]])</f>
        <v>0</v>
      </c>
      <c r="BB112" s="40">
        <f>COUNTIFS(_20work_order[05_id],_01towers[[#This Row],[05_id]],_20work_order[Actual_End],"&gt;0")</f>
        <v>0</v>
      </c>
      <c r="BC112" s="40" t="str">
        <f>IF(_01towers[[#This Row],[Completed Work Orders]]&gt;0,"Work Completed",
IF(_01towers[[#This Row],[Count Work Orders]]&gt;0,"Work in Progress",""))</f>
        <v/>
      </c>
      <c r="BD11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12" s="40" t="str">
        <f>_xlfn.SWITCH(_01towers[[#This Row],[Final Colo Status full]],"Commercial Approval Requested","Under Prevalidation",_01towers[[#This Row],[Final Colo Status full]])</f>
        <v>Under Prevalidation</v>
      </c>
    </row>
    <row r="113" spans="1:57" x14ac:dyDescent="0.35">
      <c r="A113" s="40" t="s">
        <v>293</v>
      </c>
      <c r="B113" s="40" t="s">
        <v>90</v>
      </c>
      <c r="C113" s="40" t="s">
        <v>82</v>
      </c>
      <c r="D113">
        <v>6</v>
      </c>
      <c r="E113" s="40" t="s">
        <v>98</v>
      </c>
      <c r="F113">
        <v>96.206249999999997</v>
      </c>
      <c r="G113">
        <v>16.803180000000001</v>
      </c>
      <c r="H113" s="40" t="s">
        <v>53</v>
      </c>
      <c r="I113">
        <v>112</v>
      </c>
      <c r="J113" s="40" t="s">
        <v>294</v>
      </c>
      <c r="K113" s="40" t="s">
        <v>136</v>
      </c>
      <c r="L113" s="40" t="s">
        <v>56</v>
      </c>
      <c r="M113" s="40" t="s">
        <v>57</v>
      </c>
      <c r="N113" s="40" t="s">
        <v>57</v>
      </c>
      <c r="O113" s="40" t="s">
        <v>58</v>
      </c>
      <c r="P113" s="40" t="s">
        <v>58</v>
      </c>
      <c r="Q113" s="40" t="s">
        <v>57</v>
      </c>
      <c r="R113" s="40" t="s">
        <v>57</v>
      </c>
      <c r="S113">
        <v>166</v>
      </c>
      <c r="T113">
        <v>1</v>
      </c>
      <c r="U113" s="1">
        <v>43264</v>
      </c>
      <c r="V113" s="1">
        <v>43266</v>
      </c>
      <c r="W113" s="1">
        <v>43266</v>
      </c>
      <c r="X113" s="1">
        <v>43266</v>
      </c>
      <c r="Y113" s="1"/>
      <c r="Z113" s="40" t="s">
        <v>59</v>
      </c>
      <c r="AA113">
        <v>165</v>
      </c>
      <c r="AB113">
        <v>1</v>
      </c>
      <c r="AC113" s="1"/>
      <c r="AD113" s="40"/>
      <c r="AE113" s="1"/>
      <c r="AF113" s="1"/>
      <c r="AG113" s="1"/>
      <c r="AH113" s="40"/>
      <c r="AI113" s="1"/>
      <c r="AJ113" s="40">
        <f>_xlfn.MAXIFS(_01towers[02tss.Rev],_01towers[05_id],_01towers[[#This Row],[05_id]])</f>
        <v>1</v>
      </c>
      <c r="AK113" s="40" t="b">
        <f>IF(_01towers[[#This Row],[Count Rev TSS]]=_01towers[[#This Row],[02tss.Rev]],TRUE,FALSE)</f>
        <v>1</v>
      </c>
      <c r="AL113" s="40">
        <f>_xlfn.MAXIFS(_01towers[10colo_app.Rev],_01towers[05_id],_01towers[[#This Row],[05_id]])</f>
        <v>1</v>
      </c>
      <c r="AM113" s="40" t="b">
        <f>IF(_01towers[[#This Row],[Count Rev Colo App]]=_01towers[[#This Row],[10colo_app.Rev]],TRUE,FALSE)</f>
        <v>1</v>
      </c>
      <c r="AN113" s="40" t="b">
        <f>IF(AND(_01towers[[#This Row],[Test Rev Colo]]=TRUE,_01towers[[#This Row],[Test Rev TSS]]=TRUE),TRUE,FALSE)</f>
        <v>1</v>
      </c>
      <c r="AO113" s="40" t="str">
        <f>IF(_01towers[[#This Row],[Test Active]]=TRUE,_01towers[[#This Row],[Prevalidation Status]],"")</f>
        <v>Commercial Approval Requested</v>
      </c>
      <c r="AP113" s="40" t="str">
        <f>IF(_01towers[[#This Row],[Active Prevalidation Status]]="Under Prevalidation",
IF(M113="","Review",M113),"")</f>
        <v/>
      </c>
      <c r="AQ113" s="40" t="str">
        <f>IF(_01towers[[#This Row],[Active Prevalidation Status]]="Under Prevalidation",
IF(N113="","Review",N113),"")</f>
        <v/>
      </c>
      <c r="AR113" s="40" t="str">
        <f>IF(_01towers[[#This Row],[Active Prevalidation Status]]="Under Prevalidation",
IF(O113="","Review",O113),"")</f>
        <v/>
      </c>
      <c r="AS113" s="40" t="str">
        <f>IF(_01towers[[#This Row],[Active Prevalidation Status]]="Under Prevalidation",
IF(P113="","Review",P113),"")</f>
        <v/>
      </c>
      <c r="AT113" s="40" t="str">
        <f>IF(_01towers[[#This Row],[Active Prevalidation Status]]="Under Prevalidation",
IF(Q113="","Review",Q113),"")</f>
        <v/>
      </c>
      <c r="AU113" s="40" t="str">
        <f>IF(_01towers[[#This Row],[Active Prevalidation Status]]="Under Prevalidation",
IF(R113="","Review",R113),"")</f>
        <v/>
      </c>
      <c r="AV113" s="40">
        <f>COUNTIF(_01towers[[#This Row],[SAQ_Result2]:[Community_Result2]],"OK")</f>
        <v>0</v>
      </c>
      <c r="AW113" s="1" t="str">
        <f>IF(AND(OR(_01towers[[#This Row],[Active Prevalidation Status]]="Under Prevalidation",_01towers[[#This Row],[Active Prevalidation Status]]="Prevalidated"),_01towers[[#This Row],[02tss.TSSR_From_Engineer]]&gt;0),"Submitted","")</f>
        <v/>
      </c>
      <c r="AX113" s="40" t="str">
        <f>IF(OR(_01towers[[#This Row],[Active Prevalidation Status]]="Under Prevalidation",_01towers[[#This Row],[Active Prevalidation Status]]="Prevalidated"),_01towers[[#This Row],[02tss.TSS_Result]],"")</f>
        <v/>
      </c>
      <c r="AY113" s="40" t="str">
        <f>IF(AND(_01towers[[#This Row],[Active TSS Result]]="Approved",_01towers[[#This Row],[Active Prevalidation Status]]="Prevalidated"),"In Process","")</f>
        <v/>
      </c>
      <c r="AZ113" s="40" t="str">
        <f>IF(AND(_01towers[[#This Row],[Active TSS Result]]="Approved",_01towers[[#This Row],[Active Prevalidation Status]]="Prevalidated"),_01towers[[#This Row],[10colo_app.Colo_App_Result]],"")</f>
        <v/>
      </c>
      <c r="BA113" s="40">
        <f>COUNTIF(_20work_order[05_id],_01towers[[#This Row],[05_id]])</f>
        <v>0</v>
      </c>
      <c r="BB113" s="40">
        <f>COUNTIFS(_20work_order[05_id],_01towers[[#This Row],[05_id]],_20work_order[Actual_End],"&gt;0")</f>
        <v>0</v>
      </c>
      <c r="BC113" s="40" t="str">
        <f>IF(_01towers[[#This Row],[Completed Work Orders]]&gt;0,"Work Completed",
IF(_01towers[[#This Row],[Count Work Orders]]&gt;0,"Work in Progress",""))</f>
        <v/>
      </c>
      <c r="BD11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13" s="40" t="str">
        <f>_xlfn.SWITCH(_01towers[[#This Row],[Final Colo Status full]],"Commercial Approval Requested","Under Prevalidation",_01towers[[#This Row],[Final Colo Status full]])</f>
        <v>Under Prevalidation</v>
      </c>
    </row>
    <row r="114" spans="1:57" hidden="1" x14ac:dyDescent="0.35">
      <c r="A114" s="40" t="s">
        <v>295</v>
      </c>
      <c r="B114" s="40" t="s">
        <v>90</v>
      </c>
      <c r="C114" s="40" t="s">
        <v>51</v>
      </c>
      <c r="D114">
        <v>45</v>
      </c>
      <c r="E114" s="40" t="s">
        <v>94</v>
      </c>
      <c r="F114">
        <v>97.703339999999997</v>
      </c>
      <c r="G114">
        <v>16.291029999999999</v>
      </c>
      <c r="H114" s="40" t="s">
        <v>143</v>
      </c>
      <c r="I114">
        <v>113</v>
      </c>
      <c r="J114" s="40" t="s">
        <v>574</v>
      </c>
      <c r="K114" s="40" t="s">
        <v>136</v>
      </c>
      <c r="L114" s="40" t="s">
        <v>64</v>
      </c>
      <c r="M114" s="40" t="s">
        <v>57</v>
      </c>
      <c r="N114" s="40" t="s">
        <v>57</v>
      </c>
      <c r="O114" s="40" t="s">
        <v>57</v>
      </c>
      <c r="P114" s="40" t="s">
        <v>57</v>
      </c>
      <c r="Q114" s="40" t="s">
        <v>57</v>
      </c>
      <c r="R114" s="40" t="s">
        <v>57</v>
      </c>
      <c r="S114">
        <v>107</v>
      </c>
      <c r="T114">
        <v>1</v>
      </c>
      <c r="U114" s="1">
        <v>43299</v>
      </c>
      <c r="V114" s="1">
        <v>43299</v>
      </c>
      <c r="W114" s="1">
        <v>43301</v>
      </c>
      <c r="X114" s="1"/>
      <c r="Y114" s="1"/>
      <c r="Z114" s="40"/>
      <c r="AA114">
        <v>106</v>
      </c>
      <c r="AB114">
        <v>1</v>
      </c>
      <c r="AC114" s="1"/>
      <c r="AD114" s="40"/>
      <c r="AE114" s="1"/>
      <c r="AF114" s="1"/>
      <c r="AG114" s="1"/>
      <c r="AH114" s="40"/>
      <c r="AI114" s="1"/>
      <c r="AJ114" s="40">
        <f>_xlfn.MAXIFS(_01towers[02tss.Rev],_01towers[05_id],_01towers[[#This Row],[05_id]])</f>
        <v>1</v>
      </c>
      <c r="AK114" s="40" t="b">
        <f>IF(_01towers[[#This Row],[Count Rev TSS]]=_01towers[[#This Row],[02tss.Rev]],TRUE,FALSE)</f>
        <v>1</v>
      </c>
      <c r="AL114" s="40">
        <f>_xlfn.MAXIFS(_01towers[10colo_app.Rev],_01towers[05_id],_01towers[[#This Row],[05_id]])</f>
        <v>1</v>
      </c>
      <c r="AM114" s="40" t="b">
        <f>IF(_01towers[[#This Row],[Count Rev Colo App]]=_01towers[[#This Row],[10colo_app.Rev]],TRUE,FALSE)</f>
        <v>1</v>
      </c>
      <c r="AN114" s="40" t="b">
        <f>IF(AND(_01towers[[#This Row],[Test Rev Colo]]=TRUE,_01towers[[#This Row],[Test Rev TSS]]=TRUE),TRUE,FALSE)</f>
        <v>1</v>
      </c>
      <c r="AO114" s="40" t="str">
        <f>IF(_01towers[[#This Row],[Test Active]]=TRUE,_01towers[[#This Row],[Prevalidation Status]],"")</f>
        <v>Prevalidated</v>
      </c>
      <c r="AP114" s="40" t="str">
        <f>IF(_01towers[[#This Row],[Active Prevalidation Status]]="Under Prevalidation",
IF(M114="","Review",M114),"")</f>
        <v/>
      </c>
      <c r="AQ114" s="40" t="str">
        <f>IF(_01towers[[#This Row],[Active Prevalidation Status]]="Under Prevalidation",
IF(N114="","Review",N114),"")</f>
        <v/>
      </c>
      <c r="AR114" s="40" t="str">
        <f>IF(_01towers[[#This Row],[Active Prevalidation Status]]="Under Prevalidation",
IF(O114="","Review",O114),"")</f>
        <v/>
      </c>
      <c r="AS114" s="40" t="str">
        <f>IF(_01towers[[#This Row],[Active Prevalidation Status]]="Under Prevalidation",
IF(P114="","Review",P114),"")</f>
        <v/>
      </c>
      <c r="AT114" s="40" t="str">
        <f>IF(_01towers[[#This Row],[Active Prevalidation Status]]="Under Prevalidation",
IF(Q114="","Review",Q114),"")</f>
        <v/>
      </c>
      <c r="AU114" s="40" t="str">
        <f>IF(_01towers[[#This Row],[Active Prevalidation Status]]="Under Prevalidation",
IF(R114="","Review",R114),"")</f>
        <v/>
      </c>
      <c r="AV114" s="40">
        <f>COUNTIF(_01towers[[#This Row],[SAQ_Result2]:[Community_Result2]],"OK")</f>
        <v>0</v>
      </c>
      <c r="AW114" s="1" t="str">
        <f>IF(AND(OR(_01towers[[#This Row],[Active Prevalidation Status]]="Under Prevalidation",_01towers[[#This Row],[Active Prevalidation Status]]="Prevalidated"),_01towers[[#This Row],[02tss.TSSR_From_Engineer]]&gt;0),"Submitted","")</f>
        <v>Submitted</v>
      </c>
      <c r="AX114" s="40">
        <f>IF(OR(_01towers[[#This Row],[Active Prevalidation Status]]="Under Prevalidation",_01towers[[#This Row],[Active Prevalidation Status]]="Prevalidated"),_01towers[[#This Row],[02tss.TSS_Result]],"")</f>
        <v>0</v>
      </c>
      <c r="AY114" s="40" t="str">
        <f>IF(AND(_01towers[[#This Row],[Active TSS Result]]="Approved",_01towers[[#This Row],[Active Prevalidation Status]]="Prevalidated"),"In Process","")</f>
        <v/>
      </c>
      <c r="AZ114" s="40" t="str">
        <f>IF(AND(_01towers[[#This Row],[Active TSS Result]]="Approved",_01towers[[#This Row],[Active Prevalidation Status]]="Prevalidated"),_01towers[[#This Row],[10colo_app.Colo_App_Result]],"")</f>
        <v/>
      </c>
      <c r="BA114" s="40">
        <f>COUNTIF(_20work_order[05_id],_01towers[[#This Row],[05_id]])</f>
        <v>0</v>
      </c>
      <c r="BB114" s="40">
        <f>COUNTIFS(_20work_order[05_id],_01towers[[#This Row],[05_id]],_20work_order[Actual_End],"&gt;0")</f>
        <v>0</v>
      </c>
      <c r="BC114" s="40" t="str">
        <f>IF(_01towers[[#This Row],[Completed Work Orders]]&gt;0,"Work Completed",
IF(_01towers[[#This Row],[Count Work Orders]]&gt;0,"Work in Progress",""))</f>
        <v/>
      </c>
      <c r="BD11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14" s="40" t="str">
        <f>_xlfn.SWITCH(_01towers[[#This Row],[Final Colo Status full]],"Commercial Approval Requested","Under Prevalidation",_01towers[[#This Row],[Final Colo Status full]])</f>
        <v>Prevalidated - TSSR in Process</v>
      </c>
    </row>
    <row r="115" spans="1:57" hidden="1" x14ac:dyDescent="0.35">
      <c r="A115" s="40" t="s">
        <v>296</v>
      </c>
      <c r="B115" s="40" t="s">
        <v>90</v>
      </c>
      <c r="C115" s="40" t="s">
        <v>82</v>
      </c>
      <c r="D115">
        <v>6</v>
      </c>
      <c r="E115" s="40" t="s">
        <v>98</v>
      </c>
      <c r="F115">
        <v>96.17944</v>
      </c>
      <c r="G115">
        <v>16.835260000000002</v>
      </c>
      <c r="H115" s="40" t="s">
        <v>99</v>
      </c>
      <c r="I115">
        <v>114</v>
      </c>
      <c r="J115" s="40" t="s">
        <v>607</v>
      </c>
      <c r="K115" s="40" t="s">
        <v>136</v>
      </c>
      <c r="L115" s="40" t="s">
        <v>64</v>
      </c>
      <c r="M115" s="40" t="s">
        <v>57</v>
      </c>
      <c r="N115" s="40" t="s">
        <v>57</v>
      </c>
      <c r="O115" s="40" t="s">
        <v>58</v>
      </c>
      <c r="P115" s="40" t="s">
        <v>58</v>
      </c>
      <c r="Q115" s="40" t="s">
        <v>57</v>
      </c>
      <c r="R115" s="40" t="s">
        <v>57</v>
      </c>
      <c r="S115">
        <v>163</v>
      </c>
      <c r="T115">
        <v>1</v>
      </c>
      <c r="U115" s="1">
        <v>43263</v>
      </c>
      <c r="V115" s="1">
        <v>43264</v>
      </c>
      <c r="W115" s="1">
        <v>43264</v>
      </c>
      <c r="X115" s="1">
        <v>43264</v>
      </c>
      <c r="Y115" s="1"/>
      <c r="Z115" s="40" t="s">
        <v>59</v>
      </c>
      <c r="AA115">
        <v>162</v>
      </c>
      <c r="AB115">
        <v>1</v>
      </c>
      <c r="AC115" s="1"/>
      <c r="AD115" s="40"/>
      <c r="AE115" s="1"/>
      <c r="AF115" s="1"/>
      <c r="AG115" s="1"/>
      <c r="AH115" s="40"/>
      <c r="AI115" s="1"/>
      <c r="AJ115" s="40">
        <f>_xlfn.MAXIFS(_01towers[02tss.Rev],_01towers[05_id],_01towers[[#This Row],[05_id]])</f>
        <v>1</v>
      </c>
      <c r="AK115" s="40" t="b">
        <f>IF(_01towers[[#This Row],[Count Rev TSS]]=_01towers[[#This Row],[02tss.Rev]],TRUE,FALSE)</f>
        <v>1</v>
      </c>
      <c r="AL115" s="40">
        <f>_xlfn.MAXIFS(_01towers[10colo_app.Rev],_01towers[05_id],_01towers[[#This Row],[05_id]])</f>
        <v>1</v>
      </c>
      <c r="AM115" s="40" t="b">
        <f>IF(_01towers[[#This Row],[Count Rev Colo App]]=_01towers[[#This Row],[10colo_app.Rev]],TRUE,FALSE)</f>
        <v>1</v>
      </c>
      <c r="AN115" s="40" t="b">
        <f>IF(AND(_01towers[[#This Row],[Test Rev Colo]]=TRUE,_01towers[[#This Row],[Test Rev TSS]]=TRUE),TRUE,FALSE)</f>
        <v>1</v>
      </c>
      <c r="AO115" s="40" t="str">
        <f>IF(_01towers[[#This Row],[Test Active]]=TRUE,_01towers[[#This Row],[Prevalidation Status]],"")</f>
        <v>Prevalidated</v>
      </c>
      <c r="AP115" s="40" t="str">
        <f>IF(_01towers[[#This Row],[Active Prevalidation Status]]="Under Prevalidation",
IF(M115="","Review",M115),"")</f>
        <v/>
      </c>
      <c r="AQ115" s="40" t="str">
        <f>IF(_01towers[[#This Row],[Active Prevalidation Status]]="Under Prevalidation",
IF(N115="","Review",N115),"")</f>
        <v/>
      </c>
      <c r="AR115" s="40" t="str">
        <f>IF(_01towers[[#This Row],[Active Prevalidation Status]]="Under Prevalidation",
IF(O115="","Review",O115),"")</f>
        <v/>
      </c>
      <c r="AS115" s="40" t="str">
        <f>IF(_01towers[[#This Row],[Active Prevalidation Status]]="Under Prevalidation",
IF(P115="","Review",P115),"")</f>
        <v/>
      </c>
      <c r="AT115" s="40" t="str">
        <f>IF(_01towers[[#This Row],[Active Prevalidation Status]]="Under Prevalidation",
IF(Q115="","Review",Q115),"")</f>
        <v/>
      </c>
      <c r="AU115" s="40" t="str">
        <f>IF(_01towers[[#This Row],[Active Prevalidation Status]]="Under Prevalidation",
IF(R115="","Review",R115),"")</f>
        <v/>
      </c>
      <c r="AV115" s="40">
        <f>COUNTIF(_01towers[[#This Row],[SAQ_Result2]:[Community_Result2]],"OK")</f>
        <v>0</v>
      </c>
      <c r="AW115" s="1" t="str">
        <f>IF(AND(OR(_01towers[[#This Row],[Active Prevalidation Status]]="Under Prevalidation",_01towers[[#This Row],[Active Prevalidation Status]]="Prevalidated"),_01towers[[#This Row],[02tss.TSSR_From_Engineer]]&gt;0),"Submitted","")</f>
        <v>Submitted</v>
      </c>
      <c r="AX115" s="40" t="str">
        <f>IF(OR(_01towers[[#This Row],[Active Prevalidation Status]]="Under Prevalidation",_01towers[[#This Row],[Active Prevalidation Status]]="Prevalidated"),_01towers[[#This Row],[02tss.TSS_Result]],"")</f>
        <v>Approved</v>
      </c>
      <c r="AY115" s="40" t="str">
        <f>IF(AND(_01towers[[#This Row],[Active TSS Result]]="Approved",_01towers[[#This Row],[Active Prevalidation Status]]="Prevalidated"),"In Process","")</f>
        <v>In Process</v>
      </c>
      <c r="AZ115" s="40">
        <f>IF(AND(_01towers[[#This Row],[Active TSS Result]]="Approved",_01towers[[#This Row],[Active Prevalidation Status]]="Prevalidated"),_01towers[[#This Row],[10colo_app.Colo_App_Result]],"")</f>
        <v>0</v>
      </c>
      <c r="BA115" s="40">
        <f>COUNTIF(_20work_order[05_id],_01towers[[#This Row],[05_id]])</f>
        <v>0</v>
      </c>
      <c r="BB115" s="40">
        <f>COUNTIFS(_20work_order[05_id],_01towers[[#This Row],[05_id]],_20work_order[Actual_End],"&gt;0")</f>
        <v>0</v>
      </c>
      <c r="BC115" s="40" t="str">
        <f>IF(_01towers[[#This Row],[Completed Work Orders]]&gt;0,"Work Completed",
IF(_01towers[[#This Row],[Count Work Orders]]&gt;0,"Work in Progress",""))</f>
        <v/>
      </c>
      <c r="BD11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115" s="40" t="str">
        <f>_xlfn.SWITCH(_01towers[[#This Row],[Final Colo Status full]],"Commercial Approval Requested","Under Prevalidation",_01towers[[#This Row],[Final Colo Status full]])</f>
        <v>Prevalidated - TSSR Done</v>
      </c>
    </row>
    <row r="116" spans="1:57" x14ac:dyDescent="0.35">
      <c r="A116" s="40" t="s">
        <v>297</v>
      </c>
      <c r="B116" s="40" t="s">
        <v>90</v>
      </c>
      <c r="C116" s="40" t="s">
        <v>51</v>
      </c>
      <c r="D116">
        <v>35</v>
      </c>
      <c r="E116" s="40" t="s">
        <v>98</v>
      </c>
      <c r="F116">
        <v>96.23366</v>
      </c>
      <c r="G116">
        <v>16.86215</v>
      </c>
      <c r="H116" s="40" t="s">
        <v>269</v>
      </c>
      <c r="I116">
        <v>115</v>
      </c>
      <c r="J116" s="40" t="s">
        <v>298</v>
      </c>
      <c r="K116" s="40" t="s">
        <v>136</v>
      </c>
      <c r="L116" s="40" t="s">
        <v>56</v>
      </c>
      <c r="M116" s="40" t="s">
        <v>57</v>
      </c>
      <c r="N116" s="40" t="s">
        <v>57</v>
      </c>
      <c r="O116" s="40" t="s">
        <v>58</v>
      </c>
      <c r="P116" s="40" t="s">
        <v>58</v>
      </c>
      <c r="Q116" s="40" t="s">
        <v>57</v>
      </c>
      <c r="R116" s="40" t="s">
        <v>57</v>
      </c>
      <c r="S116">
        <v>154</v>
      </c>
      <c r="T116">
        <v>1</v>
      </c>
      <c r="U116" s="1">
        <v>43266</v>
      </c>
      <c r="V116" s="1">
        <v>43263</v>
      </c>
      <c r="W116" s="1">
        <v>43263</v>
      </c>
      <c r="X116" s="1">
        <v>43263</v>
      </c>
      <c r="Y116" s="1"/>
      <c r="Z116" s="40" t="s">
        <v>59</v>
      </c>
      <c r="AA116">
        <v>153</v>
      </c>
      <c r="AB116">
        <v>1</v>
      </c>
      <c r="AC116" s="1"/>
      <c r="AD116" s="40"/>
      <c r="AE116" s="1"/>
      <c r="AF116" s="1"/>
      <c r="AG116" s="1"/>
      <c r="AH116" s="40"/>
      <c r="AI116" s="1"/>
      <c r="AJ116" s="40">
        <f>_xlfn.MAXIFS(_01towers[02tss.Rev],_01towers[05_id],_01towers[[#This Row],[05_id]])</f>
        <v>1</v>
      </c>
      <c r="AK116" s="40" t="b">
        <f>IF(_01towers[[#This Row],[Count Rev TSS]]=_01towers[[#This Row],[02tss.Rev]],TRUE,FALSE)</f>
        <v>1</v>
      </c>
      <c r="AL116" s="40">
        <f>_xlfn.MAXIFS(_01towers[10colo_app.Rev],_01towers[05_id],_01towers[[#This Row],[05_id]])</f>
        <v>1</v>
      </c>
      <c r="AM116" s="40" t="b">
        <f>IF(_01towers[[#This Row],[Count Rev Colo App]]=_01towers[[#This Row],[10colo_app.Rev]],TRUE,FALSE)</f>
        <v>1</v>
      </c>
      <c r="AN116" s="40" t="b">
        <f>IF(AND(_01towers[[#This Row],[Test Rev Colo]]=TRUE,_01towers[[#This Row],[Test Rev TSS]]=TRUE),TRUE,FALSE)</f>
        <v>1</v>
      </c>
      <c r="AO116" s="40" t="str">
        <f>IF(_01towers[[#This Row],[Test Active]]=TRUE,_01towers[[#This Row],[Prevalidation Status]],"")</f>
        <v>Commercial Approval Requested</v>
      </c>
      <c r="AP116" s="40" t="str">
        <f>IF(_01towers[[#This Row],[Active Prevalidation Status]]="Under Prevalidation",
IF(M116="","Review",M116),"")</f>
        <v/>
      </c>
      <c r="AQ116" s="40" t="str">
        <f>IF(_01towers[[#This Row],[Active Prevalidation Status]]="Under Prevalidation",
IF(N116="","Review",N116),"")</f>
        <v/>
      </c>
      <c r="AR116" s="40" t="str">
        <f>IF(_01towers[[#This Row],[Active Prevalidation Status]]="Under Prevalidation",
IF(O116="","Review",O116),"")</f>
        <v/>
      </c>
      <c r="AS116" s="40" t="str">
        <f>IF(_01towers[[#This Row],[Active Prevalidation Status]]="Under Prevalidation",
IF(P116="","Review",P116),"")</f>
        <v/>
      </c>
      <c r="AT116" s="40" t="str">
        <f>IF(_01towers[[#This Row],[Active Prevalidation Status]]="Under Prevalidation",
IF(Q116="","Review",Q116),"")</f>
        <v/>
      </c>
      <c r="AU116" s="40" t="str">
        <f>IF(_01towers[[#This Row],[Active Prevalidation Status]]="Under Prevalidation",
IF(R116="","Review",R116),"")</f>
        <v/>
      </c>
      <c r="AV116" s="40">
        <f>COUNTIF(_01towers[[#This Row],[SAQ_Result2]:[Community_Result2]],"OK")</f>
        <v>0</v>
      </c>
      <c r="AW116" s="1" t="str">
        <f>IF(AND(OR(_01towers[[#This Row],[Active Prevalidation Status]]="Under Prevalidation",_01towers[[#This Row],[Active Prevalidation Status]]="Prevalidated"),_01towers[[#This Row],[02tss.TSSR_From_Engineer]]&gt;0),"Submitted","")</f>
        <v/>
      </c>
      <c r="AX116" s="40" t="str">
        <f>IF(OR(_01towers[[#This Row],[Active Prevalidation Status]]="Under Prevalidation",_01towers[[#This Row],[Active Prevalidation Status]]="Prevalidated"),_01towers[[#This Row],[02tss.TSS_Result]],"")</f>
        <v/>
      </c>
      <c r="AY116" s="40" t="str">
        <f>IF(AND(_01towers[[#This Row],[Active TSS Result]]="Approved",_01towers[[#This Row],[Active Prevalidation Status]]="Prevalidated"),"In Process","")</f>
        <v/>
      </c>
      <c r="AZ116" s="40" t="str">
        <f>IF(AND(_01towers[[#This Row],[Active TSS Result]]="Approved",_01towers[[#This Row],[Active Prevalidation Status]]="Prevalidated"),_01towers[[#This Row],[10colo_app.Colo_App_Result]],"")</f>
        <v/>
      </c>
      <c r="BA116" s="40">
        <f>COUNTIF(_20work_order[05_id],_01towers[[#This Row],[05_id]])</f>
        <v>0</v>
      </c>
      <c r="BB116" s="40">
        <f>COUNTIFS(_20work_order[05_id],_01towers[[#This Row],[05_id]],_20work_order[Actual_End],"&gt;0")</f>
        <v>0</v>
      </c>
      <c r="BC116" s="40" t="str">
        <f>IF(_01towers[[#This Row],[Completed Work Orders]]&gt;0,"Work Completed",
IF(_01towers[[#This Row],[Count Work Orders]]&gt;0,"Work in Progress",""))</f>
        <v/>
      </c>
      <c r="BD11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16" s="40" t="str">
        <f>_xlfn.SWITCH(_01towers[[#This Row],[Final Colo Status full]],"Commercial Approval Requested","Under Prevalidation",_01towers[[#This Row],[Final Colo Status full]])</f>
        <v>Under Prevalidation</v>
      </c>
    </row>
    <row r="117" spans="1:57" hidden="1" x14ac:dyDescent="0.35">
      <c r="A117" s="40" t="s">
        <v>299</v>
      </c>
      <c r="B117" s="40" t="s">
        <v>90</v>
      </c>
      <c r="C117" s="40" t="s">
        <v>51</v>
      </c>
      <c r="D117">
        <v>50</v>
      </c>
      <c r="E117" s="40" t="s">
        <v>94</v>
      </c>
      <c r="F117">
        <v>97.600300000000004</v>
      </c>
      <c r="G117">
        <v>16.561129999999999</v>
      </c>
      <c r="H117" s="40" t="s">
        <v>150</v>
      </c>
      <c r="I117">
        <v>116</v>
      </c>
      <c r="J117" s="40" t="s">
        <v>608</v>
      </c>
      <c r="K117" s="40" t="s">
        <v>136</v>
      </c>
      <c r="L117" s="40" t="s">
        <v>74</v>
      </c>
      <c r="M117" s="40" t="s">
        <v>57</v>
      </c>
      <c r="N117" s="40" t="s">
        <v>57</v>
      </c>
      <c r="O117" s="40" t="s">
        <v>57</v>
      </c>
      <c r="P117" s="40" t="s">
        <v>57</v>
      </c>
      <c r="Q117" s="40" t="s">
        <v>57</v>
      </c>
      <c r="R117" s="40" t="s">
        <v>75</v>
      </c>
      <c r="S117">
        <v>98</v>
      </c>
      <c r="T117">
        <v>1</v>
      </c>
      <c r="U117" s="1"/>
      <c r="V117" s="1"/>
      <c r="W117" s="1"/>
      <c r="X117" s="1"/>
      <c r="Y117" s="1"/>
      <c r="Z117" s="40"/>
      <c r="AA117">
        <v>97</v>
      </c>
      <c r="AB117">
        <v>1</v>
      </c>
      <c r="AC117" s="1"/>
      <c r="AD117" s="40"/>
      <c r="AE117" s="1"/>
      <c r="AF117" s="1"/>
      <c r="AG117" s="1"/>
      <c r="AH117" s="40"/>
      <c r="AI117" s="1"/>
      <c r="AJ117" s="40">
        <f>_xlfn.MAXIFS(_01towers[02tss.Rev],_01towers[05_id],_01towers[[#This Row],[05_id]])</f>
        <v>1</v>
      </c>
      <c r="AK117" s="40" t="b">
        <f>IF(_01towers[[#This Row],[Count Rev TSS]]=_01towers[[#This Row],[02tss.Rev]],TRUE,FALSE)</f>
        <v>1</v>
      </c>
      <c r="AL117" s="40">
        <f>_xlfn.MAXIFS(_01towers[10colo_app.Rev],_01towers[05_id],_01towers[[#This Row],[05_id]])</f>
        <v>1</v>
      </c>
      <c r="AM117" s="40" t="b">
        <f>IF(_01towers[[#This Row],[Count Rev Colo App]]=_01towers[[#This Row],[10colo_app.Rev]],TRUE,FALSE)</f>
        <v>1</v>
      </c>
      <c r="AN117" s="40" t="b">
        <f>IF(AND(_01towers[[#This Row],[Test Rev Colo]]=TRUE,_01towers[[#This Row],[Test Rev TSS]]=TRUE),TRUE,FALSE)</f>
        <v>1</v>
      </c>
      <c r="AO117" s="40" t="str">
        <f>IF(_01towers[[#This Row],[Test Active]]=TRUE,_01towers[[#This Row],[Prevalidation Status]],"")</f>
        <v>Prevalidation Rejected</v>
      </c>
      <c r="AP117" s="40" t="str">
        <f>IF(_01towers[[#This Row],[Active Prevalidation Status]]="Under Prevalidation",
IF(M117="","Review",M117),"")</f>
        <v/>
      </c>
      <c r="AQ117" s="40" t="str">
        <f>IF(_01towers[[#This Row],[Active Prevalidation Status]]="Under Prevalidation",
IF(N117="","Review",N117),"")</f>
        <v/>
      </c>
      <c r="AR117" s="40" t="str">
        <f>IF(_01towers[[#This Row],[Active Prevalidation Status]]="Under Prevalidation",
IF(O117="","Review",O117),"")</f>
        <v/>
      </c>
      <c r="AS117" s="40" t="str">
        <f>IF(_01towers[[#This Row],[Active Prevalidation Status]]="Under Prevalidation",
IF(P117="","Review",P117),"")</f>
        <v/>
      </c>
      <c r="AT117" s="40" t="str">
        <f>IF(_01towers[[#This Row],[Active Prevalidation Status]]="Under Prevalidation",
IF(Q117="","Review",Q117),"")</f>
        <v/>
      </c>
      <c r="AU117" s="40" t="str">
        <f>IF(_01towers[[#This Row],[Active Prevalidation Status]]="Under Prevalidation",
IF(R117="","Review",R117),"")</f>
        <v/>
      </c>
      <c r="AV117" s="40">
        <f>COUNTIF(_01towers[[#This Row],[SAQ_Result2]:[Community_Result2]],"OK")</f>
        <v>0</v>
      </c>
      <c r="AW117" s="1" t="str">
        <f>IF(AND(OR(_01towers[[#This Row],[Active Prevalidation Status]]="Under Prevalidation",_01towers[[#This Row],[Active Prevalidation Status]]="Prevalidated"),_01towers[[#This Row],[02tss.TSSR_From_Engineer]]&gt;0),"Submitted","")</f>
        <v/>
      </c>
      <c r="AX117" s="40" t="str">
        <f>IF(OR(_01towers[[#This Row],[Active Prevalidation Status]]="Under Prevalidation",_01towers[[#This Row],[Active Prevalidation Status]]="Prevalidated"),_01towers[[#This Row],[02tss.TSS_Result]],"")</f>
        <v/>
      </c>
      <c r="AY117" s="40" t="str">
        <f>IF(AND(_01towers[[#This Row],[Active TSS Result]]="Approved",_01towers[[#This Row],[Active Prevalidation Status]]="Prevalidated"),"In Process","")</f>
        <v/>
      </c>
      <c r="AZ117" s="40" t="str">
        <f>IF(AND(_01towers[[#This Row],[Active TSS Result]]="Approved",_01towers[[#This Row],[Active Prevalidation Status]]="Prevalidated"),_01towers[[#This Row],[10colo_app.Colo_App_Result]],"")</f>
        <v/>
      </c>
      <c r="BA117" s="40">
        <f>COUNTIF(_20work_order[05_id],_01towers[[#This Row],[05_id]])</f>
        <v>0</v>
      </c>
      <c r="BB117" s="40">
        <f>COUNTIFS(_20work_order[05_id],_01towers[[#This Row],[05_id]],_20work_order[Actual_End],"&gt;0")</f>
        <v>0</v>
      </c>
      <c r="BC117" s="40" t="str">
        <f>IF(_01towers[[#This Row],[Completed Work Orders]]&gt;0,"Work Completed",
IF(_01towers[[#This Row],[Count Work Orders]]&gt;0,"Work in Progress",""))</f>
        <v/>
      </c>
      <c r="BD11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17" s="40" t="str">
        <f>_xlfn.SWITCH(_01towers[[#This Row],[Final Colo Status full]],"Commercial Approval Requested","Under Prevalidation",_01towers[[#This Row],[Final Colo Status full]])</f>
        <v>Prevalidation Rejected</v>
      </c>
    </row>
    <row r="118" spans="1:57" x14ac:dyDescent="0.35">
      <c r="A118" s="40" t="s">
        <v>300</v>
      </c>
      <c r="B118" s="40" t="s">
        <v>90</v>
      </c>
      <c r="C118" s="40" t="s">
        <v>51</v>
      </c>
      <c r="D118">
        <v>35</v>
      </c>
      <c r="E118" s="40" t="s">
        <v>98</v>
      </c>
      <c r="F118">
        <v>96.242999999999995</v>
      </c>
      <c r="G118">
        <v>16.837430000000001</v>
      </c>
      <c r="H118" s="40" t="s">
        <v>53</v>
      </c>
      <c r="I118">
        <v>117</v>
      </c>
      <c r="J118" s="40" t="s">
        <v>301</v>
      </c>
      <c r="K118" s="40" t="s">
        <v>136</v>
      </c>
      <c r="L118" s="40" t="s">
        <v>56</v>
      </c>
      <c r="M118" s="40" t="s">
        <v>57</v>
      </c>
      <c r="N118" s="40" t="s">
        <v>57</v>
      </c>
      <c r="O118" s="40" t="s">
        <v>57</v>
      </c>
      <c r="P118" s="40" t="s">
        <v>58</v>
      </c>
      <c r="Q118" s="40" t="s">
        <v>57</v>
      </c>
      <c r="R118" s="40" t="s">
        <v>57</v>
      </c>
      <c r="S118">
        <v>156</v>
      </c>
      <c r="T118">
        <v>1</v>
      </c>
      <c r="U118" s="1"/>
      <c r="V118" s="1"/>
      <c r="W118" s="1"/>
      <c r="X118" s="1"/>
      <c r="Y118" s="1"/>
      <c r="Z118" s="40"/>
      <c r="AA118">
        <v>155</v>
      </c>
      <c r="AB118">
        <v>1</v>
      </c>
      <c r="AC118" s="1"/>
      <c r="AD118" s="40"/>
      <c r="AE118" s="1"/>
      <c r="AF118" s="1"/>
      <c r="AG118" s="1"/>
      <c r="AH118" s="40"/>
      <c r="AI118" s="1"/>
      <c r="AJ118" s="40">
        <f>_xlfn.MAXIFS(_01towers[02tss.Rev],_01towers[05_id],_01towers[[#This Row],[05_id]])</f>
        <v>1</v>
      </c>
      <c r="AK118" s="40" t="b">
        <f>IF(_01towers[[#This Row],[Count Rev TSS]]=_01towers[[#This Row],[02tss.Rev]],TRUE,FALSE)</f>
        <v>1</v>
      </c>
      <c r="AL118" s="40">
        <f>_xlfn.MAXIFS(_01towers[10colo_app.Rev],_01towers[05_id],_01towers[[#This Row],[05_id]])</f>
        <v>1</v>
      </c>
      <c r="AM118" s="40" t="b">
        <f>IF(_01towers[[#This Row],[Count Rev Colo App]]=_01towers[[#This Row],[10colo_app.Rev]],TRUE,FALSE)</f>
        <v>1</v>
      </c>
      <c r="AN118" s="40" t="b">
        <f>IF(AND(_01towers[[#This Row],[Test Rev Colo]]=TRUE,_01towers[[#This Row],[Test Rev TSS]]=TRUE),TRUE,FALSE)</f>
        <v>1</v>
      </c>
      <c r="AO118" s="40" t="str">
        <f>IF(_01towers[[#This Row],[Test Active]]=TRUE,_01towers[[#This Row],[Prevalidation Status]],"")</f>
        <v>Commercial Approval Requested</v>
      </c>
      <c r="AP118" s="40" t="str">
        <f>IF(_01towers[[#This Row],[Active Prevalidation Status]]="Under Prevalidation",
IF(M118="","Review",M118),"")</f>
        <v/>
      </c>
      <c r="AQ118" s="40" t="str">
        <f>IF(_01towers[[#This Row],[Active Prevalidation Status]]="Under Prevalidation",
IF(N118="","Review",N118),"")</f>
        <v/>
      </c>
      <c r="AR118" s="40" t="str">
        <f>IF(_01towers[[#This Row],[Active Prevalidation Status]]="Under Prevalidation",
IF(O118="","Review",O118),"")</f>
        <v/>
      </c>
      <c r="AS118" s="40" t="str">
        <f>IF(_01towers[[#This Row],[Active Prevalidation Status]]="Under Prevalidation",
IF(P118="","Review",P118),"")</f>
        <v/>
      </c>
      <c r="AT118" s="40" t="str">
        <f>IF(_01towers[[#This Row],[Active Prevalidation Status]]="Under Prevalidation",
IF(Q118="","Review",Q118),"")</f>
        <v/>
      </c>
      <c r="AU118" s="40" t="str">
        <f>IF(_01towers[[#This Row],[Active Prevalidation Status]]="Under Prevalidation",
IF(R118="","Review",R118),"")</f>
        <v/>
      </c>
      <c r="AV118" s="40">
        <f>COUNTIF(_01towers[[#This Row],[SAQ_Result2]:[Community_Result2]],"OK")</f>
        <v>0</v>
      </c>
      <c r="AW118" s="1" t="str">
        <f>IF(AND(OR(_01towers[[#This Row],[Active Prevalidation Status]]="Under Prevalidation",_01towers[[#This Row],[Active Prevalidation Status]]="Prevalidated"),_01towers[[#This Row],[02tss.TSSR_From_Engineer]]&gt;0),"Submitted","")</f>
        <v/>
      </c>
      <c r="AX118" s="40" t="str">
        <f>IF(OR(_01towers[[#This Row],[Active Prevalidation Status]]="Under Prevalidation",_01towers[[#This Row],[Active Prevalidation Status]]="Prevalidated"),_01towers[[#This Row],[02tss.TSS_Result]],"")</f>
        <v/>
      </c>
      <c r="AY118" s="40" t="str">
        <f>IF(AND(_01towers[[#This Row],[Active TSS Result]]="Approved",_01towers[[#This Row],[Active Prevalidation Status]]="Prevalidated"),"In Process","")</f>
        <v/>
      </c>
      <c r="AZ118" s="40" t="str">
        <f>IF(AND(_01towers[[#This Row],[Active TSS Result]]="Approved",_01towers[[#This Row],[Active Prevalidation Status]]="Prevalidated"),_01towers[[#This Row],[10colo_app.Colo_App_Result]],"")</f>
        <v/>
      </c>
      <c r="BA118" s="40">
        <f>COUNTIF(_20work_order[05_id],_01towers[[#This Row],[05_id]])</f>
        <v>0</v>
      </c>
      <c r="BB118" s="40">
        <f>COUNTIFS(_20work_order[05_id],_01towers[[#This Row],[05_id]],_20work_order[Actual_End],"&gt;0")</f>
        <v>0</v>
      </c>
      <c r="BC118" s="40" t="str">
        <f>IF(_01towers[[#This Row],[Completed Work Orders]]&gt;0,"Work Completed",
IF(_01towers[[#This Row],[Count Work Orders]]&gt;0,"Work in Progress",""))</f>
        <v/>
      </c>
      <c r="BD11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18" s="40" t="str">
        <f>_xlfn.SWITCH(_01towers[[#This Row],[Final Colo Status full]],"Commercial Approval Requested","Under Prevalidation",_01towers[[#This Row],[Final Colo Status full]])</f>
        <v>Under Prevalidation</v>
      </c>
    </row>
    <row r="119" spans="1:57" hidden="1" x14ac:dyDescent="0.35">
      <c r="A119" s="40" t="s">
        <v>302</v>
      </c>
      <c r="B119" s="40" t="s">
        <v>90</v>
      </c>
      <c r="C119" s="40" t="s">
        <v>82</v>
      </c>
      <c r="D119">
        <v>6</v>
      </c>
      <c r="E119" s="40" t="s">
        <v>98</v>
      </c>
      <c r="F119">
        <v>96.257249999999999</v>
      </c>
      <c r="G119">
        <v>16.872890000000002</v>
      </c>
      <c r="H119" s="40" t="s">
        <v>99</v>
      </c>
      <c r="I119">
        <v>118</v>
      </c>
      <c r="J119" s="40" t="s">
        <v>609</v>
      </c>
      <c r="K119" s="40" t="s">
        <v>136</v>
      </c>
      <c r="L119" s="40" t="s">
        <v>74</v>
      </c>
      <c r="M119" s="40" t="s">
        <v>75</v>
      </c>
      <c r="N119" s="40"/>
      <c r="O119" s="40" t="s">
        <v>58</v>
      </c>
      <c r="P119" s="40"/>
      <c r="Q119" s="40"/>
      <c r="R119" s="40" t="s">
        <v>57</v>
      </c>
      <c r="S119">
        <v>150</v>
      </c>
      <c r="T119">
        <v>1</v>
      </c>
      <c r="U119" s="1"/>
      <c r="V119" s="1"/>
      <c r="W119" s="1"/>
      <c r="X119" s="1"/>
      <c r="Y119" s="1"/>
      <c r="Z119" s="40"/>
      <c r="AA119">
        <v>149</v>
      </c>
      <c r="AB119">
        <v>1</v>
      </c>
      <c r="AC119" s="1"/>
      <c r="AD119" s="40"/>
      <c r="AE119" s="1"/>
      <c r="AF119" s="1"/>
      <c r="AG119" s="1"/>
      <c r="AH119" s="40"/>
      <c r="AI119" s="1"/>
      <c r="AJ119" s="40">
        <f>_xlfn.MAXIFS(_01towers[02tss.Rev],_01towers[05_id],_01towers[[#This Row],[05_id]])</f>
        <v>1</v>
      </c>
      <c r="AK119" s="40" t="b">
        <f>IF(_01towers[[#This Row],[Count Rev TSS]]=_01towers[[#This Row],[02tss.Rev]],TRUE,FALSE)</f>
        <v>1</v>
      </c>
      <c r="AL119" s="40">
        <f>_xlfn.MAXIFS(_01towers[10colo_app.Rev],_01towers[05_id],_01towers[[#This Row],[05_id]])</f>
        <v>1</v>
      </c>
      <c r="AM119" s="40" t="b">
        <f>IF(_01towers[[#This Row],[Count Rev Colo App]]=_01towers[[#This Row],[10colo_app.Rev]],TRUE,FALSE)</f>
        <v>1</v>
      </c>
      <c r="AN119" s="40" t="b">
        <f>IF(AND(_01towers[[#This Row],[Test Rev Colo]]=TRUE,_01towers[[#This Row],[Test Rev TSS]]=TRUE),TRUE,FALSE)</f>
        <v>1</v>
      </c>
      <c r="AO119" s="40" t="str">
        <f>IF(_01towers[[#This Row],[Test Active]]=TRUE,_01towers[[#This Row],[Prevalidation Status]],"")</f>
        <v>Prevalidation Rejected</v>
      </c>
      <c r="AP119" s="40" t="str">
        <f>IF(_01towers[[#This Row],[Active Prevalidation Status]]="Under Prevalidation",
IF(M119="","Review",M119),"")</f>
        <v/>
      </c>
      <c r="AQ119" s="40" t="str">
        <f>IF(_01towers[[#This Row],[Active Prevalidation Status]]="Under Prevalidation",
IF(N119="","Review",N119),"")</f>
        <v/>
      </c>
      <c r="AR119" s="40" t="str">
        <f>IF(_01towers[[#This Row],[Active Prevalidation Status]]="Under Prevalidation",
IF(O119="","Review",O119),"")</f>
        <v/>
      </c>
      <c r="AS119" s="40" t="str">
        <f>IF(_01towers[[#This Row],[Active Prevalidation Status]]="Under Prevalidation",
IF(P119="","Review",P119),"")</f>
        <v/>
      </c>
      <c r="AT119" s="40" t="str">
        <f>IF(_01towers[[#This Row],[Active Prevalidation Status]]="Under Prevalidation",
IF(Q119="","Review",Q119),"")</f>
        <v/>
      </c>
      <c r="AU119" s="40" t="str">
        <f>IF(_01towers[[#This Row],[Active Prevalidation Status]]="Under Prevalidation",
IF(R119="","Review",R119),"")</f>
        <v/>
      </c>
      <c r="AV119" s="40">
        <f>COUNTIF(_01towers[[#This Row],[SAQ_Result2]:[Community_Result2]],"OK")</f>
        <v>0</v>
      </c>
      <c r="AW119" s="1" t="str">
        <f>IF(AND(OR(_01towers[[#This Row],[Active Prevalidation Status]]="Under Prevalidation",_01towers[[#This Row],[Active Prevalidation Status]]="Prevalidated"),_01towers[[#This Row],[02tss.TSSR_From_Engineer]]&gt;0),"Submitted","")</f>
        <v/>
      </c>
      <c r="AX119" s="40" t="str">
        <f>IF(OR(_01towers[[#This Row],[Active Prevalidation Status]]="Under Prevalidation",_01towers[[#This Row],[Active Prevalidation Status]]="Prevalidated"),_01towers[[#This Row],[02tss.TSS_Result]],"")</f>
        <v/>
      </c>
      <c r="AY119" s="40" t="str">
        <f>IF(AND(_01towers[[#This Row],[Active TSS Result]]="Approved",_01towers[[#This Row],[Active Prevalidation Status]]="Prevalidated"),"In Process","")</f>
        <v/>
      </c>
      <c r="AZ119" s="40" t="str">
        <f>IF(AND(_01towers[[#This Row],[Active TSS Result]]="Approved",_01towers[[#This Row],[Active Prevalidation Status]]="Prevalidated"),_01towers[[#This Row],[10colo_app.Colo_App_Result]],"")</f>
        <v/>
      </c>
      <c r="BA119" s="40">
        <f>COUNTIF(_20work_order[05_id],_01towers[[#This Row],[05_id]])</f>
        <v>0</v>
      </c>
      <c r="BB119" s="40">
        <f>COUNTIFS(_20work_order[05_id],_01towers[[#This Row],[05_id]],_20work_order[Actual_End],"&gt;0")</f>
        <v>0</v>
      </c>
      <c r="BC119" s="40" t="str">
        <f>IF(_01towers[[#This Row],[Completed Work Orders]]&gt;0,"Work Completed",
IF(_01towers[[#This Row],[Count Work Orders]]&gt;0,"Work in Progress",""))</f>
        <v/>
      </c>
      <c r="BD11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19" s="40" t="str">
        <f>_xlfn.SWITCH(_01towers[[#This Row],[Final Colo Status full]],"Commercial Approval Requested","Under Prevalidation",_01towers[[#This Row],[Final Colo Status full]])</f>
        <v>Prevalidation Rejected</v>
      </c>
    </row>
    <row r="120" spans="1:57" hidden="1" x14ac:dyDescent="0.35">
      <c r="A120" s="40" t="s">
        <v>304</v>
      </c>
      <c r="B120" s="40" t="s">
        <v>90</v>
      </c>
      <c r="C120" s="40" t="s">
        <v>51</v>
      </c>
      <c r="D120">
        <v>60</v>
      </c>
      <c r="E120" s="40" t="s">
        <v>175</v>
      </c>
      <c r="F120">
        <v>96.443100000000001</v>
      </c>
      <c r="G120">
        <v>17.456959999999999</v>
      </c>
      <c r="H120" s="40" t="s">
        <v>53</v>
      </c>
      <c r="I120">
        <v>120</v>
      </c>
      <c r="J120" s="40" t="s">
        <v>305</v>
      </c>
      <c r="K120" s="40" t="s">
        <v>136</v>
      </c>
      <c r="L120" s="40" t="s">
        <v>64</v>
      </c>
      <c r="M120" s="40" t="s">
        <v>57</v>
      </c>
      <c r="N120" s="40" t="s">
        <v>57</v>
      </c>
      <c r="O120" s="40" t="s">
        <v>57</v>
      </c>
      <c r="P120" s="40" t="s">
        <v>57</v>
      </c>
      <c r="Q120" s="40" t="s">
        <v>57</v>
      </c>
      <c r="R120" s="40" t="s">
        <v>57</v>
      </c>
      <c r="S120">
        <v>19</v>
      </c>
      <c r="T120">
        <v>1</v>
      </c>
      <c r="U120" s="1">
        <v>43266</v>
      </c>
      <c r="V120" s="1"/>
      <c r="W120" s="1"/>
      <c r="X120" s="1"/>
      <c r="Y120" s="1"/>
      <c r="Z120" s="40"/>
      <c r="AA120">
        <v>19</v>
      </c>
      <c r="AB120">
        <v>1</v>
      </c>
      <c r="AC120" s="1"/>
      <c r="AD120" s="40"/>
      <c r="AE120" s="1"/>
      <c r="AF120" s="1"/>
      <c r="AG120" s="1"/>
      <c r="AH120" s="40"/>
      <c r="AI120" s="1"/>
      <c r="AJ120" s="40">
        <f>_xlfn.MAXIFS(_01towers[02tss.Rev],_01towers[05_id],_01towers[[#This Row],[05_id]])</f>
        <v>1</v>
      </c>
      <c r="AK120" s="40" t="b">
        <f>IF(_01towers[[#This Row],[Count Rev TSS]]=_01towers[[#This Row],[02tss.Rev]],TRUE,FALSE)</f>
        <v>1</v>
      </c>
      <c r="AL120" s="40">
        <f>_xlfn.MAXIFS(_01towers[10colo_app.Rev],_01towers[05_id],_01towers[[#This Row],[05_id]])</f>
        <v>1</v>
      </c>
      <c r="AM120" s="40" t="b">
        <f>IF(_01towers[[#This Row],[Count Rev Colo App]]=_01towers[[#This Row],[10colo_app.Rev]],TRUE,FALSE)</f>
        <v>1</v>
      </c>
      <c r="AN120" s="40" t="b">
        <f>IF(AND(_01towers[[#This Row],[Test Rev Colo]]=TRUE,_01towers[[#This Row],[Test Rev TSS]]=TRUE),TRUE,FALSE)</f>
        <v>1</v>
      </c>
      <c r="AO120" s="40" t="str">
        <f>IF(_01towers[[#This Row],[Test Active]]=TRUE,_01towers[[#This Row],[Prevalidation Status]],"")</f>
        <v>Prevalidated</v>
      </c>
      <c r="AP120" s="40" t="str">
        <f>IF(_01towers[[#This Row],[Active Prevalidation Status]]="Under Prevalidation",
IF(M120="","Review",M120),"")</f>
        <v/>
      </c>
      <c r="AQ120" s="40" t="str">
        <f>IF(_01towers[[#This Row],[Active Prevalidation Status]]="Under Prevalidation",
IF(N120="","Review",N120),"")</f>
        <v/>
      </c>
      <c r="AR120" s="40" t="str">
        <f>IF(_01towers[[#This Row],[Active Prevalidation Status]]="Under Prevalidation",
IF(O120="","Review",O120),"")</f>
        <v/>
      </c>
      <c r="AS120" s="40" t="str">
        <f>IF(_01towers[[#This Row],[Active Prevalidation Status]]="Under Prevalidation",
IF(P120="","Review",P120),"")</f>
        <v/>
      </c>
      <c r="AT120" s="40" t="str">
        <f>IF(_01towers[[#This Row],[Active Prevalidation Status]]="Under Prevalidation",
IF(Q120="","Review",Q120),"")</f>
        <v/>
      </c>
      <c r="AU120" s="40" t="str">
        <f>IF(_01towers[[#This Row],[Active Prevalidation Status]]="Under Prevalidation",
IF(R120="","Review",R120),"")</f>
        <v/>
      </c>
      <c r="AV120" s="40">
        <f>COUNTIF(_01towers[[#This Row],[SAQ_Result2]:[Community_Result2]],"OK")</f>
        <v>0</v>
      </c>
      <c r="AW120" s="1" t="str">
        <f>IF(AND(OR(_01towers[[#This Row],[Active Prevalidation Status]]="Under Prevalidation",_01towers[[#This Row],[Active Prevalidation Status]]="Prevalidated"),_01towers[[#This Row],[02tss.TSSR_From_Engineer]]&gt;0),"Submitted","")</f>
        <v/>
      </c>
      <c r="AX120" s="40">
        <f>IF(OR(_01towers[[#This Row],[Active Prevalidation Status]]="Under Prevalidation",_01towers[[#This Row],[Active Prevalidation Status]]="Prevalidated"),_01towers[[#This Row],[02tss.TSS_Result]],"")</f>
        <v>0</v>
      </c>
      <c r="AY120" s="40" t="str">
        <f>IF(AND(_01towers[[#This Row],[Active TSS Result]]="Approved",_01towers[[#This Row],[Active Prevalidation Status]]="Prevalidated"),"In Process","")</f>
        <v/>
      </c>
      <c r="AZ120" s="40" t="str">
        <f>IF(AND(_01towers[[#This Row],[Active TSS Result]]="Approved",_01towers[[#This Row],[Active Prevalidation Status]]="Prevalidated"),_01towers[[#This Row],[10colo_app.Colo_App_Result]],"")</f>
        <v/>
      </c>
      <c r="BA120" s="40">
        <f>COUNTIF(_20work_order[05_id],_01towers[[#This Row],[05_id]])</f>
        <v>1</v>
      </c>
      <c r="BB120" s="40">
        <f>COUNTIFS(_20work_order[05_id],_01towers[[#This Row],[05_id]],_20work_order[Actual_End],"&gt;0")</f>
        <v>1</v>
      </c>
      <c r="BC120" s="40" t="str">
        <f>IF(_01towers[[#This Row],[Completed Work Orders]]&gt;0,"Work Completed",
IF(_01towers[[#This Row],[Count Work Orders]]&gt;0,"Work in Progress",""))</f>
        <v>Work Completed</v>
      </c>
      <c r="BD12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20" s="40" t="str">
        <f>_xlfn.SWITCH(_01towers[[#This Row],[Final Colo Status full]],"Commercial Approval Requested","Under Prevalidation",_01towers[[#This Row],[Final Colo Status full]])</f>
        <v>Prevalidated - TSSR in Process</v>
      </c>
    </row>
    <row r="121" spans="1:57" x14ac:dyDescent="0.35">
      <c r="A121" s="40" t="s">
        <v>306</v>
      </c>
      <c r="B121" s="40" t="s">
        <v>90</v>
      </c>
      <c r="C121" s="40" t="s">
        <v>82</v>
      </c>
      <c r="D121">
        <v>6</v>
      </c>
      <c r="E121" s="40" t="s">
        <v>98</v>
      </c>
      <c r="F121">
        <v>96.188959999999994</v>
      </c>
      <c r="G121">
        <v>16.87989</v>
      </c>
      <c r="H121" s="40" t="s">
        <v>53</v>
      </c>
      <c r="I121">
        <v>121</v>
      </c>
      <c r="J121" s="40" t="s">
        <v>307</v>
      </c>
      <c r="K121" s="40" t="s">
        <v>136</v>
      </c>
      <c r="L121" s="40" t="s">
        <v>56</v>
      </c>
      <c r="M121" s="40" t="s">
        <v>57</v>
      </c>
      <c r="N121" s="40" t="s">
        <v>57</v>
      </c>
      <c r="O121" s="40" t="s">
        <v>58</v>
      </c>
      <c r="P121" s="40" t="s">
        <v>58</v>
      </c>
      <c r="Q121" s="40" t="s">
        <v>57</v>
      </c>
      <c r="R121" s="40" t="s">
        <v>57</v>
      </c>
      <c r="S121">
        <v>152</v>
      </c>
      <c r="T121">
        <v>1</v>
      </c>
      <c r="U121" s="1">
        <v>43265</v>
      </c>
      <c r="V121" s="1">
        <v>43263</v>
      </c>
      <c r="W121" s="1">
        <v>43263</v>
      </c>
      <c r="X121" s="1">
        <v>43263</v>
      </c>
      <c r="Y121" s="1"/>
      <c r="Z121" s="40" t="s">
        <v>59</v>
      </c>
      <c r="AA121">
        <v>151</v>
      </c>
      <c r="AB121">
        <v>1</v>
      </c>
      <c r="AC121" s="1"/>
      <c r="AD121" s="40"/>
      <c r="AE121" s="1"/>
      <c r="AF121" s="1"/>
      <c r="AG121" s="1"/>
      <c r="AH121" s="40"/>
      <c r="AI121" s="1"/>
      <c r="AJ121" s="40">
        <f>_xlfn.MAXIFS(_01towers[02tss.Rev],_01towers[05_id],_01towers[[#This Row],[05_id]])</f>
        <v>1</v>
      </c>
      <c r="AK121" s="40" t="b">
        <f>IF(_01towers[[#This Row],[Count Rev TSS]]=_01towers[[#This Row],[02tss.Rev]],TRUE,FALSE)</f>
        <v>1</v>
      </c>
      <c r="AL121" s="40">
        <f>_xlfn.MAXIFS(_01towers[10colo_app.Rev],_01towers[05_id],_01towers[[#This Row],[05_id]])</f>
        <v>1</v>
      </c>
      <c r="AM121" s="40" t="b">
        <f>IF(_01towers[[#This Row],[Count Rev Colo App]]=_01towers[[#This Row],[10colo_app.Rev]],TRUE,FALSE)</f>
        <v>1</v>
      </c>
      <c r="AN121" s="40" t="b">
        <f>IF(AND(_01towers[[#This Row],[Test Rev Colo]]=TRUE,_01towers[[#This Row],[Test Rev TSS]]=TRUE),TRUE,FALSE)</f>
        <v>1</v>
      </c>
      <c r="AO121" s="40" t="str">
        <f>IF(_01towers[[#This Row],[Test Active]]=TRUE,_01towers[[#This Row],[Prevalidation Status]],"")</f>
        <v>Commercial Approval Requested</v>
      </c>
      <c r="AP121" s="40" t="str">
        <f>IF(_01towers[[#This Row],[Active Prevalidation Status]]="Under Prevalidation",
IF(M121="","Review",M121),"")</f>
        <v/>
      </c>
      <c r="AQ121" s="40" t="str">
        <f>IF(_01towers[[#This Row],[Active Prevalidation Status]]="Under Prevalidation",
IF(N121="","Review",N121),"")</f>
        <v/>
      </c>
      <c r="AR121" s="40" t="str">
        <f>IF(_01towers[[#This Row],[Active Prevalidation Status]]="Under Prevalidation",
IF(O121="","Review",O121),"")</f>
        <v/>
      </c>
      <c r="AS121" s="40" t="str">
        <f>IF(_01towers[[#This Row],[Active Prevalidation Status]]="Under Prevalidation",
IF(P121="","Review",P121),"")</f>
        <v/>
      </c>
      <c r="AT121" s="40" t="str">
        <f>IF(_01towers[[#This Row],[Active Prevalidation Status]]="Under Prevalidation",
IF(Q121="","Review",Q121),"")</f>
        <v/>
      </c>
      <c r="AU121" s="40" t="str">
        <f>IF(_01towers[[#This Row],[Active Prevalidation Status]]="Under Prevalidation",
IF(R121="","Review",R121),"")</f>
        <v/>
      </c>
      <c r="AV121" s="40">
        <f>COUNTIF(_01towers[[#This Row],[SAQ_Result2]:[Community_Result2]],"OK")</f>
        <v>0</v>
      </c>
      <c r="AW121" s="1" t="str">
        <f>IF(AND(OR(_01towers[[#This Row],[Active Prevalidation Status]]="Under Prevalidation",_01towers[[#This Row],[Active Prevalidation Status]]="Prevalidated"),_01towers[[#This Row],[02tss.TSSR_From_Engineer]]&gt;0),"Submitted","")</f>
        <v/>
      </c>
      <c r="AX121" s="40" t="str">
        <f>IF(OR(_01towers[[#This Row],[Active Prevalidation Status]]="Under Prevalidation",_01towers[[#This Row],[Active Prevalidation Status]]="Prevalidated"),_01towers[[#This Row],[02tss.TSS_Result]],"")</f>
        <v/>
      </c>
      <c r="AY121" s="40" t="str">
        <f>IF(AND(_01towers[[#This Row],[Active TSS Result]]="Approved",_01towers[[#This Row],[Active Prevalidation Status]]="Prevalidated"),"In Process","")</f>
        <v/>
      </c>
      <c r="AZ121" s="40" t="str">
        <f>IF(AND(_01towers[[#This Row],[Active TSS Result]]="Approved",_01towers[[#This Row],[Active Prevalidation Status]]="Prevalidated"),_01towers[[#This Row],[10colo_app.Colo_App_Result]],"")</f>
        <v/>
      </c>
      <c r="BA121" s="40">
        <f>COUNTIF(_20work_order[05_id],_01towers[[#This Row],[05_id]])</f>
        <v>0</v>
      </c>
      <c r="BB121" s="40">
        <f>COUNTIFS(_20work_order[05_id],_01towers[[#This Row],[05_id]],_20work_order[Actual_End],"&gt;0")</f>
        <v>0</v>
      </c>
      <c r="BC121" s="40" t="str">
        <f>IF(_01towers[[#This Row],[Completed Work Orders]]&gt;0,"Work Completed",
IF(_01towers[[#This Row],[Count Work Orders]]&gt;0,"Work in Progress",""))</f>
        <v/>
      </c>
      <c r="BD12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21" s="40" t="str">
        <f>_xlfn.SWITCH(_01towers[[#This Row],[Final Colo Status full]],"Commercial Approval Requested","Under Prevalidation",_01towers[[#This Row],[Final Colo Status full]])</f>
        <v>Under Prevalidation</v>
      </c>
    </row>
    <row r="122" spans="1:57" hidden="1" x14ac:dyDescent="0.35">
      <c r="A122" s="40" t="s">
        <v>308</v>
      </c>
      <c r="B122" s="40" t="s">
        <v>90</v>
      </c>
      <c r="C122" s="40" t="s">
        <v>82</v>
      </c>
      <c r="D122">
        <v>6</v>
      </c>
      <c r="E122" s="40" t="s">
        <v>98</v>
      </c>
      <c r="F122">
        <v>96.194789999999998</v>
      </c>
      <c r="G122">
        <v>16.82133</v>
      </c>
      <c r="H122" s="40" t="s">
        <v>62</v>
      </c>
      <c r="I122">
        <v>122</v>
      </c>
      <c r="J122" s="40" t="s">
        <v>611</v>
      </c>
      <c r="K122" s="40" t="s">
        <v>136</v>
      </c>
      <c r="L122" s="40" t="s">
        <v>74</v>
      </c>
      <c r="M122" s="40" t="s">
        <v>75</v>
      </c>
      <c r="N122" s="40"/>
      <c r="O122" s="40" t="s">
        <v>58</v>
      </c>
      <c r="P122" s="40"/>
      <c r="Q122" s="40"/>
      <c r="R122" s="40" t="s">
        <v>57</v>
      </c>
      <c r="S122">
        <v>165</v>
      </c>
      <c r="T122">
        <v>1</v>
      </c>
      <c r="U122" s="1"/>
      <c r="V122" s="1"/>
      <c r="W122" s="1"/>
      <c r="X122" s="1"/>
      <c r="Y122" s="1"/>
      <c r="Z122" s="40"/>
      <c r="AA122">
        <v>164</v>
      </c>
      <c r="AB122">
        <v>1</v>
      </c>
      <c r="AC122" s="1"/>
      <c r="AD122" s="40"/>
      <c r="AE122" s="1"/>
      <c r="AF122" s="1"/>
      <c r="AG122" s="1"/>
      <c r="AH122" s="40"/>
      <c r="AI122" s="1"/>
      <c r="AJ122" s="40">
        <f>_xlfn.MAXIFS(_01towers[02tss.Rev],_01towers[05_id],_01towers[[#This Row],[05_id]])</f>
        <v>1</v>
      </c>
      <c r="AK122" s="40" t="b">
        <f>IF(_01towers[[#This Row],[Count Rev TSS]]=_01towers[[#This Row],[02tss.Rev]],TRUE,FALSE)</f>
        <v>1</v>
      </c>
      <c r="AL122" s="40">
        <f>_xlfn.MAXIFS(_01towers[10colo_app.Rev],_01towers[05_id],_01towers[[#This Row],[05_id]])</f>
        <v>1</v>
      </c>
      <c r="AM122" s="40" t="b">
        <f>IF(_01towers[[#This Row],[Count Rev Colo App]]=_01towers[[#This Row],[10colo_app.Rev]],TRUE,FALSE)</f>
        <v>1</v>
      </c>
      <c r="AN122" s="40" t="b">
        <f>IF(AND(_01towers[[#This Row],[Test Rev Colo]]=TRUE,_01towers[[#This Row],[Test Rev TSS]]=TRUE),TRUE,FALSE)</f>
        <v>1</v>
      </c>
      <c r="AO122" s="40" t="str">
        <f>IF(_01towers[[#This Row],[Test Active]]=TRUE,_01towers[[#This Row],[Prevalidation Status]],"")</f>
        <v>Prevalidation Rejected</v>
      </c>
      <c r="AP122" s="40" t="str">
        <f>IF(_01towers[[#This Row],[Active Prevalidation Status]]="Under Prevalidation",
IF(M122="","Review",M122),"")</f>
        <v/>
      </c>
      <c r="AQ122" s="40" t="str">
        <f>IF(_01towers[[#This Row],[Active Prevalidation Status]]="Under Prevalidation",
IF(N122="","Review",N122),"")</f>
        <v/>
      </c>
      <c r="AR122" s="40" t="str">
        <f>IF(_01towers[[#This Row],[Active Prevalidation Status]]="Under Prevalidation",
IF(O122="","Review",O122),"")</f>
        <v/>
      </c>
      <c r="AS122" s="40" t="str">
        <f>IF(_01towers[[#This Row],[Active Prevalidation Status]]="Under Prevalidation",
IF(P122="","Review",P122),"")</f>
        <v/>
      </c>
      <c r="AT122" s="40" t="str">
        <f>IF(_01towers[[#This Row],[Active Prevalidation Status]]="Under Prevalidation",
IF(Q122="","Review",Q122),"")</f>
        <v/>
      </c>
      <c r="AU122" s="40" t="str">
        <f>IF(_01towers[[#This Row],[Active Prevalidation Status]]="Under Prevalidation",
IF(R122="","Review",R122),"")</f>
        <v/>
      </c>
      <c r="AV122" s="40">
        <f>COUNTIF(_01towers[[#This Row],[SAQ_Result2]:[Community_Result2]],"OK")</f>
        <v>0</v>
      </c>
      <c r="AW122" s="1" t="str">
        <f>IF(AND(OR(_01towers[[#This Row],[Active Prevalidation Status]]="Under Prevalidation",_01towers[[#This Row],[Active Prevalidation Status]]="Prevalidated"),_01towers[[#This Row],[02tss.TSSR_From_Engineer]]&gt;0),"Submitted","")</f>
        <v/>
      </c>
      <c r="AX122" s="40" t="str">
        <f>IF(OR(_01towers[[#This Row],[Active Prevalidation Status]]="Under Prevalidation",_01towers[[#This Row],[Active Prevalidation Status]]="Prevalidated"),_01towers[[#This Row],[02tss.TSS_Result]],"")</f>
        <v/>
      </c>
      <c r="AY122" s="40" t="str">
        <f>IF(AND(_01towers[[#This Row],[Active TSS Result]]="Approved",_01towers[[#This Row],[Active Prevalidation Status]]="Prevalidated"),"In Process","")</f>
        <v/>
      </c>
      <c r="AZ122" s="40" t="str">
        <f>IF(AND(_01towers[[#This Row],[Active TSS Result]]="Approved",_01towers[[#This Row],[Active Prevalidation Status]]="Prevalidated"),_01towers[[#This Row],[10colo_app.Colo_App_Result]],"")</f>
        <v/>
      </c>
      <c r="BA122" s="40">
        <f>COUNTIF(_20work_order[05_id],_01towers[[#This Row],[05_id]])</f>
        <v>0</v>
      </c>
      <c r="BB122" s="40">
        <f>COUNTIFS(_20work_order[05_id],_01towers[[#This Row],[05_id]],_20work_order[Actual_End],"&gt;0")</f>
        <v>0</v>
      </c>
      <c r="BC122" s="40" t="str">
        <f>IF(_01towers[[#This Row],[Completed Work Orders]]&gt;0,"Work Completed",
IF(_01towers[[#This Row],[Count Work Orders]]&gt;0,"Work in Progress",""))</f>
        <v/>
      </c>
      <c r="BD12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22" s="40" t="str">
        <f>_xlfn.SWITCH(_01towers[[#This Row],[Final Colo Status full]],"Commercial Approval Requested","Under Prevalidation",_01towers[[#This Row],[Final Colo Status full]])</f>
        <v>Prevalidation Rejected</v>
      </c>
    </row>
    <row r="123" spans="1:57" hidden="1" x14ac:dyDescent="0.35">
      <c r="A123" s="40" t="s">
        <v>309</v>
      </c>
      <c r="B123" s="40" t="s">
        <v>90</v>
      </c>
      <c r="C123" s="40" t="s">
        <v>249</v>
      </c>
      <c r="D123">
        <v>12</v>
      </c>
      <c r="E123" s="40" t="s">
        <v>98</v>
      </c>
      <c r="F123">
        <v>96.190250000000006</v>
      </c>
      <c r="G123">
        <v>16.848330000000001</v>
      </c>
      <c r="H123" s="40" t="s">
        <v>53</v>
      </c>
      <c r="I123">
        <v>123</v>
      </c>
      <c r="J123" s="40" t="s">
        <v>310</v>
      </c>
      <c r="K123" s="40" t="s">
        <v>136</v>
      </c>
      <c r="L123" s="40" t="s">
        <v>74</v>
      </c>
      <c r="M123" s="40" t="s">
        <v>75</v>
      </c>
      <c r="N123" s="40"/>
      <c r="O123" s="40" t="s">
        <v>58</v>
      </c>
      <c r="P123" s="40"/>
      <c r="Q123" s="40"/>
      <c r="R123" s="40" t="s">
        <v>57</v>
      </c>
      <c r="S123">
        <v>153</v>
      </c>
      <c r="T123">
        <v>1</v>
      </c>
      <c r="U123" s="1"/>
      <c r="V123" s="1"/>
      <c r="W123" s="1"/>
      <c r="X123" s="1"/>
      <c r="Y123" s="1"/>
      <c r="Z123" s="40"/>
      <c r="AA123">
        <v>152</v>
      </c>
      <c r="AB123">
        <v>1</v>
      </c>
      <c r="AC123" s="1"/>
      <c r="AD123" s="40"/>
      <c r="AE123" s="1"/>
      <c r="AF123" s="1"/>
      <c r="AG123" s="1"/>
      <c r="AH123" s="40"/>
      <c r="AI123" s="1"/>
      <c r="AJ123" s="40">
        <f>_xlfn.MAXIFS(_01towers[02tss.Rev],_01towers[05_id],_01towers[[#This Row],[05_id]])</f>
        <v>1</v>
      </c>
      <c r="AK123" s="40" t="b">
        <f>IF(_01towers[[#This Row],[Count Rev TSS]]=_01towers[[#This Row],[02tss.Rev]],TRUE,FALSE)</f>
        <v>1</v>
      </c>
      <c r="AL123" s="40">
        <f>_xlfn.MAXIFS(_01towers[10colo_app.Rev],_01towers[05_id],_01towers[[#This Row],[05_id]])</f>
        <v>1</v>
      </c>
      <c r="AM123" s="40" t="b">
        <f>IF(_01towers[[#This Row],[Count Rev Colo App]]=_01towers[[#This Row],[10colo_app.Rev]],TRUE,FALSE)</f>
        <v>1</v>
      </c>
      <c r="AN123" s="40" t="b">
        <f>IF(AND(_01towers[[#This Row],[Test Rev Colo]]=TRUE,_01towers[[#This Row],[Test Rev TSS]]=TRUE),TRUE,FALSE)</f>
        <v>1</v>
      </c>
      <c r="AO123" s="40" t="str">
        <f>IF(_01towers[[#This Row],[Test Active]]=TRUE,_01towers[[#This Row],[Prevalidation Status]],"")</f>
        <v>Prevalidation Rejected</v>
      </c>
      <c r="AP123" s="40" t="str">
        <f>IF(_01towers[[#This Row],[Active Prevalidation Status]]="Under Prevalidation",
IF(M123="","Review",M123),"")</f>
        <v/>
      </c>
      <c r="AQ123" s="40" t="str">
        <f>IF(_01towers[[#This Row],[Active Prevalidation Status]]="Under Prevalidation",
IF(N123="","Review",N123),"")</f>
        <v/>
      </c>
      <c r="AR123" s="40" t="str">
        <f>IF(_01towers[[#This Row],[Active Prevalidation Status]]="Under Prevalidation",
IF(O123="","Review",O123),"")</f>
        <v/>
      </c>
      <c r="AS123" s="40" t="str">
        <f>IF(_01towers[[#This Row],[Active Prevalidation Status]]="Under Prevalidation",
IF(P123="","Review",P123),"")</f>
        <v/>
      </c>
      <c r="AT123" s="40" t="str">
        <f>IF(_01towers[[#This Row],[Active Prevalidation Status]]="Under Prevalidation",
IF(Q123="","Review",Q123),"")</f>
        <v/>
      </c>
      <c r="AU123" s="40" t="str">
        <f>IF(_01towers[[#This Row],[Active Prevalidation Status]]="Under Prevalidation",
IF(R123="","Review",R123),"")</f>
        <v/>
      </c>
      <c r="AV123" s="40">
        <f>COUNTIF(_01towers[[#This Row],[SAQ_Result2]:[Community_Result2]],"OK")</f>
        <v>0</v>
      </c>
      <c r="AW123" s="1" t="str">
        <f>IF(AND(OR(_01towers[[#This Row],[Active Prevalidation Status]]="Under Prevalidation",_01towers[[#This Row],[Active Prevalidation Status]]="Prevalidated"),_01towers[[#This Row],[02tss.TSSR_From_Engineer]]&gt;0),"Submitted","")</f>
        <v/>
      </c>
      <c r="AX123" s="40" t="str">
        <f>IF(OR(_01towers[[#This Row],[Active Prevalidation Status]]="Under Prevalidation",_01towers[[#This Row],[Active Prevalidation Status]]="Prevalidated"),_01towers[[#This Row],[02tss.TSS_Result]],"")</f>
        <v/>
      </c>
      <c r="AY123" s="40" t="str">
        <f>IF(AND(_01towers[[#This Row],[Active TSS Result]]="Approved",_01towers[[#This Row],[Active Prevalidation Status]]="Prevalidated"),"In Process","")</f>
        <v/>
      </c>
      <c r="AZ123" s="40" t="str">
        <f>IF(AND(_01towers[[#This Row],[Active TSS Result]]="Approved",_01towers[[#This Row],[Active Prevalidation Status]]="Prevalidated"),_01towers[[#This Row],[10colo_app.Colo_App_Result]],"")</f>
        <v/>
      </c>
      <c r="BA123" s="40">
        <f>COUNTIF(_20work_order[05_id],_01towers[[#This Row],[05_id]])</f>
        <v>0</v>
      </c>
      <c r="BB123" s="40">
        <f>COUNTIFS(_20work_order[05_id],_01towers[[#This Row],[05_id]],_20work_order[Actual_End],"&gt;0")</f>
        <v>0</v>
      </c>
      <c r="BC123" s="40" t="str">
        <f>IF(_01towers[[#This Row],[Completed Work Orders]]&gt;0,"Work Completed",
IF(_01towers[[#This Row],[Count Work Orders]]&gt;0,"Work in Progress",""))</f>
        <v/>
      </c>
      <c r="BD12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23" s="40" t="str">
        <f>_xlfn.SWITCH(_01towers[[#This Row],[Final Colo Status full]],"Commercial Approval Requested","Under Prevalidation",_01towers[[#This Row],[Final Colo Status full]])</f>
        <v>Prevalidation Rejected</v>
      </c>
    </row>
    <row r="124" spans="1:57" x14ac:dyDescent="0.35">
      <c r="A124" s="40" t="s">
        <v>311</v>
      </c>
      <c r="B124" s="40" t="s">
        <v>90</v>
      </c>
      <c r="C124" s="40" t="s">
        <v>82</v>
      </c>
      <c r="D124">
        <v>6</v>
      </c>
      <c r="E124" s="40" t="s">
        <v>98</v>
      </c>
      <c r="F124">
        <v>96.108599999999996</v>
      </c>
      <c r="G124">
        <v>16.859760000000001</v>
      </c>
      <c r="H124" s="40" t="s">
        <v>99</v>
      </c>
      <c r="I124">
        <v>124</v>
      </c>
      <c r="J124" s="40" t="s">
        <v>312</v>
      </c>
      <c r="K124" s="40" t="s">
        <v>136</v>
      </c>
      <c r="L124" s="40" t="s">
        <v>56</v>
      </c>
      <c r="M124" s="40" t="s">
        <v>57</v>
      </c>
      <c r="N124" s="40" t="s">
        <v>57</v>
      </c>
      <c r="O124" s="40" t="s">
        <v>58</v>
      </c>
      <c r="P124" s="40" t="s">
        <v>58</v>
      </c>
      <c r="Q124" s="40" t="s">
        <v>57</v>
      </c>
      <c r="R124" s="40" t="s">
        <v>57</v>
      </c>
      <c r="S124">
        <v>138</v>
      </c>
      <c r="T124">
        <v>1</v>
      </c>
      <c r="U124" s="1">
        <v>43263</v>
      </c>
      <c r="V124" s="1"/>
      <c r="W124" s="1"/>
      <c r="X124" s="1"/>
      <c r="Y124" s="1"/>
      <c r="Z124" s="40"/>
      <c r="AA124">
        <v>137</v>
      </c>
      <c r="AB124">
        <v>1</v>
      </c>
      <c r="AC124" s="1"/>
      <c r="AD124" s="40"/>
      <c r="AE124" s="1"/>
      <c r="AF124" s="1"/>
      <c r="AG124" s="1"/>
      <c r="AH124" s="40"/>
      <c r="AI124" s="1"/>
      <c r="AJ124" s="40">
        <f>_xlfn.MAXIFS(_01towers[02tss.Rev],_01towers[05_id],_01towers[[#This Row],[05_id]])</f>
        <v>1</v>
      </c>
      <c r="AK124" s="40" t="b">
        <f>IF(_01towers[[#This Row],[Count Rev TSS]]=_01towers[[#This Row],[02tss.Rev]],TRUE,FALSE)</f>
        <v>1</v>
      </c>
      <c r="AL124" s="40">
        <f>_xlfn.MAXIFS(_01towers[10colo_app.Rev],_01towers[05_id],_01towers[[#This Row],[05_id]])</f>
        <v>1</v>
      </c>
      <c r="AM124" s="40" t="b">
        <f>IF(_01towers[[#This Row],[Count Rev Colo App]]=_01towers[[#This Row],[10colo_app.Rev]],TRUE,FALSE)</f>
        <v>1</v>
      </c>
      <c r="AN124" s="40" t="b">
        <f>IF(AND(_01towers[[#This Row],[Test Rev Colo]]=TRUE,_01towers[[#This Row],[Test Rev TSS]]=TRUE),TRUE,FALSE)</f>
        <v>1</v>
      </c>
      <c r="AO124" s="40" t="str">
        <f>IF(_01towers[[#This Row],[Test Active]]=TRUE,_01towers[[#This Row],[Prevalidation Status]],"")</f>
        <v>Commercial Approval Requested</v>
      </c>
      <c r="AP124" s="40" t="str">
        <f>IF(_01towers[[#This Row],[Active Prevalidation Status]]="Under Prevalidation",
IF(M124="","Review",M124),"")</f>
        <v/>
      </c>
      <c r="AQ124" s="40" t="str">
        <f>IF(_01towers[[#This Row],[Active Prevalidation Status]]="Under Prevalidation",
IF(N124="","Review",N124),"")</f>
        <v/>
      </c>
      <c r="AR124" s="40" t="str">
        <f>IF(_01towers[[#This Row],[Active Prevalidation Status]]="Under Prevalidation",
IF(O124="","Review",O124),"")</f>
        <v/>
      </c>
      <c r="AS124" s="40" t="str">
        <f>IF(_01towers[[#This Row],[Active Prevalidation Status]]="Under Prevalidation",
IF(P124="","Review",P124),"")</f>
        <v/>
      </c>
      <c r="AT124" s="40" t="str">
        <f>IF(_01towers[[#This Row],[Active Prevalidation Status]]="Under Prevalidation",
IF(Q124="","Review",Q124),"")</f>
        <v/>
      </c>
      <c r="AU124" s="40" t="str">
        <f>IF(_01towers[[#This Row],[Active Prevalidation Status]]="Under Prevalidation",
IF(R124="","Review",R124),"")</f>
        <v/>
      </c>
      <c r="AV124" s="40">
        <f>COUNTIF(_01towers[[#This Row],[SAQ_Result2]:[Community_Result2]],"OK")</f>
        <v>0</v>
      </c>
      <c r="AW124" s="1" t="str">
        <f>IF(AND(OR(_01towers[[#This Row],[Active Prevalidation Status]]="Under Prevalidation",_01towers[[#This Row],[Active Prevalidation Status]]="Prevalidated"),_01towers[[#This Row],[02tss.TSSR_From_Engineer]]&gt;0),"Submitted","")</f>
        <v/>
      </c>
      <c r="AX124" s="40" t="str">
        <f>IF(OR(_01towers[[#This Row],[Active Prevalidation Status]]="Under Prevalidation",_01towers[[#This Row],[Active Prevalidation Status]]="Prevalidated"),_01towers[[#This Row],[02tss.TSS_Result]],"")</f>
        <v/>
      </c>
      <c r="AY124" s="40" t="str">
        <f>IF(AND(_01towers[[#This Row],[Active TSS Result]]="Approved",_01towers[[#This Row],[Active Prevalidation Status]]="Prevalidated"),"In Process","")</f>
        <v/>
      </c>
      <c r="AZ124" s="40" t="str">
        <f>IF(AND(_01towers[[#This Row],[Active TSS Result]]="Approved",_01towers[[#This Row],[Active Prevalidation Status]]="Prevalidated"),_01towers[[#This Row],[10colo_app.Colo_App_Result]],"")</f>
        <v/>
      </c>
      <c r="BA124" s="40">
        <f>COUNTIF(_20work_order[05_id],_01towers[[#This Row],[05_id]])</f>
        <v>0</v>
      </c>
      <c r="BB124" s="40">
        <f>COUNTIFS(_20work_order[05_id],_01towers[[#This Row],[05_id]],_20work_order[Actual_End],"&gt;0")</f>
        <v>0</v>
      </c>
      <c r="BC124" s="40" t="str">
        <f>IF(_01towers[[#This Row],[Completed Work Orders]]&gt;0,"Work Completed",
IF(_01towers[[#This Row],[Count Work Orders]]&gt;0,"Work in Progress",""))</f>
        <v/>
      </c>
      <c r="BD12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24" s="40" t="str">
        <f>_xlfn.SWITCH(_01towers[[#This Row],[Final Colo Status full]],"Commercial Approval Requested","Under Prevalidation",_01towers[[#This Row],[Final Colo Status full]])</f>
        <v>Under Prevalidation</v>
      </c>
    </row>
    <row r="125" spans="1:57" hidden="1" x14ac:dyDescent="0.35">
      <c r="A125" s="40" t="s">
        <v>313</v>
      </c>
      <c r="B125" s="40" t="s">
        <v>90</v>
      </c>
      <c r="C125" s="40" t="s">
        <v>51</v>
      </c>
      <c r="D125">
        <v>50</v>
      </c>
      <c r="E125" s="40" t="s">
        <v>221</v>
      </c>
      <c r="F125">
        <v>94.402460000000005</v>
      </c>
      <c r="G125">
        <v>16.01004</v>
      </c>
      <c r="H125" s="40" t="s">
        <v>62</v>
      </c>
      <c r="I125">
        <v>125</v>
      </c>
      <c r="J125" s="40" t="s">
        <v>612</v>
      </c>
      <c r="K125" s="40" t="s">
        <v>136</v>
      </c>
      <c r="L125" s="40" t="s">
        <v>64</v>
      </c>
      <c r="M125" s="40" t="s">
        <v>57</v>
      </c>
      <c r="N125" s="40" t="s">
        <v>57</v>
      </c>
      <c r="O125" s="40" t="s">
        <v>57</v>
      </c>
      <c r="P125" s="40" t="s">
        <v>57</v>
      </c>
      <c r="Q125" s="40" t="s">
        <v>57</v>
      </c>
      <c r="R125" s="40" t="s">
        <v>57</v>
      </c>
      <c r="S125">
        <v>8</v>
      </c>
      <c r="T125">
        <v>1</v>
      </c>
      <c r="U125" s="1">
        <v>43269</v>
      </c>
      <c r="V125" s="1">
        <v>43271</v>
      </c>
      <c r="W125" s="1">
        <v>43276</v>
      </c>
      <c r="X125" s="1">
        <v>43283</v>
      </c>
      <c r="Y125" s="1"/>
      <c r="Z125" s="40" t="s">
        <v>59</v>
      </c>
      <c r="AA125">
        <v>8</v>
      </c>
      <c r="AB125">
        <v>1</v>
      </c>
      <c r="AC125" s="1">
        <v>43283</v>
      </c>
      <c r="AD125" s="40" t="s">
        <v>570</v>
      </c>
      <c r="AE125" s="1"/>
      <c r="AF125" s="1"/>
      <c r="AG125" s="1"/>
      <c r="AH125" s="40"/>
      <c r="AI125" s="1"/>
      <c r="AJ125" s="40">
        <f>_xlfn.MAXIFS(_01towers[02tss.Rev],_01towers[05_id],_01towers[[#This Row],[05_id]])</f>
        <v>1</v>
      </c>
      <c r="AK125" s="40" t="b">
        <f>IF(_01towers[[#This Row],[Count Rev TSS]]=_01towers[[#This Row],[02tss.Rev]],TRUE,FALSE)</f>
        <v>1</v>
      </c>
      <c r="AL125" s="40">
        <f>_xlfn.MAXIFS(_01towers[10colo_app.Rev],_01towers[05_id],_01towers[[#This Row],[05_id]])</f>
        <v>1</v>
      </c>
      <c r="AM125" s="40" t="b">
        <f>IF(_01towers[[#This Row],[Count Rev Colo App]]=_01towers[[#This Row],[10colo_app.Rev]],TRUE,FALSE)</f>
        <v>1</v>
      </c>
      <c r="AN125" s="40" t="b">
        <f>IF(AND(_01towers[[#This Row],[Test Rev Colo]]=TRUE,_01towers[[#This Row],[Test Rev TSS]]=TRUE),TRUE,FALSE)</f>
        <v>1</v>
      </c>
      <c r="AO125" s="40" t="str">
        <f>IF(_01towers[[#This Row],[Test Active]]=TRUE,_01towers[[#This Row],[Prevalidation Status]],"")</f>
        <v>Prevalidated</v>
      </c>
      <c r="AP125" s="40" t="str">
        <f>IF(_01towers[[#This Row],[Active Prevalidation Status]]="Under Prevalidation",
IF(M125="","Review",M125),"")</f>
        <v/>
      </c>
      <c r="AQ125" s="40" t="str">
        <f>IF(_01towers[[#This Row],[Active Prevalidation Status]]="Under Prevalidation",
IF(N125="","Review",N125),"")</f>
        <v/>
      </c>
      <c r="AR125" s="40" t="str">
        <f>IF(_01towers[[#This Row],[Active Prevalidation Status]]="Under Prevalidation",
IF(O125="","Review",O125),"")</f>
        <v/>
      </c>
      <c r="AS125" s="40" t="str">
        <f>IF(_01towers[[#This Row],[Active Prevalidation Status]]="Under Prevalidation",
IF(P125="","Review",P125),"")</f>
        <v/>
      </c>
      <c r="AT125" s="40" t="str">
        <f>IF(_01towers[[#This Row],[Active Prevalidation Status]]="Under Prevalidation",
IF(Q125="","Review",Q125),"")</f>
        <v/>
      </c>
      <c r="AU125" s="40" t="str">
        <f>IF(_01towers[[#This Row],[Active Prevalidation Status]]="Under Prevalidation",
IF(R125="","Review",R125),"")</f>
        <v/>
      </c>
      <c r="AV125" s="40">
        <f>COUNTIF(_01towers[[#This Row],[SAQ_Result2]:[Community_Result2]],"OK")</f>
        <v>0</v>
      </c>
      <c r="AW125" s="1" t="str">
        <f>IF(AND(OR(_01towers[[#This Row],[Active Prevalidation Status]]="Under Prevalidation",_01towers[[#This Row],[Active Prevalidation Status]]="Prevalidated"),_01towers[[#This Row],[02tss.TSSR_From_Engineer]]&gt;0),"Submitted","")</f>
        <v>Submitted</v>
      </c>
      <c r="AX125" s="40" t="str">
        <f>IF(OR(_01towers[[#This Row],[Active Prevalidation Status]]="Under Prevalidation",_01towers[[#This Row],[Active Prevalidation Status]]="Prevalidated"),_01towers[[#This Row],[02tss.TSS_Result]],"")</f>
        <v>Approved</v>
      </c>
      <c r="AY125" s="40" t="str">
        <f>IF(AND(_01towers[[#This Row],[Active TSS Result]]="Approved",_01towers[[#This Row],[Active Prevalidation Status]]="Prevalidated"),"In Process","")</f>
        <v>In Process</v>
      </c>
      <c r="AZ125" s="40" t="str">
        <f>IF(AND(_01towers[[#This Row],[Active TSS Result]]="Approved",_01towers[[#This Row],[Active Prevalidation Status]]="Prevalidated"),_01towers[[#This Row],[10colo_app.Colo_App_Result]],"")</f>
        <v>NTP Received</v>
      </c>
      <c r="BA125" s="40">
        <f>COUNTIF(_20work_order[05_id],_01towers[[#This Row],[05_id]])</f>
        <v>1</v>
      </c>
      <c r="BB125" s="40">
        <f>COUNTIFS(_20work_order[05_id],_01towers[[#This Row],[05_id]],_20work_order[Actual_End],"&gt;0")</f>
        <v>1</v>
      </c>
      <c r="BC125" s="40" t="str">
        <f>IF(_01towers[[#This Row],[Completed Work Orders]]&gt;0,"Work Completed",
IF(_01towers[[#This Row],[Count Work Orders]]&gt;0,"Work in Progress",""))</f>
        <v>Work Completed</v>
      </c>
      <c r="BD12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125" s="40" t="str">
        <f>_xlfn.SWITCH(_01towers[[#This Row],[Final Colo Status full]],"Commercial Approval Requested","Under Prevalidation",_01towers[[#This Row],[Final Colo Status full]])</f>
        <v>Work Completed</v>
      </c>
    </row>
    <row r="126" spans="1:57" hidden="1" x14ac:dyDescent="0.35">
      <c r="A126" s="40" t="s">
        <v>314</v>
      </c>
      <c r="B126" s="40" t="s">
        <v>90</v>
      </c>
      <c r="C126" s="40" t="s">
        <v>51</v>
      </c>
      <c r="D126">
        <v>60</v>
      </c>
      <c r="E126" s="40" t="s">
        <v>175</v>
      </c>
      <c r="F126">
        <v>96.431550000000001</v>
      </c>
      <c r="G126">
        <v>18.36918</v>
      </c>
      <c r="H126" s="40" t="s">
        <v>53</v>
      </c>
      <c r="I126">
        <v>126</v>
      </c>
      <c r="J126" s="40" t="s">
        <v>613</v>
      </c>
      <c r="K126" s="40" t="s">
        <v>136</v>
      </c>
      <c r="L126" s="40" t="s">
        <v>64</v>
      </c>
      <c r="M126" s="40" t="s">
        <v>57</v>
      </c>
      <c r="N126" s="40" t="s">
        <v>57</v>
      </c>
      <c r="O126" s="40" t="s">
        <v>57</v>
      </c>
      <c r="P126" s="40" t="s">
        <v>57</v>
      </c>
      <c r="Q126" s="40" t="s">
        <v>57</v>
      </c>
      <c r="R126" s="40" t="s">
        <v>57</v>
      </c>
      <c r="S126">
        <v>21</v>
      </c>
      <c r="T126">
        <v>1</v>
      </c>
      <c r="U126" s="1">
        <v>43266</v>
      </c>
      <c r="V126" s="1"/>
      <c r="W126" s="1"/>
      <c r="X126" s="1"/>
      <c r="Y126" s="1"/>
      <c r="Z126" s="40"/>
      <c r="AA126">
        <v>21</v>
      </c>
      <c r="AB126">
        <v>1</v>
      </c>
      <c r="AC126" s="1"/>
      <c r="AD126" s="40"/>
      <c r="AE126" s="1">
        <v>43202</v>
      </c>
      <c r="AF126" s="1">
        <v>43202</v>
      </c>
      <c r="AG126" s="1">
        <v>43202</v>
      </c>
      <c r="AH126" s="40"/>
      <c r="AI126" s="1"/>
      <c r="AJ126" s="40">
        <f>_xlfn.MAXIFS(_01towers[02tss.Rev],_01towers[05_id],_01towers[[#This Row],[05_id]])</f>
        <v>1</v>
      </c>
      <c r="AK126" s="40" t="b">
        <f>IF(_01towers[[#This Row],[Count Rev TSS]]=_01towers[[#This Row],[02tss.Rev]],TRUE,FALSE)</f>
        <v>1</v>
      </c>
      <c r="AL126" s="40">
        <f>_xlfn.MAXIFS(_01towers[10colo_app.Rev],_01towers[05_id],_01towers[[#This Row],[05_id]])</f>
        <v>1</v>
      </c>
      <c r="AM126" s="40" t="b">
        <f>IF(_01towers[[#This Row],[Count Rev Colo App]]=_01towers[[#This Row],[10colo_app.Rev]],TRUE,FALSE)</f>
        <v>1</v>
      </c>
      <c r="AN126" s="40" t="b">
        <f>IF(AND(_01towers[[#This Row],[Test Rev Colo]]=TRUE,_01towers[[#This Row],[Test Rev TSS]]=TRUE),TRUE,FALSE)</f>
        <v>1</v>
      </c>
      <c r="AO126" s="40" t="str">
        <f>IF(_01towers[[#This Row],[Test Active]]=TRUE,_01towers[[#This Row],[Prevalidation Status]],"")</f>
        <v>Prevalidated</v>
      </c>
      <c r="AP126" s="40" t="str">
        <f>IF(_01towers[[#This Row],[Active Prevalidation Status]]="Under Prevalidation",
IF(M126="","Review",M126),"")</f>
        <v/>
      </c>
      <c r="AQ126" s="40" t="str">
        <f>IF(_01towers[[#This Row],[Active Prevalidation Status]]="Under Prevalidation",
IF(N126="","Review",N126),"")</f>
        <v/>
      </c>
      <c r="AR126" s="40" t="str">
        <f>IF(_01towers[[#This Row],[Active Prevalidation Status]]="Under Prevalidation",
IF(O126="","Review",O126),"")</f>
        <v/>
      </c>
      <c r="AS126" s="40" t="str">
        <f>IF(_01towers[[#This Row],[Active Prevalidation Status]]="Under Prevalidation",
IF(P126="","Review",P126),"")</f>
        <v/>
      </c>
      <c r="AT126" s="40" t="str">
        <f>IF(_01towers[[#This Row],[Active Prevalidation Status]]="Under Prevalidation",
IF(Q126="","Review",Q126),"")</f>
        <v/>
      </c>
      <c r="AU126" s="40" t="str">
        <f>IF(_01towers[[#This Row],[Active Prevalidation Status]]="Under Prevalidation",
IF(R126="","Review",R126),"")</f>
        <v/>
      </c>
      <c r="AV126" s="40">
        <f>COUNTIF(_01towers[[#This Row],[SAQ_Result2]:[Community_Result2]],"OK")</f>
        <v>0</v>
      </c>
      <c r="AW126" s="1" t="str">
        <f>IF(AND(OR(_01towers[[#This Row],[Active Prevalidation Status]]="Under Prevalidation",_01towers[[#This Row],[Active Prevalidation Status]]="Prevalidated"),_01towers[[#This Row],[02tss.TSSR_From_Engineer]]&gt;0),"Submitted","")</f>
        <v/>
      </c>
      <c r="AX126" s="40">
        <f>IF(OR(_01towers[[#This Row],[Active Prevalidation Status]]="Under Prevalidation",_01towers[[#This Row],[Active Prevalidation Status]]="Prevalidated"),_01towers[[#This Row],[02tss.TSS_Result]],"")</f>
        <v>0</v>
      </c>
      <c r="AY126" s="40" t="str">
        <f>IF(AND(_01towers[[#This Row],[Active TSS Result]]="Approved",_01towers[[#This Row],[Active Prevalidation Status]]="Prevalidated"),"In Process","")</f>
        <v/>
      </c>
      <c r="AZ126" s="40" t="str">
        <f>IF(AND(_01towers[[#This Row],[Active TSS Result]]="Approved",_01towers[[#This Row],[Active Prevalidation Status]]="Prevalidated"),_01towers[[#This Row],[10colo_app.Colo_App_Result]],"")</f>
        <v/>
      </c>
      <c r="BA126" s="40">
        <f>COUNTIF(_20work_order[05_id],_01towers[[#This Row],[05_id]])</f>
        <v>1</v>
      </c>
      <c r="BB126" s="40">
        <f>COUNTIFS(_20work_order[05_id],_01towers[[#This Row],[05_id]],_20work_order[Actual_End],"&gt;0")</f>
        <v>1</v>
      </c>
      <c r="BC126" s="40" t="str">
        <f>IF(_01towers[[#This Row],[Completed Work Orders]]&gt;0,"Work Completed",
IF(_01towers[[#This Row],[Count Work Orders]]&gt;0,"Work in Progress",""))</f>
        <v>Work Completed</v>
      </c>
      <c r="BD12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RFI</v>
      </c>
      <c r="BE126" s="40" t="str">
        <f>_xlfn.SWITCH(_01towers[[#This Row],[Final Colo Status full]],"Commercial Approval Requested","Under Prevalidation",_01towers[[#This Row],[Final Colo Status full]])</f>
        <v>RFI</v>
      </c>
    </row>
    <row r="127" spans="1:57" hidden="1" x14ac:dyDescent="0.35">
      <c r="A127" s="40" t="s">
        <v>315</v>
      </c>
      <c r="B127" s="40" t="s">
        <v>90</v>
      </c>
      <c r="C127" s="40" t="s">
        <v>51</v>
      </c>
      <c r="D127">
        <v>35</v>
      </c>
      <c r="E127" s="40" t="s">
        <v>98</v>
      </c>
      <c r="F127">
        <v>96.063500000000005</v>
      </c>
      <c r="G127">
        <v>16.95635</v>
      </c>
      <c r="H127" s="40" t="s">
        <v>316</v>
      </c>
      <c r="I127">
        <v>127</v>
      </c>
      <c r="J127" s="40" t="s">
        <v>317</v>
      </c>
      <c r="K127" s="40" t="s">
        <v>136</v>
      </c>
      <c r="L127" s="40" t="s">
        <v>64</v>
      </c>
      <c r="M127" s="40" t="s">
        <v>57</v>
      </c>
      <c r="N127" s="40" t="s">
        <v>57</v>
      </c>
      <c r="O127" s="40" t="s">
        <v>57</v>
      </c>
      <c r="P127" s="40" t="s">
        <v>57</v>
      </c>
      <c r="Q127" s="40" t="s">
        <v>57</v>
      </c>
      <c r="R127" s="40" t="s">
        <v>57</v>
      </c>
      <c r="S127">
        <v>122</v>
      </c>
      <c r="T127">
        <v>1</v>
      </c>
      <c r="U127" s="1">
        <v>43299</v>
      </c>
      <c r="V127" s="1">
        <v>43299</v>
      </c>
      <c r="W127" s="1">
        <v>43304</v>
      </c>
      <c r="X127" s="1"/>
      <c r="Y127" s="1"/>
      <c r="Z127" s="40"/>
      <c r="AA127">
        <v>121</v>
      </c>
      <c r="AB127">
        <v>1</v>
      </c>
      <c r="AC127" s="1"/>
      <c r="AD127" s="40"/>
      <c r="AE127" s="1"/>
      <c r="AF127" s="1"/>
      <c r="AG127" s="1"/>
      <c r="AH127" s="40"/>
      <c r="AI127" s="1"/>
      <c r="AJ127" s="40">
        <f>_xlfn.MAXIFS(_01towers[02tss.Rev],_01towers[05_id],_01towers[[#This Row],[05_id]])</f>
        <v>1</v>
      </c>
      <c r="AK127" s="40" t="b">
        <f>IF(_01towers[[#This Row],[Count Rev TSS]]=_01towers[[#This Row],[02tss.Rev]],TRUE,FALSE)</f>
        <v>1</v>
      </c>
      <c r="AL127" s="40">
        <f>_xlfn.MAXIFS(_01towers[10colo_app.Rev],_01towers[05_id],_01towers[[#This Row],[05_id]])</f>
        <v>1</v>
      </c>
      <c r="AM127" s="40" t="b">
        <f>IF(_01towers[[#This Row],[Count Rev Colo App]]=_01towers[[#This Row],[10colo_app.Rev]],TRUE,FALSE)</f>
        <v>1</v>
      </c>
      <c r="AN127" s="40" t="b">
        <f>IF(AND(_01towers[[#This Row],[Test Rev Colo]]=TRUE,_01towers[[#This Row],[Test Rev TSS]]=TRUE),TRUE,FALSE)</f>
        <v>1</v>
      </c>
      <c r="AO127" s="40" t="str">
        <f>IF(_01towers[[#This Row],[Test Active]]=TRUE,_01towers[[#This Row],[Prevalidation Status]],"")</f>
        <v>Prevalidated</v>
      </c>
      <c r="AP127" s="40" t="str">
        <f>IF(_01towers[[#This Row],[Active Prevalidation Status]]="Under Prevalidation",
IF(M127="","Review",M127),"")</f>
        <v/>
      </c>
      <c r="AQ127" s="40" t="str">
        <f>IF(_01towers[[#This Row],[Active Prevalidation Status]]="Under Prevalidation",
IF(N127="","Review",N127),"")</f>
        <v/>
      </c>
      <c r="AR127" s="40" t="str">
        <f>IF(_01towers[[#This Row],[Active Prevalidation Status]]="Under Prevalidation",
IF(O127="","Review",O127),"")</f>
        <v/>
      </c>
      <c r="AS127" s="40" t="str">
        <f>IF(_01towers[[#This Row],[Active Prevalidation Status]]="Under Prevalidation",
IF(P127="","Review",P127),"")</f>
        <v/>
      </c>
      <c r="AT127" s="40" t="str">
        <f>IF(_01towers[[#This Row],[Active Prevalidation Status]]="Under Prevalidation",
IF(Q127="","Review",Q127),"")</f>
        <v/>
      </c>
      <c r="AU127" s="40" t="str">
        <f>IF(_01towers[[#This Row],[Active Prevalidation Status]]="Under Prevalidation",
IF(R127="","Review",R127),"")</f>
        <v/>
      </c>
      <c r="AV127" s="40">
        <f>COUNTIF(_01towers[[#This Row],[SAQ_Result2]:[Community_Result2]],"OK")</f>
        <v>0</v>
      </c>
      <c r="AW127" s="1" t="str">
        <f>IF(AND(OR(_01towers[[#This Row],[Active Prevalidation Status]]="Under Prevalidation",_01towers[[#This Row],[Active Prevalidation Status]]="Prevalidated"),_01towers[[#This Row],[02tss.TSSR_From_Engineer]]&gt;0),"Submitted","")</f>
        <v>Submitted</v>
      </c>
      <c r="AX127" s="40">
        <f>IF(OR(_01towers[[#This Row],[Active Prevalidation Status]]="Under Prevalidation",_01towers[[#This Row],[Active Prevalidation Status]]="Prevalidated"),_01towers[[#This Row],[02tss.TSS_Result]],"")</f>
        <v>0</v>
      </c>
      <c r="AY127" s="40" t="str">
        <f>IF(AND(_01towers[[#This Row],[Active TSS Result]]="Approved",_01towers[[#This Row],[Active Prevalidation Status]]="Prevalidated"),"In Process","")</f>
        <v/>
      </c>
      <c r="AZ127" s="40" t="str">
        <f>IF(AND(_01towers[[#This Row],[Active TSS Result]]="Approved",_01towers[[#This Row],[Active Prevalidation Status]]="Prevalidated"),_01towers[[#This Row],[10colo_app.Colo_App_Result]],"")</f>
        <v/>
      </c>
      <c r="BA127" s="40">
        <f>COUNTIF(_20work_order[05_id],_01towers[[#This Row],[05_id]])</f>
        <v>0</v>
      </c>
      <c r="BB127" s="40">
        <f>COUNTIFS(_20work_order[05_id],_01towers[[#This Row],[05_id]],_20work_order[Actual_End],"&gt;0")</f>
        <v>0</v>
      </c>
      <c r="BC127" s="40" t="str">
        <f>IF(_01towers[[#This Row],[Completed Work Orders]]&gt;0,"Work Completed",
IF(_01towers[[#This Row],[Count Work Orders]]&gt;0,"Work in Progress",""))</f>
        <v/>
      </c>
      <c r="BD12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27" s="40" t="str">
        <f>_xlfn.SWITCH(_01towers[[#This Row],[Final Colo Status full]],"Commercial Approval Requested","Under Prevalidation",_01towers[[#This Row],[Final Colo Status full]])</f>
        <v>Prevalidated - TSSR in Process</v>
      </c>
    </row>
    <row r="128" spans="1:57" hidden="1" x14ac:dyDescent="0.35">
      <c r="A128" s="40" t="s">
        <v>318</v>
      </c>
      <c r="B128" s="40" t="s">
        <v>90</v>
      </c>
      <c r="C128" s="40" t="s">
        <v>51</v>
      </c>
      <c r="D128">
        <v>50</v>
      </c>
      <c r="E128" s="40" t="s">
        <v>221</v>
      </c>
      <c r="F128">
        <v>95.334190000000007</v>
      </c>
      <c r="G128">
        <v>16.798439999999999</v>
      </c>
      <c r="H128" s="40" t="s">
        <v>53</v>
      </c>
      <c r="I128">
        <v>128</v>
      </c>
      <c r="J128" s="40" t="s">
        <v>319</v>
      </c>
      <c r="K128" s="40" t="s">
        <v>136</v>
      </c>
      <c r="L128" s="40" t="s">
        <v>64</v>
      </c>
      <c r="M128" s="40" t="s">
        <v>57</v>
      </c>
      <c r="N128" s="40" t="s">
        <v>57</v>
      </c>
      <c r="O128" s="40" t="s">
        <v>57</v>
      </c>
      <c r="P128" s="40" t="s">
        <v>57</v>
      </c>
      <c r="Q128" s="40" t="s">
        <v>57</v>
      </c>
      <c r="R128" s="40" t="s">
        <v>57</v>
      </c>
      <c r="S128">
        <v>7</v>
      </c>
      <c r="T128">
        <v>1</v>
      </c>
      <c r="U128" s="1">
        <v>43269</v>
      </c>
      <c r="V128" s="1">
        <v>43269</v>
      </c>
      <c r="W128" s="1">
        <v>43276</v>
      </c>
      <c r="X128" s="1">
        <v>43311</v>
      </c>
      <c r="Y128" s="1"/>
      <c r="Z128" s="40" t="s">
        <v>59</v>
      </c>
      <c r="AA128">
        <v>7</v>
      </c>
      <c r="AB128">
        <v>1</v>
      </c>
      <c r="AC128" s="1">
        <v>43311</v>
      </c>
      <c r="AD128" s="40" t="s">
        <v>570</v>
      </c>
      <c r="AE128" s="1">
        <v>43273</v>
      </c>
      <c r="AF128" s="1">
        <v>43273</v>
      </c>
      <c r="AG128" s="1"/>
      <c r="AH128" s="40"/>
      <c r="AI128" s="1"/>
      <c r="AJ128" s="40">
        <f>_xlfn.MAXIFS(_01towers[02tss.Rev],_01towers[05_id],_01towers[[#This Row],[05_id]])</f>
        <v>1</v>
      </c>
      <c r="AK128" s="40" t="b">
        <f>IF(_01towers[[#This Row],[Count Rev TSS]]=_01towers[[#This Row],[02tss.Rev]],TRUE,FALSE)</f>
        <v>1</v>
      </c>
      <c r="AL128" s="40">
        <f>_xlfn.MAXIFS(_01towers[10colo_app.Rev],_01towers[05_id],_01towers[[#This Row],[05_id]])</f>
        <v>1</v>
      </c>
      <c r="AM128" s="40" t="b">
        <f>IF(_01towers[[#This Row],[Count Rev Colo App]]=_01towers[[#This Row],[10colo_app.Rev]],TRUE,FALSE)</f>
        <v>1</v>
      </c>
      <c r="AN128" s="40" t="b">
        <f>IF(AND(_01towers[[#This Row],[Test Rev Colo]]=TRUE,_01towers[[#This Row],[Test Rev TSS]]=TRUE),TRUE,FALSE)</f>
        <v>1</v>
      </c>
      <c r="AO128" s="40" t="str">
        <f>IF(_01towers[[#This Row],[Test Active]]=TRUE,_01towers[[#This Row],[Prevalidation Status]],"")</f>
        <v>Prevalidated</v>
      </c>
      <c r="AP128" s="40" t="str">
        <f>IF(_01towers[[#This Row],[Active Prevalidation Status]]="Under Prevalidation",
IF(M128="","Review",M128),"")</f>
        <v/>
      </c>
      <c r="AQ128" s="40" t="str">
        <f>IF(_01towers[[#This Row],[Active Prevalidation Status]]="Under Prevalidation",
IF(N128="","Review",N128),"")</f>
        <v/>
      </c>
      <c r="AR128" s="40" t="str">
        <f>IF(_01towers[[#This Row],[Active Prevalidation Status]]="Under Prevalidation",
IF(O128="","Review",O128),"")</f>
        <v/>
      </c>
      <c r="AS128" s="40" t="str">
        <f>IF(_01towers[[#This Row],[Active Prevalidation Status]]="Under Prevalidation",
IF(P128="","Review",P128),"")</f>
        <v/>
      </c>
      <c r="AT128" s="40" t="str">
        <f>IF(_01towers[[#This Row],[Active Prevalidation Status]]="Under Prevalidation",
IF(Q128="","Review",Q128),"")</f>
        <v/>
      </c>
      <c r="AU128" s="40" t="str">
        <f>IF(_01towers[[#This Row],[Active Prevalidation Status]]="Under Prevalidation",
IF(R128="","Review",R128),"")</f>
        <v/>
      </c>
      <c r="AV128" s="40">
        <f>COUNTIF(_01towers[[#This Row],[SAQ_Result2]:[Community_Result2]],"OK")</f>
        <v>0</v>
      </c>
      <c r="AW128" s="1" t="str">
        <f>IF(AND(OR(_01towers[[#This Row],[Active Prevalidation Status]]="Under Prevalidation",_01towers[[#This Row],[Active Prevalidation Status]]="Prevalidated"),_01towers[[#This Row],[02tss.TSSR_From_Engineer]]&gt;0),"Submitted","")</f>
        <v>Submitted</v>
      </c>
      <c r="AX128" s="40" t="str">
        <f>IF(OR(_01towers[[#This Row],[Active Prevalidation Status]]="Under Prevalidation",_01towers[[#This Row],[Active Prevalidation Status]]="Prevalidated"),_01towers[[#This Row],[02tss.TSS_Result]],"")</f>
        <v>Approved</v>
      </c>
      <c r="AY128" s="40" t="str">
        <f>IF(AND(_01towers[[#This Row],[Active TSS Result]]="Approved",_01towers[[#This Row],[Active Prevalidation Status]]="Prevalidated"),"In Process","")</f>
        <v>In Process</v>
      </c>
      <c r="AZ128" s="40" t="str">
        <f>IF(AND(_01towers[[#This Row],[Active TSS Result]]="Approved",_01towers[[#This Row],[Active Prevalidation Status]]="Prevalidated"),_01towers[[#This Row],[10colo_app.Colo_App_Result]],"")</f>
        <v>NTP Received</v>
      </c>
      <c r="BA128" s="40">
        <f>COUNTIF(_20work_order[05_id],_01towers[[#This Row],[05_id]])</f>
        <v>2</v>
      </c>
      <c r="BB128" s="40">
        <f>COUNTIFS(_20work_order[05_id],_01towers[[#This Row],[05_id]],_20work_order[Actual_End],"&gt;0")</f>
        <v>1</v>
      </c>
      <c r="BC128" s="40" t="str">
        <f>IF(_01towers[[#This Row],[Completed Work Orders]]&gt;0,"Work Completed",
IF(_01towers[[#This Row],[Count Work Orders]]&gt;0,"Work in Progress",""))</f>
        <v>Work Completed</v>
      </c>
      <c r="BD12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128" s="40" t="str">
        <f>_xlfn.SWITCH(_01towers[[#This Row],[Final Colo Status full]],"Commercial Approval Requested","Under Prevalidation",_01towers[[#This Row],[Final Colo Status full]])</f>
        <v>Work Completed</v>
      </c>
    </row>
    <row r="129" spans="1:57" hidden="1" x14ac:dyDescent="0.35">
      <c r="A129" s="40" t="s">
        <v>320</v>
      </c>
      <c r="B129" s="40" t="s">
        <v>90</v>
      </c>
      <c r="C129" s="40" t="s">
        <v>51</v>
      </c>
      <c r="D129">
        <v>45</v>
      </c>
      <c r="E129" s="40" t="s">
        <v>175</v>
      </c>
      <c r="F129">
        <v>96.506209999999996</v>
      </c>
      <c r="G129">
        <v>17.337520000000001</v>
      </c>
      <c r="H129" s="40" t="s">
        <v>150</v>
      </c>
      <c r="I129">
        <v>129</v>
      </c>
      <c r="J129" s="40" t="s">
        <v>614</v>
      </c>
      <c r="K129" s="40" t="s">
        <v>136</v>
      </c>
      <c r="L129" s="40" t="s">
        <v>64</v>
      </c>
      <c r="M129" s="40" t="s">
        <v>57</v>
      </c>
      <c r="N129" s="40" t="s">
        <v>57</v>
      </c>
      <c r="O129" s="40" t="s">
        <v>57</v>
      </c>
      <c r="P129" s="40" t="s">
        <v>57</v>
      </c>
      <c r="Q129" s="40" t="s">
        <v>57</v>
      </c>
      <c r="R129" s="40" t="s">
        <v>57</v>
      </c>
      <c r="S129">
        <v>14</v>
      </c>
      <c r="T129">
        <v>1</v>
      </c>
      <c r="U129" s="1"/>
      <c r="V129" s="1"/>
      <c r="W129" s="1"/>
      <c r="X129" s="1"/>
      <c r="Y129" s="1"/>
      <c r="Z129" s="40"/>
      <c r="AA129">
        <v>14</v>
      </c>
      <c r="AB129">
        <v>1</v>
      </c>
      <c r="AC129" s="1"/>
      <c r="AD129" s="40"/>
      <c r="AE129" s="1"/>
      <c r="AF129" s="1"/>
      <c r="AG129" s="1"/>
      <c r="AH129" s="40"/>
      <c r="AI129" s="1"/>
      <c r="AJ129" s="40">
        <f>_xlfn.MAXIFS(_01towers[02tss.Rev],_01towers[05_id],_01towers[[#This Row],[05_id]])</f>
        <v>1</v>
      </c>
      <c r="AK129" s="40" t="b">
        <f>IF(_01towers[[#This Row],[Count Rev TSS]]=_01towers[[#This Row],[02tss.Rev]],TRUE,FALSE)</f>
        <v>1</v>
      </c>
      <c r="AL129" s="40">
        <f>_xlfn.MAXIFS(_01towers[10colo_app.Rev],_01towers[05_id],_01towers[[#This Row],[05_id]])</f>
        <v>1</v>
      </c>
      <c r="AM129" s="40" t="b">
        <f>IF(_01towers[[#This Row],[Count Rev Colo App]]=_01towers[[#This Row],[10colo_app.Rev]],TRUE,FALSE)</f>
        <v>1</v>
      </c>
      <c r="AN129" s="40" t="b">
        <f>IF(AND(_01towers[[#This Row],[Test Rev Colo]]=TRUE,_01towers[[#This Row],[Test Rev TSS]]=TRUE),TRUE,FALSE)</f>
        <v>1</v>
      </c>
      <c r="AO129" s="40" t="str">
        <f>IF(_01towers[[#This Row],[Test Active]]=TRUE,_01towers[[#This Row],[Prevalidation Status]],"")</f>
        <v>Prevalidated</v>
      </c>
      <c r="AP129" s="40" t="str">
        <f>IF(_01towers[[#This Row],[Active Prevalidation Status]]="Under Prevalidation",
IF(M129="","Review",M129),"")</f>
        <v/>
      </c>
      <c r="AQ129" s="40" t="str">
        <f>IF(_01towers[[#This Row],[Active Prevalidation Status]]="Under Prevalidation",
IF(N129="","Review",N129),"")</f>
        <v/>
      </c>
      <c r="AR129" s="40" t="str">
        <f>IF(_01towers[[#This Row],[Active Prevalidation Status]]="Under Prevalidation",
IF(O129="","Review",O129),"")</f>
        <v/>
      </c>
      <c r="AS129" s="40" t="str">
        <f>IF(_01towers[[#This Row],[Active Prevalidation Status]]="Under Prevalidation",
IF(P129="","Review",P129),"")</f>
        <v/>
      </c>
      <c r="AT129" s="40" t="str">
        <f>IF(_01towers[[#This Row],[Active Prevalidation Status]]="Under Prevalidation",
IF(Q129="","Review",Q129),"")</f>
        <v/>
      </c>
      <c r="AU129" s="40" t="str">
        <f>IF(_01towers[[#This Row],[Active Prevalidation Status]]="Under Prevalidation",
IF(R129="","Review",R129),"")</f>
        <v/>
      </c>
      <c r="AV129" s="40">
        <f>COUNTIF(_01towers[[#This Row],[SAQ_Result2]:[Community_Result2]],"OK")</f>
        <v>0</v>
      </c>
      <c r="AW129" s="1" t="str">
        <f>IF(AND(OR(_01towers[[#This Row],[Active Prevalidation Status]]="Under Prevalidation",_01towers[[#This Row],[Active Prevalidation Status]]="Prevalidated"),_01towers[[#This Row],[02tss.TSSR_From_Engineer]]&gt;0),"Submitted","")</f>
        <v/>
      </c>
      <c r="AX129" s="40">
        <f>IF(OR(_01towers[[#This Row],[Active Prevalidation Status]]="Under Prevalidation",_01towers[[#This Row],[Active Prevalidation Status]]="Prevalidated"),_01towers[[#This Row],[02tss.TSS_Result]],"")</f>
        <v>0</v>
      </c>
      <c r="AY129" s="40" t="str">
        <f>IF(AND(_01towers[[#This Row],[Active TSS Result]]="Approved",_01towers[[#This Row],[Active Prevalidation Status]]="Prevalidated"),"In Process","")</f>
        <v/>
      </c>
      <c r="AZ129" s="40" t="str">
        <f>IF(AND(_01towers[[#This Row],[Active TSS Result]]="Approved",_01towers[[#This Row],[Active Prevalidation Status]]="Prevalidated"),_01towers[[#This Row],[10colo_app.Colo_App_Result]],"")</f>
        <v/>
      </c>
      <c r="BA129" s="40">
        <f>COUNTIF(_20work_order[05_id],_01towers[[#This Row],[05_id]])</f>
        <v>0</v>
      </c>
      <c r="BB129" s="40">
        <f>COUNTIFS(_20work_order[05_id],_01towers[[#This Row],[05_id]],_20work_order[Actual_End],"&gt;0")</f>
        <v>0</v>
      </c>
      <c r="BC129" s="40" t="str">
        <f>IF(_01towers[[#This Row],[Completed Work Orders]]&gt;0,"Work Completed",
IF(_01towers[[#This Row],[Count Work Orders]]&gt;0,"Work in Progress",""))</f>
        <v/>
      </c>
      <c r="BD12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29" s="40" t="str">
        <f>_xlfn.SWITCH(_01towers[[#This Row],[Final Colo Status full]],"Commercial Approval Requested","Under Prevalidation",_01towers[[#This Row],[Final Colo Status full]])</f>
        <v>Prevalidated - TSSR in Process</v>
      </c>
    </row>
    <row r="130" spans="1:57" hidden="1" x14ac:dyDescent="0.35">
      <c r="A130" s="40" t="s">
        <v>321</v>
      </c>
      <c r="B130" s="40" t="s">
        <v>90</v>
      </c>
      <c r="C130" s="40" t="s">
        <v>51</v>
      </c>
      <c r="D130">
        <v>35</v>
      </c>
      <c r="E130" s="40" t="s">
        <v>94</v>
      </c>
      <c r="F130">
        <v>97.620739999999998</v>
      </c>
      <c r="G130">
        <v>16.500070000000001</v>
      </c>
      <c r="H130" s="40" t="s">
        <v>62</v>
      </c>
      <c r="I130">
        <v>130</v>
      </c>
      <c r="J130" s="40" t="s">
        <v>615</v>
      </c>
      <c r="K130" s="40" t="s">
        <v>136</v>
      </c>
      <c r="L130" s="40" t="s">
        <v>64</v>
      </c>
      <c r="M130" s="40" t="s">
        <v>57</v>
      </c>
      <c r="N130" s="40" t="s">
        <v>57</v>
      </c>
      <c r="O130" s="40" t="s">
        <v>57</v>
      </c>
      <c r="P130" s="40" t="s">
        <v>57</v>
      </c>
      <c r="Q130" s="40" t="s">
        <v>57</v>
      </c>
      <c r="R130" s="40" t="s">
        <v>57</v>
      </c>
      <c r="S130">
        <v>99</v>
      </c>
      <c r="T130">
        <v>1</v>
      </c>
      <c r="U130" s="1">
        <v>43271</v>
      </c>
      <c r="V130" s="1">
        <v>43271</v>
      </c>
      <c r="W130" s="1">
        <v>43276</v>
      </c>
      <c r="X130" s="1">
        <v>43279</v>
      </c>
      <c r="Y130" s="1"/>
      <c r="Z130" s="40" t="s">
        <v>59</v>
      </c>
      <c r="AA130">
        <v>98</v>
      </c>
      <c r="AB130">
        <v>1</v>
      </c>
      <c r="AC130" s="1">
        <v>43279</v>
      </c>
      <c r="AD130" s="40" t="s">
        <v>570</v>
      </c>
      <c r="AE130" s="1"/>
      <c r="AF130" s="1"/>
      <c r="AG130" s="1"/>
      <c r="AH130" s="40"/>
      <c r="AI130" s="1"/>
      <c r="AJ130" s="40">
        <f>_xlfn.MAXIFS(_01towers[02tss.Rev],_01towers[05_id],_01towers[[#This Row],[05_id]])</f>
        <v>1</v>
      </c>
      <c r="AK130" s="40" t="b">
        <f>IF(_01towers[[#This Row],[Count Rev TSS]]=_01towers[[#This Row],[02tss.Rev]],TRUE,FALSE)</f>
        <v>1</v>
      </c>
      <c r="AL130" s="40">
        <f>_xlfn.MAXIFS(_01towers[10colo_app.Rev],_01towers[05_id],_01towers[[#This Row],[05_id]])</f>
        <v>1</v>
      </c>
      <c r="AM130" s="40" t="b">
        <f>IF(_01towers[[#This Row],[Count Rev Colo App]]=_01towers[[#This Row],[10colo_app.Rev]],TRUE,FALSE)</f>
        <v>1</v>
      </c>
      <c r="AN130" s="40" t="b">
        <f>IF(AND(_01towers[[#This Row],[Test Rev Colo]]=TRUE,_01towers[[#This Row],[Test Rev TSS]]=TRUE),TRUE,FALSE)</f>
        <v>1</v>
      </c>
      <c r="AO130" s="40" t="str">
        <f>IF(_01towers[[#This Row],[Test Active]]=TRUE,_01towers[[#This Row],[Prevalidation Status]],"")</f>
        <v>Prevalidated</v>
      </c>
      <c r="AP130" s="40" t="str">
        <f>IF(_01towers[[#This Row],[Active Prevalidation Status]]="Under Prevalidation",
IF(M130="","Review",M130),"")</f>
        <v/>
      </c>
      <c r="AQ130" s="40" t="str">
        <f>IF(_01towers[[#This Row],[Active Prevalidation Status]]="Under Prevalidation",
IF(N130="","Review",N130),"")</f>
        <v/>
      </c>
      <c r="AR130" s="40" t="str">
        <f>IF(_01towers[[#This Row],[Active Prevalidation Status]]="Under Prevalidation",
IF(O130="","Review",O130),"")</f>
        <v/>
      </c>
      <c r="AS130" s="40" t="str">
        <f>IF(_01towers[[#This Row],[Active Prevalidation Status]]="Under Prevalidation",
IF(P130="","Review",P130),"")</f>
        <v/>
      </c>
      <c r="AT130" s="40" t="str">
        <f>IF(_01towers[[#This Row],[Active Prevalidation Status]]="Under Prevalidation",
IF(Q130="","Review",Q130),"")</f>
        <v/>
      </c>
      <c r="AU130" s="40" t="str">
        <f>IF(_01towers[[#This Row],[Active Prevalidation Status]]="Under Prevalidation",
IF(R130="","Review",R130),"")</f>
        <v/>
      </c>
      <c r="AV130" s="40">
        <f>COUNTIF(_01towers[[#This Row],[SAQ_Result2]:[Community_Result2]],"OK")</f>
        <v>0</v>
      </c>
      <c r="AW130" s="1" t="str">
        <f>IF(AND(OR(_01towers[[#This Row],[Active Prevalidation Status]]="Under Prevalidation",_01towers[[#This Row],[Active Prevalidation Status]]="Prevalidated"),_01towers[[#This Row],[02tss.TSSR_From_Engineer]]&gt;0),"Submitted","")</f>
        <v>Submitted</v>
      </c>
      <c r="AX130" s="40" t="str">
        <f>IF(OR(_01towers[[#This Row],[Active Prevalidation Status]]="Under Prevalidation",_01towers[[#This Row],[Active Prevalidation Status]]="Prevalidated"),_01towers[[#This Row],[02tss.TSS_Result]],"")</f>
        <v>Approved</v>
      </c>
      <c r="AY130" s="40" t="str">
        <f>IF(AND(_01towers[[#This Row],[Active TSS Result]]="Approved",_01towers[[#This Row],[Active Prevalidation Status]]="Prevalidated"),"In Process","")</f>
        <v>In Process</v>
      </c>
      <c r="AZ130" s="40" t="str">
        <f>IF(AND(_01towers[[#This Row],[Active TSS Result]]="Approved",_01towers[[#This Row],[Active Prevalidation Status]]="Prevalidated"),_01towers[[#This Row],[10colo_app.Colo_App_Result]],"")</f>
        <v>NTP Received</v>
      </c>
      <c r="BA130" s="40">
        <f>COUNTIF(_20work_order[05_id],_01towers[[#This Row],[05_id]])</f>
        <v>1</v>
      </c>
      <c r="BB130" s="40">
        <f>COUNTIFS(_20work_order[05_id],_01towers[[#This Row],[05_id]],_20work_order[Actual_End],"&gt;0")</f>
        <v>1</v>
      </c>
      <c r="BC130" s="40" t="str">
        <f>IF(_01towers[[#This Row],[Completed Work Orders]]&gt;0,"Work Completed",
IF(_01towers[[#This Row],[Count Work Orders]]&gt;0,"Work in Progress",""))</f>
        <v>Work Completed</v>
      </c>
      <c r="BD13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130" s="40" t="str">
        <f>_xlfn.SWITCH(_01towers[[#This Row],[Final Colo Status full]],"Commercial Approval Requested","Under Prevalidation",_01towers[[#This Row],[Final Colo Status full]])</f>
        <v>Work Completed</v>
      </c>
    </row>
    <row r="131" spans="1:57" x14ac:dyDescent="0.35">
      <c r="A131" s="40" t="s">
        <v>322</v>
      </c>
      <c r="B131" s="40" t="s">
        <v>90</v>
      </c>
      <c r="C131" s="40" t="s">
        <v>51</v>
      </c>
      <c r="D131">
        <v>35</v>
      </c>
      <c r="E131" s="40" t="s">
        <v>94</v>
      </c>
      <c r="F131">
        <v>97.64537</v>
      </c>
      <c r="G131">
        <v>16.493649999999999</v>
      </c>
      <c r="H131" s="40" t="s">
        <v>53</v>
      </c>
      <c r="I131">
        <v>131</v>
      </c>
      <c r="J131" s="40" t="s">
        <v>323</v>
      </c>
      <c r="K131" s="40" t="s">
        <v>136</v>
      </c>
      <c r="L131" s="40" t="s">
        <v>56</v>
      </c>
      <c r="M131" s="40" t="s">
        <v>57</v>
      </c>
      <c r="N131" s="40" t="s">
        <v>57</v>
      </c>
      <c r="O131" s="40" t="s">
        <v>57</v>
      </c>
      <c r="P131" s="40" t="s">
        <v>58</v>
      </c>
      <c r="Q131" s="40" t="s">
        <v>57</v>
      </c>
      <c r="R131" s="40" t="s">
        <v>57</v>
      </c>
      <c r="S131">
        <v>101</v>
      </c>
      <c r="T131">
        <v>1</v>
      </c>
      <c r="U131" s="1"/>
      <c r="V131" s="1"/>
      <c r="W131" s="1"/>
      <c r="X131" s="1"/>
      <c r="Y131" s="1"/>
      <c r="Z131" s="40"/>
      <c r="AA131">
        <v>100</v>
      </c>
      <c r="AB131">
        <v>1</v>
      </c>
      <c r="AC131" s="1"/>
      <c r="AD131" s="40"/>
      <c r="AE131" s="1"/>
      <c r="AF131" s="1"/>
      <c r="AG131" s="1"/>
      <c r="AH131" s="40"/>
      <c r="AI131" s="1"/>
      <c r="AJ131" s="40">
        <f>_xlfn.MAXIFS(_01towers[02tss.Rev],_01towers[05_id],_01towers[[#This Row],[05_id]])</f>
        <v>1</v>
      </c>
      <c r="AK131" s="40" t="b">
        <f>IF(_01towers[[#This Row],[Count Rev TSS]]=_01towers[[#This Row],[02tss.Rev]],TRUE,FALSE)</f>
        <v>1</v>
      </c>
      <c r="AL131" s="40">
        <f>_xlfn.MAXIFS(_01towers[10colo_app.Rev],_01towers[05_id],_01towers[[#This Row],[05_id]])</f>
        <v>1</v>
      </c>
      <c r="AM131" s="40" t="b">
        <f>IF(_01towers[[#This Row],[Count Rev Colo App]]=_01towers[[#This Row],[10colo_app.Rev]],TRUE,FALSE)</f>
        <v>1</v>
      </c>
      <c r="AN131" s="40" t="b">
        <f>IF(AND(_01towers[[#This Row],[Test Rev Colo]]=TRUE,_01towers[[#This Row],[Test Rev TSS]]=TRUE),TRUE,FALSE)</f>
        <v>1</v>
      </c>
      <c r="AO131" s="40" t="str">
        <f>IF(_01towers[[#This Row],[Test Active]]=TRUE,_01towers[[#This Row],[Prevalidation Status]],"")</f>
        <v>Commercial Approval Requested</v>
      </c>
      <c r="AP131" s="40" t="str">
        <f>IF(_01towers[[#This Row],[Active Prevalidation Status]]="Under Prevalidation",
IF(M131="","Review",M131),"")</f>
        <v/>
      </c>
      <c r="AQ131" s="40" t="str">
        <f>IF(_01towers[[#This Row],[Active Prevalidation Status]]="Under Prevalidation",
IF(N131="","Review",N131),"")</f>
        <v/>
      </c>
      <c r="AR131" s="40" t="str">
        <f>IF(_01towers[[#This Row],[Active Prevalidation Status]]="Under Prevalidation",
IF(O131="","Review",O131),"")</f>
        <v/>
      </c>
      <c r="AS131" s="40" t="str">
        <f>IF(_01towers[[#This Row],[Active Prevalidation Status]]="Under Prevalidation",
IF(P131="","Review",P131),"")</f>
        <v/>
      </c>
      <c r="AT131" s="40" t="str">
        <f>IF(_01towers[[#This Row],[Active Prevalidation Status]]="Under Prevalidation",
IF(Q131="","Review",Q131),"")</f>
        <v/>
      </c>
      <c r="AU131" s="40" t="str">
        <f>IF(_01towers[[#This Row],[Active Prevalidation Status]]="Under Prevalidation",
IF(R131="","Review",R131),"")</f>
        <v/>
      </c>
      <c r="AV131" s="40">
        <f>COUNTIF(_01towers[[#This Row],[SAQ_Result2]:[Community_Result2]],"OK")</f>
        <v>0</v>
      </c>
      <c r="AW131" s="1" t="str">
        <f>IF(AND(OR(_01towers[[#This Row],[Active Prevalidation Status]]="Under Prevalidation",_01towers[[#This Row],[Active Prevalidation Status]]="Prevalidated"),_01towers[[#This Row],[02tss.TSSR_From_Engineer]]&gt;0),"Submitted","")</f>
        <v/>
      </c>
      <c r="AX131" s="40" t="str">
        <f>IF(OR(_01towers[[#This Row],[Active Prevalidation Status]]="Under Prevalidation",_01towers[[#This Row],[Active Prevalidation Status]]="Prevalidated"),_01towers[[#This Row],[02tss.TSS_Result]],"")</f>
        <v/>
      </c>
      <c r="AY131" s="40" t="str">
        <f>IF(AND(_01towers[[#This Row],[Active TSS Result]]="Approved",_01towers[[#This Row],[Active Prevalidation Status]]="Prevalidated"),"In Process","")</f>
        <v/>
      </c>
      <c r="AZ131" s="40" t="str">
        <f>IF(AND(_01towers[[#This Row],[Active TSS Result]]="Approved",_01towers[[#This Row],[Active Prevalidation Status]]="Prevalidated"),_01towers[[#This Row],[10colo_app.Colo_App_Result]],"")</f>
        <v/>
      </c>
      <c r="BA131" s="40">
        <f>COUNTIF(_20work_order[05_id],_01towers[[#This Row],[05_id]])</f>
        <v>0</v>
      </c>
      <c r="BB131" s="40">
        <f>COUNTIFS(_20work_order[05_id],_01towers[[#This Row],[05_id]],_20work_order[Actual_End],"&gt;0")</f>
        <v>0</v>
      </c>
      <c r="BC131" s="40" t="str">
        <f>IF(_01towers[[#This Row],[Completed Work Orders]]&gt;0,"Work Completed",
IF(_01towers[[#This Row],[Count Work Orders]]&gt;0,"Work in Progress",""))</f>
        <v/>
      </c>
      <c r="BD13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31" s="40" t="str">
        <f>_xlfn.SWITCH(_01towers[[#This Row],[Final Colo Status full]],"Commercial Approval Requested","Under Prevalidation",_01towers[[#This Row],[Final Colo Status full]])</f>
        <v>Under Prevalidation</v>
      </c>
    </row>
    <row r="132" spans="1:57" hidden="1" x14ac:dyDescent="0.35">
      <c r="A132" s="40" t="s">
        <v>324</v>
      </c>
      <c r="B132" s="40" t="s">
        <v>90</v>
      </c>
      <c r="C132" s="40" t="s">
        <v>51</v>
      </c>
      <c r="D132">
        <v>45</v>
      </c>
      <c r="E132" s="40" t="s">
        <v>94</v>
      </c>
      <c r="F132">
        <v>97.63194</v>
      </c>
      <c r="G132">
        <v>16.486139999999999</v>
      </c>
      <c r="H132" s="40" t="s">
        <v>150</v>
      </c>
      <c r="I132">
        <v>132</v>
      </c>
      <c r="J132" s="40" t="s">
        <v>325</v>
      </c>
      <c r="K132" s="40" t="s">
        <v>136</v>
      </c>
      <c r="L132" s="40" t="s">
        <v>64</v>
      </c>
      <c r="M132" s="40" t="s">
        <v>57</v>
      </c>
      <c r="N132" s="40" t="s">
        <v>57</v>
      </c>
      <c r="O132" s="40" t="s">
        <v>57</v>
      </c>
      <c r="P132" s="40" t="s">
        <v>57</v>
      </c>
      <c r="Q132" s="40" t="s">
        <v>57</v>
      </c>
      <c r="R132" s="40" t="s">
        <v>57</v>
      </c>
      <c r="S132">
        <v>103</v>
      </c>
      <c r="T132">
        <v>1</v>
      </c>
      <c r="U132" s="1"/>
      <c r="V132" s="1"/>
      <c r="W132" s="1"/>
      <c r="X132" s="1"/>
      <c r="Y132" s="1"/>
      <c r="Z132" s="40"/>
      <c r="AA132">
        <v>102</v>
      </c>
      <c r="AB132">
        <v>1</v>
      </c>
      <c r="AC132" s="1"/>
      <c r="AD132" s="40"/>
      <c r="AE132" s="1"/>
      <c r="AF132" s="1"/>
      <c r="AG132" s="1"/>
      <c r="AH132" s="40"/>
      <c r="AI132" s="1"/>
      <c r="AJ132" s="40">
        <f>_xlfn.MAXIFS(_01towers[02tss.Rev],_01towers[05_id],_01towers[[#This Row],[05_id]])</f>
        <v>1</v>
      </c>
      <c r="AK132" s="40" t="b">
        <f>IF(_01towers[[#This Row],[Count Rev TSS]]=_01towers[[#This Row],[02tss.Rev]],TRUE,FALSE)</f>
        <v>1</v>
      </c>
      <c r="AL132" s="40">
        <f>_xlfn.MAXIFS(_01towers[10colo_app.Rev],_01towers[05_id],_01towers[[#This Row],[05_id]])</f>
        <v>1</v>
      </c>
      <c r="AM132" s="40" t="b">
        <f>IF(_01towers[[#This Row],[Count Rev Colo App]]=_01towers[[#This Row],[10colo_app.Rev]],TRUE,FALSE)</f>
        <v>1</v>
      </c>
      <c r="AN132" s="40" t="b">
        <f>IF(AND(_01towers[[#This Row],[Test Rev Colo]]=TRUE,_01towers[[#This Row],[Test Rev TSS]]=TRUE),TRUE,FALSE)</f>
        <v>1</v>
      </c>
      <c r="AO132" s="40" t="str">
        <f>IF(_01towers[[#This Row],[Test Active]]=TRUE,_01towers[[#This Row],[Prevalidation Status]],"")</f>
        <v>Prevalidated</v>
      </c>
      <c r="AP132" s="40" t="str">
        <f>IF(_01towers[[#This Row],[Active Prevalidation Status]]="Under Prevalidation",
IF(M132="","Review",M132),"")</f>
        <v/>
      </c>
      <c r="AQ132" s="40" t="str">
        <f>IF(_01towers[[#This Row],[Active Prevalidation Status]]="Under Prevalidation",
IF(N132="","Review",N132),"")</f>
        <v/>
      </c>
      <c r="AR132" s="40" t="str">
        <f>IF(_01towers[[#This Row],[Active Prevalidation Status]]="Under Prevalidation",
IF(O132="","Review",O132),"")</f>
        <v/>
      </c>
      <c r="AS132" s="40" t="str">
        <f>IF(_01towers[[#This Row],[Active Prevalidation Status]]="Under Prevalidation",
IF(P132="","Review",P132),"")</f>
        <v/>
      </c>
      <c r="AT132" s="40" t="str">
        <f>IF(_01towers[[#This Row],[Active Prevalidation Status]]="Under Prevalidation",
IF(Q132="","Review",Q132),"")</f>
        <v/>
      </c>
      <c r="AU132" s="40" t="str">
        <f>IF(_01towers[[#This Row],[Active Prevalidation Status]]="Under Prevalidation",
IF(R132="","Review",R132),"")</f>
        <v/>
      </c>
      <c r="AV132" s="40">
        <f>COUNTIF(_01towers[[#This Row],[SAQ_Result2]:[Community_Result2]],"OK")</f>
        <v>0</v>
      </c>
      <c r="AW132" s="1" t="str">
        <f>IF(AND(OR(_01towers[[#This Row],[Active Prevalidation Status]]="Under Prevalidation",_01towers[[#This Row],[Active Prevalidation Status]]="Prevalidated"),_01towers[[#This Row],[02tss.TSSR_From_Engineer]]&gt;0),"Submitted","")</f>
        <v/>
      </c>
      <c r="AX132" s="40">
        <f>IF(OR(_01towers[[#This Row],[Active Prevalidation Status]]="Under Prevalidation",_01towers[[#This Row],[Active Prevalidation Status]]="Prevalidated"),_01towers[[#This Row],[02tss.TSS_Result]],"")</f>
        <v>0</v>
      </c>
      <c r="AY132" s="40" t="str">
        <f>IF(AND(_01towers[[#This Row],[Active TSS Result]]="Approved",_01towers[[#This Row],[Active Prevalidation Status]]="Prevalidated"),"In Process","")</f>
        <v/>
      </c>
      <c r="AZ132" s="40" t="str">
        <f>IF(AND(_01towers[[#This Row],[Active TSS Result]]="Approved",_01towers[[#This Row],[Active Prevalidation Status]]="Prevalidated"),_01towers[[#This Row],[10colo_app.Colo_App_Result]],"")</f>
        <v/>
      </c>
      <c r="BA132" s="40">
        <f>COUNTIF(_20work_order[05_id],_01towers[[#This Row],[05_id]])</f>
        <v>0</v>
      </c>
      <c r="BB132" s="40">
        <f>COUNTIFS(_20work_order[05_id],_01towers[[#This Row],[05_id]],_20work_order[Actual_End],"&gt;0")</f>
        <v>0</v>
      </c>
      <c r="BC132" s="40" t="str">
        <f>IF(_01towers[[#This Row],[Completed Work Orders]]&gt;0,"Work Completed",
IF(_01towers[[#This Row],[Count Work Orders]]&gt;0,"Work in Progress",""))</f>
        <v/>
      </c>
      <c r="BD13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32" s="40" t="str">
        <f>_xlfn.SWITCH(_01towers[[#This Row],[Final Colo Status full]],"Commercial Approval Requested","Under Prevalidation",_01towers[[#This Row],[Final Colo Status full]])</f>
        <v>Prevalidated - TSSR in Process</v>
      </c>
    </row>
    <row r="133" spans="1:57" hidden="1" x14ac:dyDescent="0.35">
      <c r="A133" s="40" t="s">
        <v>326</v>
      </c>
      <c r="B133" s="40" t="s">
        <v>90</v>
      </c>
      <c r="C133" s="40" t="s">
        <v>51</v>
      </c>
      <c r="D133">
        <v>35</v>
      </c>
      <c r="E133" s="40" t="s">
        <v>94</v>
      </c>
      <c r="F133">
        <v>97.653400000000005</v>
      </c>
      <c r="G133">
        <v>16.493179999999999</v>
      </c>
      <c r="H133" s="40" t="s">
        <v>150</v>
      </c>
      <c r="I133">
        <v>133</v>
      </c>
      <c r="J133" s="40" t="s">
        <v>616</v>
      </c>
      <c r="K133" s="40" t="s">
        <v>136</v>
      </c>
      <c r="L133" s="40" t="s">
        <v>64</v>
      </c>
      <c r="M133" s="40" t="s">
        <v>57</v>
      </c>
      <c r="N133" s="40" t="s">
        <v>57</v>
      </c>
      <c r="O133" s="40" t="s">
        <v>57</v>
      </c>
      <c r="P133" s="40" t="s">
        <v>58</v>
      </c>
      <c r="Q133" s="40" t="s">
        <v>57</v>
      </c>
      <c r="R133" s="40" t="s">
        <v>57</v>
      </c>
      <c r="S133">
        <v>102</v>
      </c>
      <c r="T133">
        <v>1</v>
      </c>
      <c r="U133" s="1"/>
      <c r="V133" s="1"/>
      <c r="W133" s="1"/>
      <c r="X133" s="1"/>
      <c r="Y133" s="1"/>
      <c r="Z133" s="40"/>
      <c r="AA133">
        <v>101</v>
      </c>
      <c r="AB133">
        <v>1</v>
      </c>
      <c r="AC133" s="1"/>
      <c r="AD133" s="40"/>
      <c r="AE133" s="1"/>
      <c r="AF133" s="1"/>
      <c r="AG133" s="1"/>
      <c r="AH133" s="40"/>
      <c r="AI133" s="1"/>
      <c r="AJ133" s="40">
        <f>_xlfn.MAXIFS(_01towers[02tss.Rev],_01towers[05_id],_01towers[[#This Row],[05_id]])</f>
        <v>1</v>
      </c>
      <c r="AK133" s="40" t="b">
        <f>IF(_01towers[[#This Row],[Count Rev TSS]]=_01towers[[#This Row],[02tss.Rev]],TRUE,FALSE)</f>
        <v>1</v>
      </c>
      <c r="AL133" s="40">
        <f>_xlfn.MAXIFS(_01towers[10colo_app.Rev],_01towers[05_id],_01towers[[#This Row],[05_id]])</f>
        <v>1</v>
      </c>
      <c r="AM133" s="40" t="b">
        <f>IF(_01towers[[#This Row],[Count Rev Colo App]]=_01towers[[#This Row],[10colo_app.Rev]],TRUE,FALSE)</f>
        <v>1</v>
      </c>
      <c r="AN133" s="40" t="b">
        <f>IF(AND(_01towers[[#This Row],[Test Rev Colo]]=TRUE,_01towers[[#This Row],[Test Rev TSS]]=TRUE),TRUE,FALSE)</f>
        <v>1</v>
      </c>
      <c r="AO133" s="40" t="str">
        <f>IF(_01towers[[#This Row],[Test Active]]=TRUE,_01towers[[#This Row],[Prevalidation Status]],"")</f>
        <v>Prevalidated</v>
      </c>
      <c r="AP133" s="40" t="str">
        <f>IF(_01towers[[#This Row],[Active Prevalidation Status]]="Under Prevalidation",
IF(M133="","Review",M133),"")</f>
        <v/>
      </c>
      <c r="AQ133" s="40" t="str">
        <f>IF(_01towers[[#This Row],[Active Prevalidation Status]]="Under Prevalidation",
IF(N133="","Review",N133),"")</f>
        <v/>
      </c>
      <c r="AR133" s="40" t="str">
        <f>IF(_01towers[[#This Row],[Active Prevalidation Status]]="Under Prevalidation",
IF(O133="","Review",O133),"")</f>
        <v/>
      </c>
      <c r="AS133" s="40" t="str">
        <f>IF(_01towers[[#This Row],[Active Prevalidation Status]]="Under Prevalidation",
IF(P133="","Review",P133),"")</f>
        <v/>
      </c>
      <c r="AT133" s="40" t="str">
        <f>IF(_01towers[[#This Row],[Active Prevalidation Status]]="Under Prevalidation",
IF(Q133="","Review",Q133),"")</f>
        <v/>
      </c>
      <c r="AU133" s="40" t="str">
        <f>IF(_01towers[[#This Row],[Active Prevalidation Status]]="Under Prevalidation",
IF(R133="","Review",R133),"")</f>
        <v/>
      </c>
      <c r="AV133" s="40">
        <f>COUNTIF(_01towers[[#This Row],[SAQ_Result2]:[Community_Result2]],"OK")</f>
        <v>0</v>
      </c>
      <c r="AW133" s="1" t="str">
        <f>IF(AND(OR(_01towers[[#This Row],[Active Prevalidation Status]]="Under Prevalidation",_01towers[[#This Row],[Active Prevalidation Status]]="Prevalidated"),_01towers[[#This Row],[02tss.TSSR_From_Engineer]]&gt;0),"Submitted","")</f>
        <v/>
      </c>
      <c r="AX133" s="40">
        <f>IF(OR(_01towers[[#This Row],[Active Prevalidation Status]]="Under Prevalidation",_01towers[[#This Row],[Active Prevalidation Status]]="Prevalidated"),_01towers[[#This Row],[02tss.TSS_Result]],"")</f>
        <v>0</v>
      </c>
      <c r="AY133" s="40" t="str">
        <f>IF(AND(_01towers[[#This Row],[Active TSS Result]]="Approved",_01towers[[#This Row],[Active Prevalidation Status]]="Prevalidated"),"In Process","")</f>
        <v/>
      </c>
      <c r="AZ133" s="40" t="str">
        <f>IF(AND(_01towers[[#This Row],[Active TSS Result]]="Approved",_01towers[[#This Row],[Active Prevalidation Status]]="Prevalidated"),_01towers[[#This Row],[10colo_app.Colo_App_Result]],"")</f>
        <v/>
      </c>
      <c r="BA133" s="40">
        <f>COUNTIF(_20work_order[05_id],_01towers[[#This Row],[05_id]])</f>
        <v>0</v>
      </c>
      <c r="BB133" s="40">
        <f>COUNTIFS(_20work_order[05_id],_01towers[[#This Row],[05_id]],_20work_order[Actual_End],"&gt;0")</f>
        <v>0</v>
      </c>
      <c r="BC133" s="40" t="str">
        <f>IF(_01towers[[#This Row],[Completed Work Orders]]&gt;0,"Work Completed",
IF(_01towers[[#This Row],[Count Work Orders]]&gt;0,"Work in Progress",""))</f>
        <v/>
      </c>
      <c r="BD13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33" s="40" t="str">
        <f>_xlfn.SWITCH(_01towers[[#This Row],[Final Colo Status full]],"Commercial Approval Requested","Under Prevalidation",_01towers[[#This Row],[Final Colo Status full]])</f>
        <v>Prevalidated - TSSR in Process</v>
      </c>
    </row>
    <row r="134" spans="1:57" x14ac:dyDescent="0.35">
      <c r="A134" s="40" t="s">
        <v>327</v>
      </c>
      <c r="B134" s="40" t="s">
        <v>90</v>
      </c>
      <c r="C134" s="40" t="s">
        <v>51</v>
      </c>
      <c r="D134">
        <v>45</v>
      </c>
      <c r="E134" s="40" t="s">
        <v>94</v>
      </c>
      <c r="F134">
        <v>97.651820000000001</v>
      </c>
      <c r="G134">
        <v>16.4711</v>
      </c>
      <c r="H134" s="40" t="s">
        <v>143</v>
      </c>
      <c r="I134">
        <v>134</v>
      </c>
      <c r="J134" s="40" t="s">
        <v>328</v>
      </c>
      <c r="K134" s="40" t="s">
        <v>136</v>
      </c>
      <c r="L134" s="40" t="s">
        <v>56</v>
      </c>
      <c r="M134" s="40" t="s">
        <v>57</v>
      </c>
      <c r="N134" s="40" t="s">
        <v>57</v>
      </c>
      <c r="O134" s="40" t="s">
        <v>58</v>
      </c>
      <c r="P134" s="40" t="s">
        <v>58</v>
      </c>
      <c r="Q134" s="40" t="s">
        <v>57</v>
      </c>
      <c r="R134" s="40" t="s">
        <v>58</v>
      </c>
      <c r="S134">
        <v>104</v>
      </c>
      <c r="T134">
        <v>1</v>
      </c>
      <c r="U134" s="1">
        <v>43271</v>
      </c>
      <c r="V134" s="1">
        <v>43271</v>
      </c>
      <c r="W134" s="1">
        <v>43276</v>
      </c>
      <c r="X134" s="1">
        <v>43278</v>
      </c>
      <c r="Y134" s="1"/>
      <c r="Z134" s="40" t="s">
        <v>59</v>
      </c>
      <c r="AA134">
        <v>103</v>
      </c>
      <c r="AB134">
        <v>1</v>
      </c>
      <c r="AC134" s="1"/>
      <c r="AD134" s="40"/>
      <c r="AE134" s="1"/>
      <c r="AF134" s="1"/>
      <c r="AG134" s="1"/>
      <c r="AH134" s="40"/>
      <c r="AI134" s="1"/>
      <c r="AJ134" s="40">
        <f>_xlfn.MAXIFS(_01towers[02tss.Rev],_01towers[05_id],_01towers[[#This Row],[05_id]])</f>
        <v>1</v>
      </c>
      <c r="AK134" s="40" t="b">
        <f>IF(_01towers[[#This Row],[Count Rev TSS]]=_01towers[[#This Row],[02tss.Rev]],TRUE,FALSE)</f>
        <v>1</v>
      </c>
      <c r="AL134" s="40">
        <f>_xlfn.MAXIFS(_01towers[10colo_app.Rev],_01towers[05_id],_01towers[[#This Row],[05_id]])</f>
        <v>1</v>
      </c>
      <c r="AM134" s="40" t="b">
        <f>IF(_01towers[[#This Row],[Count Rev Colo App]]=_01towers[[#This Row],[10colo_app.Rev]],TRUE,FALSE)</f>
        <v>1</v>
      </c>
      <c r="AN134" s="40" t="b">
        <f>IF(AND(_01towers[[#This Row],[Test Rev Colo]]=TRUE,_01towers[[#This Row],[Test Rev TSS]]=TRUE),TRUE,FALSE)</f>
        <v>1</v>
      </c>
      <c r="AO134" s="40" t="str">
        <f>IF(_01towers[[#This Row],[Test Active]]=TRUE,_01towers[[#This Row],[Prevalidation Status]],"")</f>
        <v>Commercial Approval Requested</v>
      </c>
      <c r="AP134" s="40" t="str">
        <f>IF(_01towers[[#This Row],[Active Prevalidation Status]]="Under Prevalidation",
IF(M134="","Review",M134),"")</f>
        <v/>
      </c>
      <c r="AQ134" s="40" t="str">
        <f>IF(_01towers[[#This Row],[Active Prevalidation Status]]="Under Prevalidation",
IF(N134="","Review",N134),"")</f>
        <v/>
      </c>
      <c r="AR134" s="40" t="str">
        <f>IF(_01towers[[#This Row],[Active Prevalidation Status]]="Under Prevalidation",
IF(O134="","Review",O134),"")</f>
        <v/>
      </c>
      <c r="AS134" s="40" t="str">
        <f>IF(_01towers[[#This Row],[Active Prevalidation Status]]="Under Prevalidation",
IF(P134="","Review",P134),"")</f>
        <v/>
      </c>
      <c r="AT134" s="40" t="str">
        <f>IF(_01towers[[#This Row],[Active Prevalidation Status]]="Under Prevalidation",
IF(Q134="","Review",Q134),"")</f>
        <v/>
      </c>
      <c r="AU134" s="40" t="str">
        <f>IF(_01towers[[#This Row],[Active Prevalidation Status]]="Under Prevalidation",
IF(R134="","Review",R134),"")</f>
        <v/>
      </c>
      <c r="AV134" s="40">
        <f>COUNTIF(_01towers[[#This Row],[SAQ_Result2]:[Community_Result2]],"OK")</f>
        <v>0</v>
      </c>
      <c r="AW134" s="1" t="str">
        <f>IF(AND(OR(_01towers[[#This Row],[Active Prevalidation Status]]="Under Prevalidation",_01towers[[#This Row],[Active Prevalidation Status]]="Prevalidated"),_01towers[[#This Row],[02tss.TSSR_From_Engineer]]&gt;0),"Submitted","")</f>
        <v/>
      </c>
      <c r="AX134" s="40" t="str">
        <f>IF(OR(_01towers[[#This Row],[Active Prevalidation Status]]="Under Prevalidation",_01towers[[#This Row],[Active Prevalidation Status]]="Prevalidated"),_01towers[[#This Row],[02tss.TSS_Result]],"")</f>
        <v/>
      </c>
      <c r="AY134" s="40" t="str">
        <f>IF(AND(_01towers[[#This Row],[Active TSS Result]]="Approved",_01towers[[#This Row],[Active Prevalidation Status]]="Prevalidated"),"In Process","")</f>
        <v/>
      </c>
      <c r="AZ134" s="40" t="str">
        <f>IF(AND(_01towers[[#This Row],[Active TSS Result]]="Approved",_01towers[[#This Row],[Active Prevalidation Status]]="Prevalidated"),_01towers[[#This Row],[10colo_app.Colo_App_Result]],"")</f>
        <v/>
      </c>
      <c r="BA134" s="40">
        <f>COUNTIF(_20work_order[05_id],_01towers[[#This Row],[05_id]])</f>
        <v>1</v>
      </c>
      <c r="BB134" s="40">
        <f>COUNTIFS(_20work_order[05_id],_01towers[[#This Row],[05_id]],_20work_order[Actual_End],"&gt;0")</f>
        <v>1</v>
      </c>
      <c r="BC134" s="40" t="str">
        <f>IF(_01towers[[#This Row],[Completed Work Orders]]&gt;0,"Work Completed",
IF(_01towers[[#This Row],[Count Work Orders]]&gt;0,"Work in Progress",""))</f>
        <v>Work Completed</v>
      </c>
      <c r="BD13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34" s="40" t="str">
        <f>_xlfn.SWITCH(_01towers[[#This Row],[Final Colo Status full]],"Commercial Approval Requested","Under Prevalidation",_01towers[[#This Row],[Final Colo Status full]])</f>
        <v>Under Prevalidation</v>
      </c>
    </row>
    <row r="135" spans="1:57" hidden="1" x14ac:dyDescent="0.35">
      <c r="A135" s="40" t="s">
        <v>329</v>
      </c>
      <c r="B135" s="40" t="s">
        <v>90</v>
      </c>
      <c r="C135" s="40" t="s">
        <v>51</v>
      </c>
      <c r="D135">
        <v>50</v>
      </c>
      <c r="E135" s="40" t="s">
        <v>175</v>
      </c>
      <c r="F135">
        <v>96.611270000000005</v>
      </c>
      <c r="G135">
        <v>18.250250000000001</v>
      </c>
      <c r="H135" s="40" t="s">
        <v>150</v>
      </c>
      <c r="I135">
        <v>135</v>
      </c>
      <c r="J135" s="40" t="s">
        <v>617</v>
      </c>
      <c r="K135" s="40" t="s">
        <v>136</v>
      </c>
      <c r="L135" s="40" t="s">
        <v>74</v>
      </c>
      <c r="M135" s="40" t="s">
        <v>57</v>
      </c>
      <c r="N135" s="40" t="s">
        <v>57</v>
      </c>
      <c r="O135" s="40" t="s">
        <v>57</v>
      </c>
      <c r="P135" s="40" t="s">
        <v>58</v>
      </c>
      <c r="Q135" s="40" t="s">
        <v>57</v>
      </c>
      <c r="R135" s="40" t="s">
        <v>58</v>
      </c>
      <c r="S135">
        <v>28</v>
      </c>
      <c r="T135">
        <v>1</v>
      </c>
      <c r="U135" s="1">
        <v>43265</v>
      </c>
      <c r="V135" s="1"/>
      <c r="W135" s="1"/>
      <c r="X135" s="1"/>
      <c r="Y135" s="1"/>
      <c r="Z135" s="40"/>
      <c r="AA135">
        <v>27</v>
      </c>
      <c r="AB135">
        <v>1</v>
      </c>
      <c r="AC135" s="1"/>
      <c r="AD135" s="40"/>
      <c r="AE135" s="1">
        <v>43187</v>
      </c>
      <c r="AF135" s="1"/>
      <c r="AG135" s="1"/>
      <c r="AH135" s="40"/>
      <c r="AI135" s="1"/>
      <c r="AJ135" s="40">
        <f>_xlfn.MAXIFS(_01towers[02tss.Rev],_01towers[05_id],_01towers[[#This Row],[05_id]])</f>
        <v>1</v>
      </c>
      <c r="AK135" s="40" t="b">
        <f>IF(_01towers[[#This Row],[Count Rev TSS]]=_01towers[[#This Row],[02tss.Rev]],TRUE,FALSE)</f>
        <v>1</v>
      </c>
      <c r="AL135" s="40">
        <f>_xlfn.MAXIFS(_01towers[10colo_app.Rev],_01towers[05_id],_01towers[[#This Row],[05_id]])</f>
        <v>1</v>
      </c>
      <c r="AM135" s="40" t="b">
        <f>IF(_01towers[[#This Row],[Count Rev Colo App]]=_01towers[[#This Row],[10colo_app.Rev]],TRUE,FALSE)</f>
        <v>1</v>
      </c>
      <c r="AN135" s="40" t="b">
        <f>IF(AND(_01towers[[#This Row],[Test Rev Colo]]=TRUE,_01towers[[#This Row],[Test Rev TSS]]=TRUE),TRUE,FALSE)</f>
        <v>1</v>
      </c>
      <c r="AO135" s="40" t="str">
        <f>IF(_01towers[[#This Row],[Test Active]]=TRUE,_01towers[[#This Row],[Prevalidation Status]],"")</f>
        <v>Prevalidation Rejected</v>
      </c>
      <c r="AP135" s="40" t="str">
        <f>IF(_01towers[[#This Row],[Active Prevalidation Status]]="Under Prevalidation",
IF(M135="","Review",M135),"")</f>
        <v/>
      </c>
      <c r="AQ135" s="40" t="str">
        <f>IF(_01towers[[#This Row],[Active Prevalidation Status]]="Under Prevalidation",
IF(N135="","Review",N135),"")</f>
        <v/>
      </c>
      <c r="AR135" s="40" t="str">
        <f>IF(_01towers[[#This Row],[Active Prevalidation Status]]="Under Prevalidation",
IF(O135="","Review",O135),"")</f>
        <v/>
      </c>
      <c r="AS135" s="40" t="str">
        <f>IF(_01towers[[#This Row],[Active Prevalidation Status]]="Under Prevalidation",
IF(P135="","Review",P135),"")</f>
        <v/>
      </c>
      <c r="AT135" s="40" t="str">
        <f>IF(_01towers[[#This Row],[Active Prevalidation Status]]="Under Prevalidation",
IF(Q135="","Review",Q135),"")</f>
        <v/>
      </c>
      <c r="AU135" s="40" t="str">
        <f>IF(_01towers[[#This Row],[Active Prevalidation Status]]="Under Prevalidation",
IF(R135="","Review",R135),"")</f>
        <v/>
      </c>
      <c r="AV135" s="40">
        <f>COUNTIF(_01towers[[#This Row],[SAQ_Result2]:[Community_Result2]],"OK")</f>
        <v>0</v>
      </c>
      <c r="AW135" s="1" t="str">
        <f>IF(AND(OR(_01towers[[#This Row],[Active Prevalidation Status]]="Under Prevalidation",_01towers[[#This Row],[Active Prevalidation Status]]="Prevalidated"),_01towers[[#This Row],[02tss.TSSR_From_Engineer]]&gt;0),"Submitted","")</f>
        <v/>
      </c>
      <c r="AX135" s="40" t="str">
        <f>IF(OR(_01towers[[#This Row],[Active Prevalidation Status]]="Under Prevalidation",_01towers[[#This Row],[Active Prevalidation Status]]="Prevalidated"),_01towers[[#This Row],[02tss.TSS_Result]],"")</f>
        <v/>
      </c>
      <c r="AY135" s="40" t="str">
        <f>IF(AND(_01towers[[#This Row],[Active TSS Result]]="Approved",_01towers[[#This Row],[Active Prevalidation Status]]="Prevalidated"),"In Process","")</f>
        <v/>
      </c>
      <c r="AZ135" s="40" t="str">
        <f>IF(AND(_01towers[[#This Row],[Active TSS Result]]="Approved",_01towers[[#This Row],[Active Prevalidation Status]]="Prevalidated"),_01towers[[#This Row],[10colo_app.Colo_App_Result]],"")</f>
        <v/>
      </c>
      <c r="BA135" s="40">
        <f>COUNTIF(_20work_order[05_id],_01towers[[#This Row],[05_id]])</f>
        <v>0</v>
      </c>
      <c r="BB135" s="40">
        <f>COUNTIFS(_20work_order[05_id],_01towers[[#This Row],[05_id]],_20work_order[Actual_End],"&gt;0")</f>
        <v>0</v>
      </c>
      <c r="BC135" s="40" t="str">
        <f>IF(_01towers[[#This Row],[Completed Work Orders]]&gt;0,"Work Completed",
IF(_01towers[[#This Row],[Count Work Orders]]&gt;0,"Work in Progress",""))</f>
        <v/>
      </c>
      <c r="BD13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35" s="40" t="str">
        <f>_xlfn.SWITCH(_01towers[[#This Row],[Final Colo Status full]],"Commercial Approval Requested","Under Prevalidation",_01towers[[#This Row],[Final Colo Status full]])</f>
        <v>Prevalidation Rejected</v>
      </c>
    </row>
    <row r="136" spans="1:57" x14ac:dyDescent="0.35">
      <c r="A136" s="40" t="s">
        <v>330</v>
      </c>
      <c r="B136" s="40" t="s">
        <v>90</v>
      </c>
      <c r="C136" s="40" t="s">
        <v>51</v>
      </c>
      <c r="D136">
        <v>60</v>
      </c>
      <c r="E136" s="40" t="s">
        <v>94</v>
      </c>
      <c r="F136">
        <v>97.624453000000003</v>
      </c>
      <c r="G136">
        <v>16.459907000000001</v>
      </c>
      <c r="H136" s="40" t="s">
        <v>150</v>
      </c>
      <c r="I136">
        <v>136</v>
      </c>
      <c r="J136" s="40" t="s">
        <v>331</v>
      </c>
      <c r="K136" s="40" t="s">
        <v>136</v>
      </c>
      <c r="L136" s="40" t="s">
        <v>56</v>
      </c>
      <c r="M136" s="40" t="s">
        <v>57</v>
      </c>
      <c r="N136" s="40" t="s">
        <v>57</v>
      </c>
      <c r="O136" s="40" t="s">
        <v>57</v>
      </c>
      <c r="P136" s="40" t="s">
        <v>58</v>
      </c>
      <c r="Q136" s="40" t="s">
        <v>57</v>
      </c>
      <c r="R136" s="40" t="s">
        <v>57</v>
      </c>
      <c r="S136">
        <v>105</v>
      </c>
      <c r="T136">
        <v>1</v>
      </c>
      <c r="U136" s="1"/>
      <c r="V136" s="1"/>
      <c r="W136" s="1"/>
      <c r="X136" s="1"/>
      <c r="Y136" s="1"/>
      <c r="Z136" s="40"/>
      <c r="AA136">
        <v>104</v>
      </c>
      <c r="AB136">
        <v>1</v>
      </c>
      <c r="AC136" s="1"/>
      <c r="AD136" s="40"/>
      <c r="AE136" s="1"/>
      <c r="AF136" s="1"/>
      <c r="AG136" s="1"/>
      <c r="AH136" s="40"/>
      <c r="AI136" s="1"/>
      <c r="AJ136" s="40">
        <f>_xlfn.MAXIFS(_01towers[02tss.Rev],_01towers[05_id],_01towers[[#This Row],[05_id]])</f>
        <v>1</v>
      </c>
      <c r="AK136" s="40" t="b">
        <f>IF(_01towers[[#This Row],[Count Rev TSS]]=_01towers[[#This Row],[02tss.Rev]],TRUE,FALSE)</f>
        <v>1</v>
      </c>
      <c r="AL136" s="40">
        <f>_xlfn.MAXIFS(_01towers[10colo_app.Rev],_01towers[05_id],_01towers[[#This Row],[05_id]])</f>
        <v>1</v>
      </c>
      <c r="AM136" s="40" t="b">
        <f>IF(_01towers[[#This Row],[Count Rev Colo App]]=_01towers[[#This Row],[10colo_app.Rev]],TRUE,FALSE)</f>
        <v>1</v>
      </c>
      <c r="AN136" s="40" t="b">
        <f>IF(AND(_01towers[[#This Row],[Test Rev Colo]]=TRUE,_01towers[[#This Row],[Test Rev TSS]]=TRUE),TRUE,FALSE)</f>
        <v>1</v>
      </c>
      <c r="AO136" s="40" t="str">
        <f>IF(_01towers[[#This Row],[Test Active]]=TRUE,_01towers[[#This Row],[Prevalidation Status]],"")</f>
        <v>Commercial Approval Requested</v>
      </c>
      <c r="AP136" s="40" t="str">
        <f>IF(_01towers[[#This Row],[Active Prevalidation Status]]="Under Prevalidation",
IF(M136="","Review",M136),"")</f>
        <v/>
      </c>
      <c r="AQ136" s="40" t="str">
        <f>IF(_01towers[[#This Row],[Active Prevalidation Status]]="Under Prevalidation",
IF(N136="","Review",N136),"")</f>
        <v/>
      </c>
      <c r="AR136" s="40" t="str">
        <f>IF(_01towers[[#This Row],[Active Prevalidation Status]]="Under Prevalidation",
IF(O136="","Review",O136),"")</f>
        <v/>
      </c>
      <c r="AS136" s="40" t="str">
        <f>IF(_01towers[[#This Row],[Active Prevalidation Status]]="Under Prevalidation",
IF(P136="","Review",P136),"")</f>
        <v/>
      </c>
      <c r="AT136" s="40" t="str">
        <f>IF(_01towers[[#This Row],[Active Prevalidation Status]]="Under Prevalidation",
IF(Q136="","Review",Q136),"")</f>
        <v/>
      </c>
      <c r="AU136" s="40" t="str">
        <f>IF(_01towers[[#This Row],[Active Prevalidation Status]]="Under Prevalidation",
IF(R136="","Review",R136),"")</f>
        <v/>
      </c>
      <c r="AV136" s="40">
        <f>COUNTIF(_01towers[[#This Row],[SAQ_Result2]:[Community_Result2]],"OK")</f>
        <v>0</v>
      </c>
      <c r="AW136" s="1" t="str">
        <f>IF(AND(OR(_01towers[[#This Row],[Active Prevalidation Status]]="Under Prevalidation",_01towers[[#This Row],[Active Prevalidation Status]]="Prevalidated"),_01towers[[#This Row],[02tss.TSSR_From_Engineer]]&gt;0),"Submitted","")</f>
        <v/>
      </c>
      <c r="AX136" s="40" t="str">
        <f>IF(OR(_01towers[[#This Row],[Active Prevalidation Status]]="Under Prevalidation",_01towers[[#This Row],[Active Prevalidation Status]]="Prevalidated"),_01towers[[#This Row],[02tss.TSS_Result]],"")</f>
        <v/>
      </c>
      <c r="AY136" s="40" t="str">
        <f>IF(AND(_01towers[[#This Row],[Active TSS Result]]="Approved",_01towers[[#This Row],[Active Prevalidation Status]]="Prevalidated"),"In Process","")</f>
        <v/>
      </c>
      <c r="AZ136" s="40" t="str">
        <f>IF(AND(_01towers[[#This Row],[Active TSS Result]]="Approved",_01towers[[#This Row],[Active Prevalidation Status]]="Prevalidated"),_01towers[[#This Row],[10colo_app.Colo_App_Result]],"")</f>
        <v/>
      </c>
      <c r="BA136" s="40">
        <f>COUNTIF(_20work_order[05_id],_01towers[[#This Row],[05_id]])</f>
        <v>0</v>
      </c>
      <c r="BB136" s="40">
        <f>COUNTIFS(_20work_order[05_id],_01towers[[#This Row],[05_id]],_20work_order[Actual_End],"&gt;0")</f>
        <v>0</v>
      </c>
      <c r="BC136" s="40" t="str">
        <f>IF(_01towers[[#This Row],[Completed Work Orders]]&gt;0,"Work Completed",
IF(_01towers[[#This Row],[Count Work Orders]]&gt;0,"Work in Progress",""))</f>
        <v/>
      </c>
      <c r="BD13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36" s="40" t="str">
        <f>_xlfn.SWITCH(_01towers[[#This Row],[Final Colo Status full]],"Commercial Approval Requested","Under Prevalidation",_01towers[[#This Row],[Final Colo Status full]])</f>
        <v>Under Prevalidation</v>
      </c>
    </row>
    <row r="137" spans="1:57" hidden="1" x14ac:dyDescent="0.35">
      <c r="A137" s="40" t="s">
        <v>332</v>
      </c>
      <c r="B137" s="40" t="s">
        <v>90</v>
      </c>
      <c r="C137" s="40" t="s">
        <v>51</v>
      </c>
      <c r="D137">
        <v>45</v>
      </c>
      <c r="E137" s="40" t="s">
        <v>175</v>
      </c>
      <c r="F137">
        <v>96.580259999999996</v>
      </c>
      <c r="G137">
        <v>17.76595</v>
      </c>
      <c r="H137" s="40" t="s">
        <v>62</v>
      </c>
      <c r="I137">
        <v>137</v>
      </c>
      <c r="J137" s="40" t="s">
        <v>333</v>
      </c>
      <c r="K137" s="40" t="s">
        <v>136</v>
      </c>
      <c r="L137" s="40" t="s">
        <v>64</v>
      </c>
      <c r="M137" s="40" t="s">
        <v>57</v>
      </c>
      <c r="N137" s="40" t="s">
        <v>57</v>
      </c>
      <c r="O137" s="40" t="s">
        <v>57</v>
      </c>
      <c r="P137" s="40" t="s">
        <v>161</v>
      </c>
      <c r="Q137" s="40" t="s">
        <v>57</v>
      </c>
      <c r="R137" s="40" t="s">
        <v>57</v>
      </c>
      <c r="S137">
        <v>227</v>
      </c>
      <c r="T137">
        <v>1</v>
      </c>
      <c r="U137" s="1">
        <v>43286</v>
      </c>
      <c r="V137" s="1">
        <v>43286</v>
      </c>
      <c r="W137" s="1">
        <v>43287</v>
      </c>
      <c r="X137" s="1"/>
      <c r="Y137" s="1"/>
      <c r="Z137" s="40"/>
      <c r="AA137">
        <v>226</v>
      </c>
      <c r="AB137">
        <v>1</v>
      </c>
      <c r="AC137" s="1"/>
      <c r="AD137" s="40"/>
      <c r="AE137" s="1"/>
      <c r="AF137" s="1"/>
      <c r="AG137" s="1"/>
      <c r="AH137" s="40"/>
      <c r="AI137" s="1"/>
      <c r="AJ137" s="40">
        <f>_xlfn.MAXIFS(_01towers[02tss.Rev],_01towers[05_id],_01towers[[#This Row],[05_id]])</f>
        <v>1</v>
      </c>
      <c r="AK137" s="40" t="b">
        <f>IF(_01towers[[#This Row],[Count Rev TSS]]=_01towers[[#This Row],[02tss.Rev]],TRUE,FALSE)</f>
        <v>1</v>
      </c>
      <c r="AL137" s="40">
        <f>_xlfn.MAXIFS(_01towers[10colo_app.Rev],_01towers[05_id],_01towers[[#This Row],[05_id]])</f>
        <v>1</v>
      </c>
      <c r="AM137" s="40" t="b">
        <f>IF(_01towers[[#This Row],[Count Rev Colo App]]=_01towers[[#This Row],[10colo_app.Rev]],TRUE,FALSE)</f>
        <v>1</v>
      </c>
      <c r="AN137" s="40" t="b">
        <f>IF(AND(_01towers[[#This Row],[Test Rev Colo]]=TRUE,_01towers[[#This Row],[Test Rev TSS]]=TRUE),TRUE,FALSE)</f>
        <v>1</v>
      </c>
      <c r="AO137" s="40" t="str">
        <f>IF(_01towers[[#This Row],[Test Active]]=TRUE,_01towers[[#This Row],[Prevalidation Status]],"")</f>
        <v>Prevalidated</v>
      </c>
      <c r="AP137" s="40" t="str">
        <f>IF(_01towers[[#This Row],[Active Prevalidation Status]]="Under Prevalidation",
IF(M137="","Review",M137),"")</f>
        <v/>
      </c>
      <c r="AQ137" s="40" t="str">
        <f>IF(_01towers[[#This Row],[Active Prevalidation Status]]="Under Prevalidation",
IF(N137="","Review",N137),"")</f>
        <v/>
      </c>
      <c r="AR137" s="40" t="str">
        <f>IF(_01towers[[#This Row],[Active Prevalidation Status]]="Under Prevalidation",
IF(O137="","Review",O137),"")</f>
        <v/>
      </c>
      <c r="AS137" s="40" t="str">
        <f>IF(_01towers[[#This Row],[Active Prevalidation Status]]="Under Prevalidation",
IF(P137="","Review",P137),"")</f>
        <v/>
      </c>
      <c r="AT137" s="40" t="str">
        <f>IF(_01towers[[#This Row],[Active Prevalidation Status]]="Under Prevalidation",
IF(Q137="","Review",Q137),"")</f>
        <v/>
      </c>
      <c r="AU137" s="40" t="str">
        <f>IF(_01towers[[#This Row],[Active Prevalidation Status]]="Under Prevalidation",
IF(R137="","Review",R137),"")</f>
        <v/>
      </c>
      <c r="AV137" s="40">
        <f>COUNTIF(_01towers[[#This Row],[SAQ_Result2]:[Community_Result2]],"OK")</f>
        <v>0</v>
      </c>
      <c r="AW137" s="1" t="str">
        <f>IF(AND(OR(_01towers[[#This Row],[Active Prevalidation Status]]="Under Prevalidation",_01towers[[#This Row],[Active Prevalidation Status]]="Prevalidated"),_01towers[[#This Row],[02tss.TSSR_From_Engineer]]&gt;0),"Submitted","")</f>
        <v>Submitted</v>
      </c>
      <c r="AX137" s="40">
        <f>IF(OR(_01towers[[#This Row],[Active Prevalidation Status]]="Under Prevalidation",_01towers[[#This Row],[Active Prevalidation Status]]="Prevalidated"),_01towers[[#This Row],[02tss.TSS_Result]],"")</f>
        <v>0</v>
      </c>
      <c r="AY137" s="40" t="str">
        <f>IF(AND(_01towers[[#This Row],[Active TSS Result]]="Approved",_01towers[[#This Row],[Active Prevalidation Status]]="Prevalidated"),"In Process","")</f>
        <v/>
      </c>
      <c r="AZ137" s="40" t="str">
        <f>IF(AND(_01towers[[#This Row],[Active TSS Result]]="Approved",_01towers[[#This Row],[Active Prevalidation Status]]="Prevalidated"),_01towers[[#This Row],[10colo_app.Colo_App_Result]],"")</f>
        <v/>
      </c>
      <c r="BA137" s="40">
        <f>COUNTIF(_20work_order[05_id],_01towers[[#This Row],[05_id]])</f>
        <v>0</v>
      </c>
      <c r="BB137" s="40">
        <f>COUNTIFS(_20work_order[05_id],_01towers[[#This Row],[05_id]],_20work_order[Actual_End],"&gt;0")</f>
        <v>0</v>
      </c>
      <c r="BC137" s="40" t="str">
        <f>IF(_01towers[[#This Row],[Completed Work Orders]]&gt;0,"Work Completed",
IF(_01towers[[#This Row],[Count Work Orders]]&gt;0,"Work in Progress",""))</f>
        <v/>
      </c>
      <c r="BD13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37" s="40" t="str">
        <f>_xlfn.SWITCH(_01towers[[#This Row],[Final Colo Status full]],"Commercial Approval Requested","Under Prevalidation",_01towers[[#This Row],[Final Colo Status full]])</f>
        <v>Prevalidated - TSSR in Process</v>
      </c>
    </row>
    <row r="138" spans="1:57" hidden="1" x14ac:dyDescent="0.35">
      <c r="A138" s="40" t="s">
        <v>334</v>
      </c>
      <c r="B138" s="40" t="s">
        <v>90</v>
      </c>
      <c r="C138" s="40" t="s">
        <v>51</v>
      </c>
      <c r="D138">
        <v>45</v>
      </c>
      <c r="E138" s="40" t="s">
        <v>175</v>
      </c>
      <c r="F138">
        <v>96.455089999999998</v>
      </c>
      <c r="G138">
        <v>17.32245</v>
      </c>
      <c r="H138" s="40" t="s">
        <v>143</v>
      </c>
      <c r="I138">
        <v>138</v>
      </c>
      <c r="J138" s="40" t="s">
        <v>618</v>
      </c>
      <c r="K138" s="40" t="s">
        <v>136</v>
      </c>
      <c r="L138" s="40" t="s">
        <v>64</v>
      </c>
      <c r="M138" s="40" t="s">
        <v>57</v>
      </c>
      <c r="N138" s="40" t="s">
        <v>57</v>
      </c>
      <c r="O138" s="40" t="s">
        <v>57</v>
      </c>
      <c r="P138" s="40" t="s">
        <v>57</v>
      </c>
      <c r="Q138" s="40" t="s">
        <v>57</v>
      </c>
      <c r="R138" s="40" t="s">
        <v>57</v>
      </c>
      <c r="S138">
        <v>17</v>
      </c>
      <c r="T138">
        <v>1</v>
      </c>
      <c r="U138" s="1">
        <v>43299</v>
      </c>
      <c r="V138" s="1">
        <v>43299</v>
      </c>
      <c r="W138" s="1">
        <v>43301</v>
      </c>
      <c r="X138" s="1"/>
      <c r="Y138" s="1"/>
      <c r="Z138" s="40"/>
      <c r="AA138">
        <v>17</v>
      </c>
      <c r="AB138">
        <v>1</v>
      </c>
      <c r="AC138" s="1"/>
      <c r="AD138" s="40"/>
      <c r="AE138" s="1"/>
      <c r="AF138" s="1"/>
      <c r="AG138" s="1"/>
      <c r="AH138" s="40"/>
      <c r="AI138" s="1"/>
      <c r="AJ138" s="40">
        <f>_xlfn.MAXIFS(_01towers[02tss.Rev],_01towers[05_id],_01towers[[#This Row],[05_id]])</f>
        <v>1</v>
      </c>
      <c r="AK138" s="40" t="b">
        <f>IF(_01towers[[#This Row],[Count Rev TSS]]=_01towers[[#This Row],[02tss.Rev]],TRUE,FALSE)</f>
        <v>1</v>
      </c>
      <c r="AL138" s="40">
        <f>_xlfn.MAXIFS(_01towers[10colo_app.Rev],_01towers[05_id],_01towers[[#This Row],[05_id]])</f>
        <v>1</v>
      </c>
      <c r="AM138" s="40" t="b">
        <f>IF(_01towers[[#This Row],[Count Rev Colo App]]=_01towers[[#This Row],[10colo_app.Rev]],TRUE,FALSE)</f>
        <v>1</v>
      </c>
      <c r="AN138" s="40" t="b">
        <f>IF(AND(_01towers[[#This Row],[Test Rev Colo]]=TRUE,_01towers[[#This Row],[Test Rev TSS]]=TRUE),TRUE,FALSE)</f>
        <v>1</v>
      </c>
      <c r="AO138" s="40" t="str">
        <f>IF(_01towers[[#This Row],[Test Active]]=TRUE,_01towers[[#This Row],[Prevalidation Status]],"")</f>
        <v>Prevalidated</v>
      </c>
      <c r="AP138" s="40" t="str">
        <f>IF(_01towers[[#This Row],[Active Prevalidation Status]]="Under Prevalidation",
IF(M138="","Review",M138),"")</f>
        <v/>
      </c>
      <c r="AQ138" s="40" t="str">
        <f>IF(_01towers[[#This Row],[Active Prevalidation Status]]="Under Prevalidation",
IF(N138="","Review",N138),"")</f>
        <v/>
      </c>
      <c r="AR138" s="40" t="str">
        <f>IF(_01towers[[#This Row],[Active Prevalidation Status]]="Under Prevalidation",
IF(O138="","Review",O138),"")</f>
        <v/>
      </c>
      <c r="AS138" s="40" t="str">
        <f>IF(_01towers[[#This Row],[Active Prevalidation Status]]="Under Prevalidation",
IF(P138="","Review",P138),"")</f>
        <v/>
      </c>
      <c r="AT138" s="40" t="str">
        <f>IF(_01towers[[#This Row],[Active Prevalidation Status]]="Under Prevalidation",
IF(Q138="","Review",Q138),"")</f>
        <v/>
      </c>
      <c r="AU138" s="40" t="str">
        <f>IF(_01towers[[#This Row],[Active Prevalidation Status]]="Under Prevalidation",
IF(R138="","Review",R138),"")</f>
        <v/>
      </c>
      <c r="AV138" s="40">
        <f>COUNTIF(_01towers[[#This Row],[SAQ_Result2]:[Community_Result2]],"OK")</f>
        <v>0</v>
      </c>
      <c r="AW138" s="1" t="str">
        <f>IF(AND(OR(_01towers[[#This Row],[Active Prevalidation Status]]="Under Prevalidation",_01towers[[#This Row],[Active Prevalidation Status]]="Prevalidated"),_01towers[[#This Row],[02tss.TSSR_From_Engineer]]&gt;0),"Submitted","")</f>
        <v>Submitted</v>
      </c>
      <c r="AX138" s="40">
        <f>IF(OR(_01towers[[#This Row],[Active Prevalidation Status]]="Under Prevalidation",_01towers[[#This Row],[Active Prevalidation Status]]="Prevalidated"),_01towers[[#This Row],[02tss.TSS_Result]],"")</f>
        <v>0</v>
      </c>
      <c r="AY138" s="40" t="str">
        <f>IF(AND(_01towers[[#This Row],[Active TSS Result]]="Approved",_01towers[[#This Row],[Active Prevalidation Status]]="Prevalidated"),"In Process","")</f>
        <v/>
      </c>
      <c r="AZ138" s="40" t="str">
        <f>IF(AND(_01towers[[#This Row],[Active TSS Result]]="Approved",_01towers[[#This Row],[Active Prevalidation Status]]="Prevalidated"),_01towers[[#This Row],[10colo_app.Colo_App_Result]],"")</f>
        <v/>
      </c>
      <c r="BA138" s="40">
        <f>COUNTIF(_20work_order[05_id],_01towers[[#This Row],[05_id]])</f>
        <v>0</v>
      </c>
      <c r="BB138" s="40">
        <f>COUNTIFS(_20work_order[05_id],_01towers[[#This Row],[05_id]],_20work_order[Actual_End],"&gt;0")</f>
        <v>0</v>
      </c>
      <c r="BC138" s="40" t="str">
        <f>IF(_01towers[[#This Row],[Completed Work Orders]]&gt;0,"Work Completed",
IF(_01towers[[#This Row],[Count Work Orders]]&gt;0,"Work in Progress",""))</f>
        <v/>
      </c>
      <c r="BD13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38" s="40" t="str">
        <f>_xlfn.SWITCH(_01towers[[#This Row],[Final Colo Status full]],"Commercial Approval Requested","Under Prevalidation",_01towers[[#This Row],[Final Colo Status full]])</f>
        <v>Prevalidated - TSSR in Process</v>
      </c>
    </row>
    <row r="139" spans="1:57" hidden="1" x14ac:dyDescent="0.35">
      <c r="A139" s="40" t="s">
        <v>335</v>
      </c>
      <c r="B139" s="40" t="s">
        <v>90</v>
      </c>
      <c r="C139" s="40" t="s">
        <v>51</v>
      </c>
      <c r="D139">
        <v>45</v>
      </c>
      <c r="E139" s="40" t="s">
        <v>175</v>
      </c>
      <c r="F139">
        <v>96.487290000000002</v>
      </c>
      <c r="G139">
        <v>17.34029</v>
      </c>
      <c r="H139" s="40" t="s">
        <v>150</v>
      </c>
      <c r="I139">
        <v>139</v>
      </c>
      <c r="J139" s="40" t="s">
        <v>619</v>
      </c>
      <c r="K139" s="40" t="s">
        <v>136</v>
      </c>
      <c r="L139" s="40" t="s">
        <v>64</v>
      </c>
      <c r="M139" s="40" t="s">
        <v>57</v>
      </c>
      <c r="N139" s="40" t="s">
        <v>57</v>
      </c>
      <c r="O139" s="40" t="s">
        <v>57</v>
      </c>
      <c r="P139" s="40" t="s">
        <v>57</v>
      </c>
      <c r="Q139" s="40" t="s">
        <v>57</v>
      </c>
      <c r="R139" s="40" t="s">
        <v>57</v>
      </c>
      <c r="S139">
        <v>13</v>
      </c>
      <c r="T139">
        <v>1</v>
      </c>
      <c r="U139" s="1"/>
      <c r="V139" s="1"/>
      <c r="W139" s="1"/>
      <c r="X139" s="1"/>
      <c r="Y139" s="1"/>
      <c r="Z139" s="40"/>
      <c r="AA139">
        <v>13</v>
      </c>
      <c r="AB139">
        <v>1</v>
      </c>
      <c r="AC139" s="1"/>
      <c r="AD139" s="40"/>
      <c r="AE139" s="1">
        <v>43270</v>
      </c>
      <c r="AF139" s="1">
        <v>43270</v>
      </c>
      <c r="AG139" s="1"/>
      <c r="AH139" s="40"/>
      <c r="AI139" s="1"/>
      <c r="AJ139" s="40">
        <f>_xlfn.MAXIFS(_01towers[02tss.Rev],_01towers[05_id],_01towers[[#This Row],[05_id]])</f>
        <v>1</v>
      </c>
      <c r="AK139" s="40" t="b">
        <f>IF(_01towers[[#This Row],[Count Rev TSS]]=_01towers[[#This Row],[02tss.Rev]],TRUE,FALSE)</f>
        <v>1</v>
      </c>
      <c r="AL139" s="40">
        <f>_xlfn.MAXIFS(_01towers[10colo_app.Rev],_01towers[05_id],_01towers[[#This Row],[05_id]])</f>
        <v>1</v>
      </c>
      <c r="AM139" s="40" t="b">
        <f>IF(_01towers[[#This Row],[Count Rev Colo App]]=_01towers[[#This Row],[10colo_app.Rev]],TRUE,FALSE)</f>
        <v>1</v>
      </c>
      <c r="AN139" s="40" t="b">
        <f>IF(AND(_01towers[[#This Row],[Test Rev Colo]]=TRUE,_01towers[[#This Row],[Test Rev TSS]]=TRUE),TRUE,FALSE)</f>
        <v>1</v>
      </c>
      <c r="AO139" s="40" t="str">
        <f>IF(_01towers[[#This Row],[Test Active]]=TRUE,_01towers[[#This Row],[Prevalidation Status]],"")</f>
        <v>Prevalidated</v>
      </c>
      <c r="AP139" s="40" t="str">
        <f>IF(_01towers[[#This Row],[Active Prevalidation Status]]="Under Prevalidation",
IF(M139="","Review",M139),"")</f>
        <v/>
      </c>
      <c r="AQ139" s="40" t="str">
        <f>IF(_01towers[[#This Row],[Active Prevalidation Status]]="Under Prevalidation",
IF(N139="","Review",N139),"")</f>
        <v/>
      </c>
      <c r="AR139" s="40" t="str">
        <f>IF(_01towers[[#This Row],[Active Prevalidation Status]]="Under Prevalidation",
IF(O139="","Review",O139),"")</f>
        <v/>
      </c>
      <c r="AS139" s="40" t="str">
        <f>IF(_01towers[[#This Row],[Active Prevalidation Status]]="Under Prevalidation",
IF(P139="","Review",P139),"")</f>
        <v/>
      </c>
      <c r="AT139" s="40" t="str">
        <f>IF(_01towers[[#This Row],[Active Prevalidation Status]]="Under Prevalidation",
IF(Q139="","Review",Q139),"")</f>
        <v/>
      </c>
      <c r="AU139" s="40" t="str">
        <f>IF(_01towers[[#This Row],[Active Prevalidation Status]]="Under Prevalidation",
IF(R139="","Review",R139),"")</f>
        <v/>
      </c>
      <c r="AV139" s="40">
        <f>COUNTIF(_01towers[[#This Row],[SAQ_Result2]:[Community_Result2]],"OK")</f>
        <v>0</v>
      </c>
      <c r="AW139" s="1" t="str">
        <f>IF(AND(OR(_01towers[[#This Row],[Active Prevalidation Status]]="Under Prevalidation",_01towers[[#This Row],[Active Prevalidation Status]]="Prevalidated"),_01towers[[#This Row],[02tss.TSSR_From_Engineer]]&gt;0),"Submitted","")</f>
        <v/>
      </c>
      <c r="AX139" s="40">
        <f>IF(OR(_01towers[[#This Row],[Active Prevalidation Status]]="Under Prevalidation",_01towers[[#This Row],[Active Prevalidation Status]]="Prevalidated"),_01towers[[#This Row],[02tss.TSS_Result]],"")</f>
        <v>0</v>
      </c>
      <c r="AY139" s="40" t="str">
        <f>IF(AND(_01towers[[#This Row],[Active TSS Result]]="Approved",_01towers[[#This Row],[Active Prevalidation Status]]="Prevalidated"),"In Process","")</f>
        <v/>
      </c>
      <c r="AZ139" s="40" t="str">
        <f>IF(AND(_01towers[[#This Row],[Active TSS Result]]="Approved",_01towers[[#This Row],[Active Prevalidation Status]]="Prevalidated"),_01towers[[#This Row],[10colo_app.Colo_App_Result]],"")</f>
        <v/>
      </c>
      <c r="BA139" s="40">
        <f>COUNTIF(_20work_order[05_id],_01towers[[#This Row],[05_id]])</f>
        <v>0</v>
      </c>
      <c r="BB139" s="40">
        <f>COUNTIFS(_20work_order[05_id],_01towers[[#This Row],[05_id]],_20work_order[Actual_End],"&gt;0")</f>
        <v>0</v>
      </c>
      <c r="BC139" s="40" t="str">
        <f>IF(_01towers[[#This Row],[Completed Work Orders]]&gt;0,"Work Completed",
IF(_01towers[[#This Row],[Count Work Orders]]&gt;0,"Work in Progress",""))</f>
        <v/>
      </c>
      <c r="BD13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39" s="40" t="str">
        <f>_xlfn.SWITCH(_01towers[[#This Row],[Final Colo Status full]],"Commercial Approval Requested","Under Prevalidation",_01towers[[#This Row],[Final Colo Status full]])</f>
        <v>Prevalidated - TSSR in Process</v>
      </c>
    </row>
    <row r="140" spans="1:57" x14ac:dyDescent="0.35">
      <c r="A140" s="40" t="s">
        <v>336</v>
      </c>
      <c r="B140" s="40" t="s">
        <v>90</v>
      </c>
      <c r="C140" s="40" t="s">
        <v>51</v>
      </c>
      <c r="D140">
        <v>45</v>
      </c>
      <c r="E140" s="40" t="s">
        <v>175</v>
      </c>
      <c r="F140">
        <v>96.462950000000006</v>
      </c>
      <c r="G140">
        <v>17.311</v>
      </c>
      <c r="H140" s="40" t="s">
        <v>143</v>
      </c>
      <c r="I140">
        <v>140</v>
      </c>
      <c r="J140" s="40" t="s">
        <v>337</v>
      </c>
      <c r="K140" s="40" t="s">
        <v>136</v>
      </c>
      <c r="L140" s="40" t="s">
        <v>56</v>
      </c>
      <c r="M140" s="40" t="s">
        <v>57</v>
      </c>
      <c r="N140" s="40" t="s">
        <v>57</v>
      </c>
      <c r="O140" s="40" t="s">
        <v>58</v>
      </c>
      <c r="P140" s="40" t="s">
        <v>57</v>
      </c>
      <c r="Q140" s="40" t="s">
        <v>57</v>
      </c>
      <c r="R140" s="40" t="s">
        <v>57</v>
      </c>
      <c r="S140">
        <v>18</v>
      </c>
      <c r="T140">
        <v>1</v>
      </c>
      <c r="U140" s="1"/>
      <c r="V140" s="1"/>
      <c r="W140" s="1"/>
      <c r="X140" s="1"/>
      <c r="Y140" s="1"/>
      <c r="Z140" s="40"/>
      <c r="AA140">
        <v>18</v>
      </c>
      <c r="AB140">
        <v>1</v>
      </c>
      <c r="AC140" s="1"/>
      <c r="AD140" s="40"/>
      <c r="AE140" s="1"/>
      <c r="AF140" s="1"/>
      <c r="AG140" s="1"/>
      <c r="AH140" s="40"/>
      <c r="AI140" s="1"/>
      <c r="AJ140" s="40">
        <f>_xlfn.MAXIFS(_01towers[02tss.Rev],_01towers[05_id],_01towers[[#This Row],[05_id]])</f>
        <v>1</v>
      </c>
      <c r="AK140" s="40" t="b">
        <f>IF(_01towers[[#This Row],[Count Rev TSS]]=_01towers[[#This Row],[02tss.Rev]],TRUE,FALSE)</f>
        <v>1</v>
      </c>
      <c r="AL140" s="40">
        <f>_xlfn.MAXIFS(_01towers[10colo_app.Rev],_01towers[05_id],_01towers[[#This Row],[05_id]])</f>
        <v>1</v>
      </c>
      <c r="AM140" s="40" t="b">
        <f>IF(_01towers[[#This Row],[Count Rev Colo App]]=_01towers[[#This Row],[10colo_app.Rev]],TRUE,FALSE)</f>
        <v>1</v>
      </c>
      <c r="AN140" s="40" t="b">
        <f>IF(AND(_01towers[[#This Row],[Test Rev Colo]]=TRUE,_01towers[[#This Row],[Test Rev TSS]]=TRUE),TRUE,FALSE)</f>
        <v>1</v>
      </c>
      <c r="AO140" s="40" t="str">
        <f>IF(_01towers[[#This Row],[Test Active]]=TRUE,_01towers[[#This Row],[Prevalidation Status]],"")</f>
        <v>Commercial Approval Requested</v>
      </c>
      <c r="AP140" s="40" t="str">
        <f>IF(_01towers[[#This Row],[Active Prevalidation Status]]="Under Prevalidation",
IF(M140="","Review",M140),"")</f>
        <v/>
      </c>
      <c r="AQ140" s="40" t="str">
        <f>IF(_01towers[[#This Row],[Active Prevalidation Status]]="Under Prevalidation",
IF(N140="","Review",N140),"")</f>
        <v/>
      </c>
      <c r="AR140" s="40" t="str">
        <f>IF(_01towers[[#This Row],[Active Prevalidation Status]]="Under Prevalidation",
IF(O140="","Review",O140),"")</f>
        <v/>
      </c>
      <c r="AS140" s="40" t="str">
        <f>IF(_01towers[[#This Row],[Active Prevalidation Status]]="Under Prevalidation",
IF(P140="","Review",P140),"")</f>
        <v/>
      </c>
      <c r="AT140" s="40" t="str">
        <f>IF(_01towers[[#This Row],[Active Prevalidation Status]]="Under Prevalidation",
IF(Q140="","Review",Q140),"")</f>
        <v/>
      </c>
      <c r="AU140" s="40" t="str">
        <f>IF(_01towers[[#This Row],[Active Prevalidation Status]]="Under Prevalidation",
IF(R140="","Review",R140),"")</f>
        <v/>
      </c>
      <c r="AV140" s="40">
        <f>COUNTIF(_01towers[[#This Row],[SAQ_Result2]:[Community_Result2]],"OK")</f>
        <v>0</v>
      </c>
      <c r="AW140" s="1" t="str">
        <f>IF(AND(OR(_01towers[[#This Row],[Active Prevalidation Status]]="Under Prevalidation",_01towers[[#This Row],[Active Prevalidation Status]]="Prevalidated"),_01towers[[#This Row],[02tss.TSSR_From_Engineer]]&gt;0),"Submitted","")</f>
        <v/>
      </c>
      <c r="AX140" s="40" t="str">
        <f>IF(OR(_01towers[[#This Row],[Active Prevalidation Status]]="Under Prevalidation",_01towers[[#This Row],[Active Prevalidation Status]]="Prevalidated"),_01towers[[#This Row],[02tss.TSS_Result]],"")</f>
        <v/>
      </c>
      <c r="AY140" s="40" t="str">
        <f>IF(AND(_01towers[[#This Row],[Active TSS Result]]="Approved",_01towers[[#This Row],[Active Prevalidation Status]]="Prevalidated"),"In Process","")</f>
        <v/>
      </c>
      <c r="AZ140" s="40" t="str">
        <f>IF(AND(_01towers[[#This Row],[Active TSS Result]]="Approved",_01towers[[#This Row],[Active Prevalidation Status]]="Prevalidated"),_01towers[[#This Row],[10colo_app.Colo_App_Result]],"")</f>
        <v/>
      </c>
      <c r="BA140" s="40">
        <f>COUNTIF(_20work_order[05_id],_01towers[[#This Row],[05_id]])</f>
        <v>0</v>
      </c>
      <c r="BB140" s="40">
        <f>COUNTIFS(_20work_order[05_id],_01towers[[#This Row],[05_id]],_20work_order[Actual_End],"&gt;0")</f>
        <v>0</v>
      </c>
      <c r="BC140" s="40" t="str">
        <f>IF(_01towers[[#This Row],[Completed Work Orders]]&gt;0,"Work Completed",
IF(_01towers[[#This Row],[Count Work Orders]]&gt;0,"Work in Progress",""))</f>
        <v/>
      </c>
      <c r="BD14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40" s="40" t="str">
        <f>_xlfn.SWITCH(_01towers[[#This Row],[Final Colo Status full]],"Commercial Approval Requested","Under Prevalidation",_01towers[[#This Row],[Final Colo Status full]])</f>
        <v>Under Prevalidation</v>
      </c>
    </row>
    <row r="141" spans="1:57" hidden="1" x14ac:dyDescent="0.35">
      <c r="A141" s="40" t="s">
        <v>338</v>
      </c>
      <c r="B141" s="40" t="s">
        <v>90</v>
      </c>
      <c r="C141" s="40" t="s">
        <v>51</v>
      </c>
      <c r="D141">
        <v>45</v>
      </c>
      <c r="E141" s="40" t="s">
        <v>175</v>
      </c>
      <c r="F141">
        <v>96.450419999999994</v>
      </c>
      <c r="G141">
        <v>17.34695</v>
      </c>
      <c r="H141" s="40" t="s">
        <v>150</v>
      </c>
      <c r="I141">
        <v>141</v>
      </c>
      <c r="J141" s="40" t="s">
        <v>339</v>
      </c>
      <c r="K141" s="40" t="s">
        <v>136</v>
      </c>
      <c r="L141" s="40" t="s">
        <v>64</v>
      </c>
      <c r="M141" s="40" t="s">
        <v>57</v>
      </c>
      <c r="N141" s="40" t="s">
        <v>57</v>
      </c>
      <c r="O141" s="40" t="s">
        <v>57</v>
      </c>
      <c r="P141" s="40" t="s">
        <v>57</v>
      </c>
      <c r="Q141" s="40" t="s">
        <v>57</v>
      </c>
      <c r="R141" s="40" t="s">
        <v>57</v>
      </c>
      <c r="S141">
        <v>12</v>
      </c>
      <c r="T141">
        <v>1</v>
      </c>
      <c r="U141" s="1"/>
      <c r="V141" s="1"/>
      <c r="W141" s="1"/>
      <c r="X141" s="1"/>
      <c r="Y141" s="1"/>
      <c r="Z141" s="40"/>
      <c r="AA141">
        <v>12</v>
      </c>
      <c r="AB141">
        <v>1</v>
      </c>
      <c r="AC141" s="1"/>
      <c r="AD141" s="40"/>
      <c r="AE141" s="1"/>
      <c r="AF141" s="1"/>
      <c r="AG141" s="1"/>
      <c r="AH141" s="40"/>
      <c r="AI141" s="1"/>
      <c r="AJ141" s="40">
        <f>_xlfn.MAXIFS(_01towers[02tss.Rev],_01towers[05_id],_01towers[[#This Row],[05_id]])</f>
        <v>1</v>
      </c>
      <c r="AK141" s="40" t="b">
        <f>IF(_01towers[[#This Row],[Count Rev TSS]]=_01towers[[#This Row],[02tss.Rev]],TRUE,FALSE)</f>
        <v>1</v>
      </c>
      <c r="AL141" s="40">
        <f>_xlfn.MAXIFS(_01towers[10colo_app.Rev],_01towers[05_id],_01towers[[#This Row],[05_id]])</f>
        <v>1</v>
      </c>
      <c r="AM141" s="40" t="b">
        <f>IF(_01towers[[#This Row],[Count Rev Colo App]]=_01towers[[#This Row],[10colo_app.Rev]],TRUE,FALSE)</f>
        <v>1</v>
      </c>
      <c r="AN141" s="40" t="b">
        <f>IF(AND(_01towers[[#This Row],[Test Rev Colo]]=TRUE,_01towers[[#This Row],[Test Rev TSS]]=TRUE),TRUE,FALSE)</f>
        <v>1</v>
      </c>
      <c r="AO141" s="40" t="str">
        <f>IF(_01towers[[#This Row],[Test Active]]=TRUE,_01towers[[#This Row],[Prevalidation Status]],"")</f>
        <v>Prevalidated</v>
      </c>
      <c r="AP141" s="40" t="str">
        <f>IF(_01towers[[#This Row],[Active Prevalidation Status]]="Under Prevalidation",
IF(M141="","Review",M141),"")</f>
        <v/>
      </c>
      <c r="AQ141" s="40" t="str">
        <f>IF(_01towers[[#This Row],[Active Prevalidation Status]]="Under Prevalidation",
IF(N141="","Review",N141),"")</f>
        <v/>
      </c>
      <c r="AR141" s="40" t="str">
        <f>IF(_01towers[[#This Row],[Active Prevalidation Status]]="Under Prevalidation",
IF(O141="","Review",O141),"")</f>
        <v/>
      </c>
      <c r="AS141" s="40" t="str">
        <f>IF(_01towers[[#This Row],[Active Prevalidation Status]]="Under Prevalidation",
IF(P141="","Review",P141),"")</f>
        <v/>
      </c>
      <c r="AT141" s="40" t="str">
        <f>IF(_01towers[[#This Row],[Active Prevalidation Status]]="Under Prevalidation",
IF(Q141="","Review",Q141),"")</f>
        <v/>
      </c>
      <c r="AU141" s="40" t="str">
        <f>IF(_01towers[[#This Row],[Active Prevalidation Status]]="Under Prevalidation",
IF(R141="","Review",R141),"")</f>
        <v/>
      </c>
      <c r="AV141" s="40">
        <f>COUNTIF(_01towers[[#This Row],[SAQ_Result2]:[Community_Result2]],"OK")</f>
        <v>0</v>
      </c>
      <c r="AW141" s="1" t="str">
        <f>IF(AND(OR(_01towers[[#This Row],[Active Prevalidation Status]]="Under Prevalidation",_01towers[[#This Row],[Active Prevalidation Status]]="Prevalidated"),_01towers[[#This Row],[02tss.TSSR_From_Engineer]]&gt;0),"Submitted","")</f>
        <v/>
      </c>
      <c r="AX141" s="40">
        <f>IF(OR(_01towers[[#This Row],[Active Prevalidation Status]]="Under Prevalidation",_01towers[[#This Row],[Active Prevalidation Status]]="Prevalidated"),_01towers[[#This Row],[02tss.TSS_Result]],"")</f>
        <v>0</v>
      </c>
      <c r="AY141" s="40" t="str">
        <f>IF(AND(_01towers[[#This Row],[Active TSS Result]]="Approved",_01towers[[#This Row],[Active Prevalidation Status]]="Prevalidated"),"In Process","")</f>
        <v/>
      </c>
      <c r="AZ141" s="40" t="str">
        <f>IF(AND(_01towers[[#This Row],[Active TSS Result]]="Approved",_01towers[[#This Row],[Active Prevalidation Status]]="Prevalidated"),_01towers[[#This Row],[10colo_app.Colo_App_Result]],"")</f>
        <v/>
      </c>
      <c r="BA141" s="40">
        <f>COUNTIF(_20work_order[05_id],_01towers[[#This Row],[05_id]])</f>
        <v>0</v>
      </c>
      <c r="BB141" s="40">
        <f>COUNTIFS(_20work_order[05_id],_01towers[[#This Row],[05_id]],_20work_order[Actual_End],"&gt;0")</f>
        <v>0</v>
      </c>
      <c r="BC141" s="40" t="str">
        <f>IF(_01towers[[#This Row],[Completed Work Orders]]&gt;0,"Work Completed",
IF(_01towers[[#This Row],[Count Work Orders]]&gt;0,"Work in Progress",""))</f>
        <v/>
      </c>
      <c r="BD14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41" s="40" t="str">
        <f>_xlfn.SWITCH(_01towers[[#This Row],[Final Colo Status full]],"Commercial Approval Requested","Under Prevalidation",_01towers[[#This Row],[Final Colo Status full]])</f>
        <v>Prevalidated - TSSR in Process</v>
      </c>
    </row>
    <row r="142" spans="1:57" x14ac:dyDescent="0.35">
      <c r="A142" s="40" t="s">
        <v>340</v>
      </c>
      <c r="B142" s="40" t="s">
        <v>90</v>
      </c>
      <c r="C142" s="40" t="s">
        <v>51</v>
      </c>
      <c r="D142">
        <v>35</v>
      </c>
      <c r="E142" s="40" t="s">
        <v>175</v>
      </c>
      <c r="F142">
        <v>96.480500000000006</v>
      </c>
      <c r="G142">
        <v>17.330680000000001</v>
      </c>
      <c r="H142" s="40" t="s">
        <v>143</v>
      </c>
      <c r="I142">
        <v>142</v>
      </c>
      <c r="J142" s="40" t="s">
        <v>620</v>
      </c>
      <c r="K142" s="40" t="s">
        <v>136</v>
      </c>
      <c r="L142" s="40" t="s">
        <v>56</v>
      </c>
      <c r="M142" s="40" t="s">
        <v>57</v>
      </c>
      <c r="N142" s="40" t="s">
        <v>57</v>
      </c>
      <c r="O142" s="40" t="s">
        <v>58</v>
      </c>
      <c r="P142" s="40" t="s">
        <v>57</v>
      </c>
      <c r="Q142" s="40" t="s">
        <v>57</v>
      </c>
      <c r="R142" s="40" t="s">
        <v>57</v>
      </c>
      <c r="S142">
        <v>16</v>
      </c>
      <c r="T142">
        <v>1</v>
      </c>
      <c r="U142" s="1"/>
      <c r="V142" s="1"/>
      <c r="W142" s="1"/>
      <c r="X142" s="1"/>
      <c r="Y142" s="1"/>
      <c r="Z142" s="40"/>
      <c r="AA142">
        <v>16</v>
      </c>
      <c r="AB142">
        <v>1</v>
      </c>
      <c r="AC142" s="1"/>
      <c r="AD142" s="40"/>
      <c r="AE142" s="1"/>
      <c r="AF142" s="1"/>
      <c r="AG142" s="1"/>
      <c r="AH142" s="40"/>
      <c r="AI142" s="1"/>
      <c r="AJ142" s="40">
        <f>_xlfn.MAXIFS(_01towers[02tss.Rev],_01towers[05_id],_01towers[[#This Row],[05_id]])</f>
        <v>1</v>
      </c>
      <c r="AK142" s="40" t="b">
        <f>IF(_01towers[[#This Row],[Count Rev TSS]]=_01towers[[#This Row],[02tss.Rev]],TRUE,FALSE)</f>
        <v>1</v>
      </c>
      <c r="AL142" s="40">
        <f>_xlfn.MAXIFS(_01towers[10colo_app.Rev],_01towers[05_id],_01towers[[#This Row],[05_id]])</f>
        <v>1</v>
      </c>
      <c r="AM142" s="40" t="b">
        <f>IF(_01towers[[#This Row],[Count Rev Colo App]]=_01towers[[#This Row],[10colo_app.Rev]],TRUE,FALSE)</f>
        <v>1</v>
      </c>
      <c r="AN142" s="40" t="b">
        <f>IF(AND(_01towers[[#This Row],[Test Rev Colo]]=TRUE,_01towers[[#This Row],[Test Rev TSS]]=TRUE),TRUE,FALSE)</f>
        <v>1</v>
      </c>
      <c r="AO142" s="40" t="str">
        <f>IF(_01towers[[#This Row],[Test Active]]=TRUE,_01towers[[#This Row],[Prevalidation Status]],"")</f>
        <v>Commercial Approval Requested</v>
      </c>
      <c r="AP142" s="40" t="str">
        <f>IF(_01towers[[#This Row],[Active Prevalidation Status]]="Under Prevalidation",
IF(M142="","Review",M142),"")</f>
        <v/>
      </c>
      <c r="AQ142" s="40" t="str">
        <f>IF(_01towers[[#This Row],[Active Prevalidation Status]]="Under Prevalidation",
IF(N142="","Review",N142),"")</f>
        <v/>
      </c>
      <c r="AR142" s="40" t="str">
        <f>IF(_01towers[[#This Row],[Active Prevalidation Status]]="Under Prevalidation",
IF(O142="","Review",O142),"")</f>
        <v/>
      </c>
      <c r="AS142" s="40" t="str">
        <f>IF(_01towers[[#This Row],[Active Prevalidation Status]]="Under Prevalidation",
IF(P142="","Review",P142),"")</f>
        <v/>
      </c>
      <c r="AT142" s="40" t="str">
        <f>IF(_01towers[[#This Row],[Active Prevalidation Status]]="Under Prevalidation",
IF(Q142="","Review",Q142),"")</f>
        <v/>
      </c>
      <c r="AU142" s="40" t="str">
        <f>IF(_01towers[[#This Row],[Active Prevalidation Status]]="Under Prevalidation",
IF(R142="","Review",R142),"")</f>
        <v/>
      </c>
      <c r="AV142" s="40">
        <f>COUNTIF(_01towers[[#This Row],[SAQ_Result2]:[Community_Result2]],"OK")</f>
        <v>0</v>
      </c>
      <c r="AW142" s="1" t="str">
        <f>IF(AND(OR(_01towers[[#This Row],[Active Prevalidation Status]]="Under Prevalidation",_01towers[[#This Row],[Active Prevalidation Status]]="Prevalidated"),_01towers[[#This Row],[02tss.TSSR_From_Engineer]]&gt;0),"Submitted","")</f>
        <v/>
      </c>
      <c r="AX142" s="40" t="str">
        <f>IF(OR(_01towers[[#This Row],[Active Prevalidation Status]]="Under Prevalidation",_01towers[[#This Row],[Active Prevalidation Status]]="Prevalidated"),_01towers[[#This Row],[02tss.TSS_Result]],"")</f>
        <v/>
      </c>
      <c r="AY142" s="40" t="str">
        <f>IF(AND(_01towers[[#This Row],[Active TSS Result]]="Approved",_01towers[[#This Row],[Active Prevalidation Status]]="Prevalidated"),"In Process","")</f>
        <v/>
      </c>
      <c r="AZ142" s="40" t="str">
        <f>IF(AND(_01towers[[#This Row],[Active TSS Result]]="Approved",_01towers[[#This Row],[Active Prevalidation Status]]="Prevalidated"),_01towers[[#This Row],[10colo_app.Colo_App_Result]],"")</f>
        <v/>
      </c>
      <c r="BA142" s="40">
        <f>COUNTIF(_20work_order[05_id],_01towers[[#This Row],[05_id]])</f>
        <v>0</v>
      </c>
      <c r="BB142" s="40">
        <f>COUNTIFS(_20work_order[05_id],_01towers[[#This Row],[05_id]],_20work_order[Actual_End],"&gt;0")</f>
        <v>0</v>
      </c>
      <c r="BC142" s="40" t="str">
        <f>IF(_01towers[[#This Row],[Completed Work Orders]]&gt;0,"Work Completed",
IF(_01towers[[#This Row],[Count Work Orders]]&gt;0,"Work in Progress",""))</f>
        <v/>
      </c>
      <c r="BD14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42" s="40" t="str">
        <f>_xlfn.SWITCH(_01towers[[#This Row],[Final Colo Status full]],"Commercial Approval Requested","Under Prevalidation",_01towers[[#This Row],[Final Colo Status full]])</f>
        <v>Under Prevalidation</v>
      </c>
    </row>
    <row r="143" spans="1:57" hidden="1" x14ac:dyDescent="0.35">
      <c r="A143" s="40" t="s">
        <v>341</v>
      </c>
      <c r="B143" s="40" t="s">
        <v>90</v>
      </c>
      <c r="C143" s="40" t="s">
        <v>51</v>
      </c>
      <c r="D143">
        <v>35</v>
      </c>
      <c r="E143" s="40" t="s">
        <v>175</v>
      </c>
      <c r="F143">
        <v>96.460290000000001</v>
      </c>
      <c r="G143">
        <v>17.330539999999999</v>
      </c>
      <c r="H143" s="40" t="s">
        <v>53</v>
      </c>
      <c r="I143">
        <v>143</v>
      </c>
      <c r="J143" s="40" t="s">
        <v>621</v>
      </c>
      <c r="K143" s="40" t="s">
        <v>136</v>
      </c>
      <c r="L143" s="40" t="s">
        <v>64</v>
      </c>
      <c r="M143" s="40" t="s">
        <v>57</v>
      </c>
      <c r="N143" s="40" t="s">
        <v>57</v>
      </c>
      <c r="O143" s="40" t="s">
        <v>57</v>
      </c>
      <c r="P143" s="40" t="s">
        <v>57</v>
      </c>
      <c r="Q143" s="40" t="s">
        <v>57</v>
      </c>
      <c r="R143" s="40" t="s">
        <v>57</v>
      </c>
      <c r="S143">
        <v>15</v>
      </c>
      <c r="T143">
        <v>1</v>
      </c>
      <c r="U143" s="1"/>
      <c r="V143" s="1"/>
      <c r="W143" s="1"/>
      <c r="X143" s="1"/>
      <c r="Y143" s="1"/>
      <c r="Z143" s="40"/>
      <c r="AA143">
        <v>15</v>
      </c>
      <c r="AB143">
        <v>1</v>
      </c>
      <c r="AC143" s="1"/>
      <c r="AD143" s="40"/>
      <c r="AE143" s="1"/>
      <c r="AF143" s="1"/>
      <c r="AG143" s="1"/>
      <c r="AH143" s="40"/>
      <c r="AI143" s="1"/>
      <c r="AJ143" s="40">
        <f>_xlfn.MAXIFS(_01towers[02tss.Rev],_01towers[05_id],_01towers[[#This Row],[05_id]])</f>
        <v>1</v>
      </c>
      <c r="AK143" s="40" t="b">
        <f>IF(_01towers[[#This Row],[Count Rev TSS]]=_01towers[[#This Row],[02tss.Rev]],TRUE,FALSE)</f>
        <v>1</v>
      </c>
      <c r="AL143" s="40">
        <f>_xlfn.MAXIFS(_01towers[10colo_app.Rev],_01towers[05_id],_01towers[[#This Row],[05_id]])</f>
        <v>1</v>
      </c>
      <c r="AM143" s="40" t="b">
        <f>IF(_01towers[[#This Row],[Count Rev Colo App]]=_01towers[[#This Row],[10colo_app.Rev]],TRUE,FALSE)</f>
        <v>1</v>
      </c>
      <c r="AN143" s="40" t="b">
        <f>IF(AND(_01towers[[#This Row],[Test Rev Colo]]=TRUE,_01towers[[#This Row],[Test Rev TSS]]=TRUE),TRUE,FALSE)</f>
        <v>1</v>
      </c>
      <c r="AO143" s="40" t="str">
        <f>IF(_01towers[[#This Row],[Test Active]]=TRUE,_01towers[[#This Row],[Prevalidation Status]],"")</f>
        <v>Prevalidated</v>
      </c>
      <c r="AP143" s="40" t="str">
        <f>IF(_01towers[[#This Row],[Active Prevalidation Status]]="Under Prevalidation",
IF(M143="","Review",M143),"")</f>
        <v/>
      </c>
      <c r="AQ143" s="40" t="str">
        <f>IF(_01towers[[#This Row],[Active Prevalidation Status]]="Under Prevalidation",
IF(N143="","Review",N143),"")</f>
        <v/>
      </c>
      <c r="AR143" s="40" t="str">
        <f>IF(_01towers[[#This Row],[Active Prevalidation Status]]="Under Prevalidation",
IF(O143="","Review",O143),"")</f>
        <v/>
      </c>
      <c r="AS143" s="40" t="str">
        <f>IF(_01towers[[#This Row],[Active Prevalidation Status]]="Under Prevalidation",
IF(P143="","Review",P143),"")</f>
        <v/>
      </c>
      <c r="AT143" s="40" t="str">
        <f>IF(_01towers[[#This Row],[Active Prevalidation Status]]="Under Prevalidation",
IF(Q143="","Review",Q143),"")</f>
        <v/>
      </c>
      <c r="AU143" s="40" t="str">
        <f>IF(_01towers[[#This Row],[Active Prevalidation Status]]="Under Prevalidation",
IF(R143="","Review",R143),"")</f>
        <v/>
      </c>
      <c r="AV143" s="40">
        <f>COUNTIF(_01towers[[#This Row],[SAQ_Result2]:[Community_Result2]],"OK")</f>
        <v>0</v>
      </c>
      <c r="AW143" s="1" t="str">
        <f>IF(AND(OR(_01towers[[#This Row],[Active Prevalidation Status]]="Under Prevalidation",_01towers[[#This Row],[Active Prevalidation Status]]="Prevalidated"),_01towers[[#This Row],[02tss.TSSR_From_Engineer]]&gt;0),"Submitted","")</f>
        <v/>
      </c>
      <c r="AX143" s="40">
        <f>IF(OR(_01towers[[#This Row],[Active Prevalidation Status]]="Under Prevalidation",_01towers[[#This Row],[Active Prevalidation Status]]="Prevalidated"),_01towers[[#This Row],[02tss.TSS_Result]],"")</f>
        <v>0</v>
      </c>
      <c r="AY143" s="40" t="str">
        <f>IF(AND(_01towers[[#This Row],[Active TSS Result]]="Approved",_01towers[[#This Row],[Active Prevalidation Status]]="Prevalidated"),"In Process","")</f>
        <v/>
      </c>
      <c r="AZ143" s="40" t="str">
        <f>IF(AND(_01towers[[#This Row],[Active TSS Result]]="Approved",_01towers[[#This Row],[Active Prevalidation Status]]="Prevalidated"),_01towers[[#This Row],[10colo_app.Colo_App_Result]],"")</f>
        <v/>
      </c>
      <c r="BA143" s="40">
        <f>COUNTIF(_20work_order[05_id],_01towers[[#This Row],[05_id]])</f>
        <v>0</v>
      </c>
      <c r="BB143" s="40">
        <f>COUNTIFS(_20work_order[05_id],_01towers[[#This Row],[05_id]],_20work_order[Actual_End],"&gt;0")</f>
        <v>0</v>
      </c>
      <c r="BC143" s="40" t="str">
        <f>IF(_01towers[[#This Row],[Completed Work Orders]]&gt;0,"Work Completed",
IF(_01towers[[#This Row],[Count Work Orders]]&gt;0,"Work in Progress",""))</f>
        <v/>
      </c>
      <c r="BD14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43" s="40" t="str">
        <f>_xlfn.SWITCH(_01towers[[#This Row],[Final Colo Status full]],"Commercial Approval Requested","Under Prevalidation",_01towers[[#This Row],[Final Colo Status full]])</f>
        <v>Prevalidated - TSSR in Process</v>
      </c>
    </row>
    <row r="144" spans="1:57" hidden="1" x14ac:dyDescent="0.35">
      <c r="A144" s="40" t="s">
        <v>342</v>
      </c>
      <c r="B144" s="40" t="s">
        <v>90</v>
      </c>
      <c r="C144" s="40" t="s">
        <v>51</v>
      </c>
      <c r="D144">
        <v>50</v>
      </c>
      <c r="E144" s="40" t="s">
        <v>175</v>
      </c>
      <c r="F144">
        <v>96.576419999999999</v>
      </c>
      <c r="G144">
        <v>17.949919999999999</v>
      </c>
      <c r="H144" s="40" t="s">
        <v>53</v>
      </c>
      <c r="I144">
        <v>144</v>
      </c>
      <c r="J144" s="40" t="s">
        <v>343</v>
      </c>
      <c r="K144" s="40" t="s">
        <v>136</v>
      </c>
      <c r="L144" s="40" t="s">
        <v>64</v>
      </c>
      <c r="M144" s="40" t="s">
        <v>57</v>
      </c>
      <c r="N144" s="40" t="s">
        <v>57</v>
      </c>
      <c r="O144" s="40" t="s">
        <v>57</v>
      </c>
      <c r="P144" s="40" t="s">
        <v>57</v>
      </c>
      <c r="Q144" s="40" t="s">
        <v>57</v>
      </c>
      <c r="R144" s="40" t="s">
        <v>57</v>
      </c>
      <c r="S144">
        <v>25</v>
      </c>
      <c r="T144">
        <v>1</v>
      </c>
      <c r="U144" s="1">
        <v>43267</v>
      </c>
      <c r="V144" s="1"/>
      <c r="W144" s="1"/>
      <c r="X144" s="1"/>
      <c r="Y144" s="1"/>
      <c r="Z144" s="40"/>
      <c r="AA144">
        <v>25</v>
      </c>
      <c r="AB144">
        <v>1</v>
      </c>
      <c r="AC144" s="1"/>
      <c r="AD144" s="40"/>
      <c r="AE144" s="1"/>
      <c r="AF144" s="1"/>
      <c r="AG144" s="1"/>
      <c r="AH144" s="40"/>
      <c r="AI144" s="1"/>
      <c r="AJ144" s="40">
        <f>_xlfn.MAXIFS(_01towers[02tss.Rev],_01towers[05_id],_01towers[[#This Row],[05_id]])</f>
        <v>1</v>
      </c>
      <c r="AK144" s="40" t="b">
        <f>IF(_01towers[[#This Row],[Count Rev TSS]]=_01towers[[#This Row],[02tss.Rev]],TRUE,FALSE)</f>
        <v>1</v>
      </c>
      <c r="AL144" s="40">
        <f>_xlfn.MAXIFS(_01towers[10colo_app.Rev],_01towers[05_id],_01towers[[#This Row],[05_id]])</f>
        <v>1</v>
      </c>
      <c r="AM144" s="40" t="b">
        <f>IF(_01towers[[#This Row],[Count Rev Colo App]]=_01towers[[#This Row],[10colo_app.Rev]],TRUE,FALSE)</f>
        <v>1</v>
      </c>
      <c r="AN144" s="40" t="b">
        <f>IF(AND(_01towers[[#This Row],[Test Rev Colo]]=TRUE,_01towers[[#This Row],[Test Rev TSS]]=TRUE),TRUE,FALSE)</f>
        <v>1</v>
      </c>
      <c r="AO144" s="40" t="str">
        <f>IF(_01towers[[#This Row],[Test Active]]=TRUE,_01towers[[#This Row],[Prevalidation Status]],"")</f>
        <v>Prevalidated</v>
      </c>
      <c r="AP144" s="40" t="str">
        <f>IF(_01towers[[#This Row],[Active Prevalidation Status]]="Under Prevalidation",
IF(M144="","Review",M144),"")</f>
        <v/>
      </c>
      <c r="AQ144" s="40" t="str">
        <f>IF(_01towers[[#This Row],[Active Prevalidation Status]]="Under Prevalidation",
IF(N144="","Review",N144),"")</f>
        <v/>
      </c>
      <c r="AR144" s="40" t="str">
        <f>IF(_01towers[[#This Row],[Active Prevalidation Status]]="Under Prevalidation",
IF(O144="","Review",O144),"")</f>
        <v/>
      </c>
      <c r="AS144" s="40" t="str">
        <f>IF(_01towers[[#This Row],[Active Prevalidation Status]]="Under Prevalidation",
IF(P144="","Review",P144),"")</f>
        <v/>
      </c>
      <c r="AT144" s="40" t="str">
        <f>IF(_01towers[[#This Row],[Active Prevalidation Status]]="Under Prevalidation",
IF(Q144="","Review",Q144),"")</f>
        <v/>
      </c>
      <c r="AU144" s="40" t="str">
        <f>IF(_01towers[[#This Row],[Active Prevalidation Status]]="Under Prevalidation",
IF(R144="","Review",R144),"")</f>
        <v/>
      </c>
      <c r="AV144" s="40">
        <f>COUNTIF(_01towers[[#This Row],[SAQ_Result2]:[Community_Result2]],"OK")</f>
        <v>0</v>
      </c>
      <c r="AW144" s="1" t="str">
        <f>IF(AND(OR(_01towers[[#This Row],[Active Prevalidation Status]]="Under Prevalidation",_01towers[[#This Row],[Active Prevalidation Status]]="Prevalidated"),_01towers[[#This Row],[02tss.TSSR_From_Engineer]]&gt;0),"Submitted","")</f>
        <v/>
      </c>
      <c r="AX144" s="40">
        <f>IF(OR(_01towers[[#This Row],[Active Prevalidation Status]]="Under Prevalidation",_01towers[[#This Row],[Active Prevalidation Status]]="Prevalidated"),_01towers[[#This Row],[02tss.TSS_Result]],"")</f>
        <v>0</v>
      </c>
      <c r="AY144" s="40" t="str">
        <f>IF(AND(_01towers[[#This Row],[Active TSS Result]]="Approved",_01towers[[#This Row],[Active Prevalidation Status]]="Prevalidated"),"In Process","")</f>
        <v/>
      </c>
      <c r="AZ144" s="40" t="str">
        <f>IF(AND(_01towers[[#This Row],[Active TSS Result]]="Approved",_01towers[[#This Row],[Active Prevalidation Status]]="Prevalidated"),_01towers[[#This Row],[10colo_app.Colo_App_Result]],"")</f>
        <v/>
      </c>
      <c r="BA144" s="40">
        <f>COUNTIF(_20work_order[05_id],_01towers[[#This Row],[05_id]])</f>
        <v>0</v>
      </c>
      <c r="BB144" s="40">
        <f>COUNTIFS(_20work_order[05_id],_01towers[[#This Row],[05_id]],_20work_order[Actual_End],"&gt;0")</f>
        <v>0</v>
      </c>
      <c r="BC144" s="40" t="str">
        <f>IF(_01towers[[#This Row],[Completed Work Orders]]&gt;0,"Work Completed",
IF(_01towers[[#This Row],[Count Work Orders]]&gt;0,"Work in Progress",""))</f>
        <v/>
      </c>
      <c r="BD14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44" s="40" t="str">
        <f>_xlfn.SWITCH(_01towers[[#This Row],[Final Colo Status full]],"Commercial Approval Requested","Under Prevalidation",_01towers[[#This Row],[Final Colo Status full]])</f>
        <v>Prevalidated - TSSR in Process</v>
      </c>
    </row>
    <row r="145" spans="1:57" hidden="1" x14ac:dyDescent="0.35">
      <c r="A145" s="40" t="s">
        <v>344</v>
      </c>
      <c r="B145" s="40" t="s">
        <v>90</v>
      </c>
      <c r="C145" s="40" t="s">
        <v>51</v>
      </c>
      <c r="D145">
        <v>60</v>
      </c>
      <c r="E145" s="40" t="s">
        <v>221</v>
      </c>
      <c r="F145">
        <v>94.745570000000001</v>
      </c>
      <c r="G145">
        <v>16.78126</v>
      </c>
      <c r="H145" s="40" t="s">
        <v>143</v>
      </c>
      <c r="I145">
        <v>145</v>
      </c>
      <c r="J145" s="40" t="s">
        <v>345</v>
      </c>
      <c r="K145" s="40" t="s">
        <v>136</v>
      </c>
      <c r="L145" s="40" t="s">
        <v>64</v>
      </c>
      <c r="M145" s="40" t="s">
        <v>57</v>
      </c>
      <c r="N145" s="40" t="s">
        <v>57</v>
      </c>
      <c r="O145" s="40" t="s">
        <v>57</v>
      </c>
      <c r="P145" s="40" t="s">
        <v>57</v>
      </c>
      <c r="Q145" s="40" t="s">
        <v>57</v>
      </c>
      <c r="R145" s="40" t="s">
        <v>57</v>
      </c>
      <c r="S145">
        <v>3</v>
      </c>
      <c r="T145">
        <v>1</v>
      </c>
      <c r="U145" s="1"/>
      <c r="V145" s="1"/>
      <c r="W145" s="1"/>
      <c r="X145" s="1"/>
      <c r="Y145" s="1"/>
      <c r="Z145" s="40"/>
      <c r="AA145">
        <v>3</v>
      </c>
      <c r="AB145">
        <v>1</v>
      </c>
      <c r="AC145" s="1"/>
      <c r="AD145" s="40"/>
      <c r="AE145" s="1">
        <v>43270</v>
      </c>
      <c r="AF145" s="1">
        <v>43270</v>
      </c>
      <c r="AG145" s="1"/>
      <c r="AH145" s="40"/>
      <c r="AI145" s="1"/>
      <c r="AJ145" s="40">
        <f>_xlfn.MAXIFS(_01towers[02tss.Rev],_01towers[05_id],_01towers[[#This Row],[05_id]])</f>
        <v>1</v>
      </c>
      <c r="AK145" s="40" t="b">
        <f>IF(_01towers[[#This Row],[Count Rev TSS]]=_01towers[[#This Row],[02tss.Rev]],TRUE,FALSE)</f>
        <v>1</v>
      </c>
      <c r="AL145" s="40">
        <f>_xlfn.MAXIFS(_01towers[10colo_app.Rev],_01towers[05_id],_01towers[[#This Row],[05_id]])</f>
        <v>1</v>
      </c>
      <c r="AM145" s="40" t="b">
        <f>IF(_01towers[[#This Row],[Count Rev Colo App]]=_01towers[[#This Row],[10colo_app.Rev]],TRUE,FALSE)</f>
        <v>1</v>
      </c>
      <c r="AN145" s="40" t="b">
        <f>IF(AND(_01towers[[#This Row],[Test Rev Colo]]=TRUE,_01towers[[#This Row],[Test Rev TSS]]=TRUE),TRUE,FALSE)</f>
        <v>1</v>
      </c>
      <c r="AO145" s="40" t="str">
        <f>IF(_01towers[[#This Row],[Test Active]]=TRUE,_01towers[[#This Row],[Prevalidation Status]],"")</f>
        <v>Prevalidated</v>
      </c>
      <c r="AP145" s="40" t="str">
        <f>IF(_01towers[[#This Row],[Active Prevalidation Status]]="Under Prevalidation",
IF(M145="","Review",M145),"")</f>
        <v/>
      </c>
      <c r="AQ145" s="40" t="str">
        <f>IF(_01towers[[#This Row],[Active Prevalidation Status]]="Under Prevalidation",
IF(N145="","Review",N145),"")</f>
        <v/>
      </c>
      <c r="AR145" s="40" t="str">
        <f>IF(_01towers[[#This Row],[Active Prevalidation Status]]="Under Prevalidation",
IF(O145="","Review",O145),"")</f>
        <v/>
      </c>
      <c r="AS145" s="40" t="str">
        <f>IF(_01towers[[#This Row],[Active Prevalidation Status]]="Under Prevalidation",
IF(P145="","Review",P145),"")</f>
        <v/>
      </c>
      <c r="AT145" s="40" t="str">
        <f>IF(_01towers[[#This Row],[Active Prevalidation Status]]="Under Prevalidation",
IF(Q145="","Review",Q145),"")</f>
        <v/>
      </c>
      <c r="AU145" s="40" t="str">
        <f>IF(_01towers[[#This Row],[Active Prevalidation Status]]="Under Prevalidation",
IF(R145="","Review",R145),"")</f>
        <v/>
      </c>
      <c r="AV145" s="40">
        <f>COUNTIF(_01towers[[#This Row],[SAQ_Result2]:[Community_Result2]],"OK")</f>
        <v>0</v>
      </c>
      <c r="AW145" s="1" t="str">
        <f>IF(AND(OR(_01towers[[#This Row],[Active Prevalidation Status]]="Under Prevalidation",_01towers[[#This Row],[Active Prevalidation Status]]="Prevalidated"),_01towers[[#This Row],[02tss.TSSR_From_Engineer]]&gt;0),"Submitted","")</f>
        <v/>
      </c>
      <c r="AX145" s="40">
        <f>IF(OR(_01towers[[#This Row],[Active Prevalidation Status]]="Under Prevalidation",_01towers[[#This Row],[Active Prevalidation Status]]="Prevalidated"),_01towers[[#This Row],[02tss.TSS_Result]],"")</f>
        <v>0</v>
      </c>
      <c r="AY145" s="40" t="str">
        <f>IF(AND(_01towers[[#This Row],[Active TSS Result]]="Approved",_01towers[[#This Row],[Active Prevalidation Status]]="Prevalidated"),"In Process","")</f>
        <v/>
      </c>
      <c r="AZ145" s="40" t="str">
        <f>IF(AND(_01towers[[#This Row],[Active TSS Result]]="Approved",_01towers[[#This Row],[Active Prevalidation Status]]="Prevalidated"),_01towers[[#This Row],[10colo_app.Colo_App_Result]],"")</f>
        <v/>
      </c>
      <c r="BA145" s="40">
        <f>COUNTIF(_20work_order[05_id],_01towers[[#This Row],[05_id]])</f>
        <v>0</v>
      </c>
      <c r="BB145" s="40">
        <f>COUNTIFS(_20work_order[05_id],_01towers[[#This Row],[05_id]],_20work_order[Actual_End],"&gt;0")</f>
        <v>0</v>
      </c>
      <c r="BC145" s="40" t="str">
        <f>IF(_01towers[[#This Row],[Completed Work Orders]]&gt;0,"Work Completed",
IF(_01towers[[#This Row],[Count Work Orders]]&gt;0,"Work in Progress",""))</f>
        <v/>
      </c>
      <c r="BD14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45" s="40" t="str">
        <f>_xlfn.SWITCH(_01towers[[#This Row],[Final Colo Status full]],"Commercial Approval Requested","Under Prevalidation",_01towers[[#This Row],[Final Colo Status full]])</f>
        <v>Prevalidated - TSSR in Process</v>
      </c>
    </row>
    <row r="146" spans="1:57" x14ac:dyDescent="0.35">
      <c r="A146" s="40" t="s">
        <v>346</v>
      </c>
      <c r="B146" s="40" t="s">
        <v>90</v>
      </c>
      <c r="C146" s="40" t="s">
        <v>51</v>
      </c>
      <c r="D146">
        <v>35</v>
      </c>
      <c r="E146" s="40" t="s">
        <v>221</v>
      </c>
      <c r="F146">
        <v>94.73809</v>
      </c>
      <c r="G146">
        <v>16.769480999999999</v>
      </c>
      <c r="H146" s="40" t="s">
        <v>143</v>
      </c>
      <c r="I146">
        <v>146</v>
      </c>
      <c r="J146" s="40" t="s">
        <v>622</v>
      </c>
      <c r="K146" s="40" t="s">
        <v>136</v>
      </c>
      <c r="L146" s="40" t="s">
        <v>56</v>
      </c>
      <c r="M146" s="40" t="s">
        <v>57</v>
      </c>
      <c r="N146" s="40" t="s">
        <v>57</v>
      </c>
      <c r="O146" s="40" t="s">
        <v>58</v>
      </c>
      <c r="P146" s="40" t="s">
        <v>57</v>
      </c>
      <c r="Q146" s="40" t="s">
        <v>57</v>
      </c>
      <c r="R146" s="40" t="s">
        <v>57</v>
      </c>
      <c r="S146">
        <v>4</v>
      </c>
      <c r="T146">
        <v>1</v>
      </c>
      <c r="U146" s="1"/>
      <c r="V146" s="1"/>
      <c r="W146" s="1"/>
      <c r="X146" s="1"/>
      <c r="Y146" s="1"/>
      <c r="Z146" s="40"/>
      <c r="AA146">
        <v>4</v>
      </c>
      <c r="AB146">
        <v>1</v>
      </c>
      <c r="AC146" s="1"/>
      <c r="AD146" s="40"/>
      <c r="AE146" s="1"/>
      <c r="AF146" s="1"/>
      <c r="AG146" s="1"/>
      <c r="AH146" s="40"/>
      <c r="AI146" s="1"/>
      <c r="AJ146" s="40">
        <f>_xlfn.MAXIFS(_01towers[02tss.Rev],_01towers[05_id],_01towers[[#This Row],[05_id]])</f>
        <v>1</v>
      </c>
      <c r="AK146" s="40" t="b">
        <f>IF(_01towers[[#This Row],[Count Rev TSS]]=_01towers[[#This Row],[02tss.Rev]],TRUE,FALSE)</f>
        <v>1</v>
      </c>
      <c r="AL146" s="40">
        <f>_xlfn.MAXIFS(_01towers[10colo_app.Rev],_01towers[05_id],_01towers[[#This Row],[05_id]])</f>
        <v>1</v>
      </c>
      <c r="AM146" s="40" t="b">
        <f>IF(_01towers[[#This Row],[Count Rev Colo App]]=_01towers[[#This Row],[10colo_app.Rev]],TRUE,FALSE)</f>
        <v>1</v>
      </c>
      <c r="AN146" s="40" t="b">
        <f>IF(AND(_01towers[[#This Row],[Test Rev Colo]]=TRUE,_01towers[[#This Row],[Test Rev TSS]]=TRUE),TRUE,FALSE)</f>
        <v>1</v>
      </c>
      <c r="AO146" s="40" t="str">
        <f>IF(_01towers[[#This Row],[Test Active]]=TRUE,_01towers[[#This Row],[Prevalidation Status]],"")</f>
        <v>Commercial Approval Requested</v>
      </c>
      <c r="AP146" s="40" t="str">
        <f>IF(_01towers[[#This Row],[Active Prevalidation Status]]="Under Prevalidation",
IF(M146="","Review",M146),"")</f>
        <v/>
      </c>
      <c r="AQ146" s="40" t="str">
        <f>IF(_01towers[[#This Row],[Active Prevalidation Status]]="Under Prevalidation",
IF(N146="","Review",N146),"")</f>
        <v/>
      </c>
      <c r="AR146" s="40" t="str">
        <f>IF(_01towers[[#This Row],[Active Prevalidation Status]]="Under Prevalidation",
IF(O146="","Review",O146),"")</f>
        <v/>
      </c>
      <c r="AS146" s="40" t="str">
        <f>IF(_01towers[[#This Row],[Active Prevalidation Status]]="Under Prevalidation",
IF(P146="","Review",P146),"")</f>
        <v/>
      </c>
      <c r="AT146" s="40" t="str">
        <f>IF(_01towers[[#This Row],[Active Prevalidation Status]]="Under Prevalidation",
IF(Q146="","Review",Q146),"")</f>
        <v/>
      </c>
      <c r="AU146" s="40" t="str">
        <f>IF(_01towers[[#This Row],[Active Prevalidation Status]]="Under Prevalidation",
IF(R146="","Review",R146),"")</f>
        <v/>
      </c>
      <c r="AV146" s="40">
        <f>COUNTIF(_01towers[[#This Row],[SAQ_Result2]:[Community_Result2]],"OK")</f>
        <v>0</v>
      </c>
      <c r="AW146" s="1" t="str">
        <f>IF(AND(OR(_01towers[[#This Row],[Active Prevalidation Status]]="Under Prevalidation",_01towers[[#This Row],[Active Prevalidation Status]]="Prevalidated"),_01towers[[#This Row],[02tss.TSSR_From_Engineer]]&gt;0),"Submitted","")</f>
        <v/>
      </c>
      <c r="AX146" s="40" t="str">
        <f>IF(OR(_01towers[[#This Row],[Active Prevalidation Status]]="Under Prevalidation",_01towers[[#This Row],[Active Prevalidation Status]]="Prevalidated"),_01towers[[#This Row],[02tss.TSS_Result]],"")</f>
        <v/>
      </c>
      <c r="AY146" s="40" t="str">
        <f>IF(AND(_01towers[[#This Row],[Active TSS Result]]="Approved",_01towers[[#This Row],[Active Prevalidation Status]]="Prevalidated"),"In Process","")</f>
        <v/>
      </c>
      <c r="AZ146" s="40" t="str">
        <f>IF(AND(_01towers[[#This Row],[Active TSS Result]]="Approved",_01towers[[#This Row],[Active Prevalidation Status]]="Prevalidated"),_01towers[[#This Row],[10colo_app.Colo_App_Result]],"")</f>
        <v/>
      </c>
      <c r="BA146" s="40">
        <f>COUNTIF(_20work_order[05_id],_01towers[[#This Row],[05_id]])</f>
        <v>0</v>
      </c>
      <c r="BB146" s="40">
        <f>COUNTIFS(_20work_order[05_id],_01towers[[#This Row],[05_id]],_20work_order[Actual_End],"&gt;0")</f>
        <v>0</v>
      </c>
      <c r="BC146" s="40" t="str">
        <f>IF(_01towers[[#This Row],[Completed Work Orders]]&gt;0,"Work Completed",
IF(_01towers[[#This Row],[Count Work Orders]]&gt;0,"Work in Progress",""))</f>
        <v/>
      </c>
      <c r="BD14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46" s="40" t="str">
        <f>_xlfn.SWITCH(_01towers[[#This Row],[Final Colo Status full]],"Commercial Approval Requested","Under Prevalidation",_01towers[[#This Row],[Final Colo Status full]])</f>
        <v>Under Prevalidation</v>
      </c>
    </row>
    <row r="147" spans="1:57" hidden="1" x14ac:dyDescent="0.35">
      <c r="A147" s="40" t="s">
        <v>347</v>
      </c>
      <c r="B147" s="40" t="s">
        <v>90</v>
      </c>
      <c r="C147" s="40" t="s">
        <v>51</v>
      </c>
      <c r="D147">
        <v>45</v>
      </c>
      <c r="E147" s="40" t="s">
        <v>221</v>
      </c>
      <c r="F147">
        <v>94.734030000000004</v>
      </c>
      <c r="G147">
        <v>16.798839999999998</v>
      </c>
      <c r="H147" s="40" t="s">
        <v>150</v>
      </c>
      <c r="I147">
        <v>147</v>
      </c>
      <c r="J147" s="40" t="s">
        <v>348</v>
      </c>
      <c r="K147" s="40" t="s">
        <v>136</v>
      </c>
      <c r="L147" s="40" t="s">
        <v>64</v>
      </c>
      <c r="M147" s="40" t="s">
        <v>57</v>
      </c>
      <c r="N147" s="40" t="s">
        <v>57</v>
      </c>
      <c r="O147" s="40" t="s">
        <v>57</v>
      </c>
      <c r="P147" s="40" t="s">
        <v>57</v>
      </c>
      <c r="Q147" s="40" t="s">
        <v>57</v>
      </c>
      <c r="R147" s="40" t="s">
        <v>57</v>
      </c>
      <c r="S147">
        <v>2</v>
      </c>
      <c r="T147">
        <v>1</v>
      </c>
      <c r="U147" s="1"/>
      <c r="V147" s="1"/>
      <c r="W147" s="1"/>
      <c r="X147" s="1"/>
      <c r="Y147" s="1"/>
      <c r="Z147" s="40"/>
      <c r="AA147">
        <v>2</v>
      </c>
      <c r="AB147">
        <v>1</v>
      </c>
      <c r="AC147" s="1"/>
      <c r="AD147" s="40"/>
      <c r="AE147" s="1"/>
      <c r="AF147" s="1"/>
      <c r="AG147" s="1"/>
      <c r="AH147" s="40"/>
      <c r="AI147" s="1"/>
      <c r="AJ147" s="40">
        <f>_xlfn.MAXIFS(_01towers[02tss.Rev],_01towers[05_id],_01towers[[#This Row],[05_id]])</f>
        <v>1</v>
      </c>
      <c r="AK147" s="40" t="b">
        <f>IF(_01towers[[#This Row],[Count Rev TSS]]=_01towers[[#This Row],[02tss.Rev]],TRUE,FALSE)</f>
        <v>1</v>
      </c>
      <c r="AL147" s="40">
        <f>_xlfn.MAXIFS(_01towers[10colo_app.Rev],_01towers[05_id],_01towers[[#This Row],[05_id]])</f>
        <v>1</v>
      </c>
      <c r="AM147" s="40" t="b">
        <f>IF(_01towers[[#This Row],[Count Rev Colo App]]=_01towers[[#This Row],[10colo_app.Rev]],TRUE,FALSE)</f>
        <v>1</v>
      </c>
      <c r="AN147" s="40" t="b">
        <f>IF(AND(_01towers[[#This Row],[Test Rev Colo]]=TRUE,_01towers[[#This Row],[Test Rev TSS]]=TRUE),TRUE,FALSE)</f>
        <v>1</v>
      </c>
      <c r="AO147" s="40" t="str">
        <f>IF(_01towers[[#This Row],[Test Active]]=TRUE,_01towers[[#This Row],[Prevalidation Status]],"")</f>
        <v>Prevalidated</v>
      </c>
      <c r="AP147" s="40" t="str">
        <f>IF(_01towers[[#This Row],[Active Prevalidation Status]]="Under Prevalidation",
IF(M147="","Review",M147),"")</f>
        <v/>
      </c>
      <c r="AQ147" s="40" t="str">
        <f>IF(_01towers[[#This Row],[Active Prevalidation Status]]="Under Prevalidation",
IF(N147="","Review",N147),"")</f>
        <v/>
      </c>
      <c r="AR147" s="40" t="str">
        <f>IF(_01towers[[#This Row],[Active Prevalidation Status]]="Under Prevalidation",
IF(O147="","Review",O147),"")</f>
        <v/>
      </c>
      <c r="AS147" s="40" t="str">
        <f>IF(_01towers[[#This Row],[Active Prevalidation Status]]="Under Prevalidation",
IF(P147="","Review",P147),"")</f>
        <v/>
      </c>
      <c r="AT147" s="40" t="str">
        <f>IF(_01towers[[#This Row],[Active Prevalidation Status]]="Under Prevalidation",
IF(Q147="","Review",Q147),"")</f>
        <v/>
      </c>
      <c r="AU147" s="40" t="str">
        <f>IF(_01towers[[#This Row],[Active Prevalidation Status]]="Under Prevalidation",
IF(R147="","Review",R147),"")</f>
        <v/>
      </c>
      <c r="AV147" s="40">
        <f>COUNTIF(_01towers[[#This Row],[SAQ_Result2]:[Community_Result2]],"OK")</f>
        <v>0</v>
      </c>
      <c r="AW147" s="1" t="str">
        <f>IF(AND(OR(_01towers[[#This Row],[Active Prevalidation Status]]="Under Prevalidation",_01towers[[#This Row],[Active Prevalidation Status]]="Prevalidated"),_01towers[[#This Row],[02tss.TSSR_From_Engineer]]&gt;0),"Submitted","")</f>
        <v/>
      </c>
      <c r="AX147" s="40">
        <f>IF(OR(_01towers[[#This Row],[Active Prevalidation Status]]="Under Prevalidation",_01towers[[#This Row],[Active Prevalidation Status]]="Prevalidated"),_01towers[[#This Row],[02tss.TSS_Result]],"")</f>
        <v>0</v>
      </c>
      <c r="AY147" s="40" t="str">
        <f>IF(AND(_01towers[[#This Row],[Active TSS Result]]="Approved",_01towers[[#This Row],[Active Prevalidation Status]]="Prevalidated"),"In Process","")</f>
        <v/>
      </c>
      <c r="AZ147" s="40" t="str">
        <f>IF(AND(_01towers[[#This Row],[Active TSS Result]]="Approved",_01towers[[#This Row],[Active Prevalidation Status]]="Prevalidated"),_01towers[[#This Row],[10colo_app.Colo_App_Result]],"")</f>
        <v/>
      </c>
      <c r="BA147" s="40">
        <f>COUNTIF(_20work_order[05_id],_01towers[[#This Row],[05_id]])</f>
        <v>0</v>
      </c>
      <c r="BB147" s="40">
        <f>COUNTIFS(_20work_order[05_id],_01towers[[#This Row],[05_id]],_20work_order[Actual_End],"&gt;0")</f>
        <v>0</v>
      </c>
      <c r="BC147" s="40" t="str">
        <f>IF(_01towers[[#This Row],[Completed Work Orders]]&gt;0,"Work Completed",
IF(_01towers[[#This Row],[Count Work Orders]]&gt;0,"Work in Progress",""))</f>
        <v/>
      </c>
      <c r="BD14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47" s="40" t="str">
        <f>_xlfn.SWITCH(_01towers[[#This Row],[Final Colo Status full]],"Commercial Approval Requested","Under Prevalidation",_01towers[[#This Row],[Final Colo Status full]])</f>
        <v>Prevalidated - TSSR in Process</v>
      </c>
    </row>
    <row r="148" spans="1:57" hidden="1" x14ac:dyDescent="0.35">
      <c r="A148" s="40" t="s">
        <v>349</v>
      </c>
      <c r="B148" s="40" t="s">
        <v>90</v>
      </c>
      <c r="C148" s="40" t="s">
        <v>72</v>
      </c>
      <c r="D148">
        <v>30</v>
      </c>
      <c r="E148" s="40" t="s">
        <v>94</v>
      </c>
      <c r="F148">
        <v>97.636489999999995</v>
      </c>
      <c r="G148">
        <v>16.440819999999999</v>
      </c>
      <c r="H148" s="40" t="s">
        <v>62</v>
      </c>
      <c r="I148">
        <v>148</v>
      </c>
      <c r="J148" s="40" t="s">
        <v>623</v>
      </c>
      <c r="K148" s="40" t="s">
        <v>136</v>
      </c>
      <c r="L148" s="40" t="s">
        <v>74</v>
      </c>
      <c r="M148" s="40" t="s">
        <v>57</v>
      </c>
      <c r="N148" s="40"/>
      <c r="O148" s="40" t="s">
        <v>75</v>
      </c>
      <c r="P148" s="40"/>
      <c r="Q148" s="40"/>
      <c r="R148" s="40" t="s">
        <v>57</v>
      </c>
      <c r="S148">
        <v>112</v>
      </c>
      <c r="T148">
        <v>1</v>
      </c>
      <c r="U148" s="1"/>
      <c r="V148" s="1"/>
      <c r="W148" s="1"/>
      <c r="X148" s="1"/>
      <c r="Y148" s="1"/>
      <c r="Z148" s="40"/>
      <c r="AA148">
        <v>111</v>
      </c>
      <c r="AB148">
        <v>1</v>
      </c>
      <c r="AC148" s="1"/>
      <c r="AD148" s="40"/>
      <c r="AE148" s="1"/>
      <c r="AF148" s="1"/>
      <c r="AG148" s="1"/>
      <c r="AH148" s="40"/>
      <c r="AI148" s="1"/>
      <c r="AJ148" s="40">
        <f>_xlfn.MAXIFS(_01towers[02tss.Rev],_01towers[05_id],_01towers[[#This Row],[05_id]])</f>
        <v>1</v>
      </c>
      <c r="AK148" s="40" t="b">
        <f>IF(_01towers[[#This Row],[Count Rev TSS]]=_01towers[[#This Row],[02tss.Rev]],TRUE,FALSE)</f>
        <v>1</v>
      </c>
      <c r="AL148" s="40">
        <f>_xlfn.MAXIFS(_01towers[10colo_app.Rev],_01towers[05_id],_01towers[[#This Row],[05_id]])</f>
        <v>1</v>
      </c>
      <c r="AM148" s="40" t="b">
        <f>IF(_01towers[[#This Row],[Count Rev Colo App]]=_01towers[[#This Row],[10colo_app.Rev]],TRUE,FALSE)</f>
        <v>1</v>
      </c>
      <c r="AN148" s="40" t="b">
        <f>IF(AND(_01towers[[#This Row],[Test Rev Colo]]=TRUE,_01towers[[#This Row],[Test Rev TSS]]=TRUE),TRUE,FALSE)</f>
        <v>1</v>
      </c>
      <c r="AO148" s="40" t="str">
        <f>IF(_01towers[[#This Row],[Test Active]]=TRUE,_01towers[[#This Row],[Prevalidation Status]],"")</f>
        <v>Prevalidation Rejected</v>
      </c>
      <c r="AP148" s="40" t="str">
        <f>IF(_01towers[[#This Row],[Active Prevalidation Status]]="Under Prevalidation",
IF(M148="","Review",M148),"")</f>
        <v/>
      </c>
      <c r="AQ148" s="40" t="str">
        <f>IF(_01towers[[#This Row],[Active Prevalidation Status]]="Under Prevalidation",
IF(N148="","Review",N148),"")</f>
        <v/>
      </c>
      <c r="AR148" s="40" t="str">
        <f>IF(_01towers[[#This Row],[Active Prevalidation Status]]="Under Prevalidation",
IF(O148="","Review",O148),"")</f>
        <v/>
      </c>
      <c r="AS148" s="40" t="str">
        <f>IF(_01towers[[#This Row],[Active Prevalidation Status]]="Under Prevalidation",
IF(P148="","Review",P148),"")</f>
        <v/>
      </c>
      <c r="AT148" s="40" t="str">
        <f>IF(_01towers[[#This Row],[Active Prevalidation Status]]="Under Prevalidation",
IF(Q148="","Review",Q148),"")</f>
        <v/>
      </c>
      <c r="AU148" s="40" t="str">
        <f>IF(_01towers[[#This Row],[Active Prevalidation Status]]="Under Prevalidation",
IF(R148="","Review",R148),"")</f>
        <v/>
      </c>
      <c r="AV148" s="40">
        <f>COUNTIF(_01towers[[#This Row],[SAQ_Result2]:[Community_Result2]],"OK")</f>
        <v>0</v>
      </c>
      <c r="AW148" s="1" t="str">
        <f>IF(AND(OR(_01towers[[#This Row],[Active Prevalidation Status]]="Under Prevalidation",_01towers[[#This Row],[Active Prevalidation Status]]="Prevalidated"),_01towers[[#This Row],[02tss.TSSR_From_Engineer]]&gt;0),"Submitted","")</f>
        <v/>
      </c>
      <c r="AX148" s="40" t="str">
        <f>IF(OR(_01towers[[#This Row],[Active Prevalidation Status]]="Under Prevalidation",_01towers[[#This Row],[Active Prevalidation Status]]="Prevalidated"),_01towers[[#This Row],[02tss.TSS_Result]],"")</f>
        <v/>
      </c>
      <c r="AY148" s="40" t="str">
        <f>IF(AND(_01towers[[#This Row],[Active TSS Result]]="Approved",_01towers[[#This Row],[Active Prevalidation Status]]="Prevalidated"),"In Process","")</f>
        <v/>
      </c>
      <c r="AZ148" s="40" t="str">
        <f>IF(AND(_01towers[[#This Row],[Active TSS Result]]="Approved",_01towers[[#This Row],[Active Prevalidation Status]]="Prevalidated"),_01towers[[#This Row],[10colo_app.Colo_App_Result]],"")</f>
        <v/>
      </c>
      <c r="BA148" s="40">
        <f>COUNTIF(_20work_order[05_id],_01towers[[#This Row],[05_id]])</f>
        <v>0</v>
      </c>
      <c r="BB148" s="40">
        <f>COUNTIFS(_20work_order[05_id],_01towers[[#This Row],[05_id]],_20work_order[Actual_End],"&gt;0")</f>
        <v>0</v>
      </c>
      <c r="BC148" s="40" t="str">
        <f>IF(_01towers[[#This Row],[Completed Work Orders]]&gt;0,"Work Completed",
IF(_01towers[[#This Row],[Count Work Orders]]&gt;0,"Work in Progress",""))</f>
        <v/>
      </c>
      <c r="BD14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48" s="40" t="str">
        <f>_xlfn.SWITCH(_01towers[[#This Row],[Final Colo Status full]],"Commercial Approval Requested","Under Prevalidation",_01towers[[#This Row],[Final Colo Status full]])</f>
        <v>Prevalidation Rejected</v>
      </c>
    </row>
    <row r="149" spans="1:57" hidden="1" x14ac:dyDescent="0.35">
      <c r="A149" s="40" t="s">
        <v>350</v>
      </c>
      <c r="B149" s="40" t="s">
        <v>90</v>
      </c>
      <c r="C149" s="40" t="s">
        <v>51</v>
      </c>
      <c r="D149">
        <v>45</v>
      </c>
      <c r="E149" s="40" t="s">
        <v>94</v>
      </c>
      <c r="F149">
        <v>97.644120000000001</v>
      </c>
      <c r="G149">
        <v>16.438020000000002</v>
      </c>
      <c r="H149" s="40" t="s">
        <v>150</v>
      </c>
      <c r="I149">
        <v>149</v>
      </c>
      <c r="J149" s="40" t="s">
        <v>211</v>
      </c>
      <c r="K149" s="40" t="s">
        <v>136</v>
      </c>
      <c r="L149" s="40" t="s">
        <v>64</v>
      </c>
      <c r="M149" s="40" t="s">
        <v>57</v>
      </c>
      <c r="N149" s="40" t="s">
        <v>57</v>
      </c>
      <c r="O149" s="40" t="s">
        <v>57</v>
      </c>
      <c r="P149" s="40" t="s">
        <v>57</v>
      </c>
      <c r="Q149" s="40" t="s">
        <v>57</v>
      </c>
      <c r="R149" s="40" t="s">
        <v>57</v>
      </c>
      <c r="S149">
        <v>106</v>
      </c>
      <c r="T149">
        <v>1</v>
      </c>
      <c r="U149" s="1"/>
      <c r="V149" s="1"/>
      <c r="W149" s="1"/>
      <c r="X149" s="1"/>
      <c r="Y149" s="1"/>
      <c r="Z149" s="40"/>
      <c r="AA149">
        <v>105</v>
      </c>
      <c r="AB149">
        <v>1</v>
      </c>
      <c r="AC149" s="1"/>
      <c r="AD149" s="40"/>
      <c r="AE149" s="1"/>
      <c r="AF149" s="1"/>
      <c r="AG149" s="1"/>
      <c r="AH149" s="40"/>
      <c r="AI149" s="1"/>
      <c r="AJ149" s="40">
        <f>_xlfn.MAXIFS(_01towers[02tss.Rev],_01towers[05_id],_01towers[[#This Row],[05_id]])</f>
        <v>1</v>
      </c>
      <c r="AK149" s="40" t="b">
        <f>IF(_01towers[[#This Row],[Count Rev TSS]]=_01towers[[#This Row],[02tss.Rev]],TRUE,FALSE)</f>
        <v>1</v>
      </c>
      <c r="AL149" s="40">
        <f>_xlfn.MAXIFS(_01towers[10colo_app.Rev],_01towers[05_id],_01towers[[#This Row],[05_id]])</f>
        <v>1</v>
      </c>
      <c r="AM149" s="40" t="b">
        <f>IF(_01towers[[#This Row],[Count Rev Colo App]]=_01towers[[#This Row],[10colo_app.Rev]],TRUE,FALSE)</f>
        <v>1</v>
      </c>
      <c r="AN149" s="40" t="b">
        <f>IF(AND(_01towers[[#This Row],[Test Rev Colo]]=TRUE,_01towers[[#This Row],[Test Rev TSS]]=TRUE),TRUE,FALSE)</f>
        <v>1</v>
      </c>
      <c r="AO149" s="40" t="str">
        <f>IF(_01towers[[#This Row],[Test Active]]=TRUE,_01towers[[#This Row],[Prevalidation Status]],"")</f>
        <v>Prevalidated</v>
      </c>
      <c r="AP149" s="40" t="str">
        <f>IF(_01towers[[#This Row],[Active Prevalidation Status]]="Under Prevalidation",
IF(M149="","Review",M149),"")</f>
        <v/>
      </c>
      <c r="AQ149" s="40" t="str">
        <f>IF(_01towers[[#This Row],[Active Prevalidation Status]]="Under Prevalidation",
IF(N149="","Review",N149),"")</f>
        <v/>
      </c>
      <c r="AR149" s="40" t="str">
        <f>IF(_01towers[[#This Row],[Active Prevalidation Status]]="Under Prevalidation",
IF(O149="","Review",O149),"")</f>
        <v/>
      </c>
      <c r="AS149" s="40" t="str">
        <f>IF(_01towers[[#This Row],[Active Prevalidation Status]]="Under Prevalidation",
IF(P149="","Review",P149),"")</f>
        <v/>
      </c>
      <c r="AT149" s="40" t="str">
        <f>IF(_01towers[[#This Row],[Active Prevalidation Status]]="Under Prevalidation",
IF(Q149="","Review",Q149),"")</f>
        <v/>
      </c>
      <c r="AU149" s="40" t="str">
        <f>IF(_01towers[[#This Row],[Active Prevalidation Status]]="Under Prevalidation",
IF(R149="","Review",R149),"")</f>
        <v/>
      </c>
      <c r="AV149" s="40">
        <f>COUNTIF(_01towers[[#This Row],[SAQ_Result2]:[Community_Result2]],"OK")</f>
        <v>0</v>
      </c>
      <c r="AW149" s="1" t="str">
        <f>IF(AND(OR(_01towers[[#This Row],[Active Prevalidation Status]]="Under Prevalidation",_01towers[[#This Row],[Active Prevalidation Status]]="Prevalidated"),_01towers[[#This Row],[02tss.TSSR_From_Engineer]]&gt;0),"Submitted","")</f>
        <v/>
      </c>
      <c r="AX149" s="40">
        <f>IF(OR(_01towers[[#This Row],[Active Prevalidation Status]]="Under Prevalidation",_01towers[[#This Row],[Active Prevalidation Status]]="Prevalidated"),_01towers[[#This Row],[02tss.TSS_Result]],"")</f>
        <v>0</v>
      </c>
      <c r="AY149" s="40" t="str">
        <f>IF(AND(_01towers[[#This Row],[Active TSS Result]]="Approved",_01towers[[#This Row],[Active Prevalidation Status]]="Prevalidated"),"In Process","")</f>
        <v/>
      </c>
      <c r="AZ149" s="40" t="str">
        <f>IF(AND(_01towers[[#This Row],[Active TSS Result]]="Approved",_01towers[[#This Row],[Active Prevalidation Status]]="Prevalidated"),_01towers[[#This Row],[10colo_app.Colo_App_Result]],"")</f>
        <v/>
      </c>
      <c r="BA149" s="40">
        <f>COUNTIF(_20work_order[05_id],_01towers[[#This Row],[05_id]])</f>
        <v>0</v>
      </c>
      <c r="BB149" s="40">
        <f>COUNTIFS(_20work_order[05_id],_01towers[[#This Row],[05_id]],_20work_order[Actual_End],"&gt;0")</f>
        <v>0</v>
      </c>
      <c r="BC149" s="40" t="str">
        <f>IF(_01towers[[#This Row],[Completed Work Orders]]&gt;0,"Work Completed",
IF(_01towers[[#This Row],[Count Work Orders]]&gt;0,"Work in Progress",""))</f>
        <v/>
      </c>
      <c r="BD14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49" s="40" t="str">
        <f>_xlfn.SWITCH(_01towers[[#This Row],[Final Colo Status full]],"Commercial Approval Requested","Under Prevalidation",_01towers[[#This Row],[Final Colo Status full]])</f>
        <v>Prevalidated - TSSR in Process</v>
      </c>
    </row>
    <row r="150" spans="1:57" x14ac:dyDescent="0.35">
      <c r="A150" s="40" t="s">
        <v>351</v>
      </c>
      <c r="B150" s="40" t="s">
        <v>50</v>
      </c>
      <c r="C150" s="40" t="s">
        <v>51</v>
      </c>
      <c r="D150">
        <v>35</v>
      </c>
      <c r="E150" s="40" t="s">
        <v>66</v>
      </c>
      <c r="F150">
        <v>96.108109999999996</v>
      </c>
      <c r="G150">
        <v>21.915410000000001</v>
      </c>
      <c r="H150" s="40" t="s">
        <v>150</v>
      </c>
      <c r="I150">
        <v>150</v>
      </c>
      <c r="J150" s="40" t="s">
        <v>352</v>
      </c>
      <c r="K150" s="40" t="s">
        <v>136</v>
      </c>
      <c r="L150" s="40" t="s">
        <v>56</v>
      </c>
      <c r="M150" s="40" t="s">
        <v>57</v>
      </c>
      <c r="N150" s="40" t="s">
        <v>57</v>
      </c>
      <c r="O150" s="40" t="s">
        <v>57</v>
      </c>
      <c r="P150" s="40" t="s">
        <v>58</v>
      </c>
      <c r="Q150" s="40" t="s">
        <v>57</v>
      </c>
      <c r="R150" s="40" t="s">
        <v>57</v>
      </c>
      <c r="S150">
        <v>34</v>
      </c>
      <c r="T150">
        <v>1</v>
      </c>
      <c r="U150" s="1"/>
      <c r="V150" s="1"/>
      <c r="W150" s="1"/>
      <c r="X150" s="1"/>
      <c r="Y150" s="1"/>
      <c r="Z150" s="40"/>
      <c r="AA150">
        <v>33</v>
      </c>
      <c r="AB150">
        <v>1</v>
      </c>
      <c r="AC150" s="1"/>
      <c r="AD150" s="40"/>
      <c r="AE150" s="1">
        <v>43222</v>
      </c>
      <c r="AF150" s="1">
        <v>43222</v>
      </c>
      <c r="AG150" s="1"/>
      <c r="AH150" s="40"/>
      <c r="AI150" s="1"/>
      <c r="AJ150" s="40">
        <f>_xlfn.MAXIFS(_01towers[02tss.Rev],_01towers[05_id],_01towers[[#This Row],[05_id]])</f>
        <v>1</v>
      </c>
      <c r="AK150" s="40" t="b">
        <f>IF(_01towers[[#This Row],[Count Rev TSS]]=_01towers[[#This Row],[02tss.Rev]],TRUE,FALSE)</f>
        <v>1</v>
      </c>
      <c r="AL150" s="40">
        <f>_xlfn.MAXIFS(_01towers[10colo_app.Rev],_01towers[05_id],_01towers[[#This Row],[05_id]])</f>
        <v>1</v>
      </c>
      <c r="AM150" s="40" t="b">
        <f>IF(_01towers[[#This Row],[Count Rev Colo App]]=_01towers[[#This Row],[10colo_app.Rev]],TRUE,FALSE)</f>
        <v>1</v>
      </c>
      <c r="AN150" s="40" t="b">
        <f>IF(AND(_01towers[[#This Row],[Test Rev Colo]]=TRUE,_01towers[[#This Row],[Test Rev TSS]]=TRUE),TRUE,FALSE)</f>
        <v>1</v>
      </c>
      <c r="AO150" s="40" t="str">
        <f>IF(_01towers[[#This Row],[Test Active]]=TRUE,_01towers[[#This Row],[Prevalidation Status]],"")</f>
        <v>Commercial Approval Requested</v>
      </c>
      <c r="AP150" s="40" t="str">
        <f>IF(_01towers[[#This Row],[Active Prevalidation Status]]="Under Prevalidation",
IF(M150="","Review",M150),"")</f>
        <v/>
      </c>
      <c r="AQ150" s="40" t="str">
        <f>IF(_01towers[[#This Row],[Active Prevalidation Status]]="Under Prevalidation",
IF(N150="","Review",N150),"")</f>
        <v/>
      </c>
      <c r="AR150" s="40" t="str">
        <f>IF(_01towers[[#This Row],[Active Prevalidation Status]]="Under Prevalidation",
IF(O150="","Review",O150),"")</f>
        <v/>
      </c>
      <c r="AS150" s="40" t="str">
        <f>IF(_01towers[[#This Row],[Active Prevalidation Status]]="Under Prevalidation",
IF(P150="","Review",P150),"")</f>
        <v/>
      </c>
      <c r="AT150" s="40" t="str">
        <f>IF(_01towers[[#This Row],[Active Prevalidation Status]]="Under Prevalidation",
IF(Q150="","Review",Q150),"")</f>
        <v/>
      </c>
      <c r="AU150" s="40" t="str">
        <f>IF(_01towers[[#This Row],[Active Prevalidation Status]]="Under Prevalidation",
IF(R150="","Review",R150),"")</f>
        <v/>
      </c>
      <c r="AV150" s="40">
        <f>COUNTIF(_01towers[[#This Row],[SAQ_Result2]:[Community_Result2]],"OK")</f>
        <v>0</v>
      </c>
      <c r="AW150" s="1" t="str">
        <f>IF(AND(OR(_01towers[[#This Row],[Active Prevalidation Status]]="Under Prevalidation",_01towers[[#This Row],[Active Prevalidation Status]]="Prevalidated"),_01towers[[#This Row],[02tss.TSSR_From_Engineer]]&gt;0),"Submitted","")</f>
        <v/>
      </c>
      <c r="AX150" s="40" t="str">
        <f>IF(OR(_01towers[[#This Row],[Active Prevalidation Status]]="Under Prevalidation",_01towers[[#This Row],[Active Prevalidation Status]]="Prevalidated"),_01towers[[#This Row],[02tss.TSS_Result]],"")</f>
        <v/>
      </c>
      <c r="AY150" s="40" t="str">
        <f>IF(AND(_01towers[[#This Row],[Active TSS Result]]="Approved",_01towers[[#This Row],[Active Prevalidation Status]]="Prevalidated"),"In Process","")</f>
        <v/>
      </c>
      <c r="AZ150" s="40" t="str">
        <f>IF(AND(_01towers[[#This Row],[Active TSS Result]]="Approved",_01towers[[#This Row],[Active Prevalidation Status]]="Prevalidated"),_01towers[[#This Row],[10colo_app.Colo_App_Result]],"")</f>
        <v/>
      </c>
      <c r="BA150" s="40">
        <f>COUNTIF(_20work_order[05_id],_01towers[[#This Row],[05_id]])</f>
        <v>0</v>
      </c>
      <c r="BB150" s="40">
        <f>COUNTIFS(_20work_order[05_id],_01towers[[#This Row],[05_id]],_20work_order[Actual_End],"&gt;0")</f>
        <v>0</v>
      </c>
      <c r="BC150" s="40" t="str">
        <f>IF(_01towers[[#This Row],[Completed Work Orders]]&gt;0,"Work Completed",
IF(_01towers[[#This Row],[Count Work Orders]]&gt;0,"Work in Progress",""))</f>
        <v/>
      </c>
      <c r="BD15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50" s="40" t="str">
        <f>_xlfn.SWITCH(_01towers[[#This Row],[Final Colo Status full]],"Commercial Approval Requested","Under Prevalidation",_01towers[[#This Row],[Final Colo Status full]])</f>
        <v>Under Prevalidation</v>
      </c>
    </row>
    <row r="151" spans="1:57" hidden="1" x14ac:dyDescent="0.35">
      <c r="A151" s="40" t="s">
        <v>353</v>
      </c>
      <c r="B151" s="40" t="s">
        <v>50</v>
      </c>
      <c r="C151" s="40" t="s">
        <v>51</v>
      </c>
      <c r="D151">
        <v>45</v>
      </c>
      <c r="E151" s="40" t="s">
        <v>79</v>
      </c>
      <c r="F151">
        <v>95.126379999999997</v>
      </c>
      <c r="G151">
        <v>22.14274</v>
      </c>
      <c r="H151" s="40" t="s">
        <v>150</v>
      </c>
      <c r="I151">
        <v>151</v>
      </c>
      <c r="J151" s="40" t="s">
        <v>624</v>
      </c>
      <c r="K151" s="40" t="s">
        <v>136</v>
      </c>
      <c r="L151" s="40" t="s">
        <v>64</v>
      </c>
      <c r="M151" s="40" t="s">
        <v>57</v>
      </c>
      <c r="N151" s="40" t="s">
        <v>57</v>
      </c>
      <c r="O151" s="40" t="s">
        <v>57</v>
      </c>
      <c r="P151" s="40" t="s">
        <v>57</v>
      </c>
      <c r="Q151" s="40" t="s">
        <v>57</v>
      </c>
      <c r="R151" s="40" t="s">
        <v>57</v>
      </c>
      <c r="S151">
        <v>77</v>
      </c>
      <c r="T151">
        <v>1</v>
      </c>
      <c r="U151" s="1"/>
      <c r="V151" s="1"/>
      <c r="W151" s="1"/>
      <c r="X151" s="1"/>
      <c r="Y151" s="1"/>
      <c r="Z151" s="40"/>
      <c r="AA151">
        <v>76</v>
      </c>
      <c r="AB151">
        <v>1</v>
      </c>
      <c r="AC151" s="1"/>
      <c r="AD151" s="40"/>
      <c r="AE151" s="1"/>
      <c r="AF151" s="1"/>
      <c r="AG151" s="1"/>
      <c r="AH151" s="40"/>
      <c r="AI151" s="1"/>
      <c r="AJ151" s="40">
        <f>_xlfn.MAXIFS(_01towers[02tss.Rev],_01towers[05_id],_01towers[[#This Row],[05_id]])</f>
        <v>1</v>
      </c>
      <c r="AK151" s="40" t="b">
        <f>IF(_01towers[[#This Row],[Count Rev TSS]]=_01towers[[#This Row],[02tss.Rev]],TRUE,FALSE)</f>
        <v>1</v>
      </c>
      <c r="AL151" s="40">
        <f>_xlfn.MAXIFS(_01towers[10colo_app.Rev],_01towers[05_id],_01towers[[#This Row],[05_id]])</f>
        <v>1</v>
      </c>
      <c r="AM151" s="40" t="b">
        <f>IF(_01towers[[#This Row],[Count Rev Colo App]]=_01towers[[#This Row],[10colo_app.Rev]],TRUE,FALSE)</f>
        <v>1</v>
      </c>
      <c r="AN151" s="40" t="b">
        <f>IF(AND(_01towers[[#This Row],[Test Rev Colo]]=TRUE,_01towers[[#This Row],[Test Rev TSS]]=TRUE),TRUE,FALSE)</f>
        <v>1</v>
      </c>
      <c r="AO151" s="40" t="str">
        <f>IF(_01towers[[#This Row],[Test Active]]=TRUE,_01towers[[#This Row],[Prevalidation Status]],"")</f>
        <v>Prevalidated</v>
      </c>
      <c r="AP151" s="40" t="str">
        <f>IF(_01towers[[#This Row],[Active Prevalidation Status]]="Under Prevalidation",
IF(M151="","Review",M151),"")</f>
        <v/>
      </c>
      <c r="AQ151" s="40" t="str">
        <f>IF(_01towers[[#This Row],[Active Prevalidation Status]]="Under Prevalidation",
IF(N151="","Review",N151),"")</f>
        <v/>
      </c>
      <c r="AR151" s="40" t="str">
        <f>IF(_01towers[[#This Row],[Active Prevalidation Status]]="Under Prevalidation",
IF(O151="","Review",O151),"")</f>
        <v/>
      </c>
      <c r="AS151" s="40" t="str">
        <f>IF(_01towers[[#This Row],[Active Prevalidation Status]]="Under Prevalidation",
IF(P151="","Review",P151),"")</f>
        <v/>
      </c>
      <c r="AT151" s="40" t="str">
        <f>IF(_01towers[[#This Row],[Active Prevalidation Status]]="Under Prevalidation",
IF(Q151="","Review",Q151),"")</f>
        <v/>
      </c>
      <c r="AU151" s="40" t="str">
        <f>IF(_01towers[[#This Row],[Active Prevalidation Status]]="Under Prevalidation",
IF(R151="","Review",R151),"")</f>
        <v/>
      </c>
      <c r="AV151" s="40">
        <f>COUNTIF(_01towers[[#This Row],[SAQ_Result2]:[Community_Result2]],"OK")</f>
        <v>0</v>
      </c>
      <c r="AW151" s="1" t="str">
        <f>IF(AND(OR(_01towers[[#This Row],[Active Prevalidation Status]]="Under Prevalidation",_01towers[[#This Row],[Active Prevalidation Status]]="Prevalidated"),_01towers[[#This Row],[02tss.TSSR_From_Engineer]]&gt;0),"Submitted","")</f>
        <v/>
      </c>
      <c r="AX151" s="40">
        <f>IF(OR(_01towers[[#This Row],[Active Prevalidation Status]]="Under Prevalidation",_01towers[[#This Row],[Active Prevalidation Status]]="Prevalidated"),_01towers[[#This Row],[02tss.TSS_Result]],"")</f>
        <v>0</v>
      </c>
      <c r="AY151" s="40" t="str">
        <f>IF(AND(_01towers[[#This Row],[Active TSS Result]]="Approved",_01towers[[#This Row],[Active Prevalidation Status]]="Prevalidated"),"In Process","")</f>
        <v/>
      </c>
      <c r="AZ151" s="40" t="str">
        <f>IF(AND(_01towers[[#This Row],[Active TSS Result]]="Approved",_01towers[[#This Row],[Active Prevalidation Status]]="Prevalidated"),_01towers[[#This Row],[10colo_app.Colo_App_Result]],"")</f>
        <v/>
      </c>
      <c r="BA151" s="40">
        <f>COUNTIF(_20work_order[05_id],_01towers[[#This Row],[05_id]])</f>
        <v>0</v>
      </c>
      <c r="BB151" s="40">
        <f>COUNTIFS(_20work_order[05_id],_01towers[[#This Row],[05_id]],_20work_order[Actual_End],"&gt;0")</f>
        <v>0</v>
      </c>
      <c r="BC151" s="40" t="str">
        <f>IF(_01towers[[#This Row],[Completed Work Orders]]&gt;0,"Work Completed",
IF(_01towers[[#This Row],[Count Work Orders]]&gt;0,"Work in Progress",""))</f>
        <v/>
      </c>
      <c r="BD15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51" s="40" t="str">
        <f>_xlfn.SWITCH(_01towers[[#This Row],[Final Colo Status full]],"Commercial Approval Requested","Under Prevalidation",_01towers[[#This Row],[Final Colo Status full]])</f>
        <v>Prevalidated - TSSR in Process</v>
      </c>
    </row>
    <row r="152" spans="1:57" hidden="1" x14ac:dyDescent="0.35">
      <c r="A152" s="40" t="s">
        <v>354</v>
      </c>
      <c r="B152" s="40" t="s">
        <v>50</v>
      </c>
      <c r="C152" s="40" t="s">
        <v>51</v>
      </c>
      <c r="D152">
        <v>35</v>
      </c>
      <c r="E152" s="40" t="s">
        <v>79</v>
      </c>
      <c r="F152">
        <v>95.149460000000005</v>
      </c>
      <c r="G152">
        <v>22.119240000000001</v>
      </c>
      <c r="H152" s="40" t="s">
        <v>53</v>
      </c>
      <c r="I152">
        <v>152</v>
      </c>
      <c r="J152" s="40" t="s">
        <v>355</v>
      </c>
      <c r="K152" s="40" t="s">
        <v>136</v>
      </c>
      <c r="L152" s="40" t="s">
        <v>64</v>
      </c>
      <c r="M152" s="40" t="s">
        <v>57</v>
      </c>
      <c r="N152" s="40" t="s">
        <v>57</v>
      </c>
      <c r="O152" s="40" t="s">
        <v>57</v>
      </c>
      <c r="P152" s="40" t="s">
        <v>57</v>
      </c>
      <c r="Q152" s="40" t="s">
        <v>57</v>
      </c>
      <c r="R152" s="40" t="s">
        <v>57</v>
      </c>
      <c r="S152">
        <v>78</v>
      </c>
      <c r="T152">
        <v>1</v>
      </c>
      <c r="U152" s="1"/>
      <c r="V152" s="1"/>
      <c r="W152" s="1"/>
      <c r="X152" s="1"/>
      <c r="Y152" s="1"/>
      <c r="Z152" s="40"/>
      <c r="AA152">
        <v>77</v>
      </c>
      <c r="AB152">
        <v>1</v>
      </c>
      <c r="AC152" s="1"/>
      <c r="AD152" s="40"/>
      <c r="AE152" s="1"/>
      <c r="AF152" s="1"/>
      <c r="AG152" s="1"/>
      <c r="AH152" s="40"/>
      <c r="AI152" s="1"/>
      <c r="AJ152" s="40">
        <f>_xlfn.MAXIFS(_01towers[02tss.Rev],_01towers[05_id],_01towers[[#This Row],[05_id]])</f>
        <v>1</v>
      </c>
      <c r="AK152" s="40" t="b">
        <f>IF(_01towers[[#This Row],[Count Rev TSS]]=_01towers[[#This Row],[02tss.Rev]],TRUE,FALSE)</f>
        <v>1</v>
      </c>
      <c r="AL152" s="40">
        <f>_xlfn.MAXIFS(_01towers[10colo_app.Rev],_01towers[05_id],_01towers[[#This Row],[05_id]])</f>
        <v>1</v>
      </c>
      <c r="AM152" s="40" t="b">
        <f>IF(_01towers[[#This Row],[Count Rev Colo App]]=_01towers[[#This Row],[10colo_app.Rev]],TRUE,FALSE)</f>
        <v>1</v>
      </c>
      <c r="AN152" s="40" t="b">
        <f>IF(AND(_01towers[[#This Row],[Test Rev Colo]]=TRUE,_01towers[[#This Row],[Test Rev TSS]]=TRUE),TRUE,FALSE)</f>
        <v>1</v>
      </c>
      <c r="AO152" s="40" t="str">
        <f>IF(_01towers[[#This Row],[Test Active]]=TRUE,_01towers[[#This Row],[Prevalidation Status]],"")</f>
        <v>Prevalidated</v>
      </c>
      <c r="AP152" s="40" t="str">
        <f>IF(_01towers[[#This Row],[Active Prevalidation Status]]="Under Prevalidation",
IF(M152="","Review",M152),"")</f>
        <v/>
      </c>
      <c r="AQ152" s="40" t="str">
        <f>IF(_01towers[[#This Row],[Active Prevalidation Status]]="Under Prevalidation",
IF(N152="","Review",N152),"")</f>
        <v/>
      </c>
      <c r="AR152" s="40" t="str">
        <f>IF(_01towers[[#This Row],[Active Prevalidation Status]]="Under Prevalidation",
IF(O152="","Review",O152),"")</f>
        <v/>
      </c>
      <c r="AS152" s="40" t="str">
        <f>IF(_01towers[[#This Row],[Active Prevalidation Status]]="Under Prevalidation",
IF(P152="","Review",P152),"")</f>
        <v/>
      </c>
      <c r="AT152" s="40" t="str">
        <f>IF(_01towers[[#This Row],[Active Prevalidation Status]]="Under Prevalidation",
IF(Q152="","Review",Q152),"")</f>
        <v/>
      </c>
      <c r="AU152" s="40" t="str">
        <f>IF(_01towers[[#This Row],[Active Prevalidation Status]]="Under Prevalidation",
IF(R152="","Review",R152),"")</f>
        <v/>
      </c>
      <c r="AV152" s="40">
        <f>COUNTIF(_01towers[[#This Row],[SAQ_Result2]:[Community_Result2]],"OK")</f>
        <v>0</v>
      </c>
      <c r="AW152" s="1" t="str">
        <f>IF(AND(OR(_01towers[[#This Row],[Active Prevalidation Status]]="Under Prevalidation",_01towers[[#This Row],[Active Prevalidation Status]]="Prevalidated"),_01towers[[#This Row],[02tss.TSSR_From_Engineer]]&gt;0),"Submitted","")</f>
        <v/>
      </c>
      <c r="AX152" s="40">
        <f>IF(OR(_01towers[[#This Row],[Active Prevalidation Status]]="Under Prevalidation",_01towers[[#This Row],[Active Prevalidation Status]]="Prevalidated"),_01towers[[#This Row],[02tss.TSS_Result]],"")</f>
        <v>0</v>
      </c>
      <c r="AY152" s="40" t="str">
        <f>IF(AND(_01towers[[#This Row],[Active TSS Result]]="Approved",_01towers[[#This Row],[Active Prevalidation Status]]="Prevalidated"),"In Process","")</f>
        <v/>
      </c>
      <c r="AZ152" s="40" t="str">
        <f>IF(AND(_01towers[[#This Row],[Active TSS Result]]="Approved",_01towers[[#This Row],[Active Prevalidation Status]]="Prevalidated"),_01towers[[#This Row],[10colo_app.Colo_App_Result]],"")</f>
        <v/>
      </c>
      <c r="BA152" s="40">
        <f>COUNTIF(_20work_order[05_id],_01towers[[#This Row],[05_id]])</f>
        <v>0</v>
      </c>
      <c r="BB152" s="40">
        <f>COUNTIFS(_20work_order[05_id],_01towers[[#This Row],[05_id]],_20work_order[Actual_End],"&gt;0")</f>
        <v>0</v>
      </c>
      <c r="BC152" s="40" t="str">
        <f>IF(_01towers[[#This Row],[Completed Work Orders]]&gt;0,"Work Completed",
IF(_01towers[[#This Row],[Count Work Orders]]&gt;0,"Work in Progress",""))</f>
        <v/>
      </c>
      <c r="BD15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52" s="40" t="str">
        <f>_xlfn.SWITCH(_01towers[[#This Row],[Final Colo Status full]],"Commercial Approval Requested","Under Prevalidation",_01towers[[#This Row],[Final Colo Status full]])</f>
        <v>Prevalidated - TSSR in Process</v>
      </c>
    </row>
    <row r="153" spans="1:57" x14ac:dyDescent="0.35">
      <c r="A153" s="40" t="s">
        <v>356</v>
      </c>
      <c r="B153" s="40" t="s">
        <v>50</v>
      </c>
      <c r="C153" s="40" t="s">
        <v>51</v>
      </c>
      <c r="D153">
        <v>35</v>
      </c>
      <c r="E153" s="40" t="s">
        <v>66</v>
      </c>
      <c r="F153">
        <v>96.114689999999996</v>
      </c>
      <c r="G153">
        <v>21.958819999999999</v>
      </c>
      <c r="H153" s="40" t="s">
        <v>143</v>
      </c>
      <c r="I153">
        <v>153</v>
      </c>
      <c r="J153" s="40" t="s">
        <v>357</v>
      </c>
      <c r="K153" s="40" t="s">
        <v>136</v>
      </c>
      <c r="L153" s="40" t="s">
        <v>56</v>
      </c>
      <c r="M153" s="40" t="s">
        <v>57</v>
      </c>
      <c r="N153" s="40" t="s">
        <v>57</v>
      </c>
      <c r="O153" s="40" t="s">
        <v>58</v>
      </c>
      <c r="P153" s="40" t="s">
        <v>57</v>
      </c>
      <c r="Q153" s="40" t="s">
        <v>57</v>
      </c>
      <c r="R153" s="40" t="s">
        <v>57</v>
      </c>
      <c r="S153">
        <v>33</v>
      </c>
      <c r="T153">
        <v>1</v>
      </c>
      <c r="U153" s="1"/>
      <c r="V153" s="1"/>
      <c r="W153" s="1"/>
      <c r="X153" s="1"/>
      <c r="Y153" s="1"/>
      <c r="Z153" s="40"/>
      <c r="AA153">
        <v>32</v>
      </c>
      <c r="AB153">
        <v>1</v>
      </c>
      <c r="AC153" s="1"/>
      <c r="AD153" s="40"/>
      <c r="AE153" s="1">
        <v>43228</v>
      </c>
      <c r="AF153" s="1"/>
      <c r="AG153" s="1"/>
      <c r="AH153" s="40"/>
      <c r="AI153" s="1"/>
      <c r="AJ153" s="40">
        <f>_xlfn.MAXIFS(_01towers[02tss.Rev],_01towers[05_id],_01towers[[#This Row],[05_id]])</f>
        <v>1</v>
      </c>
      <c r="AK153" s="40" t="b">
        <f>IF(_01towers[[#This Row],[Count Rev TSS]]=_01towers[[#This Row],[02tss.Rev]],TRUE,FALSE)</f>
        <v>1</v>
      </c>
      <c r="AL153" s="40">
        <f>_xlfn.MAXIFS(_01towers[10colo_app.Rev],_01towers[05_id],_01towers[[#This Row],[05_id]])</f>
        <v>1</v>
      </c>
      <c r="AM153" s="40" t="b">
        <f>IF(_01towers[[#This Row],[Count Rev Colo App]]=_01towers[[#This Row],[10colo_app.Rev]],TRUE,FALSE)</f>
        <v>1</v>
      </c>
      <c r="AN153" s="40" t="b">
        <f>IF(AND(_01towers[[#This Row],[Test Rev Colo]]=TRUE,_01towers[[#This Row],[Test Rev TSS]]=TRUE),TRUE,FALSE)</f>
        <v>1</v>
      </c>
      <c r="AO153" s="40" t="str">
        <f>IF(_01towers[[#This Row],[Test Active]]=TRUE,_01towers[[#This Row],[Prevalidation Status]],"")</f>
        <v>Commercial Approval Requested</v>
      </c>
      <c r="AP153" s="40" t="str">
        <f>IF(_01towers[[#This Row],[Active Prevalidation Status]]="Under Prevalidation",
IF(M153="","Review",M153),"")</f>
        <v/>
      </c>
      <c r="AQ153" s="40" t="str">
        <f>IF(_01towers[[#This Row],[Active Prevalidation Status]]="Under Prevalidation",
IF(N153="","Review",N153),"")</f>
        <v/>
      </c>
      <c r="AR153" s="40" t="str">
        <f>IF(_01towers[[#This Row],[Active Prevalidation Status]]="Under Prevalidation",
IF(O153="","Review",O153),"")</f>
        <v/>
      </c>
      <c r="AS153" s="40" t="str">
        <f>IF(_01towers[[#This Row],[Active Prevalidation Status]]="Under Prevalidation",
IF(P153="","Review",P153),"")</f>
        <v/>
      </c>
      <c r="AT153" s="40" t="str">
        <f>IF(_01towers[[#This Row],[Active Prevalidation Status]]="Under Prevalidation",
IF(Q153="","Review",Q153),"")</f>
        <v/>
      </c>
      <c r="AU153" s="40" t="str">
        <f>IF(_01towers[[#This Row],[Active Prevalidation Status]]="Under Prevalidation",
IF(R153="","Review",R153),"")</f>
        <v/>
      </c>
      <c r="AV153" s="40">
        <f>COUNTIF(_01towers[[#This Row],[SAQ_Result2]:[Community_Result2]],"OK")</f>
        <v>0</v>
      </c>
      <c r="AW153" s="1" t="str">
        <f>IF(AND(OR(_01towers[[#This Row],[Active Prevalidation Status]]="Under Prevalidation",_01towers[[#This Row],[Active Prevalidation Status]]="Prevalidated"),_01towers[[#This Row],[02tss.TSSR_From_Engineer]]&gt;0),"Submitted","")</f>
        <v/>
      </c>
      <c r="AX153" s="40" t="str">
        <f>IF(OR(_01towers[[#This Row],[Active Prevalidation Status]]="Under Prevalidation",_01towers[[#This Row],[Active Prevalidation Status]]="Prevalidated"),_01towers[[#This Row],[02tss.TSS_Result]],"")</f>
        <v/>
      </c>
      <c r="AY153" s="40" t="str">
        <f>IF(AND(_01towers[[#This Row],[Active TSS Result]]="Approved",_01towers[[#This Row],[Active Prevalidation Status]]="Prevalidated"),"In Process","")</f>
        <v/>
      </c>
      <c r="AZ153" s="40" t="str">
        <f>IF(AND(_01towers[[#This Row],[Active TSS Result]]="Approved",_01towers[[#This Row],[Active Prevalidation Status]]="Prevalidated"),_01towers[[#This Row],[10colo_app.Colo_App_Result]],"")</f>
        <v/>
      </c>
      <c r="BA153" s="40">
        <f>COUNTIF(_20work_order[05_id],_01towers[[#This Row],[05_id]])</f>
        <v>0</v>
      </c>
      <c r="BB153" s="40">
        <f>COUNTIFS(_20work_order[05_id],_01towers[[#This Row],[05_id]],_20work_order[Actual_End],"&gt;0")</f>
        <v>0</v>
      </c>
      <c r="BC153" s="40" t="str">
        <f>IF(_01towers[[#This Row],[Completed Work Orders]]&gt;0,"Work Completed",
IF(_01towers[[#This Row],[Count Work Orders]]&gt;0,"Work in Progress",""))</f>
        <v/>
      </c>
      <c r="BD15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53" s="40" t="str">
        <f>_xlfn.SWITCH(_01towers[[#This Row],[Final Colo Status full]],"Commercial Approval Requested","Under Prevalidation",_01towers[[#This Row],[Final Colo Status full]])</f>
        <v>Under Prevalidation</v>
      </c>
    </row>
    <row r="154" spans="1:57" hidden="1" x14ac:dyDescent="0.35">
      <c r="A154" s="40" t="s">
        <v>358</v>
      </c>
      <c r="B154" s="40" t="s">
        <v>50</v>
      </c>
      <c r="C154" s="40" t="s">
        <v>82</v>
      </c>
      <c r="D154">
        <v>6</v>
      </c>
      <c r="E154" s="40" t="s">
        <v>66</v>
      </c>
      <c r="F154">
        <v>96.115386000000001</v>
      </c>
      <c r="G154">
        <v>21.968467</v>
      </c>
      <c r="H154" s="40" t="s">
        <v>53</v>
      </c>
      <c r="I154">
        <v>154</v>
      </c>
      <c r="J154" s="40" t="s">
        <v>211</v>
      </c>
      <c r="K154" s="40" t="s">
        <v>136</v>
      </c>
      <c r="L154" s="40" t="s">
        <v>74</v>
      </c>
      <c r="M154" s="40" t="s">
        <v>75</v>
      </c>
      <c r="N154" s="40"/>
      <c r="O154" s="40" t="s">
        <v>58</v>
      </c>
      <c r="P154" s="40"/>
      <c r="Q154" s="40"/>
      <c r="R154" s="40" t="s">
        <v>57</v>
      </c>
      <c r="S154">
        <v>40</v>
      </c>
      <c r="T154">
        <v>1</v>
      </c>
      <c r="U154" s="1"/>
      <c r="V154" s="1"/>
      <c r="W154" s="1"/>
      <c r="X154" s="1"/>
      <c r="Y154" s="1"/>
      <c r="Z154" s="40"/>
      <c r="AA154">
        <v>39</v>
      </c>
      <c r="AB154">
        <v>1</v>
      </c>
      <c r="AC154" s="1"/>
      <c r="AD154" s="40"/>
      <c r="AE154" s="1">
        <v>43273</v>
      </c>
      <c r="AF154" s="1">
        <v>43273</v>
      </c>
      <c r="AG154" s="1"/>
      <c r="AH154" s="40"/>
      <c r="AI154" s="1"/>
      <c r="AJ154" s="40">
        <f>_xlfn.MAXIFS(_01towers[02tss.Rev],_01towers[05_id],_01towers[[#This Row],[05_id]])</f>
        <v>1</v>
      </c>
      <c r="AK154" s="40" t="b">
        <f>IF(_01towers[[#This Row],[Count Rev TSS]]=_01towers[[#This Row],[02tss.Rev]],TRUE,FALSE)</f>
        <v>1</v>
      </c>
      <c r="AL154" s="40">
        <f>_xlfn.MAXIFS(_01towers[10colo_app.Rev],_01towers[05_id],_01towers[[#This Row],[05_id]])</f>
        <v>1</v>
      </c>
      <c r="AM154" s="40" t="b">
        <f>IF(_01towers[[#This Row],[Count Rev Colo App]]=_01towers[[#This Row],[10colo_app.Rev]],TRUE,FALSE)</f>
        <v>1</v>
      </c>
      <c r="AN154" s="40" t="b">
        <f>IF(AND(_01towers[[#This Row],[Test Rev Colo]]=TRUE,_01towers[[#This Row],[Test Rev TSS]]=TRUE),TRUE,FALSE)</f>
        <v>1</v>
      </c>
      <c r="AO154" s="40" t="str">
        <f>IF(_01towers[[#This Row],[Test Active]]=TRUE,_01towers[[#This Row],[Prevalidation Status]],"")</f>
        <v>Prevalidation Rejected</v>
      </c>
      <c r="AP154" s="40" t="str">
        <f>IF(_01towers[[#This Row],[Active Prevalidation Status]]="Under Prevalidation",
IF(M154="","Review",M154),"")</f>
        <v/>
      </c>
      <c r="AQ154" s="40" t="str">
        <f>IF(_01towers[[#This Row],[Active Prevalidation Status]]="Under Prevalidation",
IF(N154="","Review",N154),"")</f>
        <v/>
      </c>
      <c r="AR154" s="40" t="str">
        <f>IF(_01towers[[#This Row],[Active Prevalidation Status]]="Under Prevalidation",
IF(O154="","Review",O154),"")</f>
        <v/>
      </c>
      <c r="AS154" s="40" t="str">
        <f>IF(_01towers[[#This Row],[Active Prevalidation Status]]="Under Prevalidation",
IF(P154="","Review",P154),"")</f>
        <v/>
      </c>
      <c r="AT154" s="40" t="str">
        <f>IF(_01towers[[#This Row],[Active Prevalidation Status]]="Under Prevalidation",
IF(Q154="","Review",Q154),"")</f>
        <v/>
      </c>
      <c r="AU154" s="40" t="str">
        <f>IF(_01towers[[#This Row],[Active Prevalidation Status]]="Under Prevalidation",
IF(R154="","Review",R154),"")</f>
        <v/>
      </c>
      <c r="AV154" s="40">
        <f>COUNTIF(_01towers[[#This Row],[SAQ_Result2]:[Community_Result2]],"OK")</f>
        <v>0</v>
      </c>
      <c r="AW154" s="1" t="str">
        <f>IF(AND(OR(_01towers[[#This Row],[Active Prevalidation Status]]="Under Prevalidation",_01towers[[#This Row],[Active Prevalidation Status]]="Prevalidated"),_01towers[[#This Row],[02tss.TSSR_From_Engineer]]&gt;0),"Submitted","")</f>
        <v/>
      </c>
      <c r="AX154" s="40" t="str">
        <f>IF(OR(_01towers[[#This Row],[Active Prevalidation Status]]="Under Prevalidation",_01towers[[#This Row],[Active Prevalidation Status]]="Prevalidated"),_01towers[[#This Row],[02tss.TSS_Result]],"")</f>
        <v/>
      </c>
      <c r="AY154" s="40" t="str">
        <f>IF(AND(_01towers[[#This Row],[Active TSS Result]]="Approved",_01towers[[#This Row],[Active Prevalidation Status]]="Prevalidated"),"In Process","")</f>
        <v/>
      </c>
      <c r="AZ154" s="40" t="str">
        <f>IF(AND(_01towers[[#This Row],[Active TSS Result]]="Approved",_01towers[[#This Row],[Active Prevalidation Status]]="Prevalidated"),_01towers[[#This Row],[10colo_app.Colo_App_Result]],"")</f>
        <v/>
      </c>
      <c r="BA154" s="40">
        <f>COUNTIF(_20work_order[05_id],_01towers[[#This Row],[05_id]])</f>
        <v>0</v>
      </c>
      <c r="BB154" s="40">
        <f>COUNTIFS(_20work_order[05_id],_01towers[[#This Row],[05_id]],_20work_order[Actual_End],"&gt;0")</f>
        <v>0</v>
      </c>
      <c r="BC154" s="40" t="str">
        <f>IF(_01towers[[#This Row],[Completed Work Orders]]&gt;0,"Work Completed",
IF(_01towers[[#This Row],[Count Work Orders]]&gt;0,"Work in Progress",""))</f>
        <v/>
      </c>
      <c r="BD15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54" s="40" t="str">
        <f>_xlfn.SWITCH(_01towers[[#This Row],[Final Colo Status full]],"Commercial Approval Requested","Under Prevalidation",_01towers[[#This Row],[Final Colo Status full]])</f>
        <v>Prevalidation Rejected</v>
      </c>
    </row>
    <row r="155" spans="1:57" hidden="1" x14ac:dyDescent="0.35">
      <c r="A155" s="40" t="s">
        <v>359</v>
      </c>
      <c r="B155" s="40" t="s">
        <v>50</v>
      </c>
      <c r="C155" s="40" t="s">
        <v>51</v>
      </c>
      <c r="D155">
        <v>35</v>
      </c>
      <c r="E155" s="40" t="s">
        <v>79</v>
      </c>
      <c r="F155">
        <v>95.123769999999993</v>
      </c>
      <c r="G155">
        <v>22.122779999999999</v>
      </c>
      <c r="H155" s="40" t="s">
        <v>150</v>
      </c>
      <c r="I155">
        <v>155</v>
      </c>
      <c r="J155" s="40" t="s">
        <v>360</v>
      </c>
      <c r="K155" s="40" t="s">
        <v>136</v>
      </c>
      <c r="L155" s="40" t="s">
        <v>64</v>
      </c>
      <c r="M155" s="40" t="s">
        <v>57</v>
      </c>
      <c r="N155" s="40" t="s">
        <v>57</v>
      </c>
      <c r="O155" s="40" t="s">
        <v>57</v>
      </c>
      <c r="P155" s="40" t="s">
        <v>57</v>
      </c>
      <c r="Q155" s="40" t="s">
        <v>57</v>
      </c>
      <c r="R155" s="40" t="s">
        <v>57</v>
      </c>
      <c r="S155">
        <v>76</v>
      </c>
      <c r="T155">
        <v>1</v>
      </c>
      <c r="U155" s="1"/>
      <c r="V155" s="1"/>
      <c r="W155" s="1"/>
      <c r="X155" s="1"/>
      <c r="Y155" s="1"/>
      <c r="Z155" s="40"/>
      <c r="AA155">
        <v>75</v>
      </c>
      <c r="AB155">
        <v>1</v>
      </c>
      <c r="AC155" s="1"/>
      <c r="AD155" s="40"/>
      <c r="AE155" s="1"/>
      <c r="AF155" s="1"/>
      <c r="AG155" s="1"/>
      <c r="AH155" s="40"/>
      <c r="AI155" s="1"/>
      <c r="AJ155" s="40">
        <f>_xlfn.MAXIFS(_01towers[02tss.Rev],_01towers[05_id],_01towers[[#This Row],[05_id]])</f>
        <v>1</v>
      </c>
      <c r="AK155" s="40" t="b">
        <f>IF(_01towers[[#This Row],[Count Rev TSS]]=_01towers[[#This Row],[02tss.Rev]],TRUE,FALSE)</f>
        <v>1</v>
      </c>
      <c r="AL155" s="40">
        <f>_xlfn.MAXIFS(_01towers[10colo_app.Rev],_01towers[05_id],_01towers[[#This Row],[05_id]])</f>
        <v>1</v>
      </c>
      <c r="AM155" s="40" t="b">
        <f>IF(_01towers[[#This Row],[Count Rev Colo App]]=_01towers[[#This Row],[10colo_app.Rev]],TRUE,FALSE)</f>
        <v>1</v>
      </c>
      <c r="AN155" s="40" t="b">
        <f>IF(AND(_01towers[[#This Row],[Test Rev Colo]]=TRUE,_01towers[[#This Row],[Test Rev TSS]]=TRUE),TRUE,FALSE)</f>
        <v>1</v>
      </c>
      <c r="AO155" s="40" t="str">
        <f>IF(_01towers[[#This Row],[Test Active]]=TRUE,_01towers[[#This Row],[Prevalidation Status]],"")</f>
        <v>Prevalidated</v>
      </c>
      <c r="AP155" s="40" t="str">
        <f>IF(_01towers[[#This Row],[Active Prevalidation Status]]="Under Prevalidation",
IF(M155="","Review",M155),"")</f>
        <v/>
      </c>
      <c r="AQ155" s="40" t="str">
        <f>IF(_01towers[[#This Row],[Active Prevalidation Status]]="Under Prevalidation",
IF(N155="","Review",N155),"")</f>
        <v/>
      </c>
      <c r="AR155" s="40" t="str">
        <f>IF(_01towers[[#This Row],[Active Prevalidation Status]]="Under Prevalidation",
IF(O155="","Review",O155),"")</f>
        <v/>
      </c>
      <c r="AS155" s="40" t="str">
        <f>IF(_01towers[[#This Row],[Active Prevalidation Status]]="Under Prevalidation",
IF(P155="","Review",P155),"")</f>
        <v/>
      </c>
      <c r="AT155" s="40" t="str">
        <f>IF(_01towers[[#This Row],[Active Prevalidation Status]]="Under Prevalidation",
IF(Q155="","Review",Q155),"")</f>
        <v/>
      </c>
      <c r="AU155" s="40" t="str">
        <f>IF(_01towers[[#This Row],[Active Prevalidation Status]]="Under Prevalidation",
IF(R155="","Review",R155),"")</f>
        <v/>
      </c>
      <c r="AV155" s="40">
        <f>COUNTIF(_01towers[[#This Row],[SAQ_Result2]:[Community_Result2]],"OK")</f>
        <v>0</v>
      </c>
      <c r="AW155" s="1" t="str">
        <f>IF(AND(OR(_01towers[[#This Row],[Active Prevalidation Status]]="Under Prevalidation",_01towers[[#This Row],[Active Prevalidation Status]]="Prevalidated"),_01towers[[#This Row],[02tss.TSSR_From_Engineer]]&gt;0),"Submitted","")</f>
        <v/>
      </c>
      <c r="AX155" s="40">
        <f>IF(OR(_01towers[[#This Row],[Active Prevalidation Status]]="Under Prevalidation",_01towers[[#This Row],[Active Prevalidation Status]]="Prevalidated"),_01towers[[#This Row],[02tss.TSS_Result]],"")</f>
        <v>0</v>
      </c>
      <c r="AY155" s="40" t="str">
        <f>IF(AND(_01towers[[#This Row],[Active TSS Result]]="Approved",_01towers[[#This Row],[Active Prevalidation Status]]="Prevalidated"),"In Process","")</f>
        <v/>
      </c>
      <c r="AZ155" s="40" t="str">
        <f>IF(AND(_01towers[[#This Row],[Active TSS Result]]="Approved",_01towers[[#This Row],[Active Prevalidation Status]]="Prevalidated"),_01towers[[#This Row],[10colo_app.Colo_App_Result]],"")</f>
        <v/>
      </c>
      <c r="BA155" s="40">
        <f>COUNTIF(_20work_order[05_id],_01towers[[#This Row],[05_id]])</f>
        <v>0</v>
      </c>
      <c r="BB155" s="40">
        <f>COUNTIFS(_20work_order[05_id],_01towers[[#This Row],[05_id]],_20work_order[Actual_End],"&gt;0")</f>
        <v>0</v>
      </c>
      <c r="BC155" s="40" t="str">
        <f>IF(_01towers[[#This Row],[Completed Work Orders]]&gt;0,"Work Completed",
IF(_01towers[[#This Row],[Count Work Orders]]&gt;0,"Work in Progress",""))</f>
        <v/>
      </c>
      <c r="BD15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55" s="40" t="str">
        <f>_xlfn.SWITCH(_01towers[[#This Row],[Final Colo Status full]],"Commercial Approval Requested","Under Prevalidation",_01towers[[#This Row],[Final Colo Status full]])</f>
        <v>Prevalidated - TSSR in Process</v>
      </c>
    </row>
    <row r="156" spans="1:57" hidden="1" x14ac:dyDescent="0.35">
      <c r="A156" s="40" t="s">
        <v>361</v>
      </c>
      <c r="B156" s="40" t="s">
        <v>50</v>
      </c>
      <c r="C156" s="40" t="s">
        <v>82</v>
      </c>
      <c r="D156">
        <v>5</v>
      </c>
      <c r="E156" s="40" t="s">
        <v>66</v>
      </c>
      <c r="F156">
        <v>96.087720000000004</v>
      </c>
      <c r="G156">
        <v>21.925249999999998</v>
      </c>
      <c r="H156" s="40" t="s">
        <v>53</v>
      </c>
      <c r="I156">
        <v>156</v>
      </c>
      <c r="J156" s="40" t="s">
        <v>362</v>
      </c>
      <c r="K156" s="40" t="s">
        <v>136</v>
      </c>
      <c r="L156" s="40" t="s">
        <v>64</v>
      </c>
      <c r="M156" s="40" t="s">
        <v>57</v>
      </c>
      <c r="N156" s="40" t="s">
        <v>57</v>
      </c>
      <c r="O156" s="40" t="s">
        <v>58</v>
      </c>
      <c r="P156" s="40" t="s">
        <v>57</v>
      </c>
      <c r="Q156" s="40" t="s">
        <v>57</v>
      </c>
      <c r="R156" s="40" t="s">
        <v>57</v>
      </c>
      <c r="S156">
        <v>48</v>
      </c>
      <c r="T156">
        <v>1</v>
      </c>
      <c r="U156" s="1"/>
      <c r="V156" s="1"/>
      <c r="W156" s="1"/>
      <c r="X156" s="1"/>
      <c r="Y156" s="1"/>
      <c r="Z156" s="40"/>
      <c r="AA156">
        <v>47</v>
      </c>
      <c r="AB156">
        <v>1</v>
      </c>
      <c r="AC156" s="1"/>
      <c r="AD156" s="40"/>
      <c r="AE156" s="1">
        <v>43243</v>
      </c>
      <c r="AF156" s="1">
        <v>43243</v>
      </c>
      <c r="AG156" s="1"/>
      <c r="AH156" s="40"/>
      <c r="AI156" s="1"/>
      <c r="AJ156" s="40">
        <f>_xlfn.MAXIFS(_01towers[02tss.Rev],_01towers[05_id],_01towers[[#This Row],[05_id]])</f>
        <v>1</v>
      </c>
      <c r="AK156" s="40" t="b">
        <f>IF(_01towers[[#This Row],[Count Rev TSS]]=_01towers[[#This Row],[02tss.Rev]],TRUE,FALSE)</f>
        <v>1</v>
      </c>
      <c r="AL156" s="40">
        <f>_xlfn.MAXIFS(_01towers[10colo_app.Rev],_01towers[05_id],_01towers[[#This Row],[05_id]])</f>
        <v>1</v>
      </c>
      <c r="AM156" s="40" t="b">
        <f>IF(_01towers[[#This Row],[Count Rev Colo App]]=_01towers[[#This Row],[10colo_app.Rev]],TRUE,FALSE)</f>
        <v>1</v>
      </c>
      <c r="AN156" s="40" t="b">
        <f>IF(AND(_01towers[[#This Row],[Test Rev Colo]]=TRUE,_01towers[[#This Row],[Test Rev TSS]]=TRUE),TRUE,FALSE)</f>
        <v>1</v>
      </c>
      <c r="AO156" s="40" t="str">
        <f>IF(_01towers[[#This Row],[Test Active]]=TRUE,_01towers[[#This Row],[Prevalidation Status]],"")</f>
        <v>Prevalidated</v>
      </c>
      <c r="AP156" s="40" t="str">
        <f>IF(_01towers[[#This Row],[Active Prevalidation Status]]="Under Prevalidation",
IF(M156="","Review",M156),"")</f>
        <v/>
      </c>
      <c r="AQ156" s="40" t="str">
        <f>IF(_01towers[[#This Row],[Active Prevalidation Status]]="Under Prevalidation",
IF(N156="","Review",N156),"")</f>
        <v/>
      </c>
      <c r="AR156" s="40" t="str">
        <f>IF(_01towers[[#This Row],[Active Prevalidation Status]]="Under Prevalidation",
IF(O156="","Review",O156),"")</f>
        <v/>
      </c>
      <c r="AS156" s="40" t="str">
        <f>IF(_01towers[[#This Row],[Active Prevalidation Status]]="Under Prevalidation",
IF(P156="","Review",P156),"")</f>
        <v/>
      </c>
      <c r="AT156" s="40" t="str">
        <f>IF(_01towers[[#This Row],[Active Prevalidation Status]]="Under Prevalidation",
IF(Q156="","Review",Q156),"")</f>
        <v/>
      </c>
      <c r="AU156" s="40" t="str">
        <f>IF(_01towers[[#This Row],[Active Prevalidation Status]]="Under Prevalidation",
IF(R156="","Review",R156),"")</f>
        <v/>
      </c>
      <c r="AV156" s="40">
        <f>COUNTIF(_01towers[[#This Row],[SAQ_Result2]:[Community_Result2]],"OK")</f>
        <v>0</v>
      </c>
      <c r="AW156" s="1" t="str">
        <f>IF(AND(OR(_01towers[[#This Row],[Active Prevalidation Status]]="Under Prevalidation",_01towers[[#This Row],[Active Prevalidation Status]]="Prevalidated"),_01towers[[#This Row],[02tss.TSSR_From_Engineer]]&gt;0),"Submitted","")</f>
        <v/>
      </c>
      <c r="AX156" s="40">
        <f>IF(OR(_01towers[[#This Row],[Active Prevalidation Status]]="Under Prevalidation",_01towers[[#This Row],[Active Prevalidation Status]]="Prevalidated"),_01towers[[#This Row],[02tss.TSS_Result]],"")</f>
        <v>0</v>
      </c>
      <c r="AY156" s="40" t="str">
        <f>IF(AND(_01towers[[#This Row],[Active TSS Result]]="Approved",_01towers[[#This Row],[Active Prevalidation Status]]="Prevalidated"),"In Process","")</f>
        <v/>
      </c>
      <c r="AZ156" s="40" t="str">
        <f>IF(AND(_01towers[[#This Row],[Active TSS Result]]="Approved",_01towers[[#This Row],[Active Prevalidation Status]]="Prevalidated"),_01towers[[#This Row],[10colo_app.Colo_App_Result]],"")</f>
        <v/>
      </c>
      <c r="BA156" s="40">
        <f>COUNTIF(_20work_order[05_id],_01towers[[#This Row],[05_id]])</f>
        <v>0</v>
      </c>
      <c r="BB156" s="40">
        <f>COUNTIFS(_20work_order[05_id],_01towers[[#This Row],[05_id]],_20work_order[Actual_End],"&gt;0")</f>
        <v>0</v>
      </c>
      <c r="BC156" s="40" t="str">
        <f>IF(_01towers[[#This Row],[Completed Work Orders]]&gt;0,"Work Completed",
IF(_01towers[[#This Row],[Count Work Orders]]&gt;0,"Work in Progress",""))</f>
        <v/>
      </c>
      <c r="BD15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56" s="40" t="str">
        <f>_xlfn.SWITCH(_01towers[[#This Row],[Final Colo Status full]],"Commercial Approval Requested","Under Prevalidation",_01towers[[#This Row],[Final Colo Status full]])</f>
        <v>Prevalidated - TSSR in Process</v>
      </c>
    </row>
    <row r="157" spans="1:57" hidden="1" x14ac:dyDescent="0.35">
      <c r="A157" s="40" t="s">
        <v>363</v>
      </c>
      <c r="B157" s="40" t="s">
        <v>50</v>
      </c>
      <c r="C157" s="40" t="s">
        <v>51</v>
      </c>
      <c r="D157">
        <v>45</v>
      </c>
      <c r="E157" s="40" t="s">
        <v>79</v>
      </c>
      <c r="F157">
        <v>95.97175</v>
      </c>
      <c r="G157">
        <v>21.920380000000002</v>
      </c>
      <c r="H157" s="40" t="s">
        <v>53</v>
      </c>
      <c r="I157">
        <v>157</v>
      </c>
      <c r="J157" s="40" t="s">
        <v>625</v>
      </c>
      <c r="K157" s="40" t="s">
        <v>136</v>
      </c>
      <c r="L157" s="40" t="s">
        <v>74</v>
      </c>
      <c r="M157" s="40" t="s">
        <v>57</v>
      </c>
      <c r="N157" s="40" t="s">
        <v>57</v>
      </c>
      <c r="O157" s="40" t="s">
        <v>57</v>
      </c>
      <c r="P157" s="40" t="s">
        <v>75</v>
      </c>
      <c r="Q157" s="40" t="s">
        <v>57</v>
      </c>
      <c r="R157" s="40" t="s">
        <v>57</v>
      </c>
      <c r="S157">
        <v>81</v>
      </c>
      <c r="T157">
        <v>1</v>
      </c>
      <c r="U157" s="1"/>
      <c r="V157" s="1"/>
      <c r="W157" s="1"/>
      <c r="X157" s="1"/>
      <c r="Y157" s="1"/>
      <c r="Z157" s="40"/>
      <c r="AA157">
        <v>80</v>
      </c>
      <c r="AB157">
        <v>1</v>
      </c>
      <c r="AC157" s="1"/>
      <c r="AD157" s="40"/>
      <c r="AE157" s="1"/>
      <c r="AF157" s="1"/>
      <c r="AG157" s="1"/>
      <c r="AH157" s="40"/>
      <c r="AI157" s="1"/>
      <c r="AJ157" s="40">
        <f>_xlfn.MAXIFS(_01towers[02tss.Rev],_01towers[05_id],_01towers[[#This Row],[05_id]])</f>
        <v>1</v>
      </c>
      <c r="AK157" s="40" t="b">
        <f>IF(_01towers[[#This Row],[Count Rev TSS]]=_01towers[[#This Row],[02tss.Rev]],TRUE,FALSE)</f>
        <v>1</v>
      </c>
      <c r="AL157" s="40">
        <f>_xlfn.MAXIFS(_01towers[10colo_app.Rev],_01towers[05_id],_01towers[[#This Row],[05_id]])</f>
        <v>1</v>
      </c>
      <c r="AM157" s="40" t="b">
        <f>IF(_01towers[[#This Row],[Count Rev Colo App]]=_01towers[[#This Row],[10colo_app.Rev]],TRUE,FALSE)</f>
        <v>1</v>
      </c>
      <c r="AN157" s="40" t="b">
        <f>IF(AND(_01towers[[#This Row],[Test Rev Colo]]=TRUE,_01towers[[#This Row],[Test Rev TSS]]=TRUE),TRUE,FALSE)</f>
        <v>1</v>
      </c>
      <c r="AO157" s="40" t="str">
        <f>IF(_01towers[[#This Row],[Test Active]]=TRUE,_01towers[[#This Row],[Prevalidation Status]],"")</f>
        <v>Prevalidation Rejected</v>
      </c>
      <c r="AP157" s="40" t="str">
        <f>IF(_01towers[[#This Row],[Active Prevalidation Status]]="Under Prevalidation",
IF(M157="","Review",M157),"")</f>
        <v/>
      </c>
      <c r="AQ157" s="40" t="str">
        <f>IF(_01towers[[#This Row],[Active Prevalidation Status]]="Under Prevalidation",
IF(N157="","Review",N157),"")</f>
        <v/>
      </c>
      <c r="AR157" s="40" t="str">
        <f>IF(_01towers[[#This Row],[Active Prevalidation Status]]="Under Prevalidation",
IF(O157="","Review",O157),"")</f>
        <v/>
      </c>
      <c r="AS157" s="40" t="str">
        <f>IF(_01towers[[#This Row],[Active Prevalidation Status]]="Under Prevalidation",
IF(P157="","Review",P157),"")</f>
        <v/>
      </c>
      <c r="AT157" s="40" t="str">
        <f>IF(_01towers[[#This Row],[Active Prevalidation Status]]="Under Prevalidation",
IF(Q157="","Review",Q157),"")</f>
        <v/>
      </c>
      <c r="AU157" s="40" t="str">
        <f>IF(_01towers[[#This Row],[Active Prevalidation Status]]="Under Prevalidation",
IF(R157="","Review",R157),"")</f>
        <v/>
      </c>
      <c r="AV157" s="40">
        <f>COUNTIF(_01towers[[#This Row],[SAQ_Result2]:[Community_Result2]],"OK")</f>
        <v>0</v>
      </c>
      <c r="AW157" s="1" t="str">
        <f>IF(AND(OR(_01towers[[#This Row],[Active Prevalidation Status]]="Under Prevalidation",_01towers[[#This Row],[Active Prevalidation Status]]="Prevalidated"),_01towers[[#This Row],[02tss.TSSR_From_Engineer]]&gt;0),"Submitted","")</f>
        <v/>
      </c>
      <c r="AX157" s="40" t="str">
        <f>IF(OR(_01towers[[#This Row],[Active Prevalidation Status]]="Under Prevalidation",_01towers[[#This Row],[Active Prevalidation Status]]="Prevalidated"),_01towers[[#This Row],[02tss.TSS_Result]],"")</f>
        <v/>
      </c>
      <c r="AY157" s="40" t="str">
        <f>IF(AND(_01towers[[#This Row],[Active TSS Result]]="Approved",_01towers[[#This Row],[Active Prevalidation Status]]="Prevalidated"),"In Process","")</f>
        <v/>
      </c>
      <c r="AZ157" s="40" t="str">
        <f>IF(AND(_01towers[[#This Row],[Active TSS Result]]="Approved",_01towers[[#This Row],[Active Prevalidation Status]]="Prevalidated"),_01towers[[#This Row],[10colo_app.Colo_App_Result]],"")</f>
        <v/>
      </c>
      <c r="BA157" s="40">
        <f>COUNTIF(_20work_order[05_id],_01towers[[#This Row],[05_id]])</f>
        <v>0</v>
      </c>
      <c r="BB157" s="40">
        <f>COUNTIFS(_20work_order[05_id],_01towers[[#This Row],[05_id]],_20work_order[Actual_End],"&gt;0")</f>
        <v>0</v>
      </c>
      <c r="BC157" s="40" t="str">
        <f>IF(_01towers[[#This Row],[Completed Work Orders]]&gt;0,"Work Completed",
IF(_01towers[[#This Row],[Count Work Orders]]&gt;0,"Work in Progress",""))</f>
        <v/>
      </c>
      <c r="BD15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57" s="40" t="str">
        <f>_xlfn.SWITCH(_01towers[[#This Row],[Final Colo Status full]],"Commercial Approval Requested","Under Prevalidation",_01towers[[#This Row],[Final Colo Status full]])</f>
        <v>Prevalidation Rejected</v>
      </c>
    </row>
    <row r="158" spans="1:57" hidden="1" x14ac:dyDescent="0.35">
      <c r="A158" s="40" t="s">
        <v>364</v>
      </c>
      <c r="B158" s="40" t="s">
        <v>50</v>
      </c>
      <c r="C158" s="40" t="s">
        <v>51</v>
      </c>
      <c r="D158">
        <v>45</v>
      </c>
      <c r="E158" s="40" t="s">
        <v>79</v>
      </c>
      <c r="F158">
        <v>95.98075</v>
      </c>
      <c r="G158">
        <v>21.90823</v>
      </c>
      <c r="H158" s="40" t="s">
        <v>53</v>
      </c>
      <c r="I158">
        <v>158</v>
      </c>
      <c r="J158" s="40" t="s">
        <v>211</v>
      </c>
      <c r="K158" s="40" t="s">
        <v>136</v>
      </c>
      <c r="L158" s="40" t="s">
        <v>64</v>
      </c>
      <c r="M158" s="40" t="s">
        <v>57</v>
      </c>
      <c r="N158" s="40" t="s">
        <v>57</v>
      </c>
      <c r="O158" s="40" t="s">
        <v>57</v>
      </c>
      <c r="P158" s="40" t="s">
        <v>57</v>
      </c>
      <c r="Q158" s="40" t="s">
        <v>57</v>
      </c>
      <c r="R158" s="40" t="s">
        <v>57</v>
      </c>
      <c r="S158">
        <v>82</v>
      </c>
      <c r="T158">
        <v>1</v>
      </c>
      <c r="U158" s="1"/>
      <c r="V158" s="1"/>
      <c r="W158" s="1"/>
      <c r="X158" s="1"/>
      <c r="Y158" s="1"/>
      <c r="Z158" s="40"/>
      <c r="AA158">
        <v>81</v>
      </c>
      <c r="AB158">
        <v>1</v>
      </c>
      <c r="AC158" s="1"/>
      <c r="AD158" s="40"/>
      <c r="AE158" s="1"/>
      <c r="AF158" s="1"/>
      <c r="AG158" s="1"/>
      <c r="AH158" s="40"/>
      <c r="AI158" s="1"/>
      <c r="AJ158" s="40">
        <f>_xlfn.MAXIFS(_01towers[02tss.Rev],_01towers[05_id],_01towers[[#This Row],[05_id]])</f>
        <v>1</v>
      </c>
      <c r="AK158" s="40" t="b">
        <f>IF(_01towers[[#This Row],[Count Rev TSS]]=_01towers[[#This Row],[02tss.Rev]],TRUE,FALSE)</f>
        <v>1</v>
      </c>
      <c r="AL158" s="40">
        <f>_xlfn.MAXIFS(_01towers[10colo_app.Rev],_01towers[05_id],_01towers[[#This Row],[05_id]])</f>
        <v>1</v>
      </c>
      <c r="AM158" s="40" t="b">
        <f>IF(_01towers[[#This Row],[Count Rev Colo App]]=_01towers[[#This Row],[10colo_app.Rev]],TRUE,FALSE)</f>
        <v>1</v>
      </c>
      <c r="AN158" s="40" t="b">
        <f>IF(AND(_01towers[[#This Row],[Test Rev Colo]]=TRUE,_01towers[[#This Row],[Test Rev TSS]]=TRUE),TRUE,FALSE)</f>
        <v>1</v>
      </c>
      <c r="AO158" s="40" t="str">
        <f>IF(_01towers[[#This Row],[Test Active]]=TRUE,_01towers[[#This Row],[Prevalidation Status]],"")</f>
        <v>Prevalidated</v>
      </c>
      <c r="AP158" s="40" t="str">
        <f>IF(_01towers[[#This Row],[Active Prevalidation Status]]="Under Prevalidation",
IF(M158="","Review",M158),"")</f>
        <v/>
      </c>
      <c r="AQ158" s="40" t="str">
        <f>IF(_01towers[[#This Row],[Active Prevalidation Status]]="Under Prevalidation",
IF(N158="","Review",N158),"")</f>
        <v/>
      </c>
      <c r="AR158" s="40" t="str">
        <f>IF(_01towers[[#This Row],[Active Prevalidation Status]]="Under Prevalidation",
IF(O158="","Review",O158),"")</f>
        <v/>
      </c>
      <c r="AS158" s="40" t="str">
        <f>IF(_01towers[[#This Row],[Active Prevalidation Status]]="Under Prevalidation",
IF(P158="","Review",P158),"")</f>
        <v/>
      </c>
      <c r="AT158" s="40" t="str">
        <f>IF(_01towers[[#This Row],[Active Prevalidation Status]]="Under Prevalidation",
IF(Q158="","Review",Q158),"")</f>
        <v/>
      </c>
      <c r="AU158" s="40" t="str">
        <f>IF(_01towers[[#This Row],[Active Prevalidation Status]]="Under Prevalidation",
IF(R158="","Review",R158),"")</f>
        <v/>
      </c>
      <c r="AV158" s="40">
        <f>COUNTIF(_01towers[[#This Row],[SAQ_Result2]:[Community_Result2]],"OK")</f>
        <v>0</v>
      </c>
      <c r="AW158" s="1" t="str">
        <f>IF(AND(OR(_01towers[[#This Row],[Active Prevalidation Status]]="Under Prevalidation",_01towers[[#This Row],[Active Prevalidation Status]]="Prevalidated"),_01towers[[#This Row],[02tss.TSSR_From_Engineer]]&gt;0),"Submitted","")</f>
        <v/>
      </c>
      <c r="AX158" s="40">
        <f>IF(OR(_01towers[[#This Row],[Active Prevalidation Status]]="Under Prevalidation",_01towers[[#This Row],[Active Prevalidation Status]]="Prevalidated"),_01towers[[#This Row],[02tss.TSS_Result]],"")</f>
        <v>0</v>
      </c>
      <c r="AY158" s="40" t="str">
        <f>IF(AND(_01towers[[#This Row],[Active TSS Result]]="Approved",_01towers[[#This Row],[Active Prevalidation Status]]="Prevalidated"),"In Process","")</f>
        <v/>
      </c>
      <c r="AZ158" s="40" t="str">
        <f>IF(AND(_01towers[[#This Row],[Active TSS Result]]="Approved",_01towers[[#This Row],[Active Prevalidation Status]]="Prevalidated"),_01towers[[#This Row],[10colo_app.Colo_App_Result]],"")</f>
        <v/>
      </c>
      <c r="BA158" s="40">
        <f>COUNTIF(_20work_order[05_id],_01towers[[#This Row],[05_id]])</f>
        <v>0</v>
      </c>
      <c r="BB158" s="40">
        <f>COUNTIFS(_20work_order[05_id],_01towers[[#This Row],[05_id]],_20work_order[Actual_End],"&gt;0")</f>
        <v>0</v>
      </c>
      <c r="BC158" s="40" t="str">
        <f>IF(_01towers[[#This Row],[Completed Work Orders]]&gt;0,"Work Completed",
IF(_01towers[[#This Row],[Count Work Orders]]&gt;0,"Work in Progress",""))</f>
        <v/>
      </c>
      <c r="BD15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58" s="40" t="str">
        <f>_xlfn.SWITCH(_01towers[[#This Row],[Final Colo Status full]],"Commercial Approval Requested","Under Prevalidation",_01towers[[#This Row],[Final Colo Status full]])</f>
        <v>Prevalidated - TSSR in Process</v>
      </c>
    </row>
    <row r="159" spans="1:57" x14ac:dyDescent="0.35">
      <c r="A159" s="40" t="s">
        <v>365</v>
      </c>
      <c r="B159" s="40" t="s">
        <v>90</v>
      </c>
      <c r="C159" s="40" t="s">
        <v>51</v>
      </c>
      <c r="D159">
        <v>40</v>
      </c>
      <c r="E159" s="40" t="s">
        <v>221</v>
      </c>
      <c r="F159">
        <v>95.479849999999999</v>
      </c>
      <c r="G159">
        <v>16.134519999999998</v>
      </c>
      <c r="H159" s="40" t="s">
        <v>53</v>
      </c>
      <c r="I159">
        <v>159</v>
      </c>
      <c r="J159" s="40" t="s">
        <v>575</v>
      </c>
      <c r="K159" s="40" t="s">
        <v>136</v>
      </c>
      <c r="L159" s="40" t="s">
        <v>56</v>
      </c>
      <c r="M159" s="40" t="s">
        <v>57</v>
      </c>
      <c r="N159" s="40" t="s">
        <v>57</v>
      </c>
      <c r="O159" s="40" t="s">
        <v>57</v>
      </c>
      <c r="P159" s="40" t="s">
        <v>58</v>
      </c>
      <c r="Q159" s="40" t="s">
        <v>57</v>
      </c>
      <c r="R159" s="40" t="s">
        <v>58</v>
      </c>
      <c r="S159">
        <v>9</v>
      </c>
      <c r="T159">
        <v>1</v>
      </c>
      <c r="U159" s="1">
        <v>43284</v>
      </c>
      <c r="V159" s="1">
        <v>43284</v>
      </c>
      <c r="W159" s="1">
        <v>43286</v>
      </c>
      <c r="X159" s="1">
        <v>43311</v>
      </c>
      <c r="Y159" s="1"/>
      <c r="Z159" s="40" t="s">
        <v>59</v>
      </c>
      <c r="AA159">
        <v>9</v>
      </c>
      <c r="AB159">
        <v>1</v>
      </c>
      <c r="AC159" s="1"/>
      <c r="AD159" s="40"/>
      <c r="AE159" s="1">
        <v>43187</v>
      </c>
      <c r="AF159" s="1">
        <v>43187</v>
      </c>
      <c r="AG159" s="1"/>
      <c r="AH159" s="40"/>
      <c r="AI159" s="1"/>
      <c r="AJ159" s="40">
        <f>_xlfn.MAXIFS(_01towers[02tss.Rev],_01towers[05_id],_01towers[[#This Row],[05_id]])</f>
        <v>1</v>
      </c>
      <c r="AK159" s="40" t="b">
        <f>IF(_01towers[[#This Row],[Count Rev TSS]]=_01towers[[#This Row],[02tss.Rev]],TRUE,FALSE)</f>
        <v>1</v>
      </c>
      <c r="AL159" s="40">
        <f>_xlfn.MAXIFS(_01towers[10colo_app.Rev],_01towers[05_id],_01towers[[#This Row],[05_id]])</f>
        <v>1</v>
      </c>
      <c r="AM159" s="40" t="b">
        <f>IF(_01towers[[#This Row],[Count Rev Colo App]]=_01towers[[#This Row],[10colo_app.Rev]],TRUE,FALSE)</f>
        <v>1</v>
      </c>
      <c r="AN159" s="40" t="b">
        <f>IF(AND(_01towers[[#This Row],[Test Rev Colo]]=TRUE,_01towers[[#This Row],[Test Rev TSS]]=TRUE),TRUE,FALSE)</f>
        <v>1</v>
      </c>
      <c r="AO159" s="40" t="str">
        <f>IF(_01towers[[#This Row],[Test Active]]=TRUE,_01towers[[#This Row],[Prevalidation Status]],"")</f>
        <v>Commercial Approval Requested</v>
      </c>
      <c r="AP159" s="40" t="str">
        <f>IF(_01towers[[#This Row],[Active Prevalidation Status]]="Under Prevalidation",
IF(M159="","Review",M159),"")</f>
        <v/>
      </c>
      <c r="AQ159" s="40" t="str">
        <f>IF(_01towers[[#This Row],[Active Prevalidation Status]]="Under Prevalidation",
IF(N159="","Review",N159),"")</f>
        <v/>
      </c>
      <c r="AR159" s="40" t="str">
        <f>IF(_01towers[[#This Row],[Active Prevalidation Status]]="Under Prevalidation",
IF(O159="","Review",O159),"")</f>
        <v/>
      </c>
      <c r="AS159" s="40" t="str">
        <f>IF(_01towers[[#This Row],[Active Prevalidation Status]]="Under Prevalidation",
IF(P159="","Review",P159),"")</f>
        <v/>
      </c>
      <c r="AT159" s="40" t="str">
        <f>IF(_01towers[[#This Row],[Active Prevalidation Status]]="Under Prevalidation",
IF(Q159="","Review",Q159),"")</f>
        <v/>
      </c>
      <c r="AU159" s="40" t="str">
        <f>IF(_01towers[[#This Row],[Active Prevalidation Status]]="Under Prevalidation",
IF(R159="","Review",R159),"")</f>
        <v/>
      </c>
      <c r="AV159" s="40">
        <f>COUNTIF(_01towers[[#This Row],[SAQ_Result2]:[Community_Result2]],"OK")</f>
        <v>0</v>
      </c>
      <c r="AW159" s="1" t="str">
        <f>IF(AND(OR(_01towers[[#This Row],[Active Prevalidation Status]]="Under Prevalidation",_01towers[[#This Row],[Active Prevalidation Status]]="Prevalidated"),_01towers[[#This Row],[02tss.TSSR_From_Engineer]]&gt;0),"Submitted","")</f>
        <v/>
      </c>
      <c r="AX159" s="40" t="str">
        <f>IF(OR(_01towers[[#This Row],[Active Prevalidation Status]]="Under Prevalidation",_01towers[[#This Row],[Active Prevalidation Status]]="Prevalidated"),_01towers[[#This Row],[02tss.TSS_Result]],"")</f>
        <v/>
      </c>
      <c r="AY159" s="40" t="str">
        <f>IF(AND(_01towers[[#This Row],[Active TSS Result]]="Approved",_01towers[[#This Row],[Active Prevalidation Status]]="Prevalidated"),"In Process","")</f>
        <v/>
      </c>
      <c r="AZ159" s="40" t="str">
        <f>IF(AND(_01towers[[#This Row],[Active TSS Result]]="Approved",_01towers[[#This Row],[Active Prevalidation Status]]="Prevalidated"),_01towers[[#This Row],[10colo_app.Colo_App_Result]],"")</f>
        <v/>
      </c>
      <c r="BA159" s="40">
        <f>COUNTIF(_20work_order[05_id],_01towers[[#This Row],[05_id]])</f>
        <v>0</v>
      </c>
      <c r="BB159" s="40">
        <f>COUNTIFS(_20work_order[05_id],_01towers[[#This Row],[05_id]],_20work_order[Actual_End],"&gt;0")</f>
        <v>0</v>
      </c>
      <c r="BC159" s="40" t="str">
        <f>IF(_01towers[[#This Row],[Completed Work Orders]]&gt;0,"Work Completed",
IF(_01towers[[#This Row],[Count Work Orders]]&gt;0,"Work in Progress",""))</f>
        <v/>
      </c>
      <c r="BD15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59" s="40" t="str">
        <f>_xlfn.SWITCH(_01towers[[#This Row],[Final Colo Status full]],"Commercial Approval Requested","Under Prevalidation",_01towers[[#This Row],[Final Colo Status full]])</f>
        <v>Under Prevalidation</v>
      </c>
    </row>
    <row r="160" spans="1:57" hidden="1" x14ac:dyDescent="0.35">
      <c r="A160" s="40" t="s">
        <v>366</v>
      </c>
      <c r="B160" s="40" t="s">
        <v>50</v>
      </c>
      <c r="C160" s="40" t="s">
        <v>51</v>
      </c>
      <c r="D160">
        <v>35</v>
      </c>
      <c r="E160" s="40" t="s">
        <v>79</v>
      </c>
      <c r="F160">
        <v>95.974580000000003</v>
      </c>
      <c r="G160">
        <v>21.893830000000001</v>
      </c>
      <c r="H160" s="40" t="s">
        <v>150</v>
      </c>
      <c r="I160">
        <v>160</v>
      </c>
      <c r="J160" s="40" t="s">
        <v>626</v>
      </c>
      <c r="K160" s="40" t="s">
        <v>136</v>
      </c>
      <c r="L160" s="40" t="s">
        <v>74</v>
      </c>
      <c r="M160" s="40" t="s">
        <v>57</v>
      </c>
      <c r="N160" s="40" t="s">
        <v>57</v>
      </c>
      <c r="O160" s="40" t="s">
        <v>57</v>
      </c>
      <c r="P160" s="40" t="s">
        <v>75</v>
      </c>
      <c r="Q160" s="40" t="s">
        <v>57</v>
      </c>
      <c r="R160" s="40" t="s">
        <v>57</v>
      </c>
      <c r="S160">
        <v>86</v>
      </c>
      <c r="T160">
        <v>1</v>
      </c>
      <c r="U160" s="1"/>
      <c r="V160" s="1"/>
      <c r="W160" s="1"/>
      <c r="X160" s="1"/>
      <c r="Y160" s="1"/>
      <c r="Z160" s="40"/>
      <c r="AA160">
        <v>85</v>
      </c>
      <c r="AB160">
        <v>1</v>
      </c>
      <c r="AC160" s="1"/>
      <c r="AD160" s="40"/>
      <c r="AE160" s="1"/>
      <c r="AF160" s="1"/>
      <c r="AG160" s="1"/>
      <c r="AH160" s="40"/>
      <c r="AI160" s="1"/>
      <c r="AJ160" s="40">
        <f>_xlfn.MAXIFS(_01towers[02tss.Rev],_01towers[05_id],_01towers[[#This Row],[05_id]])</f>
        <v>1</v>
      </c>
      <c r="AK160" s="40" t="b">
        <f>IF(_01towers[[#This Row],[Count Rev TSS]]=_01towers[[#This Row],[02tss.Rev]],TRUE,FALSE)</f>
        <v>1</v>
      </c>
      <c r="AL160" s="40">
        <f>_xlfn.MAXIFS(_01towers[10colo_app.Rev],_01towers[05_id],_01towers[[#This Row],[05_id]])</f>
        <v>1</v>
      </c>
      <c r="AM160" s="40" t="b">
        <f>IF(_01towers[[#This Row],[Count Rev Colo App]]=_01towers[[#This Row],[10colo_app.Rev]],TRUE,FALSE)</f>
        <v>1</v>
      </c>
      <c r="AN160" s="40" t="b">
        <f>IF(AND(_01towers[[#This Row],[Test Rev Colo]]=TRUE,_01towers[[#This Row],[Test Rev TSS]]=TRUE),TRUE,FALSE)</f>
        <v>1</v>
      </c>
      <c r="AO160" s="40" t="str">
        <f>IF(_01towers[[#This Row],[Test Active]]=TRUE,_01towers[[#This Row],[Prevalidation Status]],"")</f>
        <v>Prevalidation Rejected</v>
      </c>
      <c r="AP160" s="40" t="str">
        <f>IF(_01towers[[#This Row],[Active Prevalidation Status]]="Under Prevalidation",
IF(M160="","Review",M160),"")</f>
        <v/>
      </c>
      <c r="AQ160" s="40" t="str">
        <f>IF(_01towers[[#This Row],[Active Prevalidation Status]]="Under Prevalidation",
IF(N160="","Review",N160),"")</f>
        <v/>
      </c>
      <c r="AR160" s="40" t="str">
        <f>IF(_01towers[[#This Row],[Active Prevalidation Status]]="Under Prevalidation",
IF(O160="","Review",O160),"")</f>
        <v/>
      </c>
      <c r="AS160" s="40" t="str">
        <f>IF(_01towers[[#This Row],[Active Prevalidation Status]]="Under Prevalidation",
IF(P160="","Review",P160),"")</f>
        <v/>
      </c>
      <c r="AT160" s="40" t="str">
        <f>IF(_01towers[[#This Row],[Active Prevalidation Status]]="Under Prevalidation",
IF(Q160="","Review",Q160),"")</f>
        <v/>
      </c>
      <c r="AU160" s="40" t="str">
        <f>IF(_01towers[[#This Row],[Active Prevalidation Status]]="Under Prevalidation",
IF(R160="","Review",R160),"")</f>
        <v/>
      </c>
      <c r="AV160" s="40">
        <f>COUNTIF(_01towers[[#This Row],[SAQ_Result2]:[Community_Result2]],"OK")</f>
        <v>0</v>
      </c>
      <c r="AW160" s="1" t="str">
        <f>IF(AND(OR(_01towers[[#This Row],[Active Prevalidation Status]]="Under Prevalidation",_01towers[[#This Row],[Active Prevalidation Status]]="Prevalidated"),_01towers[[#This Row],[02tss.TSSR_From_Engineer]]&gt;0),"Submitted","")</f>
        <v/>
      </c>
      <c r="AX160" s="40" t="str">
        <f>IF(OR(_01towers[[#This Row],[Active Prevalidation Status]]="Under Prevalidation",_01towers[[#This Row],[Active Prevalidation Status]]="Prevalidated"),_01towers[[#This Row],[02tss.TSS_Result]],"")</f>
        <v/>
      </c>
      <c r="AY160" s="40" t="str">
        <f>IF(AND(_01towers[[#This Row],[Active TSS Result]]="Approved",_01towers[[#This Row],[Active Prevalidation Status]]="Prevalidated"),"In Process","")</f>
        <v/>
      </c>
      <c r="AZ160" s="40" t="str">
        <f>IF(AND(_01towers[[#This Row],[Active TSS Result]]="Approved",_01towers[[#This Row],[Active Prevalidation Status]]="Prevalidated"),_01towers[[#This Row],[10colo_app.Colo_App_Result]],"")</f>
        <v/>
      </c>
      <c r="BA160" s="40">
        <f>COUNTIF(_20work_order[05_id],_01towers[[#This Row],[05_id]])</f>
        <v>0</v>
      </c>
      <c r="BB160" s="40">
        <f>COUNTIFS(_20work_order[05_id],_01towers[[#This Row],[05_id]],_20work_order[Actual_End],"&gt;0")</f>
        <v>0</v>
      </c>
      <c r="BC160" s="40" t="str">
        <f>IF(_01towers[[#This Row],[Completed Work Orders]]&gt;0,"Work Completed",
IF(_01towers[[#This Row],[Count Work Orders]]&gt;0,"Work in Progress",""))</f>
        <v/>
      </c>
      <c r="BD16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60" s="40" t="str">
        <f>_xlfn.SWITCH(_01towers[[#This Row],[Final Colo Status full]],"Commercial Approval Requested","Under Prevalidation",_01towers[[#This Row],[Final Colo Status full]])</f>
        <v>Prevalidation Rejected</v>
      </c>
    </row>
    <row r="161" spans="1:57" hidden="1" x14ac:dyDescent="0.35">
      <c r="A161" s="40" t="s">
        <v>367</v>
      </c>
      <c r="B161" s="40" t="s">
        <v>50</v>
      </c>
      <c r="C161" s="40" t="s">
        <v>51</v>
      </c>
      <c r="D161">
        <v>45</v>
      </c>
      <c r="E161" s="40" t="s">
        <v>79</v>
      </c>
      <c r="F161">
        <v>95.982471000000004</v>
      </c>
      <c r="G161">
        <v>21.898537000000001</v>
      </c>
      <c r="H161" s="40" t="s">
        <v>53</v>
      </c>
      <c r="I161">
        <v>161</v>
      </c>
      <c r="J161" s="40" t="s">
        <v>211</v>
      </c>
      <c r="K161" s="40" t="s">
        <v>136</v>
      </c>
      <c r="L161" s="40" t="s">
        <v>64</v>
      </c>
      <c r="M161" s="40" t="s">
        <v>57</v>
      </c>
      <c r="N161" s="40" t="s">
        <v>57</v>
      </c>
      <c r="O161" s="40" t="s">
        <v>57</v>
      </c>
      <c r="P161" s="40" t="s">
        <v>57</v>
      </c>
      <c r="Q161" s="40" t="s">
        <v>57</v>
      </c>
      <c r="R161" s="40" t="s">
        <v>57</v>
      </c>
      <c r="S161">
        <v>87</v>
      </c>
      <c r="T161">
        <v>1</v>
      </c>
      <c r="U161" s="1"/>
      <c r="V161" s="1"/>
      <c r="W161" s="1"/>
      <c r="X161" s="1"/>
      <c r="Y161" s="1"/>
      <c r="Z161" s="40"/>
      <c r="AA161">
        <v>86</v>
      </c>
      <c r="AB161">
        <v>1</v>
      </c>
      <c r="AC161" s="1"/>
      <c r="AD161" s="40"/>
      <c r="AE161" s="1"/>
      <c r="AF161" s="1"/>
      <c r="AG161" s="1"/>
      <c r="AH161" s="40"/>
      <c r="AI161" s="1"/>
      <c r="AJ161" s="40">
        <f>_xlfn.MAXIFS(_01towers[02tss.Rev],_01towers[05_id],_01towers[[#This Row],[05_id]])</f>
        <v>1</v>
      </c>
      <c r="AK161" s="40" t="b">
        <f>IF(_01towers[[#This Row],[Count Rev TSS]]=_01towers[[#This Row],[02tss.Rev]],TRUE,FALSE)</f>
        <v>1</v>
      </c>
      <c r="AL161" s="40">
        <f>_xlfn.MAXIFS(_01towers[10colo_app.Rev],_01towers[05_id],_01towers[[#This Row],[05_id]])</f>
        <v>1</v>
      </c>
      <c r="AM161" s="40" t="b">
        <f>IF(_01towers[[#This Row],[Count Rev Colo App]]=_01towers[[#This Row],[10colo_app.Rev]],TRUE,FALSE)</f>
        <v>1</v>
      </c>
      <c r="AN161" s="40" t="b">
        <f>IF(AND(_01towers[[#This Row],[Test Rev Colo]]=TRUE,_01towers[[#This Row],[Test Rev TSS]]=TRUE),TRUE,FALSE)</f>
        <v>1</v>
      </c>
      <c r="AO161" s="40" t="str">
        <f>IF(_01towers[[#This Row],[Test Active]]=TRUE,_01towers[[#This Row],[Prevalidation Status]],"")</f>
        <v>Prevalidated</v>
      </c>
      <c r="AP161" s="40" t="str">
        <f>IF(_01towers[[#This Row],[Active Prevalidation Status]]="Under Prevalidation",
IF(M161="","Review",M161),"")</f>
        <v/>
      </c>
      <c r="AQ161" s="40" t="str">
        <f>IF(_01towers[[#This Row],[Active Prevalidation Status]]="Under Prevalidation",
IF(N161="","Review",N161),"")</f>
        <v/>
      </c>
      <c r="AR161" s="40" t="str">
        <f>IF(_01towers[[#This Row],[Active Prevalidation Status]]="Under Prevalidation",
IF(O161="","Review",O161),"")</f>
        <v/>
      </c>
      <c r="AS161" s="40" t="str">
        <f>IF(_01towers[[#This Row],[Active Prevalidation Status]]="Under Prevalidation",
IF(P161="","Review",P161),"")</f>
        <v/>
      </c>
      <c r="AT161" s="40" t="str">
        <f>IF(_01towers[[#This Row],[Active Prevalidation Status]]="Under Prevalidation",
IF(Q161="","Review",Q161),"")</f>
        <v/>
      </c>
      <c r="AU161" s="40" t="str">
        <f>IF(_01towers[[#This Row],[Active Prevalidation Status]]="Under Prevalidation",
IF(R161="","Review",R161),"")</f>
        <v/>
      </c>
      <c r="AV161" s="40">
        <f>COUNTIF(_01towers[[#This Row],[SAQ_Result2]:[Community_Result2]],"OK")</f>
        <v>0</v>
      </c>
      <c r="AW161" s="1" t="str">
        <f>IF(AND(OR(_01towers[[#This Row],[Active Prevalidation Status]]="Under Prevalidation",_01towers[[#This Row],[Active Prevalidation Status]]="Prevalidated"),_01towers[[#This Row],[02tss.TSSR_From_Engineer]]&gt;0),"Submitted","")</f>
        <v/>
      </c>
      <c r="AX161" s="40">
        <f>IF(OR(_01towers[[#This Row],[Active Prevalidation Status]]="Under Prevalidation",_01towers[[#This Row],[Active Prevalidation Status]]="Prevalidated"),_01towers[[#This Row],[02tss.TSS_Result]],"")</f>
        <v>0</v>
      </c>
      <c r="AY161" s="40" t="str">
        <f>IF(AND(_01towers[[#This Row],[Active TSS Result]]="Approved",_01towers[[#This Row],[Active Prevalidation Status]]="Prevalidated"),"In Process","")</f>
        <v/>
      </c>
      <c r="AZ161" s="40" t="str">
        <f>IF(AND(_01towers[[#This Row],[Active TSS Result]]="Approved",_01towers[[#This Row],[Active Prevalidation Status]]="Prevalidated"),_01towers[[#This Row],[10colo_app.Colo_App_Result]],"")</f>
        <v/>
      </c>
      <c r="BA161" s="40">
        <f>COUNTIF(_20work_order[05_id],_01towers[[#This Row],[05_id]])</f>
        <v>0</v>
      </c>
      <c r="BB161" s="40">
        <f>COUNTIFS(_20work_order[05_id],_01towers[[#This Row],[05_id]],_20work_order[Actual_End],"&gt;0")</f>
        <v>0</v>
      </c>
      <c r="BC161" s="40" t="str">
        <f>IF(_01towers[[#This Row],[Completed Work Orders]]&gt;0,"Work Completed",
IF(_01towers[[#This Row],[Count Work Orders]]&gt;0,"Work in Progress",""))</f>
        <v/>
      </c>
      <c r="BD16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61" s="40" t="str">
        <f>_xlfn.SWITCH(_01towers[[#This Row],[Final Colo Status full]],"Commercial Approval Requested","Under Prevalidation",_01towers[[#This Row],[Final Colo Status full]])</f>
        <v>Prevalidated - TSSR in Process</v>
      </c>
    </row>
    <row r="162" spans="1:57" hidden="1" x14ac:dyDescent="0.35">
      <c r="A162" s="40" t="s">
        <v>368</v>
      </c>
      <c r="B162" s="40" t="s">
        <v>50</v>
      </c>
      <c r="C162" s="40" t="s">
        <v>82</v>
      </c>
      <c r="D162">
        <v>6</v>
      </c>
      <c r="E162" s="40" t="s">
        <v>66</v>
      </c>
      <c r="F162">
        <v>96.062550000000002</v>
      </c>
      <c r="G162">
        <v>21.977150000000002</v>
      </c>
      <c r="H162" s="40" t="s">
        <v>53</v>
      </c>
      <c r="I162">
        <v>162</v>
      </c>
      <c r="J162" s="40" t="s">
        <v>369</v>
      </c>
      <c r="K162" s="40" t="s">
        <v>136</v>
      </c>
      <c r="L162" s="40" t="s">
        <v>74</v>
      </c>
      <c r="M162" s="40" t="s">
        <v>75</v>
      </c>
      <c r="N162" s="40"/>
      <c r="O162" s="40" t="s">
        <v>58</v>
      </c>
      <c r="P162" s="40"/>
      <c r="Q162" s="40"/>
      <c r="R162" s="40" t="s">
        <v>57</v>
      </c>
      <c r="S162">
        <v>35</v>
      </c>
      <c r="T162">
        <v>1</v>
      </c>
      <c r="U162" s="1"/>
      <c r="V162" s="1"/>
      <c r="W162" s="1"/>
      <c r="X162" s="1"/>
      <c r="Y162" s="1"/>
      <c r="Z162" s="40"/>
      <c r="AA162">
        <v>34</v>
      </c>
      <c r="AB162">
        <v>1</v>
      </c>
      <c r="AC162" s="1"/>
      <c r="AD162" s="40"/>
      <c r="AE162" s="1">
        <v>43231</v>
      </c>
      <c r="AF162" s="1"/>
      <c r="AG162" s="1"/>
      <c r="AH162" s="40"/>
      <c r="AI162" s="1"/>
      <c r="AJ162" s="40">
        <f>_xlfn.MAXIFS(_01towers[02tss.Rev],_01towers[05_id],_01towers[[#This Row],[05_id]])</f>
        <v>1</v>
      </c>
      <c r="AK162" s="40" t="b">
        <f>IF(_01towers[[#This Row],[Count Rev TSS]]=_01towers[[#This Row],[02tss.Rev]],TRUE,FALSE)</f>
        <v>1</v>
      </c>
      <c r="AL162" s="40">
        <f>_xlfn.MAXIFS(_01towers[10colo_app.Rev],_01towers[05_id],_01towers[[#This Row],[05_id]])</f>
        <v>1</v>
      </c>
      <c r="AM162" s="40" t="b">
        <f>IF(_01towers[[#This Row],[Count Rev Colo App]]=_01towers[[#This Row],[10colo_app.Rev]],TRUE,FALSE)</f>
        <v>1</v>
      </c>
      <c r="AN162" s="40" t="b">
        <f>IF(AND(_01towers[[#This Row],[Test Rev Colo]]=TRUE,_01towers[[#This Row],[Test Rev TSS]]=TRUE),TRUE,FALSE)</f>
        <v>1</v>
      </c>
      <c r="AO162" s="40" t="str">
        <f>IF(_01towers[[#This Row],[Test Active]]=TRUE,_01towers[[#This Row],[Prevalidation Status]],"")</f>
        <v>Prevalidation Rejected</v>
      </c>
      <c r="AP162" s="40" t="str">
        <f>IF(_01towers[[#This Row],[Active Prevalidation Status]]="Under Prevalidation",
IF(M162="","Review",M162),"")</f>
        <v/>
      </c>
      <c r="AQ162" s="40" t="str">
        <f>IF(_01towers[[#This Row],[Active Prevalidation Status]]="Under Prevalidation",
IF(N162="","Review",N162),"")</f>
        <v/>
      </c>
      <c r="AR162" s="40" t="str">
        <f>IF(_01towers[[#This Row],[Active Prevalidation Status]]="Under Prevalidation",
IF(O162="","Review",O162),"")</f>
        <v/>
      </c>
      <c r="AS162" s="40" t="str">
        <f>IF(_01towers[[#This Row],[Active Prevalidation Status]]="Under Prevalidation",
IF(P162="","Review",P162),"")</f>
        <v/>
      </c>
      <c r="AT162" s="40" t="str">
        <f>IF(_01towers[[#This Row],[Active Prevalidation Status]]="Under Prevalidation",
IF(Q162="","Review",Q162),"")</f>
        <v/>
      </c>
      <c r="AU162" s="40" t="str">
        <f>IF(_01towers[[#This Row],[Active Prevalidation Status]]="Under Prevalidation",
IF(R162="","Review",R162),"")</f>
        <v/>
      </c>
      <c r="AV162" s="40">
        <f>COUNTIF(_01towers[[#This Row],[SAQ_Result2]:[Community_Result2]],"OK")</f>
        <v>0</v>
      </c>
      <c r="AW162" s="1" t="str">
        <f>IF(AND(OR(_01towers[[#This Row],[Active Prevalidation Status]]="Under Prevalidation",_01towers[[#This Row],[Active Prevalidation Status]]="Prevalidated"),_01towers[[#This Row],[02tss.TSSR_From_Engineer]]&gt;0),"Submitted","")</f>
        <v/>
      </c>
      <c r="AX162" s="40" t="str">
        <f>IF(OR(_01towers[[#This Row],[Active Prevalidation Status]]="Under Prevalidation",_01towers[[#This Row],[Active Prevalidation Status]]="Prevalidated"),_01towers[[#This Row],[02tss.TSS_Result]],"")</f>
        <v/>
      </c>
      <c r="AY162" s="40" t="str">
        <f>IF(AND(_01towers[[#This Row],[Active TSS Result]]="Approved",_01towers[[#This Row],[Active Prevalidation Status]]="Prevalidated"),"In Process","")</f>
        <v/>
      </c>
      <c r="AZ162" s="40" t="str">
        <f>IF(AND(_01towers[[#This Row],[Active TSS Result]]="Approved",_01towers[[#This Row],[Active Prevalidation Status]]="Prevalidated"),_01towers[[#This Row],[10colo_app.Colo_App_Result]],"")</f>
        <v/>
      </c>
      <c r="BA162" s="40">
        <f>COUNTIF(_20work_order[05_id],_01towers[[#This Row],[05_id]])</f>
        <v>0</v>
      </c>
      <c r="BB162" s="40">
        <f>COUNTIFS(_20work_order[05_id],_01towers[[#This Row],[05_id]],_20work_order[Actual_End],"&gt;0")</f>
        <v>0</v>
      </c>
      <c r="BC162" s="40" t="str">
        <f>IF(_01towers[[#This Row],[Completed Work Orders]]&gt;0,"Work Completed",
IF(_01towers[[#This Row],[Count Work Orders]]&gt;0,"Work in Progress",""))</f>
        <v/>
      </c>
      <c r="BD16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62" s="40" t="str">
        <f>_xlfn.SWITCH(_01towers[[#This Row],[Final Colo Status full]],"Commercial Approval Requested","Under Prevalidation",_01towers[[#This Row],[Final Colo Status full]])</f>
        <v>Prevalidation Rejected</v>
      </c>
    </row>
    <row r="163" spans="1:57" hidden="1" x14ac:dyDescent="0.35">
      <c r="A163" s="40" t="s">
        <v>370</v>
      </c>
      <c r="B163" s="40" t="s">
        <v>50</v>
      </c>
      <c r="C163" s="40" t="s">
        <v>82</v>
      </c>
      <c r="D163">
        <v>6</v>
      </c>
      <c r="E163" s="40" t="s">
        <v>66</v>
      </c>
      <c r="F163">
        <v>96.063800000000001</v>
      </c>
      <c r="G163">
        <v>21.98387</v>
      </c>
      <c r="H163" s="40" t="s">
        <v>53</v>
      </c>
      <c r="I163">
        <v>163</v>
      </c>
      <c r="J163" s="40" t="s">
        <v>211</v>
      </c>
      <c r="K163" s="40" t="s">
        <v>136</v>
      </c>
      <c r="L163" s="40" t="s">
        <v>74</v>
      </c>
      <c r="M163" s="40" t="s">
        <v>75</v>
      </c>
      <c r="N163" s="40"/>
      <c r="O163" s="40" t="s">
        <v>58</v>
      </c>
      <c r="P163" s="40"/>
      <c r="Q163" s="40"/>
      <c r="R163" s="40" t="s">
        <v>57</v>
      </c>
      <c r="S163">
        <v>39</v>
      </c>
      <c r="T163">
        <v>1</v>
      </c>
      <c r="U163" s="1"/>
      <c r="V163" s="1"/>
      <c r="W163" s="1"/>
      <c r="X163" s="1"/>
      <c r="Y163" s="1"/>
      <c r="Z163" s="40"/>
      <c r="AA163">
        <v>38</v>
      </c>
      <c r="AB163">
        <v>1</v>
      </c>
      <c r="AC163" s="1"/>
      <c r="AD163" s="40"/>
      <c r="AE163" s="1"/>
      <c r="AF163" s="1"/>
      <c r="AG163" s="1"/>
      <c r="AH163" s="40"/>
      <c r="AI163" s="1"/>
      <c r="AJ163" s="40">
        <f>_xlfn.MAXIFS(_01towers[02tss.Rev],_01towers[05_id],_01towers[[#This Row],[05_id]])</f>
        <v>1</v>
      </c>
      <c r="AK163" s="40" t="b">
        <f>IF(_01towers[[#This Row],[Count Rev TSS]]=_01towers[[#This Row],[02tss.Rev]],TRUE,FALSE)</f>
        <v>1</v>
      </c>
      <c r="AL163" s="40">
        <f>_xlfn.MAXIFS(_01towers[10colo_app.Rev],_01towers[05_id],_01towers[[#This Row],[05_id]])</f>
        <v>1</v>
      </c>
      <c r="AM163" s="40" t="b">
        <f>IF(_01towers[[#This Row],[Count Rev Colo App]]=_01towers[[#This Row],[10colo_app.Rev]],TRUE,FALSE)</f>
        <v>1</v>
      </c>
      <c r="AN163" s="40" t="b">
        <f>IF(AND(_01towers[[#This Row],[Test Rev Colo]]=TRUE,_01towers[[#This Row],[Test Rev TSS]]=TRUE),TRUE,FALSE)</f>
        <v>1</v>
      </c>
      <c r="AO163" s="40" t="str">
        <f>IF(_01towers[[#This Row],[Test Active]]=TRUE,_01towers[[#This Row],[Prevalidation Status]],"")</f>
        <v>Prevalidation Rejected</v>
      </c>
      <c r="AP163" s="40" t="str">
        <f>IF(_01towers[[#This Row],[Active Prevalidation Status]]="Under Prevalidation",
IF(M163="","Review",M163),"")</f>
        <v/>
      </c>
      <c r="AQ163" s="40" t="str">
        <f>IF(_01towers[[#This Row],[Active Prevalidation Status]]="Under Prevalidation",
IF(N163="","Review",N163),"")</f>
        <v/>
      </c>
      <c r="AR163" s="40" t="str">
        <f>IF(_01towers[[#This Row],[Active Prevalidation Status]]="Under Prevalidation",
IF(O163="","Review",O163),"")</f>
        <v/>
      </c>
      <c r="AS163" s="40" t="str">
        <f>IF(_01towers[[#This Row],[Active Prevalidation Status]]="Under Prevalidation",
IF(P163="","Review",P163),"")</f>
        <v/>
      </c>
      <c r="AT163" s="40" t="str">
        <f>IF(_01towers[[#This Row],[Active Prevalidation Status]]="Under Prevalidation",
IF(Q163="","Review",Q163),"")</f>
        <v/>
      </c>
      <c r="AU163" s="40" t="str">
        <f>IF(_01towers[[#This Row],[Active Prevalidation Status]]="Under Prevalidation",
IF(R163="","Review",R163),"")</f>
        <v/>
      </c>
      <c r="AV163" s="40">
        <f>COUNTIF(_01towers[[#This Row],[SAQ_Result2]:[Community_Result2]],"OK")</f>
        <v>0</v>
      </c>
      <c r="AW163" s="1" t="str">
        <f>IF(AND(OR(_01towers[[#This Row],[Active Prevalidation Status]]="Under Prevalidation",_01towers[[#This Row],[Active Prevalidation Status]]="Prevalidated"),_01towers[[#This Row],[02tss.TSSR_From_Engineer]]&gt;0),"Submitted","")</f>
        <v/>
      </c>
      <c r="AX163" s="40" t="str">
        <f>IF(OR(_01towers[[#This Row],[Active Prevalidation Status]]="Under Prevalidation",_01towers[[#This Row],[Active Prevalidation Status]]="Prevalidated"),_01towers[[#This Row],[02tss.TSS_Result]],"")</f>
        <v/>
      </c>
      <c r="AY163" s="40" t="str">
        <f>IF(AND(_01towers[[#This Row],[Active TSS Result]]="Approved",_01towers[[#This Row],[Active Prevalidation Status]]="Prevalidated"),"In Process","")</f>
        <v/>
      </c>
      <c r="AZ163" s="40" t="str">
        <f>IF(AND(_01towers[[#This Row],[Active TSS Result]]="Approved",_01towers[[#This Row],[Active Prevalidation Status]]="Prevalidated"),_01towers[[#This Row],[10colo_app.Colo_App_Result]],"")</f>
        <v/>
      </c>
      <c r="BA163" s="40">
        <f>COUNTIF(_20work_order[05_id],_01towers[[#This Row],[05_id]])</f>
        <v>0</v>
      </c>
      <c r="BB163" s="40">
        <f>COUNTIFS(_20work_order[05_id],_01towers[[#This Row],[05_id]],_20work_order[Actual_End],"&gt;0")</f>
        <v>0</v>
      </c>
      <c r="BC163" s="40" t="str">
        <f>IF(_01towers[[#This Row],[Completed Work Orders]]&gt;0,"Work Completed",
IF(_01towers[[#This Row],[Count Work Orders]]&gt;0,"Work in Progress",""))</f>
        <v/>
      </c>
      <c r="BD16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63" s="40" t="str">
        <f>_xlfn.SWITCH(_01towers[[#This Row],[Final Colo Status full]],"Commercial Approval Requested","Under Prevalidation",_01towers[[#This Row],[Final Colo Status full]])</f>
        <v>Prevalidation Rejected</v>
      </c>
    </row>
    <row r="164" spans="1:57" hidden="1" x14ac:dyDescent="0.35">
      <c r="A164" s="40" t="s">
        <v>371</v>
      </c>
      <c r="B164" s="40" t="s">
        <v>50</v>
      </c>
      <c r="C164" s="40" t="s">
        <v>82</v>
      </c>
      <c r="D164">
        <v>6</v>
      </c>
      <c r="E164" s="40" t="s">
        <v>66</v>
      </c>
      <c r="F164">
        <v>96.075699999999998</v>
      </c>
      <c r="G164">
        <v>21.982530000000001</v>
      </c>
      <c r="H164" s="40" t="s">
        <v>53</v>
      </c>
      <c r="I164">
        <v>164</v>
      </c>
      <c r="J164" s="40" t="s">
        <v>372</v>
      </c>
      <c r="K164" s="40" t="s">
        <v>136</v>
      </c>
      <c r="L164" s="40" t="s">
        <v>74</v>
      </c>
      <c r="M164" s="40" t="s">
        <v>75</v>
      </c>
      <c r="N164" s="40"/>
      <c r="O164" s="40" t="s">
        <v>58</v>
      </c>
      <c r="P164" s="40"/>
      <c r="Q164" s="40"/>
      <c r="R164" s="40" t="s">
        <v>57</v>
      </c>
      <c r="S164">
        <v>42</v>
      </c>
      <c r="T164">
        <v>1</v>
      </c>
      <c r="U164" s="1"/>
      <c r="V164" s="1"/>
      <c r="W164" s="1"/>
      <c r="X164" s="1"/>
      <c r="Y164" s="1"/>
      <c r="Z164" s="40"/>
      <c r="AA164">
        <v>41</v>
      </c>
      <c r="AB164">
        <v>1</v>
      </c>
      <c r="AC164" s="1"/>
      <c r="AD164" s="40"/>
      <c r="AE164" s="1">
        <v>43263</v>
      </c>
      <c r="AF164" s="1">
        <v>43263</v>
      </c>
      <c r="AG164" s="1"/>
      <c r="AH164" s="40"/>
      <c r="AI164" s="1"/>
      <c r="AJ164" s="40">
        <f>_xlfn.MAXIFS(_01towers[02tss.Rev],_01towers[05_id],_01towers[[#This Row],[05_id]])</f>
        <v>1</v>
      </c>
      <c r="AK164" s="40" t="b">
        <f>IF(_01towers[[#This Row],[Count Rev TSS]]=_01towers[[#This Row],[02tss.Rev]],TRUE,FALSE)</f>
        <v>1</v>
      </c>
      <c r="AL164" s="40">
        <f>_xlfn.MAXIFS(_01towers[10colo_app.Rev],_01towers[05_id],_01towers[[#This Row],[05_id]])</f>
        <v>1</v>
      </c>
      <c r="AM164" s="40" t="b">
        <f>IF(_01towers[[#This Row],[Count Rev Colo App]]=_01towers[[#This Row],[10colo_app.Rev]],TRUE,FALSE)</f>
        <v>1</v>
      </c>
      <c r="AN164" s="40" t="b">
        <f>IF(AND(_01towers[[#This Row],[Test Rev Colo]]=TRUE,_01towers[[#This Row],[Test Rev TSS]]=TRUE),TRUE,FALSE)</f>
        <v>1</v>
      </c>
      <c r="AO164" s="40" t="str">
        <f>IF(_01towers[[#This Row],[Test Active]]=TRUE,_01towers[[#This Row],[Prevalidation Status]],"")</f>
        <v>Prevalidation Rejected</v>
      </c>
      <c r="AP164" s="40" t="str">
        <f>IF(_01towers[[#This Row],[Active Prevalidation Status]]="Under Prevalidation",
IF(M164="","Review",M164),"")</f>
        <v/>
      </c>
      <c r="AQ164" s="40" t="str">
        <f>IF(_01towers[[#This Row],[Active Prevalidation Status]]="Under Prevalidation",
IF(N164="","Review",N164),"")</f>
        <v/>
      </c>
      <c r="AR164" s="40" t="str">
        <f>IF(_01towers[[#This Row],[Active Prevalidation Status]]="Under Prevalidation",
IF(O164="","Review",O164),"")</f>
        <v/>
      </c>
      <c r="AS164" s="40" t="str">
        <f>IF(_01towers[[#This Row],[Active Prevalidation Status]]="Under Prevalidation",
IF(P164="","Review",P164),"")</f>
        <v/>
      </c>
      <c r="AT164" s="40" t="str">
        <f>IF(_01towers[[#This Row],[Active Prevalidation Status]]="Under Prevalidation",
IF(Q164="","Review",Q164),"")</f>
        <v/>
      </c>
      <c r="AU164" s="40" t="str">
        <f>IF(_01towers[[#This Row],[Active Prevalidation Status]]="Under Prevalidation",
IF(R164="","Review",R164),"")</f>
        <v/>
      </c>
      <c r="AV164" s="40">
        <f>COUNTIF(_01towers[[#This Row],[SAQ_Result2]:[Community_Result2]],"OK")</f>
        <v>0</v>
      </c>
      <c r="AW164" s="1" t="str">
        <f>IF(AND(OR(_01towers[[#This Row],[Active Prevalidation Status]]="Under Prevalidation",_01towers[[#This Row],[Active Prevalidation Status]]="Prevalidated"),_01towers[[#This Row],[02tss.TSSR_From_Engineer]]&gt;0),"Submitted","")</f>
        <v/>
      </c>
      <c r="AX164" s="40" t="str">
        <f>IF(OR(_01towers[[#This Row],[Active Prevalidation Status]]="Under Prevalidation",_01towers[[#This Row],[Active Prevalidation Status]]="Prevalidated"),_01towers[[#This Row],[02tss.TSS_Result]],"")</f>
        <v/>
      </c>
      <c r="AY164" s="40" t="str">
        <f>IF(AND(_01towers[[#This Row],[Active TSS Result]]="Approved",_01towers[[#This Row],[Active Prevalidation Status]]="Prevalidated"),"In Process","")</f>
        <v/>
      </c>
      <c r="AZ164" s="40" t="str">
        <f>IF(AND(_01towers[[#This Row],[Active TSS Result]]="Approved",_01towers[[#This Row],[Active Prevalidation Status]]="Prevalidated"),_01towers[[#This Row],[10colo_app.Colo_App_Result]],"")</f>
        <v/>
      </c>
      <c r="BA164" s="40">
        <f>COUNTIF(_20work_order[05_id],_01towers[[#This Row],[05_id]])</f>
        <v>0</v>
      </c>
      <c r="BB164" s="40">
        <f>COUNTIFS(_20work_order[05_id],_01towers[[#This Row],[05_id]],_20work_order[Actual_End],"&gt;0")</f>
        <v>0</v>
      </c>
      <c r="BC164" s="40" t="str">
        <f>IF(_01towers[[#This Row],[Completed Work Orders]]&gt;0,"Work Completed",
IF(_01towers[[#This Row],[Count Work Orders]]&gt;0,"Work in Progress",""))</f>
        <v/>
      </c>
      <c r="BD16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64" s="40" t="str">
        <f>_xlfn.SWITCH(_01towers[[#This Row],[Final Colo Status full]],"Commercial Approval Requested","Under Prevalidation",_01towers[[#This Row],[Final Colo Status full]])</f>
        <v>Prevalidation Rejected</v>
      </c>
    </row>
    <row r="165" spans="1:57" hidden="1" x14ac:dyDescent="0.35">
      <c r="A165" s="40" t="s">
        <v>373</v>
      </c>
      <c r="B165" s="40" t="s">
        <v>50</v>
      </c>
      <c r="C165" s="40" t="s">
        <v>51</v>
      </c>
      <c r="D165">
        <v>45</v>
      </c>
      <c r="E165" s="40" t="s">
        <v>66</v>
      </c>
      <c r="F165">
        <v>96.089699999999993</v>
      </c>
      <c r="G165">
        <v>21.88571</v>
      </c>
      <c r="H165" s="40" t="s">
        <v>150</v>
      </c>
      <c r="I165">
        <v>165</v>
      </c>
      <c r="J165" s="40" t="s">
        <v>374</v>
      </c>
      <c r="K165" s="40" t="s">
        <v>136</v>
      </c>
      <c r="L165" s="40" t="s">
        <v>64</v>
      </c>
      <c r="M165" s="40" t="s">
        <v>57</v>
      </c>
      <c r="N165" s="40" t="s">
        <v>57</v>
      </c>
      <c r="O165" s="40" t="s">
        <v>57</v>
      </c>
      <c r="P165" s="40" t="s">
        <v>57</v>
      </c>
      <c r="Q165" s="40" t="s">
        <v>57</v>
      </c>
      <c r="R165" s="40" t="s">
        <v>57</v>
      </c>
      <c r="S165">
        <v>54</v>
      </c>
      <c r="T165">
        <v>1</v>
      </c>
      <c r="U165" s="1"/>
      <c r="V165" s="1"/>
      <c r="W165" s="1"/>
      <c r="X165" s="1"/>
      <c r="Y165" s="1"/>
      <c r="Z165" s="40"/>
      <c r="AA165">
        <v>53</v>
      </c>
      <c r="AB165">
        <v>1</v>
      </c>
      <c r="AC165" s="1"/>
      <c r="AD165" s="40"/>
      <c r="AE165" s="1"/>
      <c r="AF165" s="1"/>
      <c r="AG165" s="1"/>
      <c r="AH165" s="40"/>
      <c r="AI165" s="1"/>
      <c r="AJ165" s="40">
        <f>_xlfn.MAXIFS(_01towers[02tss.Rev],_01towers[05_id],_01towers[[#This Row],[05_id]])</f>
        <v>1</v>
      </c>
      <c r="AK165" s="40" t="b">
        <f>IF(_01towers[[#This Row],[Count Rev TSS]]=_01towers[[#This Row],[02tss.Rev]],TRUE,FALSE)</f>
        <v>1</v>
      </c>
      <c r="AL165" s="40">
        <f>_xlfn.MAXIFS(_01towers[10colo_app.Rev],_01towers[05_id],_01towers[[#This Row],[05_id]])</f>
        <v>1</v>
      </c>
      <c r="AM165" s="40" t="b">
        <f>IF(_01towers[[#This Row],[Count Rev Colo App]]=_01towers[[#This Row],[10colo_app.Rev]],TRUE,FALSE)</f>
        <v>1</v>
      </c>
      <c r="AN165" s="40" t="b">
        <f>IF(AND(_01towers[[#This Row],[Test Rev Colo]]=TRUE,_01towers[[#This Row],[Test Rev TSS]]=TRUE),TRUE,FALSE)</f>
        <v>1</v>
      </c>
      <c r="AO165" s="40" t="str">
        <f>IF(_01towers[[#This Row],[Test Active]]=TRUE,_01towers[[#This Row],[Prevalidation Status]],"")</f>
        <v>Prevalidated</v>
      </c>
      <c r="AP165" s="40" t="str">
        <f>IF(_01towers[[#This Row],[Active Prevalidation Status]]="Under Prevalidation",
IF(M165="","Review",M165),"")</f>
        <v/>
      </c>
      <c r="AQ165" s="40" t="str">
        <f>IF(_01towers[[#This Row],[Active Prevalidation Status]]="Under Prevalidation",
IF(N165="","Review",N165),"")</f>
        <v/>
      </c>
      <c r="AR165" s="40" t="str">
        <f>IF(_01towers[[#This Row],[Active Prevalidation Status]]="Under Prevalidation",
IF(O165="","Review",O165),"")</f>
        <v/>
      </c>
      <c r="AS165" s="40" t="str">
        <f>IF(_01towers[[#This Row],[Active Prevalidation Status]]="Under Prevalidation",
IF(P165="","Review",P165),"")</f>
        <v/>
      </c>
      <c r="AT165" s="40" t="str">
        <f>IF(_01towers[[#This Row],[Active Prevalidation Status]]="Under Prevalidation",
IF(Q165="","Review",Q165),"")</f>
        <v/>
      </c>
      <c r="AU165" s="40" t="str">
        <f>IF(_01towers[[#This Row],[Active Prevalidation Status]]="Under Prevalidation",
IF(R165="","Review",R165),"")</f>
        <v/>
      </c>
      <c r="AV165" s="40">
        <f>COUNTIF(_01towers[[#This Row],[SAQ_Result2]:[Community_Result2]],"OK")</f>
        <v>0</v>
      </c>
      <c r="AW165" s="1" t="str">
        <f>IF(AND(OR(_01towers[[#This Row],[Active Prevalidation Status]]="Under Prevalidation",_01towers[[#This Row],[Active Prevalidation Status]]="Prevalidated"),_01towers[[#This Row],[02tss.TSSR_From_Engineer]]&gt;0),"Submitted","")</f>
        <v/>
      </c>
      <c r="AX165" s="40">
        <f>IF(OR(_01towers[[#This Row],[Active Prevalidation Status]]="Under Prevalidation",_01towers[[#This Row],[Active Prevalidation Status]]="Prevalidated"),_01towers[[#This Row],[02tss.TSS_Result]],"")</f>
        <v>0</v>
      </c>
      <c r="AY165" s="40" t="str">
        <f>IF(AND(_01towers[[#This Row],[Active TSS Result]]="Approved",_01towers[[#This Row],[Active Prevalidation Status]]="Prevalidated"),"In Process","")</f>
        <v/>
      </c>
      <c r="AZ165" s="40" t="str">
        <f>IF(AND(_01towers[[#This Row],[Active TSS Result]]="Approved",_01towers[[#This Row],[Active Prevalidation Status]]="Prevalidated"),_01towers[[#This Row],[10colo_app.Colo_App_Result]],"")</f>
        <v/>
      </c>
      <c r="BA165" s="40">
        <f>COUNTIF(_20work_order[05_id],_01towers[[#This Row],[05_id]])</f>
        <v>0</v>
      </c>
      <c r="BB165" s="40">
        <f>COUNTIFS(_20work_order[05_id],_01towers[[#This Row],[05_id]],_20work_order[Actual_End],"&gt;0")</f>
        <v>0</v>
      </c>
      <c r="BC165" s="40" t="str">
        <f>IF(_01towers[[#This Row],[Completed Work Orders]]&gt;0,"Work Completed",
IF(_01towers[[#This Row],[Count Work Orders]]&gt;0,"Work in Progress",""))</f>
        <v/>
      </c>
      <c r="BD16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65" s="40" t="str">
        <f>_xlfn.SWITCH(_01towers[[#This Row],[Final Colo Status full]],"Commercial Approval Requested","Under Prevalidation",_01towers[[#This Row],[Final Colo Status full]])</f>
        <v>Prevalidated - TSSR in Process</v>
      </c>
    </row>
    <row r="166" spans="1:57" hidden="1" x14ac:dyDescent="0.35">
      <c r="A166" s="40" t="s">
        <v>375</v>
      </c>
      <c r="B166" s="40" t="s">
        <v>50</v>
      </c>
      <c r="C166" s="40" t="s">
        <v>51</v>
      </c>
      <c r="D166">
        <v>35</v>
      </c>
      <c r="E166" s="40" t="s">
        <v>66</v>
      </c>
      <c r="F166">
        <v>96.095249999999993</v>
      </c>
      <c r="G166">
        <v>21.8964</v>
      </c>
      <c r="H166" s="40" t="s">
        <v>62</v>
      </c>
      <c r="I166">
        <v>166</v>
      </c>
      <c r="J166" s="40" t="s">
        <v>211</v>
      </c>
      <c r="K166" s="40" t="s">
        <v>136</v>
      </c>
      <c r="L166" s="40" t="s">
        <v>64</v>
      </c>
      <c r="M166" s="40" t="s">
        <v>57</v>
      </c>
      <c r="N166" s="40" t="s">
        <v>57</v>
      </c>
      <c r="O166" s="40" t="s">
        <v>57</v>
      </c>
      <c r="P166" s="40" t="s">
        <v>57</v>
      </c>
      <c r="Q166" s="40" t="s">
        <v>57</v>
      </c>
      <c r="R166" s="40" t="s">
        <v>57</v>
      </c>
      <c r="S166">
        <v>55</v>
      </c>
      <c r="T166">
        <v>1</v>
      </c>
      <c r="U166" s="1"/>
      <c r="V166" s="1"/>
      <c r="W166" s="1"/>
      <c r="X166" s="1"/>
      <c r="Y166" s="1"/>
      <c r="Z166" s="40"/>
      <c r="AA166">
        <v>54</v>
      </c>
      <c r="AB166">
        <v>1</v>
      </c>
      <c r="AC166" s="1"/>
      <c r="AD166" s="40"/>
      <c r="AE166" s="1"/>
      <c r="AF166" s="1"/>
      <c r="AG166" s="1"/>
      <c r="AH166" s="40"/>
      <c r="AI166" s="1"/>
      <c r="AJ166" s="40">
        <f>_xlfn.MAXIFS(_01towers[02tss.Rev],_01towers[05_id],_01towers[[#This Row],[05_id]])</f>
        <v>1</v>
      </c>
      <c r="AK166" s="40" t="b">
        <f>IF(_01towers[[#This Row],[Count Rev TSS]]=_01towers[[#This Row],[02tss.Rev]],TRUE,FALSE)</f>
        <v>1</v>
      </c>
      <c r="AL166" s="40">
        <f>_xlfn.MAXIFS(_01towers[10colo_app.Rev],_01towers[05_id],_01towers[[#This Row],[05_id]])</f>
        <v>1</v>
      </c>
      <c r="AM166" s="40" t="b">
        <f>IF(_01towers[[#This Row],[Count Rev Colo App]]=_01towers[[#This Row],[10colo_app.Rev]],TRUE,FALSE)</f>
        <v>1</v>
      </c>
      <c r="AN166" s="40" t="b">
        <f>IF(AND(_01towers[[#This Row],[Test Rev Colo]]=TRUE,_01towers[[#This Row],[Test Rev TSS]]=TRUE),TRUE,FALSE)</f>
        <v>1</v>
      </c>
      <c r="AO166" s="40" t="str">
        <f>IF(_01towers[[#This Row],[Test Active]]=TRUE,_01towers[[#This Row],[Prevalidation Status]],"")</f>
        <v>Prevalidated</v>
      </c>
      <c r="AP166" s="40" t="str">
        <f>IF(_01towers[[#This Row],[Active Prevalidation Status]]="Under Prevalidation",
IF(M166="","Review",M166),"")</f>
        <v/>
      </c>
      <c r="AQ166" s="40" t="str">
        <f>IF(_01towers[[#This Row],[Active Prevalidation Status]]="Under Prevalidation",
IF(N166="","Review",N166),"")</f>
        <v/>
      </c>
      <c r="AR166" s="40" t="str">
        <f>IF(_01towers[[#This Row],[Active Prevalidation Status]]="Under Prevalidation",
IF(O166="","Review",O166),"")</f>
        <v/>
      </c>
      <c r="AS166" s="40" t="str">
        <f>IF(_01towers[[#This Row],[Active Prevalidation Status]]="Under Prevalidation",
IF(P166="","Review",P166),"")</f>
        <v/>
      </c>
      <c r="AT166" s="40" t="str">
        <f>IF(_01towers[[#This Row],[Active Prevalidation Status]]="Under Prevalidation",
IF(Q166="","Review",Q166),"")</f>
        <v/>
      </c>
      <c r="AU166" s="40" t="str">
        <f>IF(_01towers[[#This Row],[Active Prevalidation Status]]="Under Prevalidation",
IF(R166="","Review",R166),"")</f>
        <v/>
      </c>
      <c r="AV166" s="40">
        <f>COUNTIF(_01towers[[#This Row],[SAQ_Result2]:[Community_Result2]],"OK")</f>
        <v>0</v>
      </c>
      <c r="AW166" s="1" t="str">
        <f>IF(AND(OR(_01towers[[#This Row],[Active Prevalidation Status]]="Under Prevalidation",_01towers[[#This Row],[Active Prevalidation Status]]="Prevalidated"),_01towers[[#This Row],[02tss.TSSR_From_Engineer]]&gt;0),"Submitted","")</f>
        <v/>
      </c>
      <c r="AX166" s="40">
        <f>IF(OR(_01towers[[#This Row],[Active Prevalidation Status]]="Under Prevalidation",_01towers[[#This Row],[Active Prevalidation Status]]="Prevalidated"),_01towers[[#This Row],[02tss.TSS_Result]],"")</f>
        <v>0</v>
      </c>
      <c r="AY166" s="40" t="str">
        <f>IF(AND(_01towers[[#This Row],[Active TSS Result]]="Approved",_01towers[[#This Row],[Active Prevalidation Status]]="Prevalidated"),"In Process","")</f>
        <v/>
      </c>
      <c r="AZ166" s="40" t="str">
        <f>IF(AND(_01towers[[#This Row],[Active TSS Result]]="Approved",_01towers[[#This Row],[Active Prevalidation Status]]="Prevalidated"),_01towers[[#This Row],[10colo_app.Colo_App_Result]],"")</f>
        <v/>
      </c>
      <c r="BA166" s="40">
        <f>COUNTIF(_20work_order[05_id],_01towers[[#This Row],[05_id]])</f>
        <v>0</v>
      </c>
      <c r="BB166" s="40">
        <f>COUNTIFS(_20work_order[05_id],_01towers[[#This Row],[05_id]],_20work_order[Actual_End],"&gt;0")</f>
        <v>0</v>
      </c>
      <c r="BC166" s="40" t="str">
        <f>IF(_01towers[[#This Row],[Completed Work Orders]]&gt;0,"Work Completed",
IF(_01towers[[#This Row],[Count Work Orders]]&gt;0,"Work in Progress",""))</f>
        <v/>
      </c>
      <c r="BD16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66" s="40" t="str">
        <f>_xlfn.SWITCH(_01towers[[#This Row],[Final Colo Status full]],"Commercial Approval Requested","Under Prevalidation",_01towers[[#This Row],[Final Colo Status full]])</f>
        <v>Prevalidated - TSSR in Process</v>
      </c>
    </row>
    <row r="167" spans="1:57" hidden="1" x14ac:dyDescent="0.35">
      <c r="A167" s="40" t="s">
        <v>376</v>
      </c>
      <c r="B167" s="40" t="s">
        <v>90</v>
      </c>
      <c r="C167" s="40" t="s">
        <v>51</v>
      </c>
      <c r="D167">
        <v>60</v>
      </c>
      <c r="E167" s="40" t="s">
        <v>221</v>
      </c>
      <c r="F167">
        <v>94.543180000000007</v>
      </c>
      <c r="G167">
        <v>16.740753000000002</v>
      </c>
      <c r="H167" s="40" t="s">
        <v>143</v>
      </c>
      <c r="I167">
        <v>167</v>
      </c>
      <c r="J167" s="40" t="s">
        <v>377</v>
      </c>
      <c r="K167" s="40" t="s">
        <v>136</v>
      </c>
      <c r="L167" s="40" t="s">
        <v>74</v>
      </c>
      <c r="M167" s="40" t="s">
        <v>57</v>
      </c>
      <c r="N167" s="40"/>
      <c r="O167" s="40" t="s">
        <v>57</v>
      </c>
      <c r="P167" s="40" t="s">
        <v>57</v>
      </c>
      <c r="Q167" s="40" t="s">
        <v>57</v>
      </c>
      <c r="R167" s="40" t="s">
        <v>75</v>
      </c>
      <c r="S167">
        <v>10</v>
      </c>
      <c r="T167">
        <v>1</v>
      </c>
      <c r="U167" s="1"/>
      <c r="V167" s="1"/>
      <c r="W167" s="1"/>
      <c r="X167" s="1"/>
      <c r="Y167" s="1"/>
      <c r="Z167" s="40"/>
      <c r="AA167">
        <v>10</v>
      </c>
      <c r="AB167">
        <v>1</v>
      </c>
      <c r="AC167" s="1"/>
      <c r="AD167" s="40"/>
      <c r="AE167" s="1">
        <v>43265</v>
      </c>
      <c r="AF167" s="1">
        <v>43265</v>
      </c>
      <c r="AG167" s="1"/>
      <c r="AH167" s="40"/>
      <c r="AI167" s="1"/>
      <c r="AJ167" s="40">
        <f>_xlfn.MAXIFS(_01towers[02tss.Rev],_01towers[05_id],_01towers[[#This Row],[05_id]])</f>
        <v>1</v>
      </c>
      <c r="AK167" s="40" t="b">
        <f>IF(_01towers[[#This Row],[Count Rev TSS]]=_01towers[[#This Row],[02tss.Rev]],TRUE,FALSE)</f>
        <v>1</v>
      </c>
      <c r="AL167" s="40">
        <f>_xlfn.MAXIFS(_01towers[10colo_app.Rev],_01towers[05_id],_01towers[[#This Row],[05_id]])</f>
        <v>1</v>
      </c>
      <c r="AM167" s="40" t="b">
        <f>IF(_01towers[[#This Row],[Count Rev Colo App]]=_01towers[[#This Row],[10colo_app.Rev]],TRUE,FALSE)</f>
        <v>1</v>
      </c>
      <c r="AN167" s="40" t="b">
        <f>IF(AND(_01towers[[#This Row],[Test Rev Colo]]=TRUE,_01towers[[#This Row],[Test Rev TSS]]=TRUE),TRUE,FALSE)</f>
        <v>1</v>
      </c>
      <c r="AO167" s="40" t="str">
        <f>IF(_01towers[[#This Row],[Test Active]]=TRUE,_01towers[[#This Row],[Prevalidation Status]],"")</f>
        <v>Prevalidation Rejected</v>
      </c>
      <c r="AP167" s="40" t="str">
        <f>IF(_01towers[[#This Row],[Active Prevalidation Status]]="Under Prevalidation",
IF(M167="","Review",M167),"")</f>
        <v/>
      </c>
      <c r="AQ167" s="40" t="str">
        <f>IF(_01towers[[#This Row],[Active Prevalidation Status]]="Under Prevalidation",
IF(N167="","Review",N167),"")</f>
        <v/>
      </c>
      <c r="AR167" s="40" t="str">
        <f>IF(_01towers[[#This Row],[Active Prevalidation Status]]="Under Prevalidation",
IF(O167="","Review",O167),"")</f>
        <v/>
      </c>
      <c r="AS167" s="40" t="str">
        <f>IF(_01towers[[#This Row],[Active Prevalidation Status]]="Under Prevalidation",
IF(P167="","Review",P167),"")</f>
        <v/>
      </c>
      <c r="AT167" s="40" t="str">
        <f>IF(_01towers[[#This Row],[Active Prevalidation Status]]="Under Prevalidation",
IF(Q167="","Review",Q167),"")</f>
        <v/>
      </c>
      <c r="AU167" s="40" t="str">
        <f>IF(_01towers[[#This Row],[Active Prevalidation Status]]="Under Prevalidation",
IF(R167="","Review",R167),"")</f>
        <v/>
      </c>
      <c r="AV167" s="40">
        <f>COUNTIF(_01towers[[#This Row],[SAQ_Result2]:[Community_Result2]],"OK")</f>
        <v>0</v>
      </c>
      <c r="AW167" s="1" t="str">
        <f>IF(AND(OR(_01towers[[#This Row],[Active Prevalidation Status]]="Under Prevalidation",_01towers[[#This Row],[Active Prevalidation Status]]="Prevalidated"),_01towers[[#This Row],[02tss.TSSR_From_Engineer]]&gt;0),"Submitted","")</f>
        <v/>
      </c>
      <c r="AX167" s="40" t="str">
        <f>IF(OR(_01towers[[#This Row],[Active Prevalidation Status]]="Under Prevalidation",_01towers[[#This Row],[Active Prevalidation Status]]="Prevalidated"),_01towers[[#This Row],[02tss.TSS_Result]],"")</f>
        <v/>
      </c>
      <c r="AY167" s="40" t="str">
        <f>IF(AND(_01towers[[#This Row],[Active TSS Result]]="Approved",_01towers[[#This Row],[Active Prevalidation Status]]="Prevalidated"),"In Process","")</f>
        <v/>
      </c>
      <c r="AZ167" s="40" t="str">
        <f>IF(AND(_01towers[[#This Row],[Active TSS Result]]="Approved",_01towers[[#This Row],[Active Prevalidation Status]]="Prevalidated"),_01towers[[#This Row],[10colo_app.Colo_App_Result]],"")</f>
        <v/>
      </c>
      <c r="BA167" s="40">
        <f>COUNTIF(_20work_order[05_id],_01towers[[#This Row],[05_id]])</f>
        <v>0</v>
      </c>
      <c r="BB167" s="40">
        <f>COUNTIFS(_20work_order[05_id],_01towers[[#This Row],[05_id]],_20work_order[Actual_End],"&gt;0")</f>
        <v>0</v>
      </c>
      <c r="BC167" s="40" t="str">
        <f>IF(_01towers[[#This Row],[Completed Work Orders]]&gt;0,"Work Completed",
IF(_01towers[[#This Row],[Count Work Orders]]&gt;0,"Work in Progress",""))</f>
        <v/>
      </c>
      <c r="BD16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67" s="40" t="str">
        <f>_xlfn.SWITCH(_01towers[[#This Row],[Final Colo Status full]],"Commercial Approval Requested","Under Prevalidation",_01towers[[#This Row],[Final Colo Status full]])</f>
        <v>Prevalidation Rejected</v>
      </c>
    </row>
    <row r="168" spans="1:57" hidden="1" x14ac:dyDescent="0.35">
      <c r="A168" s="40" t="s">
        <v>378</v>
      </c>
      <c r="B168" s="40" t="s">
        <v>85</v>
      </c>
      <c r="C168" s="40" t="s">
        <v>51</v>
      </c>
      <c r="D168">
        <v>60</v>
      </c>
      <c r="E168" s="40" t="s">
        <v>167</v>
      </c>
      <c r="F168">
        <v>95.497140000000002</v>
      </c>
      <c r="G168">
        <v>19.80912</v>
      </c>
      <c r="H168" s="40" t="s">
        <v>53</v>
      </c>
      <c r="I168">
        <v>168</v>
      </c>
      <c r="J168" s="40" t="s">
        <v>379</v>
      </c>
      <c r="K168" s="40" t="s">
        <v>136</v>
      </c>
      <c r="L168" s="40" t="s">
        <v>64</v>
      </c>
      <c r="M168" s="40" t="s">
        <v>57</v>
      </c>
      <c r="N168" s="40" t="s">
        <v>57</v>
      </c>
      <c r="O168" s="40" t="s">
        <v>57</v>
      </c>
      <c r="P168" s="40" t="s">
        <v>57</v>
      </c>
      <c r="Q168" s="40" t="s">
        <v>57</v>
      </c>
      <c r="R168" s="40" t="s">
        <v>57</v>
      </c>
      <c r="S168">
        <v>63</v>
      </c>
      <c r="T168">
        <v>1</v>
      </c>
      <c r="U168" s="1">
        <v>43277</v>
      </c>
      <c r="V168" s="1">
        <v>43278</v>
      </c>
      <c r="W168" s="1">
        <v>43280</v>
      </c>
      <c r="X168" s="1">
        <v>43320</v>
      </c>
      <c r="Y168" s="1"/>
      <c r="Z168" s="40" t="s">
        <v>59</v>
      </c>
      <c r="AA168">
        <v>62</v>
      </c>
      <c r="AB168">
        <v>1</v>
      </c>
      <c r="AC168" s="1">
        <v>43320</v>
      </c>
      <c r="AD168" s="40" t="s">
        <v>570</v>
      </c>
      <c r="AE168" s="1"/>
      <c r="AF168" s="1"/>
      <c r="AG168" s="1"/>
      <c r="AH168" s="40"/>
      <c r="AI168" s="1"/>
      <c r="AJ168" s="40">
        <f>_xlfn.MAXIFS(_01towers[02tss.Rev],_01towers[05_id],_01towers[[#This Row],[05_id]])</f>
        <v>1</v>
      </c>
      <c r="AK168" s="40" t="b">
        <f>IF(_01towers[[#This Row],[Count Rev TSS]]=_01towers[[#This Row],[02tss.Rev]],TRUE,FALSE)</f>
        <v>1</v>
      </c>
      <c r="AL168" s="40">
        <f>_xlfn.MAXIFS(_01towers[10colo_app.Rev],_01towers[05_id],_01towers[[#This Row],[05_id]])</f>
        <v>1</v>
      </c>
      <c r="AM168" s="40" t="b">
        <f>IF(_01towers[[#This Row],[Count Rev Colo App]]=_01towers[[#This Row],[10colo_app.Rev]],TRUE,FALSE)</f>
        <v>1</v>
      </c>
      <c r="AN168" s="40" t="b">
        <f>IF(AND(_01towers[[#This Row],[Test Rev Colo]]=TRUE,_01towers[[#This Row],[Test Rev TSS]]=TRUE),TRUE,FALSE)</f>
        <v>1</v>
      </c>
      <c r="AO168" s="40" t="str">
        <f>IF(_01towers[[#This Row],[Test Active]]=TRUE,_01towers[[#This Row],[Prevalidation Status]],"")</f>
        <v>Prevalidated</v>
      </c>
      <c r="AP168" s="40" t="str">
        <f>IF(_01towers[[#This Row],[Active Prevalidation Status]]="Under Prevalidation",
IF(M168="","Review",M168),"")</f>
        <v/>
      </c>
      <c r="AQ168" s="40" t="str">
        <f>IF(_01towers[[#This Row],[Active Prevalidation Status]]="Under Prevalidation",
IF(N168="","Review",N168),"")</f>
        <v/>
      </c>
      <c r="AR168" s="40" t="str">
        <f>IF(_01towers[[#This Row],[Active Prevalidation Status]]="Under Prevalidation",
IF(O168="","Review",O168),"")</f>
        <v/>
      </c>
      <c r="AS168" s="40" t="str">
        <f>IF(_01towers[[#This Row],[Active Prevalidation Status]]="Under Prevalidation",
IF(P168="","Review",P168),"")</f>
        <v/>
      </c>
      <c r="AT168" s="40" t="str">
        <f>IF(_01towers[[#This Row],[Active Prevalidation Status]]="Under Prevalidation",
IF(Q168="","Review",Q168),"")</f>
        <v/>
      </c>
      <c r="AU168" s="40" t="str">
        <f>IF(_01towers[[#This Row],[Active Prevalidation Status]]="Under Prevalidation",
IF(R168="","Review",R168),"")</f>
        <v/>
      </c>
      <c r="AV168" s="40">
        <f>COUNTIF(_01towers[[#This Row],[SAQ_Result2]:[Community_Result2]],"OK")</f>
        <v>0</v>
      </c>
      <c r="AW168" s="1" t="str">
        <f>IF(AND(OR(_01towers[[#This Row],[Active Prevalidation Status]]="Under Prevalidation",_01towers[[#This Row],[Active Prevalidation Status]]="Prevalidated"),_01towers[[#This Row],[02tss.TSSR_From_Engineer]]&gt;0),"Submitted","")</f>
        <v>Submitted</v>
      </c>
      <c r="AX168" s="40" t="str">
        <f>IF(OR(_01towers[[#This Row],[Active Prevalidation Status]]="Under Prevalidation",_01towers[[#This Row],[Active Prevalidation Status]]="Prevalidated"),_01towers[[#This Row],[02tss.TSS_Result]],"")</f>
        <v>Approved</v>
      </c>
      <c r="AY168" s="40" t="str">
        <f>IF(AND(_01towers[[#This Row],[Active TSS Result]]="Approved",_01towers[[#This Row],[Active Prevalidation Status]]="Prevalidated"),"In Process","")</f>
        <v>In Process</v>
      </c>
      <c r="AZ168" s="40" t="str">
        <f>IF(AND(_01towers[[#This Row],[Active TSS Result]]="Approved",_01towers[[#This Row],[Active Prevalidation Status]]="Prevalidated"),_01towers[[#This Row],[10colo_app.Colo_App_Result]],"")</f>
        <v>NTP Received</v>
      </c>
      <c r="BA168" s="40">
        <f>COUNTIF(_20work_order[05_id],_01towers[[#This Row],[05_id]])</f>
        <v>0</v>
      </c>
      <c r="BB168" s="40">
        <f>COUNTIFS(_20work_order[05_id],_01towers[[#This Row],[05_id]],_20work_order[Actual_End],"&gt;0")</f>
        <v>0</v>
      </c>
      <c r="BC168" s="40" t="str">
        <f>IF(_01towers[[#This Row],[Completed Work Orders]]&gt;0,"Work Completed",
IF(_01towers[[#This Row],[Count Work Orders]]&gt;0,"Work in Progress",""))</f>
        <v/>
      </c>
      <c r="BD16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168" s="40" t="str">
        <f>_xlfn.SWITCH(_01towers[[#This Row],[Final Colo Status full]],"Commercial Approval Requested","Under Prevalidation",_01towers[[#This Row],[Final Colo Status full]])</f>
        <v>NTP Received</v>
      </c>
    </row>
    <row r="169" spans="1:57" hidden="1" x14ac:dyDescent="0.35">
      <c r="A169" s="40" t="s">
        <v>380</v>
      </c>
      <c r="B169" s="40" t="s">
        <v>85</v>
      </c>
      <c r="C169" s="40" t="s">
        <v>51</v>
      </c>
      <c r="D169">
        <v>60</v>
      </c>
      <c r="E169" s="40" t="s">
        <v>167</v>
      </c>
      <c r="F169">
        <v>95.237629999999996</v>
      </c>
      <c r="G169">
        <v>19.433779999999999</v>
      </c>
      <c r="H169" s="40" t="s">
        <v>150</v>
      </c>
      <c r="I169">
        <v>169</v>
      </c>
      <c r="J169" s="40" t="s">
        <v>627</v>
      </c>
      <c r="K169" s="40" t="s">
        <v>136</v>
      </c>
      <c r="L169" s="40" t="s">
        <v>64</v>
      </c>
      <c r="M169" s="40" t="s">
        <v>57</v>
      </c>
      <c r="N169" s="40" t="s">
        <v>57</v>
      </c>
      <c r="O169" s="40" t="s">
        <v>57</v>
      </c>
      <c r="P169" s="40" t="s">
        <v>57</v>
      </c>
      <c r="Q169" s="40" t="s">
        <v>57</v>
      </c>
      <c r="R169" s="40" t="s">
        <v>57</v>
      </c>
      <c r="S169">
        <v>59</v>
      </c>
      <c r="T169">
        <v>1</v>
      </c>
      <c r="U169" s="1">
        <v>43278</v>
      </c>
      <c r="V169" s="1">
        <v>43279</v>
      </c>
      <c r="W169" s="1">
        <v>43280</v>
      </c>
      <c r="X169" s="1">
        <v>43322</v>
      </c>
      <c r="Y169" s="1"/>
      <c r="Z169" s="40" t="s">
        <v>59</v>
      </c>
      <c r="AA169">
        <v>58</v>
      </c>
      <c r="AB169">
        <v>1</v>
      </c>
      <c r="AC169" s="1">
        <v>43322</v>
      </c>
      <c r="AD169" s="40" t="s">
        <v>570</v>
      </c>
      <c r="AE169" s="1"/>
      <c r="AF169" s="1"/>
      <c r="AG169" s="1"/>
      <c r="AH169" s="40"/>
      <c r="AI169" s="1"/>
      <c r="AJ169" s="40">
        <f>_xlfn.MAXIFS(_01towers[02tss.Rev],_01towers[05_id],_01towers[[#This Row],[05_id]])</f>
        <v>1</v>
      </c>
      <c r="AK169" s="40" t="b">
        <f>IF(_01towers[[#This Row],[Count Rev TSS]]=_01towers[[#This Row],[02tss.Rev]],TRUE,FALSE)</f>
        <v>1</v>
      </c>
      <c r="AL169" s="40">
        <f>_xlfn.MAXIFS(_01towers[10colo_app.Rev],_01towers[05_id],_01towers[[#This Row],[05_id]])</f>
        <v>1</v>
      </c>
      <c r="AM169" s="40" t="b">
        <f>IF(_01towers[[#This Row],[Count Rev Colo App]]=_01towers[[#This Row],[10colo_app.Rev]],TRUE,FALSE)</f>
        <v>1</v>
      </c>
      <c r="AN169" s="40" t="b">
        <f>IF(AND(_01towers[[#This Row],[Test Rev Colo]]=TRUE,_01towers[[#This Row],[Test Rev TSS]]=TRUE),TRUE,FALSE)</f>
        <v>1</v>
      </c>
      <c r="AO169" s="40" t="str">
        <f>IF(_01towers[[#This Row],[Test Active]]=TRUE,_01towers[[#This Row],[Prevalidation Status]],"")</f>
        <v>Prevalidated</v>
      </c>
      <c r="AP169" s="40" t="str">
        <f>IF(_01towers[[#This Row],[Active Prevalidation Status]]="Under Prevalidation",
IF(M169="","Review",M169),"")</f>
        <v/>
      </c>
      <c r="AQ169" s="40" t="str">
        <f>IF(_01towers[[#This Row],[Active Prevalidation Status]]="Under Prevalidation",
IF(N169="","Review",N169),"")</f>
        <v/>
      </c>
      <c r="AR169" s="40" t="str">
        <f>IF(_01towers[[#This Row],[Active Prevalidation Status]]="Under Prevalidation",
IF(O169="","Review",O169),"")</f>
        <v/>
      </c>
      <c r="AS169" s="40" t="str">
        <f>IF(_01towers[[#This Row],[Active Prevalidation Status]]="Under Prevalidation",
IF(P169="","Review",P169),"")</f>
        <v/>
      </c>
      <c r="AT169" s="40" t="str">
        <f>IF(_01towers[[#This Row],[Active Prevalidation Status]]="Under Prevalidation",
IF(Q169="","Review",Q169),"")</f>
        <v/>
      </c>
      <c r="AU169" s="40" t="str">
        <f>IF(_01towers[[#This Row],[Active Prevalidation Status]]="Under Prevalidation",
IF(R169="","Review",R169),"")</f>
        <v/>
      </c>
      <c r="AV169" s="40">
        <f>COUNTIF(_01towers[[#This Row],[SAQ_Result2]:[Community_Result2]],"OK")</f>
        <v>0</v>
      </c>
      <c r="AW169" s="1" t="str">
        <f>IF(AND(OR(_01towers[[#This Row],[Active Prevalidation Status]]="Under Prevalidation",_01towers[[#This Row],[Active Prevalidation Status]]="Prevalidated"),_01towers[[#This Row],[02tss.TSSR_From_Engineer]]&gt;0),"Submitted","")</f>
        <v>Submitted</v>
      </c>
      <c r="AX169" s="40" t="str">
        <f>IF(OR(_01towers[[#This Row],[Active Prevalidation Status]]="Under Prevalidation",_01towers[[#This Row],[Active Prevalidation Status]]="Prevalidated"),_01towers[[#This Row],[02tss.TSS_Result]],"")</f>
        <v>Approved</v>
      </c>
      <c r="AY169" s="40" t="str">
        <f>IF(AND(_01towers[[#This Row],[Active TSS Result]]="Approved",_01towers[[#This Row],[Active Prevalidation Status]]="Prevalidated"),"In Process","")</f>
        <v>In Process</v>
      </c>
      <c r="AZ169" s="40" t="str">
        <f>IF(AND(_01towers[[#This Row],[Active TSS Result]]="Approved",_01towers[[#This Row],[Active Prevalidation Status]]="Prevalidated"),_01towers[[#This Row],[10colo_app.Colo_App_Result]],"")</f>
        <v>NTP Received</v>
      </c>
      <c r="BA169" s="40">
        <f>COUNTIF(_20work_order[05_id],_01towers[[#This Row],[05_id]])</f>
        <v>0</v>
      </c>
      <c r="BB169" s="40">
        <f>COUNTIFS(_20work_order[05_id],_01towers[[#This Row],[05_id]],_20work_order[Actual_End],"&gt;0")</f>
        <v>0</v>
      </c>
      <c r="BC169" s="40" t="str">
        <f>IF(_01towers[[#This Row],[Completed Work Orders]]&gt;0,"Work Completed",
IF(_01towers[[#This Row],[Count Work Orders]]&gt;0,"Work in Progress",""))</f>
        <v/>
      </c>
      <c r="BD16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169" s="40" t="str">
        <f>_xlfn.SWITCH(_01towers[[#This Row],[Final Colo Status full]],"Commercial Approval Requested","Under Prevalidation",_01towers[[#This Row],[Final Colo Status full]])</f>
        <v>NTP Received</v>
      </c>
    </row>
    <row r="170" spans="1:57" hidden="1" x14ac:dyDescent="0.35">
      <c r="A170" s="40" t="s">
        <v>381</v>
      </c>
      <c r="B170" s="40" t="s">
        <v>50</v>
      </c>
      <c r="C170" s="40" t="s">
        <v>51</v>
      </c>
      <c r="D170">
        <v>60</v>
      </c>
      <c r="E170" s="40" t="s">
        <v>167</v>
      </c>
      <c r="F170">
        <v>95.023719999999997</v>
      </c>
      <c r="G170">
        <v>20.2486</v>
      </c>
      <c r="H170" s="40" t="s">
        <v>150</v>
      </c>
      <c r="I170">
        <v>170</v>
      </c>
      <c r="J170" s="40" t="s">
        <v>382</v>
      </c>
      <c r="K170" s="40" t="s">
        <v>136</v>
      </c>
      <c r="L170" s="40" t="s">
        <v>64</v>
      </c>
      <c r="M170" s="40" t="s">
        <v>57</v>
      </c>
      <c r="N170" s="40" t="s">
        <v>57</v>
      </c>
      <c r="O170" s="40" t="s">
        <v>57</v>
      </c>
      <c r="P170" s="40" t="s">
        <v>57</v>
      </c>
      <c r="Q170" s="40" t="s">
        <v>57</v>
      </c>
      <c r="R170" s="40" t="s">
        <v>57</v>
      </c>
      <c r="S170">
        <v>62</v>
      </c>
      <c r="T170">
        <v>1</v>
      </c>
      <c r="U170" s="1">
        <v>43277</v>
      </c>
      <c r="V170" s="1">
        <v>43277</v>
      </c>
      <c r="W170" s="1">
        <v>43283</v>
      </c>
      <c r="X170" s="1">
        <v>43319</v>
      </c>
      <c r="Y170" s="1"/>
      <c r="Z170" s="40" t="s">
        <v>59</v>
      </c>
      <c r="AA170">
        <v>61</v>
      </c>
      <c r="AB170">
        <v>1</v>
      </c>
      <c r="AC170" s="1">
        <v>43319</v>
      </c>
      <c r="AD170" s="40" t="s">
        <v>570</v>
      </c>
      <c r="AE170" s="1"/>
      <c r="AF170" s="1"/>
      <c r="AG170" s="1"/>
      <c r="AH170" s="40"/>
      <c r="AI170" s="1"/>
      <c r="AJ170" s="40">
        <f>_xlfn.MAXIFS(_01towers[02tss.Rev],_01towers[05_id],_01towers[[#This Row],[05_id]])</f>
        <v>1</v>
      </c>
      <c r="AK170" s="40" t="b">
        <f>IF(_01towers[[#This Row],[Count Rev TSS]]=_01towers[[#This Row],[02tss.Rev]],TRUE,FALSE)</f>
        <v>1</v>
      </c>
      <c r="AL170" s="40">
        <f>_xlfn.MAXIFS(_01towers[10colo_app.Rev],_01towers[05_id],_01towers[[#This Row],[05_id]])</f>
        <v>1</v>
      </c>
      <c r="AM170" s="40" t="b">
        <f>IF(_01towers[[#This Row],[Count Rev Colo App]]=_01towers[[#This Row],[10colo_app.Rev]],TRUE,FALSE)</f>
        <v>1</v>
      </c>
      <c r="AN170" s="40" t="b">
        <f>IF(AND(_01towers[[#This Row],[Test Rev Colo]]=TRUE,_01towers[[#This Row],[Test Rev TSS]]=TRUE),TRUE,FALSE)</f>
        <v>1</v>
      </c>
      <c r="AO170" s="40" t="str">
        <f>IF(_01towers[[#This Row],[Test Active]]=TRUE,_01towers[[#This Row],[Prevalidation Status]],"")</f>
        <v>Prevalidated</v>
      </c>
      <c r="AP170" s="40" t="str">
        <f>IF(_01towers[[#This Row],[Active Prevalidation Status]]="Under Prevalidation",
IF(M170="","Review",M170),"")</f>
        <v/>
      </c>
      <c r="AQ170" s="40" t="str">
        <f>IF(_01towers[[#This Row],[Active Prevalidation Status]]="Under Prevalidation",
IF(N170="","Review",N170),"")</f>
        <v/>
      </c>
      <c r="AR170" s="40" t="str">
        <f>IF(_01towers[[#This Row],[Active Prevalidation Status]]="Under Prevalidation",
IF(O170="","Review",O170),"")</f>
        <v/>
      </c>
      <c r="AS170" s="40" t="str">
        <f>IF(_01towers[[#This Row],[Active Prevalidation Status]]="Under Prevalidation",
IF(P170="","Review",P170),"")</f>
        <v/>
      </c>
      <c r="AT170" s="40" t="str">
        <f>IF(_01towers[[#This Row],[Active Prevalidation Status]]="Under Prevalidation",
IF(Q170="","Review",Q170),"")</f>
        <v/>
      </c>
      <c r="AU170" s="40" t="str">
        <f>IF(_01towers[[#This Row],[Active Prevalidation Status]]="Under Prevalidation",
IF(R170="","Review",R170),"")</f>
        <v/>
      </c>
      <c r="AV170" s="40">
        <f>COUNTIF(_01towers[[#This Row],[SAQ_Result2]:[Community_Result2]],"OK")</f>
        <v>0</v>
      </c>
      <c r="AW170" s="1" t="str">
        <f>IF(AND(OR(_01towers[[#This Row],[Active Prevalidation Status]]="Under Prevalidation",_01towers[[#This Row],[Active Prevalidation Status]]="Prevalidated"),_01towers[[#This Row],[02tss.TSSR_From_Engineer]]&gt;0),"Submitted","")</f>
        <v>Submitted</v>
      </c>
      <c r="AX170" s="40" t="str">
        <f>IF(OR(_01towers[[#This Row],[Active Prevalidation Status]]="Under Prevalidation",_01towers[[#This Row],[Active Prevalidation Status]]="Prevalidated"),_01towers[[#This Row],[02tss.TSS_Result]],"")</f>
        <v>Approved</v>
      </c>
      <c r="AY170" s="40" t="str">
        <f>IF(AND(_01towers[[#This Row],[Active TSS Result]]="Approved",_01towers[[#This Row],[Active Prevalidation Status]]="Prevalidated"),"In Process","")</f>
        <v>In Process</v>
      </c>
      <c r="AZ170" s="40" t="str">
        <f>IF(AND(_01towers[[#This Row],[Active TSS Result]]="Approved",_01towers[[#This Row],[Active Prevalidation Status]]="Prevalidated"),_01towers[[#This Row],[10colo_app.Colo_App_Result]],"")</f>
        <v>NTP Received</v>
      </c>
      <c r="BA170" s="40">
        <f>COUNTIF(_20work_order[05_id],_01towers[[#This Row],[05_id]])</f>
        <v>0</v>
      </c>
      <c r="BB170" s="40">
        <f>COUNTIFS(_20work_order[05_id],_01towers[[#This Row],[05_id]],_20work_order[Actual_End],"&gt;0")</f>
        <v>0</v>
      </c>
      <c r="BC170" s="40" t="str">
        <f>IF(_01towers[[#This Row],[Completed Work Orders]]&gt;0,"Work Completed",
IF(_01towers[[#This Row],[Count Work Orders]]&gt;0,"Work in Progress",""))</f>
        <v/>
      </c>
      <c r="BD17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170" s="40" t="str">
        <f>_xlfn.SWITCH(_01towers[[#This Row],[Final Colo Status full]],"Commercial Approval Requested","Under Prevalidation",_01towers[[#This Row],[Final Colo Status full]])</f>
        <v>NTP Received</v>
      </c>
    </row>
    <row r="171" spans="1:57" hidden="1" x14ac:dyDescent="0.35">
      <c r="A171" s="40" t="s">
        <v>383</v>
      </c>
      <c r="B171" s="40" t="s">
        <v>50</v>
      </c>
      <c r="C171" s="40" t="s">
        <v>51</v>
      </c>
      <c r="D171">
        <v>45</v>
      </c>
      <c r="E171" s="40" t="s">
        <v>79</v>
      </c>
      <c r="F171">
        <v>95.972498000000002</v>
      </c>
      <c r="G171">
        <v>21.876677999999998</v>
      </c>
      <c r="H171" s="40" t="s">
        <v>150</v>
      </c>
      <c r="I171">
        <v>171</v>
      </c>
      <c r="J171" s="40" t="s">
        <v>628</v>
      </c>
      <c r="K171" s="40" t="s">
        <v>136</v>
      </c>
      <c r="L171" s="40" t="s">
        <v>64</v>
      </c>
      <c r="M171" s="40" t="s">
        <v>57</v>
      </c>
      <c r="N171" s="40" t="s">
        <v>57</v>
      </c>
      <c r="O171" s="40" t="s">
        <v>57</v>
      </c>
      <c r="P171" s="40" t="s">
        <v>57</v>
      </c>
      <c r="Q171" s="40" t="s">
        <v>57</v>
      </c>
      <c r="R171" s="40" t="s">
        <v>57</v>
      </c>
      <c r="S171">
        <v>85</v>
      </c>
      <c r="T171">
        <v>1</v>
      </c>
      <c r="U171" s="1"/>
      <c r="V171" s="1"/>
      <c r="W171" s="1"/>
      <c r="X171" s="1"/>
      <c r="Y171" s="1"/>
      <c r="Z171" s="40"/>
      <c r="AA171">
        <v>84</v>
      </c>
      <c r="AB171">
        <v>1</v>
      </c>
      <c r="AC171" s="1"/>
      <c r="AD171" s="40"/>
      <c r="AE171" s="1"/>
      <c r="AF171" s="1"/>
      <c r="AG171" s="1"/>
      <c r="AH171" s="40"/>
      <c r="AI171" s="1"/>
      <c r="AJ171" s="40">
        <f>_xlfn.MAXIFS(_01towers[02tss.Rev],_01towers[05_id],_01towers[[#This Row],[05_id]])</f>
        <v>1</v>
      </c>
      <c r="AK171" s="40" t="b">
        <f>IF(_01towers[[#This Row],[Count Rev TSS]]=_01towers[[#This Row],[02tss.Rev]],TRUE,FALSE)</f>
        <v>1</v>
      </c>
      <c r="AL171" s="40">
        <f>_xlfn.MAXIFS(_01towers[10colo_app.Rev],_01towers[05_id],_01towers[[#This Row],[05_id]])</f>
        <v>1</v>
      </c>
      <c r="AM171" s="40" t="b">
        <f>IF(_01towers[[#This Row],[Count Rev Colo App]]=_01towers[[#This Row],[10colo_app.Rev]],TRUE,FALSE)</f>
        <v>1</v>
      </c>
      <c r="AN171" s="40" t="b">
        <f>IF(AND(_01towers[[#This Row],[Test Rev Colo]]=TRUE,_01towers[[#This Row],[Test Rev TSS]]=TRUE),TRUE,FALSE)</f>
        <v>1</v>
      </c>
      <c r="AO171" s="40" t="str">
        <f>IF(_01towers[[#This Row],[Test Active]]=TRUE,_01towers[[#This Row],[Prevalidation Status]],"")</f>
        <v>Prevalidated</v>
      </c>
      <c r="AP171" s="40" t="str">
        <f>IF(_01towers[[#This Row],[Active Prevalidation Status]]="Under Prevalidation",
IF(M171="","Review",M171),"")</f>
        <v/>
      </c>
      <c r="AQ171" s="40" t="str">
        <f>IF(_01towers[[#This Row],[Active Prevalidation Status]]="Under Prevalidation",
IF(N171="","Review",N171),"")</f>
        <v/>
      </c>
      <c r="AR171" s="40" t="str">
        <f>IF(_01towers[[#This Row],[Active Prevalidation Status]]="Under Prevalidation",
IF(O171="","Review",O171),"")</f>
        <v/>
      </c>
      <c r="AS171" s="40" t="str">
        <f>IF(_01towers[[#This Row],[Active Prevalidation Status]]="Under Prevalidation",
IF(P171="","Review",P171),"")</f>
        <v/>
      </c>
      <c r="AT171" s="40" t="str">
        <f>IF(_01towers[[#This Row],[Active Prevalidation Status]]="Under Prevalidation",
IF(Q171="","Review",Q171),"")</f>
        <v/>
      </c>
      <c r="AU171" s="40" t="str">
        <f>IF(_01towers[[#This Row],[Active Prevalidation Status]]="Under Prevalidation",
IF(R171="","Review",R171),"")</f>
        <v/>
      </c>
      <c r="AV171" s="40">
        <f>COUNTIF(_01towers[[#This Row],[SAQ_Result2]:[Community_Result2]],"OK")</f>
        <v>0</v>
      </c>
      <c r="AW171" s="1" t="str">
        <f>IF(AND(OR(_01towers[[#This Row],[Active Prevalidation Status]]="Under Prevalidation",_01towers[[#This Row],[Active Prevalidation Status]]="Prevalidated"),_01towers[[#This Row],[02tss.TSSR_From_Engineer]]&gt;0),"Submitted","")</f>
        <v/>
      </c>
      <c r="AX171" s="40">
        <f>IF(OR(_01towers[[#This Row],[Active Prevalidation Status]]="Under Prevalidation",_01towers[[#This Row],[Active Prevalidation Status]]="Prevalidated"),_01towers[[#This Row],[02tss.TSS_Result]],"")</f>
        <v>0</v>
      </c>
      <c r="AY171" s="40" t="str">
        <f>IF(AND(_01towers[[#This Row],[Active TSS Result]]="Approved",_01towers[[#This Row],[Active Prevalidation Status]]="Prevalidated"),"In Process","")</f>
        <v/>
      </c>
      <c r="AZ171" s="40" t="str">
        <f>IF(AND(_01towers[[#This Row],[Active TSS Result]]="Approved",_01towers[[#This Row],[Active Prevalidation Status]]="Prevalidated"),_01towers[[#This Row],[10colo_app.Colo_App_Result]],"")</f>
        <v/>
      </c>
      <c r="BA171" s="40">
        <f>COUNTIF(_20work_order[05_id],_01towers[[#This Row],[05_id]])</f>
        <v>0</v>
      </c>
      <c r="BB171" s="40">
        <f>COUNTIFS(_20work_order[05_id],_01towers[[#This Row],[05_id]],_20work_order[Actual_End],"&gt;0")</f>
        <v>0</v>
      </c>
      <c r="BC171" s="40" t="str">
        <f>IF(_01towers[[#This Row],[Completed Work Orders]]&gt;0,"Work Completed",
IF(_01towers[[#This Row],[Count Work Orders]]&gt;0,"Work in Progress",""))</f>
        <v/>
      </c>
      <c r="BD17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71" s="40" t="str">
        <f>_xlfn.SWITCH(_01towers[[#This Row],[Final Colo Status full]],"Commercial Approval Requested","Under Prevalidation",_01towers[[#This Row],[Final Colo Status full]])</f>
        <v>Prevalidated - TSSR in Process</v>
      </c>
    </row>
    <row r="172" spans="1:57" hidden="1" x14ac:dyDescent="0.35">
      <c r="A172" s="40" t="s">
        <v>384</v>
      </c>
      <c r="B172" s="40" t="s">
        <v>85</v>
      </c>
      <c r="C172" s="40" t="s">
        <v>51</v>
      </c>
      <c r="D172">
        <v>50</v>
      </c>
      <c r="E172" s="40" t="s">
        <v>167</v>
      </c>
      <c r="F172">
        <v>95.532439999999994</v>
      </c>
      <c r="G172">
        <v>19.832287000000001</v>
      </c>
      <c r="H172" s="40" t="s">
        <v>53</v>
      </c>
      <c r="I172">
        <v>172</v>
      </c>
      <c r="J172" s="40" t="s">
        <v>385</v>
      </c>
      <c r="K172" s="40" t="s">
        <v>136</v>
      </c>
      <c r="L172" s="40" t="s">
        <v>64</v>
      </c>
      <c r="M172" s="40" t="s">
        <v>57</v>
      </c>
      <c r="N172" s="40" t="s">
        <v>57</v>
      </c>
      <c r="O172" s="40" t="s">
        <v>57</v>
      </c>
      <c r="P172" s="40" t="s">
        <v>57</v>
      </c>
      <c r="Q172" s="40" t="s">
        <v>57</v>
      </c>
      <c r="R172" s="40" t="s">
        <v>57</v>
      </c>
      <c r="S172">
        <v>65</v>
      </c>
      <c r="T172">
        <v>1</v>
      </c>
      <c r="U172" s="1">
        <v>43277</v>
      </c>
      <c r="V172" s="1">
        <v>43278</v>
      </c>
      <c r="W172" s="1">
        <v>43280</v>
      </c>
      <c r="X172" s="1"/>
      <c r="Y172" s="1"/>
      <c r="Z172" s="40"/>
      <c r="AA172">
        <v>64</v>
      </c>
      <c r="AB172">
        <v>1</v>
      </c>
      <c r="AC172" s="1"/>
      <c r="AD172" s="40"/>
      <c r="AE172" s="1"/>
      <c r="AF172" s="1"/>
      <c r="AG172" s="1"/>
      <c r="AH172" s="40"/>
      <c r="AI172" s="1"/>
      <c r="AJ172" s="40">
        <f>_xlfn.MAXIFS(_01towers[02tss.Rev],_01towers[05_id],_01towers[[#This Row],[05_id]])</f>
        <v>1</v>
      </c>
      <c r="AK172" s="40" t="b">
        <f>IF(_01towers[[#This Row],[Count Rev TSS]]=_01towers[[#This Row],[02tss.Rev]],TRUE,FALSE)</f>
        <v>1</v>
      </c>
      <c r="AL172" s="40">
        <f>_xlfn.MAXIFS(_01towers[10colo_app.Rev],_01towers[05_id],_01towers[[#This Row],[05_id]])</f>
        <v>1</v>
      </c>
      <c r="AM172" s="40" t="b">
        <f>IF(_01towers[[#This Row],[Count Rev Colo App]]=_01towers[[#This Row],[10colo_app.Rev]],TRUE,FALSE)</f>
        <v>1</v>
      </c>
      <c r="AN172" s="40" t="b">
        <f>IF(AND(_01towers[[#This Row],[Test Rev Colo]]=TRUE,_01towers[[#This Row],[Test Rev TSS]]=TRUE),TRUE,FALSE)</f>
        <v>1</v>
      </c>
      <c r="AO172" s="40" t="str">
        <f>IF(_01towers[[#This Row],[Test Active]]=TRUE,_01towers[[#This Row],[Prevalidation Status]],"")</f>
        <v>Prevalidated</v>
      </c>
      <c r="AP172" s="40" t="str">
        <f>IF(_01towers[[#This Row],[Active Prevalidation Status]]="Under Prevalidation",
IF(M172="","Review",M172),"")</f>
        <v/>
      </c>
      <c r="AQ172" s="40" t="str">
        <f>IF(_01towers[[#This Row],[Active Prevalidation Status]]="Under Prevalidation",
IF(N172="","Review",N172),"")</f>
        <v/>
      </c>
      <c r="AR172" s="40" t="str">
        <f>IF(_01towers[[#This Row],[Active Prevalidation Status]]="Under Prevalidation",
IF(O172="","Review",O172),"")</f>
        <v/>
      </c>
      <c r="AS172" s="40" t="str">
        <f>IF(_01towers[[#This Row],[Active Prevalidation Status]]="Under Prevalidation",
IF(P172="","Review",P172),"")</f>
        <v/>
      </c>
      <c r="AT172" s="40" t="str">
        <f>IF(_01towers[[#This Row],[Active Prevalidation Status]]="Under Prevalidation",
IF(Q172="","Review",Q172),"")</f>
        <v/>
      </c>
      <c r="AU172" s="40" t="str">
        <f>IF(_01towers[[#This Row],[Active Prevalidation Status]]="Under Prevalidation",
IF(R172="","Review",R172),"")</f>
        <v/>
      </c>
      <c r="AV172" s="40">
        <f>COUNTIF(_01towers[[#This Row],[SAQ_Result2]:[Community_Result2]],"OK")</f>
        <v>0</v>
      </c>
      <c r="AW172" s="1" t="str">
        <f>IF(AND(OR(_01towers[[#This Row],[Active Prevalidation Status]]="Under Prevalidation",_01towers[[#This Row],[Active Prevalidation Status]]="Prevalidated"),_01towers[[#This Row],[02tss.TSSR_From_Engineer]]&gt;0),"Submitted","")</f>
        <v>Submitted</v>
      </c>
      <c r="AX172" s="40">
        <f>IF(OR(_01towers[[#This Row],[Active Prevalidation Status]]="Under Prevalidation",_01towers[[#This Row],[Active Prevalidation Status]]="Prevalidated"),_01towers[[#This Row],[02tss.TSS_Result]],"")</f>
        <v>0</v>
      </c>
      <c r="AY172" s="40" t="str">
        <f>IF(AND(_01towers[[#This Row],[Active TSS Result]]="Approved",_01towers[[#This Row],[Active Prevalidation Status]]="Prevalidated"),"In Process","")</f>
        <v/>
      </c>
      <c r="AZ172" s="40" t="str">
        <f>IF(AND(_01towers[[#This Row],[Active TSS Result]]="Approved",_01towers[[#This Row],[Active Prevalidation Status]]="Prevalidated"),_01towers[[#This Row],[10colo_app.Colo_App_Result]],"")</f>
        <v/>
      </c>
      <c r="BA172" s="40">
        <f>COUNTIF(_20work_order[05_id],_01towers[[#This Row],[05_id]])</f>
        <v>0</v>
      </c>
      <c r="BB172" s="40">
        <f>COUNTIFS(_20work_order[05_id],_01towers[[#This Row],[05_id]],_20work_order[Actual_End],"&gt;0")</f>
        <v>0</v>
      </c>
      <c r="BC172" s="40" t="str">
        <f>IF(_01towers[[#This Row],[Completed Work Orders]]&gt;0,"Work Completed",
IF(_01towers[[#This Row],[Count Work Orders]]&gt;0,"Work in Progress",""))</f>
        <v/>
      </c>
      <c r="BD17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72" s="40" t="str">
        <f>_xlfn.SWITCH(_01towers[[#This Row],[Final Colo Status full]],"Commercial Approval Requested","Under Prevalidation",_01towers[[#This Row],[Final Colo Status full]])</f>
        <v>Prevalidated - TSSR in Process</v>
      </c>
    </row>
    <row r="173" spans="1:57" hidden="1" x14ac:dyDescent="0.35">
      <c r="A173" s="40" t="s">
        <v>386</v>
      </c>
      <c r="B173" s="40" t="s">
        <v>50</v>
      </c>
      <c r="C173" s="40" t="s">
        <v>51</v>
      </c>
      <c r="D173">
        <v>45</v>
      </c>
      <c r="E173" s="40" t="s">
        <v>79</v>
      </c>
      <c r="F173">
        <v>95.151480000000006</v>
      </c>
      <c r="G173">
        <v>22.099340000000002</v>
      </c>
      <c r="H173" s="40" t="s">
        <v>53</v>
      </c>
      <c r="I173">
        <v>173</v>
      </c>
      <c r="J173" s="40" t="s">
        <v>387</v>
      </c>
      <c r="K173" s="40" t="s">
        <v>136</v>
      </c>
      <c r="L173" s="40" t="s">
        <v>64</v>
      </c>
      <c r="M173" s="40" t="s">
        <v>57</v>
      </c>
      <c r="N173" s="40" t="s">
        <v>57</v>
      </c>
      <c r="O173" s="40" t="s">
        <v>57</v>
      </c>
      <c r="P173" s="40" t="s">
        <v>57</v>
      </c>
      <c r="Q173" s="40" t="s">
        <v>57</v>
      </c>
      <c r="R173" s="40" t="s">
        <v>57</v>
      </c>
      <c r="S173">
        <v>79</v>
      </c>
      <c r="T173">
        <v>1</v>
      </c>
      <c r="U173" s="1"/>
      <c r="V173" s="1"/>
      <c r="W173" s="1"/>
      <c r="X173" s="1"/>
      <c r="Y173" s="1"/>
      <c r="Z173" s="40"/>
      <c r="AA173">
        <v>78</v>
      </c>
      <c r="AB173">
        <v>1</v>
      </c>
      <c r="AC173" s="1"/>
      <c r="AD173" s="40"/>
      <c r="AE173" s="1"/>
      <c r="AF173" s="1"/>
      <c r="AG173" s="1"/>
      <c r="AH173" s="40"/>
      <c r="AI173" s="1"/>
      <c r="AJ173" s="40">
        <f>_xlfn.MAXIFS(_01towers[02tss.Rev],_01towers[05_id],_01towers[[#This Row],[05_id]])</f>
        <v>1</v>
      </c>
      <c r="AK173" s="40" t="b">
        <f>IF(_01towers[[#This Row],[Count Rev TSS]]=_01towers[[#This Row],[02tss.Rev]],TRUE,FALSE)</f>
        <v>1</v>
      </c>
      <c r="AL173" s="40">
        <f>_xlfn.MAXIFS(_01towers[10colo_app.Rev],_01towers[05_id],_01towers[[#This Row],[05_id]])</f>
        <v>1</v>
      </c>
      <c r="AM173" s="40" t="b">
        <f>IF(_01towers[[#This Row],[Count Rev Colo App]]=_01towers[[#This Row],[10colo_app.Rev]],TRUE,FALSE)</f>
        <v>1</v>
      </c>
      <c r="AN173" s="40" t="b">
        <f>IF(AND(_01towers[[#This Row],[Test Rev Colo]]=TRUE,_01towers[[#This Row],[Test Rev TSS]]=TRUE),TRUE,FALSE)</f>
        <v>1</v>
      </c>
      <c r="AO173" s="40" t="str">
        <f>IF(_01towers[[#This Row],[Test Active]]=TRUE,_01towers[[#This Row],[Prevalidation Status]],"")</f>
        <v>Prevalidated</v>
      </c>
      <c r="AP173" s="40" t="str">
        <f>IF(_01towers[[#This Row],[Active Prevalidation Status]]="Under Prevalidation",
IF(M173="","Review",M173),"")</f>
        <v/>
      </c>
      <c r="AQ173" s="40" t="str">
        <f>IF(_01towers[[#This Row],[Active Prevalidation Status]]="Under Prevalidation",
IF(N173="","Review",N173),"")</f>
        <v/>
      </c>
      <c r="AR173" s="40" t="str">
        <f>IF(_01towers[[#This Row],[Active Prevalidation Status]]="Under Prevalidation",
IF(O173="","Review",O173),"")</f>
        <v/>
      </c>
      <c r="AS173" s="40" t="str">
        <f>IF(_01towers[[#This Row],[Active Prevalidation Status]]="Under Prevalidation",
IF(P173="","Review",P173),"")</f>
        <v/>
      </c>
      <c r="AT173" s="40" t="str">
        <f>IF(_01towers[[#This Row],[Active Prevalidation Status]]="Under Prevalidation",
IF(Q173="","Review",Q173),"")</f>
        <v/>
      </c>
      <c r="AU173" s="40" t="str">
        <f>IF(_01towers[[#This Row],[Active Prevalidation Status]]="Under Prevalidation",
IF(R173="","Review",R173),"")</f>
        <v/>
      </c>
      <c r="AV173" s="40">
        <f>COUNTIF(_01towers[[#This Row],[SAQ_Result2]:[Community_Result2]],"OK")</f>
        <v>0</v>
      </c>
      <c r="AW173" s="1" t="str">
        <f>IF(AND(OR(_01towers[[#This Row],[Active Prevalidation Status]]="Under Prevalidation",_01towers[[#This Row],[Active Prevalidation Status]]="Prevalidated"),_01towers[[#This Row],[02tss.TSSR_From_Engineer]]&gt;0),"Submitted","")</f>
        <v/>
      </c>
      <c r="AX173" s="40">
        <f>IF(OR(_01towers[[#This Row],[Active Prevalidation Status]]="Under Prevalidation",_01towers[[#This Row],[Active Prevalidation Status]]="Prevalidated"),_01towers[[#This Row],[02tss.TSS_Result]],"")</f>
        <v>0</v>
      </c>
      <c r="AY173" s="40" t="str">
        <f>IF(AND(_01towers[[#This Row],[Active TSS Result]]="Approved",_01towers[[#This Row],[Active Prevalidation Status]]="Prevalidated"),"In Process","")</f>
        <v/>
      </c>
      <c r="AZ173" s="40" t="str">
        <f>IF(AND(_01towers[[#This Row],[Active TSS Result]]="Approved",_01towers[[#This Row],[Active Prevalidation Status]]="Prevalidated"),_01towers[[#This Row],[10colo_app.Colo_App_Result]],"")</f>
        <v/>
      </c>
      <c r="BA173" s="40">
        <f>COUNTIF(_20work_order[05_id],_01towers[[#This Row],[05_id]])</f>
        <v>0</v>
      </c>
      <c r="BB173" s="40">
        <f>COUNTIFS(_20work_order[05_id],_01towers[[#This Row],[05_id]],_20work_order[Actual_End],"&gt;0")</f>
        <v>0</v>
      </c>
      <c r="BC173" s="40" t="str">
        <f>IF(_01towers[[#This Row],[Completed Work Orders]]&gt;0,"Work Completed",
IF(_01towers[[#This Row],[Count Work Orders]]&gt;0,"Work in Progress",""))</f>
        <v/>
      </c>
      <c r="BD17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73" s="40" t="str">
        <f>_xlfn.SWITCH(_01towers[[#This Row],[Final Colo Status full]],"Commercial Approval Requested","Under Prevalidation",_01towers[[#This Row],[Final Colo Status full]])</f>
        <v>Prevalidated - TSSR in Process</v>
      </c>
    </row>
    <row r="174" spans="1:57" hidden="1" x14ac:dyDescent="0.35">
      <c r="A174" s="40" t="s">
        <v>388</v>
      </c>
      <c r="B174" s="40" t="s">
        <v>50</v>
      </c>
      <c r="C174" s="40" t="s">
        <v>82</v>
      </c>
      <c r="D174">
        <v>6</v>
      </c>
      <c r="E174" s="40" t="s">
        <v>66</v>
      </c>
      <c r="F174">
        <v>96.080060000000003</v>
      </c>
      <c r="G174">
        <v>21.963609999999999</v>
      </c>
      <c r="H174" s="40" t="s">
        <v>53</v>
      </c>
      <c r="I174">
        <v>174</v>
      </c>
      <c r="J174" s="40" t="s">
        <v>629</v>
      </c>
      <c r="K174" s="40" t="s">
        <v>136</v>
      </c>
      <c r="L174" s="40" t="s">
        <v>64</v>
      </c>
      <c r="M174" s="40" t="s">
        <v>57</v>
      </c>
      <c r="N174" s="40" t="s">
        <v>57</v>
      </c>
      <c r="O174" s="40" t="s">
        <v>58</v>
      </c>
      <c r="P174" s="40" t="s">
        <v>57</v>
      </c>
      <c r="Q174" s="40" t="s">
        <v>57</v>
      </c>
      <c r="R174" s="40" t="s">
        <v>57</v>
      </c>
      <c r="S174">
        <v>45</v>
      </c>
      <c r="T174">
        <v>1</v>
      </c>
      <c r="U174" s="1"/>
      <c r="V174" s="1"/>
      <c r="W174" s="1"/>
      <c r="X174" s="1"/>
      <c r="Y174" s="1"/>
      <c r="Z174" s="40"/>
      <c r="AA174">
        <v>44</v>
      </c>
      <c r="AB174">
        <v>1</v>
      </c>
      <c r="AC174" s="1"/>
      <c r="AD174" s="40"/>
      <c r="AE174" s="1">
        <v>43243</v>
      </c>
      <c r="AF174" s="1">
        <v>43243</v>
      </c>
      <c r="AG174" s="1"/>
      <c r="AH174" s="40"/>
      <c r="AI174" s="1"/>
      <c r="AJ174" s="40">
        <f>_xlfn.MAXIFS(_01towers[02tss.Rev],_01towers[05_id],_01towers[[#This Row],[05_id]])</f>
        <v>1</v>
      </c>
      <c r="AK174" s="40" t="b">
        <f>IF(_01towers[[#This Row],[Count Rev TSS]]=_01towers[[#This Row],[02tss.Rev]],TRUE,FALSE)</f>
        <v>1</v>
      </c>
      <c r="AL174" s="40">
        <f>_xlfn.MAXIFS(_01towers[10colo_app.Rev],_01towers[05_id],_01towers[[#This Row],[05_id]])</f>
        <v>1</v>
      </c>
      <c r="AM174" s="40" t="b">
        <f>IF(_01towers[[#This Row],[Count Rev Colo App]]=_01towers[[#This Row],[10colo_app.Rev]],TRUE,FALSE)</f>
        <v>1</v>
      </c>
      <c r="AN174" s="40" t="b">
        <f>IF(AND(_01towers[[#This Row],[Test Rev Colo]]=TRUE,_01towers[[#This Row],[Test Rev TSS]]=TRUE),TRUE,FALSE)</f>
        <v>1</v>
      </c>
      <c r="AO174" s="40" t="str">
        <f>IF(_01towers[[#This Row],[Test Active]]=TRUE,_01towers[[#This Row],[Prevalidation Status]],"")</f>
        <v>Prevalidated</v>
      </c>
      <c r="AP174" s="40" t="str">
        <f>IF(_01towers[[#This Row],[Active Prevalidation Status]]="Under Prevalidation",
IF(M174="","Review",M174),"")</f>
        <v/>
      </c>
      <c r="AQ174" s="40" t="str">
        <f>IF(_01towers[[#This Row],[Active Prevalidation Status]]="Under Prevalidation",
IF(N174="","Review",N174),"")</f>
        <v/>
      </c>
      <c r="AR174" s="40" t="str">
        <f>IF(_01towers[[#This Row],[Active Prevalidation Status]]="Under Prevalidation",
IF(O174="","Review",O174),"")</f>
        <v/>
      </c>
      <c r="AS174" s="40" t="str">
        <f>IF(_01towers[[#This Row],[Active Prevalidation Status]]="Under Prevalidation",
IF(P174="","Review",P174),"")</f>
        <v/>
      </c>
      <c r="AT174" s="40" t="str">
        <f>IF(_01towers[[#This Row],[Active Prevalidation Status]]="Under Prevalidation",
IF(Q174="","Review",Q174),"")</f>
        <v/>
      </c>
      <c r="AU174" s="40" t="str">
        <f>IF(_01towers[[#This Row],[Active Prevalidation Status]]="Under Prevalidation",
IF(R174="","Review",R174),"")</f>
        <v/>
      </c>
      <c r="AV174" s="40">
        <f>COUNTIF(_01towers[[#This Row],[SAQ_Result2]:[Community_Result2]],"OK")</f>
        <v>0</v>
      </c>
      <c r="AW174" s="1" t="str">
        <f>IF(AND(OR(_01towers[[#This Row],[Active Prevalidation Status]]="Under Prevalidation",_01towers[[#This Row],[Active Prevalidation Status]]="Prevalidated"),_01towers[[#This Row],[02tss.TSSR_From_Engineer]]&gt;0),"Submitted","")</f>
        <v/>
      </c>
      <c r="AX174" s="40">
        <f>IF(OR(_01towers[[#This Row],[Active Prevalidation Status]]="Under Prevalidation",_01towers[[#This Row],[Active Prevalidation Status]]="Prevalidated"),_01towers[[#This Row],[02tss.TSS_Result]],"")</f>
        <v>0</v>
      </c>
      <c r="AY174" s="40" t="str">
        <f>IF(AND(_01towers[[#This Row],[Active TSS Result]]="Approved",_01towers[[#This Row],[Active Prevalidation Status]]="Prevalidated"),"In Process","")</f>
        <v/>
      </c>
      <c r="AZ174" s="40" t="str">
        <f>IF(AND(_01towers[[#This Row],[Active TSS Result]]="Approved",_01towers[[#This Row],[Active Prevalidation Status]]="Prevalidated"),_01towers[[#This Row],[10colo_app.Colo_App_Result]],"")</f>
        <v/>
      </c>
      <c r="BA174" s="40">
        <f>COUNTIF(_20work_order[05_id],_01towers[[#This Row],[05_id]])</f>
        <v>0</v>
      </c>
      <c r="BB174" s="40">
        <f>COUNTIFS(_20work_order[05_id],_01towers[[#This Row],[05_id]],_20work_order[Actual_End],"&gt;0")</f>
        <v>0</v>
      </c>
      <c r="BC174" s="40" t="str">
        <f>IF(_01towers[[#This Row],[Completed Work Orders]]&gt;0,"Work Completed",
IF(_01towers[[#This Row],[Count Work Orders]]&gt;0,"Work in Progress",""))</f>
        <v/>
      </c>
      <c r="BD17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74" s="40" t="str">
        <f>_xlfn.SWITCH(_01towers[[#This Row],[Final Colo Status full]],"Commercial Approval Requested","Under Prevalidation",_01towers[[#This Row],[Final Colo Status full]])</f>
        <v>Prevalidated - TSSR in Process</v>
      </c>
    </row>
    <row r="175" spans="1:57" hidden="1" x14ac:dyDescent="0.35">
      <c r="A175" s="40" t="s">
        <v>164</v>
      </c>
      <c r="B175" s="40" t="s">
        <v>50</v>
      </c>
      <c r="C175" s="40" t="s">
        <v>82</v>
      </c>
      <c r="D175">
        <v>6</v>
      </c>
      <c r="E175" s="40" t="s">
        <v>66</v>
      </c>
      <c r="F175">
        <v>96.082480000000004</v>
      </c>
      <c r="G175">
        <v>21.974630000000001</v>
      </c>
      <c r="H175" s="40" t="s">
        <v>53</v>
      </c>
      <c r="I175">
        <v>175</v>
      </c>
      <c r="J175" s="40" t="s">
        <v>211</v>
      </c>
      <c r="K175" s="40" t="s">
        <v>136</v>
      </c>
      <c r="L175" s="40" t="s">
        <v>74</v>
      </c>
      <c r="M175" s="40" t="s">
        <v>75</v>
      </c>
      <c r="N175" s="40"/>
      <c r="O175" s="40" t="s">
        <v>58</v>
      </c>
      <c r="P175" s="40" t="s">
        <v>58</v>
      </c>
      <c r="Q175" s="40"/>
      <c r="R175" s="40" t="s">
        <v>57</v>
      </c>
      <c r="S175">
        <v>38</v>
      </c>
      <c r="T175">
        <v>1</v>
      </c>
      <c r="U175" s="1"/>
      <c r="V175" s="1"/>
      <c r="W175" s="1"/>
      <c r="X175" s="1"/>
      <c r="Y175" s="1"/>
      <c r="Z175" s="40"/>
      <c r="AA175">
        <v>37</v>
      </c>
      <c r="AB175">
        <v>1</v>
      </c>
      <c r="AC175" s="1"/>
      <c r="AD175" s="40"/>
      <c r="AE175" s="1"/>
      <c r="AF175" s="1"/>
      <c r="AG175" s="1"/>
      <c r="AH175" s="40"/>
      <c r="AI175" s="1"/>
      <c r="AJ175" s="40">
        <f>_xlfn.MAXIFS(_01towers[02tss.Rev],_01towers[05_id],_01towers[[#This Row],[05_id]])</f>
        <v>1</v>
      </c>
      <c r="AK175" s="40" t="b">
        <f>IF(_01towers[[#This Row],[Count Rev TSS]]=_01towers[[#This Row],[02tss.Rev]],TRUE,FALSE)</f>
        <v>1</v>
      </c>
      <c r="AL175" s="40">
        <f>_xlfn.MAXIFS(_01towers[10colo_app.Rev],_01towers[05_id],_01towers[[#This Row],[05_id]])</f>
        <v>1</v>
      </c>
      <c r="AM175" s="40" t="b">
        <f>IF(_01towers[[#This Row],[Count Rev Colo App]]=_01towers[[#This Row],[10colo_app.Rev]],TRUE,FALSE)</f>
        <v>1</v>
      </c>
      <c r="AN175" s="40" t="b">
        <f>IF(AND(_01towers[[#This Row],[Test Rev Colo]]=TRUE,_01towers[[#This Row],[Test Rev TSS]]=TRUE),TRUE,FALSE)</f>
        <v>1</v>
      </c>
      <c r="AO175" s="40" t="str">
        <f>IF(_01towers[[#This Row],[Test Active]]=TRUE,_01towers[[#This Row],[Prevalidation Status]],"")</f>
        <v>Prevalidation Rejected</v>
      </c>
      <c r="AP175" s="40" t="str">
        <f>IF(_01towers[[#This Row],[Active Prevalidation Status]]="Under Prevalidation",
IF(M175="","Review",M175),"")</f>
        <v/>
      </c>
      <c r="AQ175" s="40" t="str">
        <f>IF(_01towers[[#This Row],[Active Prevalidation Status]]="Under Prevalidation",
IF(N175="","Review",N175),"")</f>
        <v/>
      </c>
      <c r="AR175" s="40" t="str">
        <f>IF(_01towers[[#This Row],[Active Prevalidation Status]]="Under Prevalidation",
IF(O175="","Review",O175),"")</f>
        <v/>
      </c>
      <c r="AS175" s="40" t="str">
        <f>IF(_01towers[[#This Row],[Active Prevalidation Status]]="Under Prevalidation",
IF(P175="","Review",P175),"")</f>
        <v/>
      </c>
      <c r="AT175" s="40" t="str">
        <f>IF(_01towers[[#This Row],[Active Prevalidation Status]]="Under Prevalidation",
IF(Q175="","Review",Q175),"")</f>
        <v/>
      </c>
      <c r="AU175" s="40" t="str">
        <f>IF(_01towers[[#This Row],[Active Prevalidation Status]]="Under Prevalidation",
IF(R175="","Review",R175),"")</f>
        <v/>
      </c>
      <c r="AV175" s="40">
        <f>COUNTIF(_01towers[[#This Row],[SAQ_Result2]:[Community_Result2]],"OK")</f>
        <v>0</v>
      </c>
      <c r="AW175" s="1" t="str">
        <f>IF(AND(OR(_01towers[[#This Row],[Active Prevalidation Status]]="Under Prevalidation",_01towers[[#This Row],[Active Prevalidation Status]]="Prevalidated"),_01towers[[#This Row],[02tss.TSSR_From_Engineer]]&gt;0),"Submitted","")</f>
        <v/>
      </c>
      <c r="AX175" s="40" t="str">
        <f>IF(OR(_01towers[[#This Row],[Active Prevalidation Status]]="Under Prevalidation",_01towers[[#This Row],[Active Prevalidation Status]]="Prevalidated"),_01towers[[#This Row],[02tss.TSS_Result]],"")</f>
        <v/>
      </c>
      <c r="AY175" s="40" t="str">
        <f>IF(AND(_01towers[[#This Row],[Active TSS Result]]="Approved",_01towers[[#This Row],[Active Prevalidation Status]]="Prevalidated"),"In Process","")</f>
        <v/>
      </c>
      <c r="AZ175" s="40" t="str">
        <f>IF(AND(_01towers[[#This Row],[Active TSS Result]]="Approved",_01towers[[#This Row],[Active Prevalidation Status]]="Prevalidated"),_01towers[[#This Row],[10colo_app.Colo_App_Result]],"")</f>
        <v/>
      </c>
      <c r="BA175" s="40">
        <f>COUNTIF(_20work_order[05_id],_01towers[[#This Row],[05_id]])</f>
        <v>0</v>
      </c>
      <c r="BB175" s="40">
        <f>COUNTIFS(_20work_order[05_id],_01towers[[#This Row],[05_id]],_20work_order[Actual_End],"&gt;0")</f>
        <v>0</v>
      </c>
      <c r="BC175" s="40" t="str">
        <f>IF(_01towers[[#This Row],[Completed Work Orders]]&gt;0,"Work Completed",
IF(_01towers[[#This Row],[Count Work Orders]]&gt;0,"Work in Progress",""))</f>
        <v/>
      </c>
      <c r="BD17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75" s="40" t="str">
        <f>_xlfn.SWITCH(_01towers[[#This Row],[Final Colo Status full]],"Commercial Approval Requested","Under Prevalidation",_01towers[[#This Row],[Final Colo Status full]])</f>
        <v>Prevalidation Rejected</v>
      </c>
    </row>
    <row r="176" spans="1:57" hidden="1" x14ac:dyDescent="0.35">
      <c r="A176" s="40" t="s">
        <v>389</v>
      </c>
      <c r="B176" s="40" t="s">
        <v>50</v>
      </c>
      <c r="C176" s="40" t="s">
        <v>82</v>
      </c>
      <c r="D176">
        <v>6</v>
      </c>
      <c r="E176" s="40" t="s">
        <v>66</v>
      </c>
      <c r="F176">
        <v>96.112566999999999</v>
      </c>
      <c r="G176">
        <v>21.891279999999998</v>
      </c>
      <c r="H176" s="40" t="s">
        <v>53</v>
      </c>
      <c r="I176">
        <v>176</v>
      </c>
      <c r="J176" s="40" t="s">
        <v>390</v>
      </c>
      <c r="K176" s="40" t="s">
        <v>136</v>
      </c>
      <c r="L176" s="40" t="s">
        <v>145</v>
      </c>
      <c r="M176" s="40" t="s">
        <v>57</v>
      </c>
      <c r="N176" s="40" t="s">
        <v>57</v>
      </c>
      <c r="O176" s="40" t="s">
        <v>58</v>
      </c>
      <c r="P176" s="40" t="s">
        <v>57</v>
      </c>
      <c r="Q176" s="40" t="s">
        <v>57</v>
      </c>
      <c r="R176" s="40" t="s">
        <v>57</v>
      </c>
      <c r="S176">
        <v>53</v>
      </c>
      <c r="T176">
        <v>1</v>
      </c>
      <c r="U176" s="1"/>
      <c r="V176" s="1"/>
      <c r="W176" s="1"/>
      <c r="X176" s="1"/>
      <c r="Y176" s="1"/>
      <c r="Z176" s="40"/>
      <c r="AA176">
        <v>52</v>
      </c>
      <c r="AB176">
        <v>1</v>
      </c>
      <c r="AC176" s="1"/>
      <c r="AD176" s="40"/>
      <c r="AE176" s="1"/>
      <c r="AF176" s="1"/>
      <c r="AG176" s="1"/>
      <c r="AH176" s="40"/>
      <c r="AI176" s="1"/>
      <c r="AJ176" s="40">
        <f>_xlfn.MAXIFS(_01towers[02tss.Rev],_01towers[05_id],_01towers[[#This Row],[05_id]])</f>
        <v>1</v>
      </c>
      <c r="AK176" s="40" t="b">
        <f>IF(_01towers[[#This Row],[Count Rev TSS]]=_01towers[[#This Row],[02tss.Rev]],TRUE,FALSE)</f>
        <v>1</v>
      </c>
      <c r="AL176" s="40">
        <f>_xlfn.MAXIFS(_01towers[10colo_app.Rev],_01towers[05_id],_01towers[[#This Row],[05_id]])</f>
        <v>1</v>
      </c>
      <c r="AM176" s="40" t="b">
        <f>IF(_01towers[[#This Row],[Count Rev Colo App]]=_01towers[[#This Row],[10colo_app.Rev]],TRUE,FALSE)</f>
        <v>1</v>
      </c>
      <c r="AN176" s="40" t="b">
        <f>IF(AND(_01towers[[#This Row],[Test Rev Colo]]=TRUE,_01towers[[#This Row],[Test Rev TSS]]=TRUE),TRUE,FALSE)</f>
        <v>1</v>
      </c>
      <c r="AO176" s="40" t="str">
        <f>IF(_01towers[[#This Row],[Test Active]]=TRUE,_01towers[[#This Row],[Prevalidation Status]],"")</f>
        <v>Under Prevalidation</v>
      </c>
      <c r="AP176" s="40" t="str">
        <f>IF(_01towers[[#This Row],[Active Prevalidation Status]]="Under Prevalidation",
IF(M176="","Review",M176),"")</f>
        <v>OK</v>
      </c>
      <c r="AQ176" s="40" t="str">
        <f>IF(_01towers[[#This Row],[Active Prevalidation Status]]="Under Prevalidation",
IF(N176="","Review",N176),"")</f>
        <v>OK</v>
      </c>
      <c r="AR176" s="40" t="str">
        <f>IF(_01towers[[#This Row],[Active Prevalidation Status]]="Under Prevalidation",
IF(O176="","Review",O176),"")</f>
        <v>Review</v>
      </c>
      <c r="AS176" s="40" t="str">
        <f>IF(_01towers[[#This Row],[Active Prevalidation Status]]="Under Prevalidation",
IF(P176="","Review",P176),"")</f>
        <v>OK</v>
      </c>
      <c r="AT176" s="40" t="str">
        <f>IF(_01towers[[#This Row],[Active Prevalidation Status]]="Under Prevalidation",
IF(Q176="","Review",Q176),"")</f>
        <v>OK</v>
      </c>
      <c r="AU176" s="40" t="str">
        <f>IF(_01towers[[#This Row],[Active Prevalidation Status]]="Under Prevalidation",
IF(R176="","Review",R176),"")</f>
        <v>OK</v>
      </c>
      <c r="AV176" s="40">
        <f>COUNTIF(_01towers[[#This Row],[SAQ_Result2]:[Community_Result2]],"OK")</f>
        <v>5</v>
      </c>
      <c r="AW176" s="1" t="str">
        <f>IF(AND(OR(_01towers[[#This Row],[Active Prevalidation Status]]="Under Prevalidation",_01towers[[#This Row],[Active Prevalidation Status]]="Prevalidated"),_01towers[[#This Row],[02tss.TSSR_From_Engineer]]&gt;0),"Submitted","")</f>
        <v/>
      </c>
      <c r="AX176" s="40">
        <f>IF(OR(_01towers[[#This Row],[Active Prevalidation Status]]="Under Prevalidation",_01towers[[#This Row],[Active Prevalidation Status]]="Prevalidated"),_01towers[[#This Row],[02tss.TSS_Result]],"")</f>
        <v>0</v>
      </c>
      <c r="AY176" s="40" t="str">
        <f>IF(AND(_01towers[[#This Row],[Active TSS Result]]="Approved",_01towers[[#This Row],[Active Prevalidation Status]]="Prevalidated"),"In Process","")</f>
        <v/>
      </c>
      <c r="AZ176" s="40" t="str">
        <f>IF(AND(_01towers[[#This Row],[Active TSS Result]]="Approved",_01towers[[#This Row],[Active Prevalidation Status]]="Prevalidated"),_01towers[[#This Row],[10colo_app.Colo_App_Result]],"")</f>
        <v/>
      </c>
      <c r="BA176" s="40">
        <f>COUNTIF(_20work_order[05_id],_01towers[[#This Row],[05_id]])</f>
        <v>0</v>
      </c>
      <c r="BB176" s="40">
        <f>COUNTIFS(_20work_order[05_id],_01towers[[#This Row],[05_id]],_20work_order[Actual_End],"&gt;0")</f>
        <v>0</v>
      </c>
      <c r="BC176" s="40" t="str">
        <f>IF(_01towers[[#This Row],[Completed Work Orders]]&gt;0,"Work Completed",
IF(_01towers[[#This Row],[Count Work Orders]]&gt;0,"Work in Progress",""))</f>
        <v/>
      </c>
      <c r="BD17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Under Prevalidation</v>
      </c>
      <c r="BE176" s="40" t="str">
        <f>_xlfn.SWITCH(_01towers[[#This Row],[Final Colo Status full]],"Commercial Approval Requested","Under Prevalidation",_01towers[[#This Row],[Final Colo Status full]])</f>
        <v>Under Prevalidation</v>
      </c>
    </row>
    <row r="177" spans="1:57" hidden="1" x14ac:dyDescent="0.35">
      <c r="A177" s="40" t="s">
        <v>391</v>
      </c>
      <c r="B177" s="40" t="s">
        <v>50</v>
      </c>
      <c r="C177" s="40" t="s">
        <v>51</v>
      </c>
      <c r="D177">
        <v>60</v>
      </c>
      <c r="E177" s="40" t="s">
        <v>66</v>
      </c>
      <c r="F177">
        <v>96.103970000000004</v>
      </c>
      <c r="G177">
        <v>21.876339999999999</v>
      </c>
      <c r="H177" s="40" t="s">
        <v>53</v>
      </c>
      <c r="I177">
        <v>177</v>
      </c>
      <c r="J177" s="40" t="s">
        <v>392</v>
      </c>
      <c r="K177" s="40" t="s">
        <v>136</v>
      </c>
      <c r="L177" s="40" t="s">
        <v>64</v>
      </c>
      <c r="M177" s="40" t="s">
        <v>57</v>
      </c>
      <c r="N177" s="40" t="s">
        <v>57</v>
      </c>
      <c r="O177" s="40" t="s">
        <v>57</v>
      </c>
      <c r="P177" s="40" t="s">
        <v>57</v>
      </c>
      <c r="Q177" s="40" t="s">
        <v>57</v>
      </c>
      <c r="R177" s="40" t="s">
        <v>57</v>
      </c>
      <c r="S177">
        <v>57</v>
      </c>
      <c r="T177">
        <v>1</v>
      </c>
      <c r="U177" s="1"/>
      <c r="V177" s="1"/>
      <c r="W177" s="1"/>
      <c r="X177" s="1"/>
      <c r="Y177" s="1"/>
      <c r="Z177" s="40"/>
      <c r="AA177">
        <v>56</v>
      </c>
      <c r="AB177">
        <v>1</v>
      </c>
      <c r="AC177" s="1"/>
      <c r="AD177" s="40"/>
      <c r="AE177" s="1"/>
      <c r="AF177" s="1"/>
      <c r="AG177" s="1"/>
      <c r="AH177" s="40"/>
      <c r="AI177" s="1"/>
      <c r="AJ177" s="40">
        <f>_xlfn.MAXIFS(_01towers[02tss.Rev],_01towers[05_id],_01towers[[#This Row],[05_id]])</f>
        <v>1</v>
      </c>
      <c r="AK177" s="40" t="b">
        <f>IF(_01towers[[#This Row],[Count Rev TSS]]=_01towers[[#This Row],[02tss.Rev]],TRUE,FALSE)</f>
        <v>1</v>
      </c>
      <c r="AL177" s="40">
        <f>_xlfn.MAXIFS(_01towers[10colo_app.Rev],_01towers[05_id],_01towers[[#This Row],[05_id]])</f>
        <v>1</v>
      </c>
      <c r="AM177" s="40" t="b">
        <f>IF(_01towers[[#This Row],[Count Rev Colo App]]=_01towers[[#This Row],[10colo_app.Rev]],TRUE,FALSE)</f>
        <v>1</v>
      </c>
      <c r="AN177" s="40" t="b">
        <f>IF(AND(_01towers[[#This Row],[Test Rev Colo]]=TRUE,_01towers[[#This Row],[Test Rev TSS]]=TRUE),TRUE,FALSE)</f>
        <v>1</v>
      </c>
      <c r="AO177" s="40" t="str">
        <f>IF(_01towers[[#This Row],[Test Active]]=TRUE,_01towers[[#This Row],[Prevalidation Status]],"")</f>
        <v>Prevalidated</v>
      </c>
      <c r="AP177" s="40" t="str">
        <f>IF(_01towers[[#This Row],[Active Prevalidation Status]]="Under Prevalidation",
IF(M177="","Review",M177),"")</f>
        <v/>
      </c>
      <c r="AQ177" s="40" t="str">
        <f>IF(_01towers[[#This Row],[Active Prevalidation Status]]="Under Prevalidation",
IF(N177="","Review",N177),"")</f>
        <v/>
      </c>
      <c r="AR177" s="40" t="str">
        <f>IF(_01towers[[#This Row],[Active Prevalidation Status]]="Under Prevalidation",
IF(O177="","Review",O177),"")</f>
        <v/>
      </c>
      <c r="AS177" s="40" t="str">
        <f>IF(_01towers[[#This Row],[Active Prevalidation Status]]="Under Prevalidation",
IF(P177="","Review",P177),"")</f>
        <v/>
      </c>
      <c r="AT177" s="40" t="str">
        <f>IF(_01towers[[#This Row],[Active Prevalidation Status]]="Under Prevalidation",
IF(Q177="","Review",Q177),"")</f>
        <v/>
      </c>
      <c r="AU177" s="40" t="str">
        <f>IF(_01towers[[#This Row],[Active Prevalidation Status]]="Under Prevalidation",
IF(R177="","Review",R177),"")</f>
        <v/>
      </c>
      <c r="AV177" s="40">
        <f>COUNTIF(_01towers[[#This Row],[SAQ_Result2]:[Community_Result2]],"OK")</f>
        <v>0</v>
      </c>
      <c r="AW177" s="1" t="str">
        <f>IF(AND(OR(_01towers[[#This Row],[Active Prevalidation Status]]="Under Prevalidation",_01towers[[#This Row],[Active Prevalidation Status]]="Prevalidated"),_01towers[[#This Row],[02tss.TSSR_From_Engineer]]&gt;0),"Submitted","")</f>
        <v/>
      </c>
      <c r="AX177" s="40">
        <f>IF(OR(_01towers[[#This Row],[Active Prevalidation Status]]="Under Prevalidation",_01towers[[#This Row],[Active Prevalidation Status]]="Prevalidated"),_01towers[[#This Row],[02tss.TSS_Result]],"")</f>
        <v>0</v>
      </c>
      <c r="AY177" s="40" t="str">
        <f>IF(AND(_01towers[[#This Row],[Active TSS Result]]="Approved",_01towers[[#This Row],[Active Prevalidation Status]]="Prevalidated"),"In Process","")</f>
        <v/>
      </c>
      <c r="AZ177" s="40" t="str">
        <f>IF(AND(_01towers[[#This Row],[Active TSS Result]]="Approved",_01towers[[#This Row],[Active Prevalidation Status]]="Prevalidated"),_01towers[[#This Row],[10colo_app.Colo_App_Result]],"")</f>
        <v/>
      </c>
      <c r="BA177" s="40">
        <f>COUNTIF(_20work_order[05_id],_01towers[[#This Row],[05_id]])</f>
        <v>0</v>
      </c>
      <c r="BB177" s="40">
        <f>COUNTIFS(_20work_order[05_id],_01towers[[#This Row],[05_id]],_20work_order[Actual_End],"&gt;0")</f>
        <v>0</v>
      </c>
      <c r="BC177" s="40" t="str">
        <f>IF(_01towers[[#This Row],[Completed Work Orders]]&gt;0,"Work Completed",
IF(_01towers[[#This Row],[Count Work Orders]]&gt;0,"Work in Progress",""))</f>
        <v/>
      </c>
      <c r="BD17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77" s="40" t="str">
        <f>_xlfn.SWITCH(_01towers[[#This Row],[Final Colo Status full]],"Commercial Approval Requested","Under Prevalidation",_01towers[[#This Row],[Final Colo Status full]])</f>
        <v>Prevalidated - TSSR in Process</v>
      </c>
    </row>
    <row r="178" spans="1:57" hidden="1" x14ac:dyDescent="0.35">
      <c r="A178" s="40" t="s">
        <v>393</v>
      </c>
      <c r="B178" s="40" t="s">
        <v>50</v>
      </c>
      <c r="C178" s="40" t="s">
        <v>51</v>
      </c>
      <c r="D178">
        <v>35</v>
      </c>
      <c r="E178" s="40" t="s">
        <v>66</v>
      </c>
      <c r="F178">
        <v>96.102851000000001</v>
      </c>
      <c r="G178">
        <v>21.924469999999999</v>
      </c>
      <c r="H178" s="40" t="s">
        <v>53</v>
      </c>
      <c r="I178">
        <v>178</v>
      </c>
      <c r="J178" s="40" t="s">
        <v>630</v>
      </c>
      <c r="K178" s="40" t="s">
        <v>136</v>
      </c>
      <c r="L178" s="40" t="s">
        <v>64</v>
      </c>
      <c r="M178" s="40" t="s">
        <v>57</v>
      </c>
      <c r="N178" s="40" t="s">
        <v>57</v>
      </c>
      <c r="O178" s="40" t="s">
        <v>57</v>
      </c>
      <c r="P178" s="40" t="s">
        <v>58</v>
      </c>
      <c r="Q178" s="40" t="s">
        <v>57</v>
      </c>
      <c r="R178" s="40" t="s">
        <v>57</v>
      </c>
      <c r="S178">
        <v>51</v>
      </c>
      <c r="T178">
        <v>1</v>
      </c>
      <c r="U178" s="1"/>
      <c r="V178" s="1"/>
      <c r="W178" s="1"/>
      <c r="X178" s="1"/>
      <c r="Y178" s="1"/>
      <c r="Z178" s="40"/>
      <c r="AA178">
        <v>50</v>
      </c>
      <c r="AB178">
        <v>1</v>
      </c>
      <c r="AC178" s="1"/>
      <c r="AD178" s="40"/>
      <c r="AE178" s="1"/>
      <c r="AF178" s="1"/>
      <c r="AG178" s="1"/>
      <c r="AH178" s="40"/>
      <c r="AI178" s="1"/>
      <c r="AJ178" s="40">
        <f>_xlfn.MAXIFS(_01towers[02tss.Rev],_01towers[05_id],_01towers[[#This Row],[05_id]])</f>
        <v>1</v>
      </c>
      <c r="AK178" s="40" t="b">
        <f>IF(_01towers[[#This Row],[Count Rev TSS]]=_01towers[[#This Row],[02tss.Rev]],TRUE,FALSE)</f>
        <v>1</v>
      </c>
      <c r="AL178" s="40">
        <f>_xlfn.MAXIFS(_01towers[10colo_app.Rev],_01towers[05_id],_01towers[[#This Row],[05_id]])</f>
        <v>1</v>
      </c>
      <c r="AM178" s="40" t="b">
        <f>IF(_01towers[[#This Row],[Count Rev Colo App]]=_01towers[[#This Row],[10colo_app.Rev]],TRUE,FALSE)</f>
        <v>1</v>
      </c>
      <c r="AN178" s="40" t="b">
        <f>IF(AND(_01towers[[#This Row],[Test Rev Colo]]=TRUE,_01towers[[#This Row],[Test Rev TSS]]=TRUE),TRUE,FALSE)</f>
        <v>1</v>
      </c>
      <c r="AO178" s="40" t="str">
        <f>IF(_01towers[[#This Row],[Test Active]]=TRUE,_01towers[[#This Row],[Prevalidation Status]],"")</f>
        <v>Prevalidated</v>
      </c>
      <c r="AP178" s="40" t="str">
        <f>IF(_01towers[[#This Row],[Active Prevalidation Status]]="Under Prevalidation",
IF(M178="","Review",M178),"")</f>
        <v/>
      </c>
      <c r="AQ178" s="40" t="str">
        <f>IF(_01towers[[#This Row],[Active Prevalidation Status]]="Under Prevalidation",
IF(N178="","Review",N178),"")</f>
        <v/>
      </c>
      <c r="AR178" s="40" t="str">
        <f>IF(_01towers[[#This Row],[Active Prevalidation Status]]="Under Prevalidation",
IF(O178="","Review",O178),"")</f>
        <v/>
      </c>
      <c r="AS178" s="40" t="str">
        <f>IF(_01towers[[#This Row],[Active Prevalidation Status]]="Under Prevalidation",
IF(P178="","Review",P178),"")</f>
        <v/>
      </c>
      <c r="AT178" s="40" t="str">
        <f>IF(_01towers[[#This Row],[Active Prevalidation Status]]="Under Prevalidation",
IF(Q178="","Review",Q178),"")</f>
        <v/>
      </c>
      <c r="AU178" s="40" t="str">
        <f>IF(_01towers[[#This Row],[Active Prevalidation Status]]="Under Prevalidation",
IF(R178="","Review",R178),"")</f>
        <v/>
      </c>
      <c r="AV178" s="40">
        <f>COUNTIF(_01towers[[#This Row],[SAQ_Result2]:[Community_Result2]],"OK")</f>
        <v>0</v>
      </c>
      <c r="AW178" s="1" t="str">
        <f>IF(AND(OR(_01towers[[#This Row],[Active Prevalidation Status]]="Under Prevalidation",_01towers[[#This Row],[Active Prevalidation Status]]="Prevalidated"),_01towers[[#This Row],[02tss.TSSR_From_Engineer]]&gt;0),"Submitted","")</f>
        <v/>
      </c>
      <c r="AX178" s="40">
        <f>IF(OR(_01towers[[#This Row],[Active Prevalidation Status]]="Under Prevalidation",_01towers[[#This Row],[Active Prevalidation Status]]="Prevalidated"),_01towers[[#This Row],[02tss.TSS_Result]],"")</f>
        <v>0</v>
      </c>
      <c r="AY178" s="40" t="str">
        <f>IF(AND(_01towers[[#This Row],[Active TSS Result]]="Approved",_01towers[[#This Row],[Active Prevalidation Status]]="Prevalidated"),"In Process","")</f>
        <v/>
      </c>
      <c r="AZ178" s="40" t="str">
        <f>IF(AND(_01towers[[#This Row],[Active TSS Result]]="Approved",_01towers[[#This Row],[Active Prevalidation Status]]="Prevalidated"),_01towers[[#This Row],[10colo_app.Colo_App_Result]],"")</f>
        <v/>
      </c>
      <c r="BA178" s="40">
        <f>COUNTIF(_20work_order[05_id],_01towers[[#This Row],[05_id]])</f>
        <v>0</v>
      </c>
      <c r="BB178" s="40">
        <f>COUNTIFS(_20work_order[05_id],_01towers[[#This Row],[05_id]],_20work_order[Actual_End],"&gt;0")</f>
        <v>0</v>
      </c>
      <c r="BC178" s="40" t="str">
        <f>IF(_01towers[[#This Row],[Completed Work Orders]]&gt;0,"Work Completed",
IF(_01towers[[#This Row],[Count Work Orders]]&gt;0,"Work in Progress",""))</f>
        <v/>
      </c>
      <c r="BD17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78" s="40" t="str">
        <f>_xlfn.SWITCH(_01towers[[#This Row],[Final Colo Status full]],"Commercial Approval Requested","Under Prevalidation",_01towers[[#This Row],[Final Colo Status full]])</f>
        <v>Prevalidated - TSSR in Process</v>
      </c>
    </row>
    <row r="179" spans="1:57" hidden="1" x14ac:dyDescent="0.35">
      <c r="A179" s="40" t="s">
        <v>394</v>
      </c>
      <c r="B179" s="40" t="s">
        <v>50</v>
      </c>
      <c r="C179" s="40" t="s">
        <v>51</v>
      </c>
      <c r="D179">
        <v>50</v>
      </c>
      <c r="E179" s="40" t="s">
        <v>167</v>
      </c>
      <c r="F179">
        <v>95.192756000000003</v>
      </c>
      <c r="G179">
        <v>21.492948999999999</v>
      </c>
      <c r="H179" s="40" t="s">
        <v>53</v>
      </c>
      <c r="I179">
        <v>179</v>
      </c>
      <c r="J179" s="40" t="s">
        <v>395</v>
      </c>
      <c r="K179" s="40" t="s">
        <v>136</v>
      </c>
      <c r="L179" s="40" t="s">
        <v>74</v>
      </c>
      <c r="M179" s="40" t="s">
        <v>57</v>
      </c>
      <c r="N179" s="40" t="s">
        <v>57</v>
      </c>
      <c r="O179" s="40" t="s">
        <v>57</v>
      </c>
      <c r="P179" s="40" t="s">
        <v>57</v>
      </c>
      <c r="Q179" s="40" t="s">
        <v>57</v>
      </c>
      <c r="R179" s="40" t="s">
        <v>57</v>
      </c>
      <c r="S179">
        <v>66</v>
      </c>
      <c r="T179">
        <v>1</v>
      </c>
      <c r="U179" s="1"/>
      <c r="V179" s="1"/>
      <c r="W179" s="1"/>
      <c r="X179" s="1"/>
      <c r="Y179" s="1"/>
      <c r="Z179" s="40"/>
      <c r="AA179">
        <v>65</v>
      </c>
      <c r="AB179">
        <v>1</v>
      </c>
      <c r="AC179" s="1"/>
      <c r="AD179" s="40"/>
      <c r="AE179" s="1"/>
      <c r="AF179" s="1"/>
      <c r="AG179" s="1"/>
      <c r="AH179" s="40"/>
      <c r="AI179" s="1"/>
      <c r="AJ179" s="40">
        <f>_xlfn.MAXIFS(_01towers[02tss.Rev],_01towers[05_id],_01towers[[#This Row],[05_id]])</f>
        <v>1</v>
      </c>
      <c r="AK179" s="40" t="b">
        <f>IF(_01towers[[#This Row],[Count Rev TSS]]=_01towers[[#This Row],[02tss.Rev]],TRUE,FALSE)</f>
        <v>1</v>
      </c>
      <c r="AL179" s="40">
        <f>_xlfn.MAXIFS(_01towers[10colo_app.Rev],_01towers[05_id],_01towers[[#This Row],[05_id]])</f>
        <v>1</v>
      </c>
      <c r="AM179" s="40" t="b">
        <f>IF(_01towers[[#This Row],[Count Rev Colo App]]=_01towers[[#This Row],[10colo_app.Rev]],TRUE,FALSE)</f>
        <v>1</v>
      </c>
      <c r="AN179" s="40" t="b">
        <f>IF(AND(_01towers[[#This Row],[Test Rev Colo]]=TRUE,_01towers[[#This Row],[Test Rev TSS]]=TRUE),TRUE,FALSE)</f>
        <v>1</v>
      </c>
      <c r="AO179" s="40" t="str">
        <f>IF(_01towers[[#This Row],[Test Active]]=TRUE,_01towers[[#This Row],[Prevalidation Status]],"")</f>
        <v>Prevalidation Rejected</v>
      </c>
      <c r="AP179" s="40" t="str">
        <f>IF(_01towers[[#This Row],[Active Prevalidation Status]]="Under Prevalidation",
IF(M179="","Review",M179),"")</f>
        <v/>
      </c>
      <c r="AQ179" s="40" t="str">
        <f>IF(_01towers[[#This Row],[Active Prevalidation Status]]="Under Prevalidation",
IF(N179="","Review",N179),"")</f>
        <v/>
      </c>
      <c r="AR179" s="40" t="str">
        <f>IF(_01towers[[#This Row],[Active Prevalidation Status]]="Under Prevalidation",
IF(O179="","Review",O179),"")</f>
        <v/>
      </c>
      <c r="AS179" s="40" t="str">
        <f>IF(_01towers[[#This Row],[Active Prevalidation Status]]="Under Prevalidation",
IF(P179="","Review",P179),"")</f>
        <v/>
      </c>
      <c r="AT179" s="40" t="str">
        <f>IF(_01towers[[#This Row],[Active Prevalidation Status]]="Under Prevalidation",
IF(Q179="","Review",Q179),"")</f>
        <v/>
      </c>
      <c r="AU179" s="40" t="str">
        <f>IF(_01towers[[#This Row],[Active Prevalidation Status]]="Under Prevalidation",
IF(R179="","Review",R179),"")</f>
        <v/>
      </c>
      <c r="AV179" s="40">
        <f>COUNTIF(_01towers[[#This Row],[SAQ_Result2]:[Community_Result2]],"OK")</f>
        <v>0</v>
      </c>
      <c r="AW179" s="1" t="str">
        <f>IF(AND(OR(_01towers[[#This Row],[Active Prevalidation Status]]="Under Prevalidation",_01towers[[#This Row],[Active Prevalidation Status]]="Prevalidated"),_01towers[[#This Row],[02tss.TSSR_From_Engineer]]&gt;0),"Submitted","")</f>
        <v/>
      </c>
      <c r="AX179" s="40" t="str">
        <f>IF(OR(_01towers[[#This Row],[Active Prevalidation Status]]="Under Prevalidation",_01towers[[#This Row],[Active Prevalidation Status]]="Prevalidated"),_01towers[[#This Row],[02tss.TSS_Result]],"")</f>
        <v/>
      </c>
      <c r="AY179" s="40" t="str">
        <f>IF(AND(_01towers[[#This Row],[Active TSS Result]]="Approved",_01towers[[#This Row],[Active Prevalidation Status]]="Prevalidated"),"In Process","")</f>
        <v/>
      </c>
      <c r="AZ179" s="40" t="str">
        <f>IF(AND(_01towers[[#This Row],[Active TSS Result]]="Approved",_01towers[[#This Row],[Active Prevalidation Status]]="Prevalidated"),_01towers[[#This Row],[10colo_app.Colo_App_Result]],"")</f>
        <v/>
      </c>
      <c r="BA179" s="40">
        <f>COUNTIF(_20work_order[05_id],_01towers[[#This Row],[05_id]])</f>
        <v>0</v>
      </c>
      <c r="BB179" s="40">
        <f>COUNTIFS(_20work_order[05_id],_01towers[[#This Row],[05_id]],_20work_order[Actual_End],"&gt;0")</f>
        <v>0</v>
      </c>
      <c r="BC179" s="40" t="str">
        <f>IF(_01towers[[#This Row],[Completed Work Orders]]&gt;0,"Work Completed",
IF(_01towers[[#This Row],[Count Work Orders]]&gt;0,"Work in Progress",""))</f>
        <v/>
      </c>
      <c r="BD17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79" s="40" t="str">
        <f>_xlfn.SWITCH(_01towers[[#This Row],[Final Colo Status full]],"Commercial Approval Requested","Under Prevalidation",_01towers[[#This Row],[Final Colo Status full]])</f>
        <v>Prevalidation Rejected</v>
      </c>
    </row>
    <row r="180" spans="1:57" hidden="1" x14ac:dyDescent="0.35">
      <c r="A180" s="40" t="s">
        <v>396</v>
      </c>
      <c r="B180" s="40" t="s">
        <v>50</v>
      </c>
      <c r="C180" s="40" t="s">
        <v>51</v>
      </c>
      <c r="D180">
        <v>50</v>
      </c>
      <c r="E180" s="40" t="s">
        <v>167</v>
      </c>
      <c r="F180">
        <v>95.185631999999998</v>
      </c>
      <c r="G180">
        <v>21.737721000000001</v>
      </c>
      <c r="H180" s="40" t="s">
        <v>53</v>
      </c>
      <c r="I180">
        <v>180</v>
      </c>
      <c r="J180" s="40" t="s">
        <v>397</v>
      </c>
      <c r="K180" s="40" t="s">
        <v>136</v>
      </c>
      <c r="L180" s="40" t="s">
        <v>64</v>
      </c>
      <c r="M180" s="40" t="s">
        <v>57</v>
      </c>
      <c r="N180" s="40" t="s">
        <v>57</v>
      </c>
      <c r="O180" s="40" t="s">
        <v>57</v>
      </c>
      <c r="P180" s="40" t="s">
        <v>57</v>
      </c>
      <c r="Q180" s="40" t="s">
        <v>57</v>
      </c>
      <c r="R180" s="40" t="s">
        <v>57</v>
      </c>
      <c r="S180">
        <v>67</v>
      </c>
      <c r="T180">
        <v>1</v>
      </c>
      <c r="U180" s="1">
        <v>43276</v>
      </c>
      <c r="V180" s="1">
        <v>43276</v>
      </c>
      <c r="W180" s="1">
        <v>43283</v>
      </c>
      <c r="X180" s="1"/>
      <c r="Y180" s="1"/>
      <c r="Z180" s="40"/>
      <c r="AA180">
        <v>66</v>
      </c>
      <c r="AB180">
        <v>1</v>
      </c>
      <c r="AC180" s="1"/>
      <c r="AD180" s="40"/>
      <c r="AE180" s="1"/>
      <c r="AF180" s="1"/>
      <c r="AG180" s="1"/>
      <c r="AH180" s="40"/>
      <c r="AI180" s="1"/>
      <c r="AJ180" s="40">
        <f>_xlfn.MAXIFS(_01towers[02tss.Rev],_01towers[05_id],_01towers[[#This Row],[05_id]])</f>
        <v>1</v>
      </c>
      <c r="AK180" s="40" t="b">
        <f>IF(_01towers[[#This Row],[Count Rev TSS]]=_01towers[[#This Row],[02tss.Rev]],TRUE,FALSE)</f>
        <v>1</v>
      </c>
      <c r="AL180" s="40">
        <f>_xlfn.MAXIFS(_01towers[10colo_app.Rev],_01towers[05_id],_01towers[[#This Row],[05_id]])</f>
        <v>1</v>
      </c>
      <c r="AM180" s="40" t="b">
        <f>IF(_01towers[[#This Row],[Count Rev Colo App]]=_01towers[[#This Row],[10colo_app.Rev]],TRUE,FALSE)</f>
        <v>1</v>
      </c>
      <c r="AN180" s="40" t="b">
        <f>IF(AND(_01towers[[#This Row],[Test Rev Colo]]=TRUE,_01towers[[#This Row],[Test Rev TSS]]=TRUE),TRUE,FALSE)</f>
        <v>1</v>
      </c>
      <c r="AO180" s="40" t="str">
        <f>IF(_01towers[[#This Row],[Test Active]]=TRUE,_01towers[[#This Row],[Prevalidation Status]],"")</f>
        <v>Prevalidated</v>
      </c>
      <c r="AP180" s="40" t="str">
        <f>IF(_01towers[[#This Row],[Active Prevalidation Status]]="Under Prevalidation",
IF(M180="","Review",M180),"")</f>
        <v/>
      </c>
      <c r="AQ180" s="40" t="str">
        <f>IF(_01towers[[#This Row],[Active Prevalidation Status]]="Under Prevalidation",
IF(N180="","Review",N180),"")</f>
        <v/>
      </c>
      <c r="AR180" s="40" t="str">
        <f>IF(_01towers[[#This Row],[Active Prevalidation Status]]="Under Prevalidation",
IF(O180="","Review",O180),"")</f>
        <v/>
      </c>
      <c r="AS180" s="40" t="str">
        <f>IF(_01towers[[#This Row],[Active Prevalidation Status]]="Under Prevalidation",
IF(P180="","Review",P180),"")</f>
        <v/>
      </c>
      <c r="AT180" s="40" t="str">
        <f>IF(_01towers[[#This Row],[Active Prevalidation Status]]="Under Prevalidation",
IF(Q180="","Review",Q180),"")</f>
        <v/>
      </c>
      <c r="AU180" s="40" t="str">
        <f>IF(_01towers[[#This Row],[Active Prevalidation Status]]="Under Prevalidation",
IF(R180="","Review",R180),"")</f>
        <v/>
      </c>
      <c r="AV180" s="40">
        <f>COUNTIF(_01towers[[#This Row],[SAQ_Result2]:[Community_Result2]],"OK")</f>
        <v>0</v>
      </c>
      <c r="AW180" s="1" t="str">
        <f>IF(AND(OR(_01towers[[#This Row],[Active Prevalidation Status]]="Under Prevalidation",_01towers[[#This Row],[Active Prevalidation Status]]="Prevalidated"),_01towers[[#This Row],[02tss.TSSR_From_Engineer]]&gt;0),"Submitted","")</f>
        <v>Submitted</v>
      </c>
      <c r="AX180" s="40">
        <f>IF(OR(_01towers[[#This Row],[Active Prevalidation Status]]="Under Prevalidation",_01towers[[#This Row],[Active Prevalidation Status]]="Prevalidated"),_01towers[[#This Row],[02tss.TSS_Result]],"")</f>
        <v>0</v>
      </c>
      <c r="AY180" s="40" t="str">
        <f>IF(AND(_01towers[[#This Row],[Active TSS Result]]="Approved",_01towers[[#This Row],[Active Prevalidation Status]]="Prevalidated"),"In Process","")</f>
        <v/>
      </c>
      <c r="AZ180" s="40" t="str">
        <f>IF(AND(_01towers[[#This Row],[Active TSS Result]]="Approved",_01towers[[#This Row],[Active Prevalidation Status]]="Prevalidated"),_01towers[[#This Row],[10colo_app.Colo_App_Result]],"")</f>
        <v/>
      </c>
      <c r="BA180" s="40">
        <f>COUNTIF(_20work_order[05_id],_01towers[[#This Row],[05_id]])</f>
        <v>0</v>
      </c>
      <c r="BB180" s="40">
        <f>COUNTIFS(_20work_order[05_id],_01towers[[#This Row],[05_id]],_20work_order[Actual_End],"&gt;0")</f>
        <v>0</v>
      </c>
      <c r="BC180" s="40" t="str">
        <f>IF(_01towers[[#This Row],[Completed Work Orders]]&gt;0,"Work Completed",
IF(_01towers[[#This Row],[Count Work Orders]]&gt;0,"Work in Progress",""))</f>
        <v/>
      </c>
      <c r="BD18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80" s="40" t="str">
        <f>_xlfn.SWITCH(_01towers[[#This Row],[Final Colo Status full]],"Commercial Approval Requested","Under Prevalidation",_01towers[[#This Row],[Final Colo Status full]])</f>
        <v>Prevalidated - TSSR in Process</v>
      </c>
    </row>
    <row r="181" spans="1:57" hidden="1" x14ac:dyDescent="0.35">
      <c r="A181" s="40" t="s">
        <v>398</v>
      </c>
      <c r="B181" s="40" t="s">
        <v>50</v>
      </c>
      <c r="C181" s="40" t="s">
        <v>51</v>
      </c>
      <c r="D181">
        <v>40</v>
      </c>
      <c r="E181" s="40" t="s">
        <v>86</v>
      </c>
      <c r="F181">
        <v>97.723224000000002</v>
      </c>
      <c r="G181">
        <v>22.95776</v>
      </c>
      <c r="H181" s="40" t="s">
        <v>53</v>
      </c>
      <c r="I181">
        <v>181</v>
      </c>
      <c r="J181" s="40" t="s">
        <v>631</v>
      </c>
      <c r="K181" s="40" t="s">
        <v>136</v>
      </c>
      <c r="L181" s="40" t="s">
        <v>64</v>
      </c>
      <c r="M181" s="40" t="s">
        <v>57</v>
      </c>
      <c r="N181" s="40" t="s">
        <v>57</v>
      </c>
      <c r="O181" s="40" t="s">
        <v>57</v>
      </c>
      <c r="P181" s="40" t="s">
        <v>57</v>
      </c>
      <c r="Q181" s="40" t="s">
        <v>57</v>
      </c>
      <c r="R181" s="40" t="s">
        <v>57</v>
      </c>
      <c r="S181">
        <v>92</v>
      </c>
      <c r="T181">
        <v>1</v>
      </c>
      <c r="U181" s="1"/>
      <c r="V181" s="1"/>
      <c r="W181" s="1"/>
      <c r="X181" s="1"/>
      <c r="Y181" s="1"/>
      <c r="Z181" s="40"/>
      <c r="AA181">
        <v>91</v>
      </c>
      <c r="AB181">
        <v>1</v>
      </c>
      <c r="AC181" s="1"/>
      <c r="AD181" s="40"/>
      <c r="AE181" s="1"/>
      <c r="AF181" s="1"/>
      <c r="AG181" s="1"/>
      <c r="AH181" s="40"/>
      <c r="AI181" s="1"/>
      <c r="AJ181" s="40">
        <f>_xlfn.MAXIFS(_01towers[02tss.Rev],_01towers[05_id],_01towers[[#This Row],[05_id]])</f>
        <v>1</v>
      </c>
      <c r="AK181" s="40" t="b">
        <f>IF(_01towers[[#This Row],[Count Rev TSS]]=_01towers[[#This Row],[02tss.Rev]],TRUE,FALSE)</f>
        <v>1</v>
      </c>
      <c r="AL181" s="40">
        <f>_xlfn.MAXIFS(_01towers[10colo_app.Rev],_01towers[05_id],_01towers[[#This Row],[05_id]])</f>
        <v>1</v>
      </c>
      <c r="AM181" s="40" t="b">
        <f>IF(_01towers[[#This Row],[Count Rev Colo App]]=_01towers[[#This Row],[10colo_app.Rev]],TRUE,FALSE)</f>
        <v>1</v>
      </c>
      <c r="AN181" s="40" t="b">
        <f>IF(AND(_01towers[[#This Row],[Test Rev Colo]]=TRUE,_01towers[[#This Row],[Test Rev TSS]]=TRUE),TRUE,FALSE)</f>
        <v>1</v>
      </c>
      <c r="AO181" s="40" t="str">
        <f>IF(_01towers[[#This Row],[Test Active]]=TRUE,_01towers[[#This Row],[Prevalidation Status]],"")</f>
        <v>Prevalidated</v>
      </c>
      <c r="AP181" s="40" t="str">
        <f>IF(_01towers[[#This Row],[Active Prevalidation Status]]="Under Prevalidation",
IF(M181="","Review",M181),"")</f>
        <v/>
      </c>
      <c r="AQ181" s="40" t="str">
        <f>IF(_01towers[[#This Row],[Active Prevalidation Status]]="Under Prevalidation",
IF(N181="","Review",N181),"")</f>
        <v/>
      </c>
      <c r="AR181" s="40" t="str">
        <f>IF(_01towers[[#This Row],[Active Prevalidation Status]]="Under Prevalidation",
IF(O181="","Review",O181),"")</f>
        <v/>
      </c>
      <c r="AS181" s="40" t="str">
        <f>IF(_01towers[[#This Row],[Active Prevalidation Status]]="Under Prevalidation",
IF(P181="","Review",P181),"")</f>
        <v/>
      </c>
      <c r="AT181" s="40" t="str">
        <f>IF(_01towers[[#This Row],[Active Prevalidation Status]]="Under Prevalidation",
IF(Q181="","Review",Q181),"")</f>
        <v/>
      </c>
      <c r="AU181" s="40" t="str">
        <f>IF(_01towers[[#This Row],[Active Prevalidation Status]]="Under Prevalidation",
IF(R181="","Review",R181),"")</f>
        <v/>
      </c>
      <c r="AV181" s="40">
        <f>COUNTIF(_01towers[[#This Row],[SAQ_Result2]:[Community_Result2]],"OK")</f>
        <v>0</v>
      </c>
      <c r="AW181" s="1" t="str">
        <f>IF(AND(OR(_01towers[[#This Row],[Active Prevalidation Status]]="Under Prevalidation",_01towers[[#This Row],[Active Prevalidation Status]]="Prevalidated"),_01towers[[#This Row],[02tss.TSSR_From_Engineer]]&gt;0),"Submitted","")</f>
        <v/>
      </c>
      <c r="AX181" s="40">
        <f>IF(OR(_01towers[[#This Row],[Active Prevalidation Status]]="Under Prevalidation",_01towers[[#This Row],[Active Prevalidation Status]]="Prevalidated"),_01towers[[#This Row],[02tss.TSS_Result]],"")</f>
        <v>0</v>
      </c>
      <c r="AY181" s="40" t="str">
        <f>IF(AND(_01towers[[#This Row],[Active TSS Result]]="Approved",_01towers[[#This Row],[Active Prevalidation Status]]="Prevalidated"),"In Process","")</f>
        <v/>
      </c>
      <c r="AZ181" s="40" t="str">
        <f>IF(AND(_01towers[[#This Row],[Active TSS Result]]="Approved",_01towers[[#This Row],[Active Prevalidation Status]]="Prevalidated"),_01towers[[#This Row],[10colo_app.Colo_App_Result]],"")</f>
        <v/>
      </c>
      <c r="BA181" s="40">
        <f>COUNTIF(_20work_order[05_id],_01towers[[#This Row],[05_id]])</f>
        <v>0</v>
      </c>
      <c r="BB181" s="40">
        <f>COUNTIFS(_20work_order[05_id],_01towers[[#This Row],[05_id]],_20work_order[Actual_End],"&gt;0")</f>
        <v>0</v>
      </c>
      <c r="BC181" s="40" t="str">
        <f>IF(_01towers[[#This Row],[Completed Work Orders]]&gt;0,"Work Completed",
IF(_01towers[[#This Row],[Count Work Orders]]&gt;0,"Work in Progress",""))</f>
        <v/>
      </c>
      <c r="BD18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81" s="40" t="str">
        <f>_xlfn.SWITCH(_01towers[[#This Row],[Final Colo Status full]],"Commercial Approval Requested","Under Prevalidation",_01towers[[#This Row],[Final Colo Status full]])</f>
        <v>Prevalidated - TSSR in Process</v>
      </c>
    </row>
    <row r="182" spans="1:57" hidden="1" x14ac:dyDescent="0.35">
      <c r="A182" s="40" t="s">
        <v>399</v>
      </c>
      <c r="B182" s="40" t="s">
        <v>50</v>
      </c>
      <c r="C182" s="40" t="s">
        <v>51</v>
      </c>
      <c r="D182">
        <v>35</v>
      </c>
      <c r="E182" s="40" t="s">
        <v>79</v>
      </c>
      <c r="F182">
        <v>95.986019999999996</v>
      </c>
      <c r="G182">
        <v>21.88439</v>
      </c>
      <c r="H182" s="40" t="s">
        <v>62</v>
      </c>
      <c r="I182">
        <v>182</v>
      </c>
      <c r="J182" s="40" t="s">
        <v>632</v>
      </c>
      <c r="K182" s="40" t="s">
        <v>136</v>
      </c>
      <c r="L182" s="40" t="s">
        <v>64</v>
      </c>
      <c r="M182" s="40" t="s">
        <v>57</v>
      </c>
      <c r="N182" s="40" t="s">
        <v>57</v>
      </c>
      <c r="O182" s="40" t="s">
        <v>57</v>
      </c>
      <c r="P182" s="40" t="s">
        <v>57</v>
      </c>
      <c r="Q182" s="40" t="s">
        <v>57</v>
      </c>
      <c r="R182" s="40" t="s">
        <v>57</v>
      </c>
      <c r="S182">
        <v>83</v>
      </c>
      <c r="T182">
        <v>1</v>
      </c>
      <c r="U182" s="1"/>
      <c r="V182" s="1"/>
      <c r="W182" s="1"/>
      <c r="X182" s="1"/>
      <c r="Y182" s="1"/>
      <c r="Z182" s="40"/>
      <c r="AA182">
        <v>82</v>
      </c>
      <c r="AB182">
        <v>1</v>
      </c>
      <c r="AC182" s="1"/>
      <c r="AD182" s="40"/>
      <c r="AE182" s="1"/>
      <c r="AF182" s="1"/>
      <c r="AG182" s="1"/>
      <c r="AH182" s="40"/>
      <c r="AI182" s="1"/>
      <c r="AJ182" s="40">
        <f>_xlfn.MAXIFS(_01towers[02tss.Rev],_01towers[05_id],_01towers[[#This Row],[05_id]])</f>
        <v>1</v>
      </c>
      <c r="AK182" s="40" t="b">
        <f>IF(_01towers[[#This Row],[Count Rev TSS]]=_01towers[[#This Row],[02tss.Rev]],TRUE,FALSE)</f>
        <v>1</v>
      </c>
      <c r="AL182" s="40">
        <f>_xlfn.MAXIFS(_01towers[10colo_app.Rev],_01towers[05_id],_01towers[[#This Row],[05_id]])</f>
        <v>1</v>
      </c>
      <c r="AM182" s="40" t="b">
        <f>IF(_01towers[[#This Row],[Count Rev Colo App]]=_01towers[[#This Row],[10colo_app.Rev]],TRUE,FALSE)</f>
        <v>1</v>
      </c>
      <c r="AN182" s="40" t="b">
        <f>IF(AND(_01towers[[#This Row],[Test Rev Colo]]=TRUE,_01towers[[#This Row],[Test Rev TSS]]=TRUE),TRUE,FALSE)</f>
        <v>1</v>
      </c>
      <c r="AO182" s="40" t="str">
        <f>IF(_01towers[[#This Row],[Test Active]]=TRUE,_01towers[[#This Row],[Prevalidation Status]],"")</f>
        <v>Prevalidated</v>
      </c>
      <c r="AP182" s="40" t="str">
        <f>IF(_01towers[[#This Row],[Active Prevalidation Status]]="Under Prevalidation",
IF(M182="","Review",M182),"")</f>
        <v/>
      </c>
      <c r="AQ182" s="40" t="str">
        <f>IF(_01towers[[#This Row],[Active Prevalidation Status]]="Under Prevalidation",
IF(N182="","Review",N182),"")</f>
        <v/>
      </c>
      <c r="AR182" s="40" t="str">
        <f>IF(_01towers[[#This Row],[Active Prevalidation Status]]="Under Prevalidation",
IF(O182="","Review",O182),"")</f>
        <v/>
      </c>
      <c r="AS182" s="40" t="str">
        <f>IF(_01towers[[#This Row],[Active Prevalidation Status]]="Under Prevalidation",
IF(P182="","Review",P182),"")</f>
        <v/>
      </c>
      <c r="AT182" s="40" t="str">
        <f>IF(_01towers[[#This Row],[Active Prevalidation Status]]="Under Prevalidation",
IF(Q182="","Review",Q182),"")</f>
        <v/>
      </c>
      <c r="AU182" s="40" t="str">
        <f>IF(_01towers[[#This Row],[Active Prevalidation Status]]="Under Prevalidation",
IF(R182="","Review",R182),"")</f>
        <v/>
      </c>
      <c r="AV182" s="40">
        <f>COUNTIF(_01towers[[#This Row],[SAQ_Result2]:[Community_Result2]],"OK")</f>
        <v>0</v>
      </c>
      <c r="AW182" s="1" t="str">
        <f>IF(AND(OR(_01towers[[#This Row],[Active Prevalidation Status]]="Under Prevalidation",_01towers[[#This Row],[Active Prevalidation Status]]="Prevalidated"),_01towers[[#This Row],[02tss.TSSR_From_Engineer]]&gt;0),"Submitted","")</f>
        <v/>
      </c>
      <c r="AX182" s="40">
        <f>IF(OR(_01towers[[#This Row],[Active Prevalidation Status]]="Under Prevalidation",_01towers[[#This Row],[Active Prevalidation Status]]="Prevalidated"),_01towers[[#This Row],[02tss.TSS_Result]],"")</f>
        <v>0</v>
      </c>
      <c r="AY182" s="40" t="str">
        <f>IF(AND(_01towers[[#This Row],[Active TSS Result]]="Approved",_01towers[[#This Row],[Active Prevalidation Status]]="Prevalidated"),"In Process","")</f>
        <v/>
      </c>
      <c r="AZ182" s="40" t="str">
        <f>IF(AND(_01towers[[#This Row],[Active TSS Result]]="Approved",_01towers[[#This Row],[Active Prevalidation Status]]="Prevalidated"),_01towers[[#This Row],[10colo_app.Colo_App_Result]],"")</f>
        <v/>
      </c>
      <c r="BA182" s="40">
        <f>COUNTIF(_20work_order[05_id],_01towers[[#This Row],[05_id]])</f>
        <v>0</v>
      </c>
      <c r="BB182" s="40">
        <f>COUNTIFS(_20work_order[05_id],_01towers[[#This Row],[05_id]],_20work_order[Actual_End],"&gt;0")</f>
        <v>0</v>
      </c>
      <c r="BC182" s="40" t="str">
        <f>IF(_01towers[[#This Row],[Completed Work Orders]]&gt;0,"Work Completed",
IF(_01towers[[#This Row],[Count Work Orders]]&gt;0,"Work in Progress",""))</f>
        <v/>
      </c>
      <c r="BD18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82" s="40" t="str">
        <f>_xlfn.SWITCH(_01towers[[#This Row],[Final Colo Status full]],"Commercial Approval Requested","Under Prevalidation",_01towers[[#This Row],[Final Colo Status full]])</f>
        <v>Prevalidated - TSSR in Process</v>
      </c>
    </row>
    <row r="183" spans="1:57" x14ac:dyDescent="0.35">
      <c r="A183" s="40" t="s">
        <v>400</v>
      </c>
      <c r="B183" s="40" t="s">
        <v>50</v>
      </c>
      <c r="C183" s="40" t="s">
        <v>51</v>
      </c>
      <c r="D183">
        <v>35</v>
      </c>
      <c r="E183" s="40" t="s">
        <v>66</v>
      </c>
      <c r="F183">
        <v>96.134559999999993</v>
      </c>
      <c r="G183">
        <v>21.926500000000001</v>
      </c>
      <c r="H183" s="40" t="s">
        <v>62</v>
      </c>
      <c r="I183">
        <v>183</v>
      </c>
      <c r="J183" s="40" t="s">
        <v>401</v>
      </c>
      <c r="K183" s="40" t="s">
        <v>136</v>
      </c>
      <c r="L183" s="40" t="s">
        <v>56</v>
      </c>
      <c r="M183" s="40" t="s">
        <v>57</v>
      </c>
      <c r="N183" s="40" t="s">
        <v>57</v>
      </c>
      <c r="O183" s="40" t="s">
        <v>57</v>
      </c>
      <c r="P183" s="40" t="s">
        <v>58</v>
      </c>
      <c r="Q183" s="40" t="s">
        <v>57</v>
      </c>
      <c r="R183" s="40" t="s">
        <v>57</v>
      </c>
      <c r="S183">
        <v>43</v>
      </c>
      <c r="T183">
        <v>1</v>
      </c>
      <c r="U183" s="1"/>
      <c r="V183" s="1"/>
      <c r="W183" s="1"/>
      <c r="X183" s="1"/>
      <c r="Y183" s="1"/>
      <c r="Z183" s="40"/>
      <c r="AA183">
        <v>42</v>
      </c>
      <c r="AB183">
        <v>1</v>
      </c>
      <c r="AC183" s="1"/>
      <c r="AD183" s="40"/>
      <c r="AE183" s="1">
        <v>43243</v>
      </c>
      <c r="AF183" s="1">
        <v>43243</v>
      </c>
      <c r="AG183" s="1"/>
      <c r="AH183" s="40"/>
      <c r="AI183" s="1"/>
      <c r="AJ183" s="40">
        <f>_xlfn.MAXIFS(_01towers[02tss.Rev],_01towers[05_id],_01towers[[#This Row],[05_id]])</f>
        <v>1</v>
      </c>
      <c r="AK183" s="40" t="b">
        <f>IF(_01towers[[#This Row],[Count Rev TSS]]=_01towers[[#This Row],[02tss.Rev]],TRUE,FALSE)</f>
        <v>1</v>
      </c>
      <c r="AL183" s="40">
        <f>_xlfn.MAXIFS(_01towers[10colo_app.Rev],_01towers[05_id],_01towers[[#This Row],[05_id]])</f>
        <v>1</v>
      </c>
      <c r="AM183" s="40" t="b">
        <f>IF(_01towers[[#This Row],[Count Rev Colo App]]=_01towers[[#This Row],[10colo_app.Rev]],TRUE,FALSE)</f>
        <v>1</v>
      </c>
      <c r="AN183" s="40" t="b">
        <f>IF(AND(_01towers[[#This Row],[Test Rev Colo]]=TRUE,_01towers[[#This Row],[Test Rev TSS]]=TRUE),TRUE,FALSE)</f>
        <v>1</v>
      </c>
      <c r="AO183" s="40" t="str">
        <f>IF(_01towers[[#This Row],[Test Active]]=TRUE,_01towers[[#This Row],[Prevalidation Status]],"")</f>
        <v>Commercial Approval Requested</v>
      </c>
      <c r="AP183" s="40" t="str">
        <f>IF(_01towers[[#This Row],[Active Prevalidation Status]]="Under Prevalidation",
IF(M183="","Review",M183),"")</f>
        <v/>
      </c>
      <c r="AQ183" s="40" t="str">
        <f>IF(_01towers[[#This Row],[Active Prevalidation Status]]="Under Prevalidation",
IF(N183="","Review",N183),"")</f>
        <v/>
      </c>
      <c r="AR183" s="40" t="str">
        <f>IF(_01towers[[#This Row],[Active Prevalidation Status]]="Under Prevalidation",
IF(O183="","Review",O183),"")</f>
        <v/>
      </c>
      <c r="AS183" s="40" t="str">
        <f>IF(_01towers[[#This Row],[Active Prevalidation Status]]="Under Prevalidation",
IF(P183="","Review",P183),"")</f>
        <v/>
      </c>
      <c r="AT183" s="40" t="str">
        <f>IF(_01towers[[#This Row],[Active Prevalidation Status]]="Under Prevalidation",
IF(Q183="","Review",Q183),"")</f>
        <v/>
      </c>
      <c r="AU183" s="40" t="str">
        <f>IF(_01towers[[#This Row],[Active Prevalidation Status]]="Under Prevalidation",
IF(R183="","Review",R183),"")</f>
        <v/>
      </c>
      <c r="AV183" s="40">
        <f>COUNTIF(_01towers[[#This Row],[SAQ_Result2]:[Community_Result2]],"OK")</f>
        <v>0</v>
      </c>
      <c r="AW183" s="1" t="str">
        <f>IF(AND(OR(_01towers[[#This Row],[Active Prevalidation Status]]="Under Prevalidation",_01towers[[#This Row],[Active Prevalidation Status]]="Prevalidated"),_01towers[[#This Row],[02tss.TSSR_From_Engineer]]&gt;0),"Submitted","")</f>
        <v/>
      </c>
      <c r="AX183" s="40" t="str">
        <f>IF(OR(_01towers[[#This Row],[Active Prevalidation Status]]="Under Prevalidation",_01towers[[#This Row],[Active Prevalidation Status]]="Prevalidated"),_01towers[[#This Row],[02tss.TSS_Result]],"")</f>
        <v/>
      </c>
      <c r="AY183" s="40" t="str">
        <f>IF(AND(_01towers[[#This Row],[Active TSS Result]]="Approved",_01towers[[#This Row],[Active Prevalidation Status]]="Prevalidated"),"In Process","")</f>
        <v/>
      </c>
      <c r="AZ183" s="40" t="str">
        <f>IF(AND(_01towers[[#This Row],[Active TSS Result]]="Approved",_01towers[[#This Row],[Active Prevalidation Status]]="Prevalidated"),_01towers[[#This Row],[10colo_app.Colo_App_Result]],"")</f>
        <v/>
      </c>
      <c r="BA183" s="40">
        <f>COUNTIF(_20work_order[05_id],_01towers[[#This Row],[05_id]])</f>
        <v>0</v>
      </c>
      <c r="BB183" s="40">
        <f>COUNTIFS(_20work_order[05_id],_01towers[[#This Row],[05_id]],_20work_order[Actual_End],"&gt;0")</f>
        <v>0</v>
      </c>
      <c r="BC183" s="40" t="str">
        <f>IF(_01towers[[#This Row],[Completed Work Orders]]&gt;0,"Work Completed",
IF(_01towers[[#This Row],[Count Work Orders]]&gt;0,"Work in Progress",""))</f>
        <v/>
      </c>
      <c r="BD18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83" s="40" t="str">
        <f>_xlfn.SWITCH(_01towers[[#This Row],[Final Colo Status full]],"Commercial Approval Requested","Under Prevalidation",_01towers[[#This Row],[Final Colo Status full]])</f>
        <v>Under Prevalidation</v>
      </c>
    </row>
    <row r="184" spans="1:57" hidden="1" x14ac:dyDescent="0.35">
      <c r="A184" s="40" t="s">
        <v>402</v>
      </c>
      <c r="B184" s="40" t="s">
        <v>50</v>
      </c>
      <c r="C184" s="40" t="s">
        <v>51</v>
      </c>
      <c r="D184">
        <v>45</v>
      </c>
      <c r="E184" s="40" t="s">
        <v>79</v>
      </c>
      <c r="F184">
        <v>95.103020000000001</v>
      </c>
      <c r="G184">
        <v>22.16086</v>
      </c>
      <c r="H184" s="40" t="s">
        <v>53</v>
      </c>
      <c r="I184">
        <v>184</v>
      </c>
      <c r="J184" s="40" t="s">
        <v>403</v>
      </c>
      <c r="K184" s="40" t="s">
        <v>136</v>
      </c>
      <c r="L184" s="40" t="s">
        <v>64</v>
      </c>
      <c r="M184" s="40" t="s">
        <v>57</v>
      </c>
      <c r="N184" s="40" t="s">
        <v>57</v>
      </c>
      <c r="O184" s="40" t="s">
        <v>57</v>
      </c>
      <c r="P184" s="40" t="s">
        <v>57</v>
      </c>
      <c r="Q184" s="40" t="s">
        <v>57</v>
      </c>
      <c r="R184" s="40" t="s">
        <v>57</v>
      </c>
      <c r="S184">
        <v>74</v>
      </c>
      <c r="T184">
        <v>1</v>
      </c>
      <c r="U184" s="1"/>
      <c r="V184" s="1"/>
      <c r="W184" s="1"/>
      <c r="X184" s="1"/>
      <c r="Y184" s="1"/>
      <c r="Z184" s="40"/>
      <c r="AA184">
        <v>73</v>
      </c>
      <c r="AB184">
        <v>1</v>
      </c>
      <c r="AC184" s="1"/>
      <c r="AD184" s="40"/>
      <c r="AE184" s="1"/>
      <c r="AF184" s="1"/>
      <c r="AG184" s="1"/>
      <c r="AH184" s="40"/>
      <c r="AI184" s="1"/>
      <c r="AJ184" s="40">
        <f>_xlfn.MAXIFS(_01towers[02tss.Rev],_01towers[05_id],_01towers[[#This Row],[05_id]])</f>
        <v>1</v>
      </c>
      <c r="AK184" s="40" t="b">
        <f>IF(_01towers[[#This Row],[Count Rev TSS]]=_01towers[[#This Row],[02tss.Rev]],TRUE,FALSE)</f>
        <v>1</v>
      </c>
      <c r="AL184" s="40">
        <f>_xlfn.MAXIFS(_01towers[10colo_app.Rev],_01towers[05_id],_01towers[[#This Row],[05_id]])</f>
        <v>1</v>
      </c>
      <c r="AM184" s="40" t="b">
        <f>IF(_01towers[[#This Row],[Count Rev Colo App]]=_01towers[[#This Row],[10colo_app.Rev]],TRUE,FALSE)</f>
        <v>1</v>
      </c>
      <c r="AN184" s="40" t="b">
        <f>IF(AND(_01towers[[#This Row],[Test Rev Colo]]=TRUE,_01towers[[#This Row],[Test Rev TSS]]=TRUE),TRUE,FALSE)</f>
        <v>1</v>
      </c>
      <c r="AO184" s="40" t="str">
        <f>IF(_01towers[[#This Row],[Test Active]]=TRUE,_01towers[[#This Row],[Prevalidation Status]],"")</f>
        <v>Prevalidated</v>
      </c>
      <c r="AP184" s="40" t="str">
        <f>IF(_01towers[[#This Row],[Active Prevalidation Status]]="Under Prevalidation",
IF(M184="","Review",M184),"")</f>
        <v/>
      </c>
      <c r="AQ184" s="40" t="str">
        <f>IF(_01towers[[#This Row],[Active Prevalidation Status]]="Under Prevalidation",
IF(N184="","Review",N184),"")</f>
        <v/>
      </c>
      <c r="AR184" s="40" t="str">
        <f>IF(_01towers[[#This Row],[Active Prevalidation Status]]="Under Prevalidation",
IF(O184="","Review",O184),"")</f>
        <v/>
      </c>
      <c r="AS184" s="40" t="str">
        <f>IF(_01towers[[#This Row],[Active Prevalidation Status]]="Under Prevalidation",
IF(P184="","Review",P184),"")</f>
        <v/>
      </c>
      <c r="AT184" s="40" t="str">
        <f>IF(_01towers[[#This Row],[Active Prevalidation Status]]="Under Prevalidation",
IF(Q184="","Review",Q184),"")</f>
        <v/>
      </c>
      <c r="AU184" s="40" t="str">
        <f>IF(_01towers[[#This Row],[Active Prevalidation Status]]="Under Prevalidation",
IF(R184="","Review",R184),"")</f>
        <v/>
      </c>
      <c r="AV184" s="40">
        <f>COUNTIF(_01towers[[#This Row],[SAQ_Result2]:[Community_Result2]],"OK")</f>
        <v>0</v>
      </c>
      <c r="AW184" s="1" t="str">
        <f>IF(AND(OR(_01towers[[#This Row],[Active Prevalidation Status]]="Under Prevalidation",_01towers[[#This Row],[Active Prevalidation Status]]="Prevalidated"),_01towers[[#This Row],[02tss.TSSR_From_Engineer]]&gt;0),"Submitted","")</f>
        <v/>
      </c>
      <c r="AX184" s="40">
        <f>IF(OR(_01towers[[#This Row],[Active Prevalidation Status]]="Under Prevalidation",_01towers[[#This Row],[Active Prevalidation Status]]="Prevalidated"),_01towers[[#This Row],[02tss.TSS_Result]],"")</f>
        <v>0</v>
      </c>
      <c r="AY184" s="40" t="str">
        <f>IF(AND(_01towers[[#This Row],[Active TSS Result]]="Approved",_01towers[[#This Row],[Active Prevalidation Status]]="Prevalidated"),"In Process","")</f>
        <v/>
      </c>
      <c r="AZ184" s="40" t="str">
        <f>IF(AND(_01towers[[#This Row],[Active TSS Result]]="Approved",_01towers[[#This Row],[Active Prevalidation Status]]="Prevalidated"),_01towers[[#This Row],[10colo_app.Colo_App_Result]],"")</f>
        <v/>
      </c>
      <c r="BA184" s="40">
        <f>COUNTIF(_20work_order[05_id],_01towers[[#This Row],[05_id]])</f>
        <v>0</v>
      </c>
      <c r="BB184" s="40">
        <f>COUNTIFS(_20work_order[05_id],_01towers[[#This Row],[05_id]],_20work_order[Actual_End],"&gt;0")</f>
        <v>0</v>
      </c>
      <c r="BC184" s="40" t="str">
        <f>IF(_01towers[[#This Row],[Completed Work Orders]]&gt;0,"Work Completed",
IF(_01towers[[#This Row],[Count Work Orders]]&gt;0,"Work in Progress",""))</f>
        <v/>
      </c>
      <c r="BD18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84" s="40" t="str">
        <f>_xlfn.SWITCH(_01towers[[#This Row],[Final Colo Status full]],"Commercial Approval Requested","Under Prevalidation",_01towers[[#This Row],[Final Colo Status full]])</f>
        <v>Prevalidated - TSSR in Process</v>
      </c>
    </row>
    <row r="185" spans="1:57" hidden="1" x14ac:dyDescent="0.35">
      <c r="A185" s="40" t="s">
        <v>117</v>
      </c>
      <c r="B185" s="40" t="s">
        <v>50</v>
      </c>
      <c r="C185" s="40" t="s">
        <v>82</v>
      </c>
      <c r="D185">
        <v>6</v>
      </c>
      <c r="E185" s="40" t="s">
        <v>66</v>
      </c>
      <c r="F185">
        <v>96.110633000000007</v>
      </c>
      <c r="G185">
        <v>21.988139</v>
      </c>
      <c r="H185" s="40" t="s">
        <v>53</v>
      </c>
      <c r="I185">
        <v>185</v>
      </c>
      <c r="J185" s="40" t="s">
        <v>633</v>
      </c>
      <c r="K185" s="40" t="s">
        <v>136</v>
      </c>
      <c r="L185" s="40" t="s">
        <v>74</v>
      </c>
      <c r="M185" s="40" t="s">
        <v>57</v>
      </c>
      <c r="N185" s="40"/>
      <c r="O185" s="40" t="s">
        <v>58</v>
      </c>
      <c r="P185" s="40" t="s">
        <v>58</v>
      </c>
      <c r="Q185" s="40"/>
      <c r="R185" s="40" t="s">
        <v>57</v>
      </c>
      <c r="S185">
        <v>58</v>
      </c>
      <c r="T185">
        <v>1</v>
      </c>
      <c r="U185" s="1"/>
      <c r="V185" s="1"/>
      <c r="W185" s="1"/>
      <c r="X185" s="1"/>
      <c r="Y185" s="1"/>
      <c r="Z185" s="40"/>
      <c r="AA185">
        <v>57</v>
      </c>
      <c r="AB185">
        <v>1</v>
      </c>
      <c r="AC185" s="1"/>
      <c r="AD185" s="40"/>
      <c r="AE185" s="1"/>
      <c r="AF185" s="1"/>
      <c r="AG185" s="1"/>
      <c r="AH185" s="40"/>
      <c r="AI185" s="1"/>
      <c r="AJ185" s="40">
        <f>_xlfn.MAXIFS(_01towers[02tss.Rev],_01towers[05_id],_01towers[[#This Row],[05_id]])</f>
        <v>1</v>
      </c>
      <c r="AK185" s="40" t="b">
        <f>IF(_01towers[[#This Row],[Count Rev TSS]]=_01towers[[#This Row],[02tss.Rev]],TRUE,FALSE)</f>
        <v>1</v>
      </c>
      <c r="AL185" s="40">
        <f>_xlfn.MAXIFS(_01towers[10colo_app.Rev],_01towers[05_id],_01towers[[#This Row],[05_id]])</f>
        <v>1</v>
      </c>
      <c r="AM185" s="40" t="b">
        <f>IF(_01towers[[#This Row],[Count Rev Colo App]]=_01towers[[#This Row],[10colo_app.Rev]],TRUE,FALSE)</f>
        <v>1</v>
      </c>
      <c r="AN185" s="40" t="b">
        <f>IF(AND(_01towers[[#This Row],[Test Rev Colo]]=TRUE,_01towers[[#This Row],[Test Rev TSS]]=TRUE),TRUE,FALSE)</f>
        <v>1</v>
      </c>
      <c r="AO185" s="40" t="str">
        <f>IF(_01towers[[#This Row],[Test Active]]=TRUE,_01towers[[#This Row],[Prevalidation Status]],"")</f>
        <v>Prevalidation Rejected</v>
      </c>
      <c r="AP185" s="40" t="str">
        <f>IF(_01towers[[#This Row],[Active Prevalidation Status]]="Under Prevalidation",
IF(M185="","Review",M185),"")</f>
        <v/>
      </c>
      <c r="AQ185" s="40" t="str">
        <f>IF(_01towers[[#This Row],[Active Prevalidation Status]]="Under Prevalidation",
IF(N185="","Review",N185),"")</f>
        <v/>
      </c>
      <c r="AR185" s="40" t="str">
        <f>IF(_01towers[[#This Row],[Active Prevalidation Status]]="Under Prevalidation",
IF(O185="","Review",O185),"")</f>
        <v/>
      </c>
      <c r="AS185" s="40" t="str">
        <f>IF(_01towers[[#This Row],[Active Prevalidation Status]]="Under Prevalidation",
IF(P185="","Review",P185),"")</f>
        <v/>
      </c>
      <c r="AT185" s="40" t="str">
        <f>IF(_01towers[[#This Row],[Active Prevalidation Status]]="Under Prevalidation",
IF(Q185="","Review",Q185),"")</f>
        <v/>
      </c>
      <c r="AU185" s="40" t="str">
        <f>IF(_01towers[[#This Row],[Active Prevalidation Status]]="Under Prevalidation",
IF(R185="","Review",R185),"")</f>
        <v/>
      </c>
      <c r="AV185" s="40">
        <f>COUNTIF(_01towers[[#This Row],[SAQ_Result2]:[Community_Result2]],"OK")</f>
        <v>0</v>
      </c>
      <c r="AW185" s="1" t="str">
        <f>IF(AND(OR(_01towers[[#This Row],[Active Prevalidation Status]]="Under Prevalidation",_01towers[[#This Row],[Active Prevalidation Status]]="Prevalidated"),_01towers[[#This Row],[02tss.TSSR_From_Engineer]]&gt;0),"Submitted","")</f>
        <v/>
      </c>
      <c r="AX185" s="40" t="str">
        <f>IF(OR(_01towers[[#This Row],[Active Prevalidation Status]]="Under Prevalidation",_01towers[[#This Row],[Active Prevalidation Status]]="Prevalidated"),_01towers[[#This Row],[02tss.TSS_Result]],"")</f>
        <v/>
      </c>
      <c r="AY185" s="40" t="str">
        <f>IF(AND(_01towers[[#This Row],[Active TSS Result]]="Approved",_01towers[[#This Row],[Active Prevalidation Status]]="Prevalidated"),"In Process","")</f>
        <v/>
      </c>
      <c r="AZ185" s="40" t="str">
        <f>IF(AND(_01towers[[#This Row],[Active TSS Result]]="Approved",_01towers[[#This Row],[Active Prevalidation Status]]="Prevalidated"),_01towers[[#This Row],[10colo_app.Colo_App_Result]],"")</f>
        <v/>
      </c>
      <c r="BA185" s="40">
        <f>COUNTIF(_20work_order[05_id],_01towers[[#This Row],[05_id]])</f>
        <v>0</v>
      </c>
      <c r="BB185" s="40">
        <f>COUNTIFS(_20work_order[05_id],_01towers[[#This Row],[05_id]],_20work_order[Actual_End],"&gt;0")</f>
        <v>0</v>
      </c>
      <c r="BC185" s="40" t="str">
        <f>IF(_01towers[[#This Row],[Completed Work Orders]]&gt;0,"Work Completed",
IF(_01towers[[#This Row],[Count Work Orders]]&gt;0,"Work in Progress",""))</f>
        <v/>
      </c>
      <c r="BD18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85" s="40" t="str">
        <f>_xlfn.SWITCH(_01towers[[#This Row],[Final Colo Status full]],"Commercial Approval Requested","Under Prevalidation",_01towers[[#This Row],[Final Colo Status full]])</f>
        <v>Prevalidation Rejected</v>
      </c>
    </row>
    <row r="186" spans="1:57" hidden="1" x14ac:dyDescent="0.35">
      <c r="A186" s="40" t="s">
        <v>404</v>
      </c>
      <c r="B186" s="40" t="s">
        <v>50</v>
      </c>
      <c r="C186" s="40" t="s">
        <v>82</v>
      </c>
      <c r="D186">
        <v>5</v>
      </c>
      <c r="E186" s="40" t="s">
        <v>66</v>
      </c>
      <c r="F186">
        <v>96.094650000000001</v>
      </c>
      <c r="G186">
        <v>21.965520000000001</v>
      </c>
      <c r="H186" s="40" t="s">
        <v>53</v>
      </c>
      <c r="I186">
        <v>186</v>
      </c>
      <c r="J186" s="40" t="s">
        <v>405</v>
      </c>
      <c r="K186" s="40" t="s">
        <v>136</v>
      </c>
      <c r="L186" s="40" t="s">
        <v>74</v>
      </c>
      <c r="M186" s="40" t="s">
        <v>75</v>
      </c>
      <c r="N186" s="40"/>
      <c r="O186" s="40" t="s">
        <v>58</v>
      </c>
      <c r="P186" s="40"/>
      <c r="Q186" s="40"/>
      <c r="R186" s="40" t="s">
        <v>57</v>
      </c>
      <c r="S186">
        <v>44</v>
      </c>
      <c r="T186">
        <v>1</v>
      </c>
      <c r="U186" s="1"/>
      <c r="V186" s="1"/>
      <c r="W186" s="1"/>
      <c r="X186" s="1"/>
      <c r="Y186" s="1"/>
      <c r="Z186" s="40"/>
      <c r="AA186">
        <v>43</v>
      </c>
      <c r="AB186">
        <v>1</v>
      </c>
      <c r="AC186" s="1"/>
      <c r="AD186" s="40"/>
      <c r="AE186" s="1">
        <v>43243</v>
      </c>
      <c r="AF186" s="1">
        <v>43243</v>
      </c>
      <c r="AG186" s="1"/>
      <c r="AH186" s="40"/>
      <c r="AI186" s="1"/>
      <c r="AJ186" s="40">
        <f>_xlfn.MAXIFS(_01towers[02tss.Rev],_01towers[05_id],_01towers[[#This Row],[05_id]])</f>
        <v>1</v>
      </c>
      <c r="AK186" s="40" t="b">
        <f>IF(_01towers[[#This Row],[Count Rev TSS]]=_01towers[[#This Row],[02tss.Rev]],TRUE,FALSE)</f>
        <v>1</v>
      </c>
      <c r="AL186" s="40">
        <f>_xlfn.MAXIFS(_01towers[10colo_app.Rev],_01towers[05_id],_01towers[[#This Row],[05_id]])</f>
        <v>1</v>
      </c>
      <c r="AM186" s="40" t="b">
        <f>IF(_01towers[[#This Row],[Count Rev Colo App]]=_01towers[[#This Row],[10colo_app.Rev]],TRUE,FALSE)</f>
        <v>1</v>
      </c>
      <c r="AN186" s="40" t="b">
        <f>IF(AND(_01towers[[#This Row],[Test Rev Colo]]=TRUE,_01towers[[#This Row],[Test Rev TSS]]=TRUE),TRUE,FALSE)</f>
        <v>1</v>
      </c>
      <c r="AO186" s="40" t="str">
        <f>IF(_01towers[[#This Row],[Test Active]]=TRUE,_01towers[[#This Row],[Prevalidation Status]],"")</f>
        <v>Prevalidation Rejected</v>
      </c>
      <c r="AP186" s="40" t="str">
        <f>IF(_01towers[[#This Row],[Active Prevalidation Status]]="Under Prevalidation",
IF(M186="","Review",M186),"")</f>
        <v/>
      </c>
      <c r="AQ186" s="40" t="str">
        <f>IF(_01towers[[#This Row],[Active Prevalidation Status]]="Under Prevalidation",
IF(N186="","Review",N186),"")</f>
        <v/>
      </c>
      <c r="AR186" s="40" t="str">
        <f>IF(_01towers[[#This Row],[Active Prevalidation Status]]="Under Prevalidation",
IF(O186="","Review",O186),"")</f>
        <v/>
      </c>
      <c r="AS186" s="40" t="str">
        <f>IF(_01towers[[#This Row],[Active Prevalidation Status]]="Under Prevalidation",
IF(P186="","Review",P186),"")</f>
        <v/>
      </c>
      <c r="AT186" s="40" t="str">
        <f>IF(_01towers[[#This Row],[Active Prevalidation Status]]="Under Prevalidation",
IF(Q186="","Review",Q186),"")</f>
        <v/>
      </c>
      <c r="AU186" s="40" t="str">
        <f>IF(_01towers[[#This Row],[Active Prevalidation Status]]="Under Prevalidation",
IF(R186="","Review",R186),"")</f>
        <v/>
      </c>
      <c r="AV186" s="40">
        <f>COUNTIF(_01towers[[#This Row],[SAQ_Result2]:[Community_Result2]],"OK")</f>
        <v>0</v>
      </c>
      <c r="AW186" s="1" t="str">
        <f>IF(AND(OR(_01towers[[#This Row],[Active Prevalidation Status]]="Under Prevalidation",_01towers[[#This Row],[Active Prevalidation Status]]="Prevalidated"),_01towers[[#This Row],[02tss.TSSR_From_Engineer]]&gt;0),"Submitted","")</f>
        <v/>
      </c>
      <c r="AX186" s="40" t="str">
        <f>IF(OR(_01towers[[#This Row],[Active Prevalidation Status]]="Under Prevalidation",_01towers[[#This Row],[Active Prevalidation Status]]="Prevalidated"),_01towers[[#This Row],[02tss.TSS_Result]],"")</f>
        <v/>
      </c>
      <c r="AY186" s="40" t="str">
        <f>IF(AND(_01towers[[#This Row],[Active TSS Result]]="Approved",_01towers[[#This Row],[Active Prevalidation Status]]="Prevalidated"),"In Process","")</f>
        <v/>
      </c>
      <c r="AZ186" s="40" t="str">
        <f>IF(AND(_01towers[[#This Row],[Active TSS Result]]="Approved",_01towers[[#This Row],[Active Prevalidation Status]]="Prevalidated"),_01towers[[#This Row],[10colo_app.Colo_App_Result]],"")</f>
        <v/>
      </c>
      <c r="BA186" s="40">
        <f>COUNTIF(_20work_order[05_id],_01towers[[#This Row],[05_id]])</f>
        <v>0</v>
      </c>
      <c r="BB186" s="40">
        <f>COUNTIFS(_20work_order[05_id],_01towers[[#This Row],[05_id]],_20work_order[Actual_End],"&gt;0")</f>
        <v>0</v>
      </c>
      <c r="BC186" s="40" t="str">
        <f>IF(_01towers[[#This Row],[Completed Work Orders]]&gt;0,"Work Completed",
IF(_01towers[[#This Row],[Count Work Orders]]&gt;0,"Work in Progress",""))</f>
        <v/>
      </c>
      <c r="BD18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86" s="40" t="str">
        <f>_xlfn.SWITCH(_01towers[[#This Row],[Final Colo Status full]],"Commercial Approval Requested","Under Prevalidation",_01towers[[#This Row],[Final Colo Status full]])</f>
        <v>Prevalidation Rejected</v>
      </c>
    </row>
    <row r="187" spans="1:57" hidden="1" x14ac:dyDescent="0.35">
      <c r="A187" s="40" t="s">
        <v>406</v>
      </c>
      <c r="B187" s="40" t="s">
        <v>50</v>
      </c>
      <c r="C187" s="40" t="s">
        <v>82</v>
      </c>
      <c r="D187">
        <v>6</v>
      </c>
      <c r="E187" s="40" t="s">
        <v>66</v>
      </c>
      <c r="F187">
        <v>96.077629999999999</v>
      </c>
      <c r="G187">
        <v>21.958760000000002</v>
      </c>
      <c r="H187" s="40" t="s">
        <v>53</v>
      </c>
      <c r="I187">
        <v>187</v>
      </c>
      <c r="J187" s="40" t="s">
        <v>407</v>
      </c>
      <c r="K187" s="40" t="s">
        <v>136</v>
      </c>
      <c r="L187" s="40" t="s">
        <v>74</v>
      </c>
      <c r="M187" s="40" t="s">
        <v>75</v>
      </c>
      <c r="N187" s="40"/>
      <c r="O187" s="40" t="s">
        <v>58</v>
      </c>
      <c r="P187" s="40"/>
      <c r="Q187" s="40"/>
      <c r="R187" s="40" t="s">
        <v>75</v>
      </c>
      <c r="S187">
        <v>32</v>
      </c>
      <c r="T187">
        <v>1</v>
      </c>
      <c r="U187" s="1"/>
      <c r="V187" s="1"/>
      <c r="W187" s="1"/>
      <c r="X187" s="1"/>
      <c r="Y187" s="1"/>
      <c r="Z187" s="40"/>
      <c r="AA187">
        <v>31</v>
      </c>
      <c r="AB187">
        <v>1</v>
      </c>
      <c r="AC187" s="1"/>
      <c r="AD187" s="40"/>
      <c r="AE187" s="1">
        <v>43249</v>
      </c>
      <c r="AF187" s="1"/>
      <c r="AG187" s="1"/>
      <c r="AH187" s="40"/>
      <c r="AI187" s="1"/>
      <c r="AJ187" s="40">
        <f>_xlfn.MAXIFS(_01towers[02tss.Rev],_01towers[05_id],_01towers[[#This Row],[05_id]])</f>
        <v>1</v>
      </c>
      <c r="AK187" s="40" t="b">
        <f>IF(_01towers[[#This Row],[Count Rev TSS]]=_01towers[[#This Row],[02tss.Rev]],TRUE,FALSE)</f>
        <v>1</v>
      </c>
      <c r="AL187" s="40">
        <f>_xlfn.MAXIFS(_01towers[10colo_app.Rev],_01towers[05_id],_01towers[[#This Row],[05_id]])</f>
        <v>1</v>
      </c>
      <c r="AM187" s="40" t="b">
        <f>IF(_01towers[[#This Row],[Count Rev Colo App]]=_01towers[[#This Row],[10colo_app.Rev]],TRUE,FALSE)</f>
        <v>1</v>
      </c>
      <c r="AN187" s="40" t="b">
        <f>IF(AND(_01towers[[#This Row],[Test Rev Colo]]=TRUE,_01towers[[#This Row],[Test Rev TSS]]=TRUE),TRUE,FALSE)</f>
        <v>1</v>
      </c>
      <c r="AO187" s="40" t="str">
        <f>IF(_01towers[[#This Row],[Test Active]]=TRUE,_01towers[[#This Row],[Prevalidation Status]],"")</f>
        <v>Prevalidation Rejected</v>
      </c>
      <c r="AP187" s="40" t="str">
        <f>IF(_01towers[[#This Row],[Active Prevalidation Status]]="Under Prevalidation",
IF(M187="","Review",M187),"")</f>
        <v/>
      </c>
      <c r="AQ187" s="40" t="str">
        <f>IF(_01towers[[#This Row],[Active Prevalidation Status]]="Under Prevalidation",
IF(N187="","Review",N187),"")</f>
        <v/>
      </c>
      <c r="AR187" s="40" t="str">
        <f>IF(_01towers[[#This Row],[Active Prevalidation Status]]="Under Prevalidation",
IF(O187="","Review",O187),"")</f>
        <v/>
      </c>
      <c r="AS187" s="40" t="str">
        <f>IF(_01towers[[#This Row],[Active Prevalidation Status]]="Under Prevalidation",
IF(P187="","Review",P187),"")</f>
        <v/>
      </c>
      <c r="AT187" s="40" t="str">
        <f>IF(_01towers[[#This Row],[Active Prevalidation Status]]="Under Prevalidation",
IF(Q187="","Review",Q187),"")</f>
        <v/>
      </c>
      <c r="AU187" s="40" t="str">
        <f>IF(_01towers[[#This Row],[Active Prevalidation Status]]="Under Prevalidation",
IF(R187="","Review",R187),"")</f>
        <v/>
      </c>
      <c r="AV187" s="40">
        <f>COUNTIF(_01towers[[#This Row],[SAQ_Result2]:[Community_Result2]],"OK")</f>
        <v>0</v>
      </c>
      <c r="AW187" s="1" t="str">
        <f>IF(AND(OR(_01towers[[#This Row],[Active Prevalidation Status]]="Under Prevalidation",_01towers[[#This Row],[Active Prevalidation Status]]="Prevalidated"),_01towers[[#This Row],[02tss.TSSR_From_Engineer]]&gt;0),"Submitted","")</f>
        <v/>
      </c>
      <c r="AX187" s="40" t="str">
        <f>IF(OR(_01towers[[#This Row],[Active Prevalidation Status]]="Under Prevalidation",_01towers[[#This Row],[Active Prevalidation Status]]="Prevalidated"),_01towers[[#This Row],[02tss.TSS_Result]],"")</f>
        <v/>
      </c>
      <c r="AY187" s="40" t="str">
        <f>IF(AND(_01towers[[#This Row],[Active TSS Result]]="Approved",_01towers[[#This Row],[Active Prevalidation Status]]="Prevalidated"),"In Process","")</f>
        <v/>
      </c>
      <c r="AZ187" s="40" t="str">
        <f>IF(AND(_01towers[[#This Row],[Active TSS Result]]="Approved",_01towers[[#This Row],[Active Prevalidation Status]]="Prevalidated"),_01towers[[#This Row],[10colo_app.Colo_App_Result]],"")</f>
        <v/>
      </c>
      <c r="BA187" s="40">
        <f>COUNTIF(_20work_order[05_id],_01towers[[#This Row],[05_id]])</f>
        <v>0</v>
      </c>
      <c r="BB187" s="40">
        <f>COUNTIFS(_20work_order[05_id],_01towers[[#This Row],[05_id]],_20work_order[Actual_End],"&gt;0")</f>
        <v>0</v>
      </c>
      <c r="BC187" s="40" t="str">
        <f>IF(_01towers[[#This Row],[Completed Work Orders]]&gt;0,"Work Completed",
IF(_01towers[[#This Row],[Count Work Orders]]&gt;0,"Work in Progress",""))</f>
        <v/>
      </c>
      <c r="BD18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87" s="40" t="str">
        <f>_xlfn.SWITCH(_01towers[[#This Row],[Final Colo Status full]],"Commercial Approval Requested","Under Prevalidation",_01towers[[#This Row],[Final Colo Status full]])</f>
        <v>Prevalidation Rejected</v>
      </c>
    </row>
    <row r="188" spans="1:57" hidden="1" x14ac:dyDescent="0.35">
      <c r="A188" s="40" t="s">
        <v>408</v>
      </c>
      <c r="B188" s="40" t="s">
        <v>50</v>
      </c>
      <c r="C188" s="40" t="s">
        <v>82</v>
      </c>
      <c r="D188">
        <v>6</v>
      </c>
      <c r="E188" s="40" t="s">
        <v>66</v>
      </c>
      <c r="F188">
        <v>96.093059999999994</v>
      </c>
      <c r="G188">
        <v>21.98244</v>
      </c>
      <c r="H188" s="40" t="s">
        <v>53</v>
      </c>
      <c r="I188">
        <v>188</v>
      </c>
      <c r="J188" s="40" t="s">
        <v>634</v>
      </c>
      <c r="K188" s="40" t="s">
        <v>136</v>
      </c>
      <c r="L188" s="40" t="s">
        <v>74</v>
      </c>
      <c r="M188" s="40" t="s">
        <v>75</v>
      </c>
      <c r="N188" s="40"/>
      <c r="O188" s="40" t="s">
        <v>58</v>
      </c>
      <c r="P188" s="40"/>
      <c r="Q188" s="40"/>
      <c r="R188" s="40" t="s">
        <v>57</v>
      </c>
      <c r="S188">
        <v>41</v>
      </c>
      <c r="T188">
        <v>1</v>
      </c>
      <c r="U188" s="1"/>
      <c r="V188" s="1"/>
      <c r="W188" s="1"/>
      <c r="X188" s="1"/>
      <c r="Y188" s="1"/>
      <c r="Z188" s="40"/>
      <c r="AA188">
        <v>40</v>
      </c>
      <c r="AB188">
        <v>1</v>
      </c>
      <c r="AC188" s="1"/>
      <c r="AD188" s="40"/>
      <c r="AE188" s="1"/>
      <c r="AF188" s="1"/>
      <c r="AG188" s="1"/>
      <c r="AH188" s="40"/>
      <c r="AI188" s="1"/>
      <c r="AJ188" s="40">
        <f>_xlfn.MAXIFS(_01towers[02tss.Rev],_01towers[05_id],_01towers[[#This Row],[05_id]])</f>
        <v>1</v>
      </c>
      <c r="AK188" s="40" t="b">
        <f>IF(_01towers[[#This Row],[Count Rev TSS]]=_01towers[[#This Row],[02tss.Rev]],TRUE,FALSE)</f>
        <v>1</v>
      </c>
      <c r="AL188" s="40">
        <f>_xlfn.MAXIFS(_01towers[10colo_app.Rev],_01towers[05_id],_01towers[[#This Row],[05_id]])</f>
        <v>1</v>
      </c>
      <c r="AM188" s="40" t="b">
        <f>IF(_01towers[[#This Row],[Count Rev Colo App]]=_01towers[[#This Row],[10colo_app.Rev]],TRUE,FALSE)</f>
        <v>1</v>
      </c>
      <c r="AN188" s="40" t="b">
        <f>IF(AND(_01towers[[#This Row],[Test Rev Colo]]=TRUE,_01towers[[#This Row],[Test Rev TSS]]=TRUE),TRUE,FALSE)</f>
        <v>1</v>
      </c>
      <c r="AO188" s="40" t="str">
        <f>IF(_01towers[[#This Row],[Test Active]]=TRUE,_01towers[[#This Row],[Prevalidation Status]],"")</f>
        <v>Prevalidation Rejected</v>
      </c>
      <c r="AP188" s="40" t="str">
        <f>IF(_01towers[[#This Row],[Active Prevalidation Status]]="Under Prevalidation",
IF(M188="","Review",M188),"")</f>
        <v/>
      </c>
      <c r="AQ188" s="40" t="str">
        <f>IF(_01towers[[#This Row],[Active Prevalidation Status]]="Under Prevalidation",
IF(N188="","Review",N188),"")</f>
        <v/>
      </c>
      <c r="AR188" s="40" t="str">
        <f>IF(_01towers[[#This Row],[Active Prevalidation Status]]="Under Prevalidation",
IF(O188="","Review",O188),"")</f>
        <v/>
      </c>
      <c r="AS188" s="40" t="str">
        <f>IF(_01towers[[#This Row],[Active Prevalidation Status]]="Under Prevalidation",
IF(P188="","Review",P188),"")</f>
        <v/>
      </c>
      <c r="AT188" s="40" t="str">
        <f>IF(_01towers[[#This Row],[Active Prevalidation Status]]="Under Prevalidation",
IF(Q188="","Review",Q188),"")</f>
        <v/>
      </c>
      <c r="AU188" s="40" t="str">
        <f>IF(_01towers[[#This Row],[Active Prevalidation Status]]="Under Prevalidation",
IF(R188="","Review",R188),"")</f>
        <v/>
      </c>
      <c r="AV188" s="40">
        <f>COUNTIF(_01towers[[#This Row],[SAQ_Result2]:[Community_Result2]],"OK")</f>
        <v>0</v>
      </c>
      <c r="AW188" s="1" t="str">
        <f>IF(AND(OR(_01towers[[#This Row],[Active Prevalidation Status]]="Under Prevalidation",_01towers[[#This Row],[Active Prevalidation Status]]="Prevalidated"),_01towers[[#This Row],[02tss.TSSR_From_Engineer]]&gt;0),"Submitted","")</f>
        <v/>
      </c>
      <c r="AX188" s="40" t="str">
        <f>IF(OR(_01towers[[#This Row],[Active Prevalidation Status]]="Under Prevalidation",_01towers[[#This Row],[Active Prevalidation Status]]="Prevalidated"),_01towers[[#This Row],[02tss.TSS_Result]],"")</f>
        <v/>
      </c>
      <c r="AY188" s="40" t="str">
        <f>IF(AND(_01towers[[#This Row],[Active TSS Result]]="Approved",_01towers[[#This Row],[Active Prevalidation Status]]="Prevalidated"),"In Process","")</f>
        <v/>
      </c>
      <c r="AZ188" s="40" t="str">
        <f>IF(AND(_01towers[[#This Row],[Active TSS Result]]="Approved",_01towers[[#This Row],[Active Prevalidation Status]]="Prevalidated"),_01towers[[#This Row],[10colo_app.Colo_App_Result]],"")</f>
        <v/>
      </c>
      <c r="BA188" s="40">
        <f>COUNTIF(_20work_order[05_id],_01towers[[#This Row],[05_id]])</f>
        <v>0</v>
      </c>
      <c r="BB188" s="40">
        <f>COUNTIFS(_20work_order[05_id],_01towers[[#This Row],[05_id]],_20work_order[Actual_End],"&gt;0")</f>
        <v>0</v>
      </c>
      <c r="BC188" s="40" t="str">
        <f>IF(_01towers[[#This Row],[Completed Work Orders]]&gt;0,"Work Completed",
IF(_01towers[[#This Row],[Count Work Orders]]&gt;0,"Work in Progress",""))</f>
        <v/>
      </c>
      <c r="BD18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88" s="40" t="str">
        <f>_xlfn.SWITCH(_01towers[[#This Row],[Final Colo Status full]],"Commercial Approval Requested","Under Prevalidation",_01towers[[#This Row],[Final Colo Status full]])</f>
        <v>Prevalidation Rejected</v>
      </c>
    </row>
    <row r="189" spans="1:57" hidden="1" x14ac:dyDescent="0.35">
      <c r="A189" s="40" t="s">
        <v>409</v>
      </c>
      <c r="B189" s="40" t="s">
        <v>50</v>
      </c>
      <c r="C189" s="40" t="s">
        <v>51</v>
      </c>
      <c r="D189">
        <v>35</v>
      </c>
      <c r="E189" s="40" t="s">
        <v>66</v>
      </c>
      <c r="F189">
        <v>96.085560000000001</v>
      </c>
      <c r="G189">
        <v>21.90194</v>
      </c>
      <c r="H189" s="40" t="s">
        <v>53</v>
      </c>
      <c r="I189">
        <v>189</v>
      </c>
      <c r="J189" s="40" t="s">
        <v>635</v>
      </c>
      <c r="K189" s="40" t="s">
        <v>136</v>
      </c>
      <c r="L189" s="40" t="s">
        <v>74</v>
      </c>
      <c r="M189" s="40" t="s">
        <v>57</v>
      </c>
      <c r="N189" s="40" t="s">
        <v>57</v>
      </c>
      <c r="O189" s="40" t="s">
        <v>57</v>
      </c>
      <c r="P189" s="40" t="s">
        <v>75</v>
      </c>
      <c r="Q189" s="40" t="s">
        <v>57</v>
      </c>
      <c r="R189" s="40" t="s">
        <v>57</v>
      </c>
      <c r="S189">
        <v>49</v>
      </c>
      <c r="T189">
        <v>1</v>
      </c>
      <c r="U189" s="1"/>
      <c r="V189" s="1"/>
      <c r="W189" s="1"/>
      <c r="X189" s="1"/>
      <c r="Y189" s="1"/>
      <c r="Z189" s="40"/>
      <c r="AA189">
        <v>48</v>
      </c>
      <c r="AB189">
        <v>1</v>
      </c>
      <c r="AC189" s="1"/>
      <c r="AD189" s="40"/>
      <c r="AE189" s="1">
        <v>43256</v>
      </c>
      <c r="AF189" s="1">
        <v>43256</v>
      </c>
      <c r="AG189" s="1"/>
      <c r="AH189" s="40"/>
      <c r="AI189" s="1"/>
      <c r="AJ189" s="40">
        <f>_xlfn.MAXIFS(_01towers[02tss.Rev],_01towers[05_id],_01towers[[#This Row],[05_id]])</f>
        <v>1</v>
      </c>
      <c r="AK189" s="40" t="b">
        <f>IF(_01towers[[#This Row],[Count Rev TSS]]=_01towers[[#This Row],[02tss.Rev]],TRUE,FALSE)</f>
        <v>1</v>
      </c>
      <c r="AL189" s="40">
        <f>_xlfn.MAXIFS(_01towers[10colo_app.Rev],_01towers[05_id],_01towers[[#This Row],[05_id]])</f>
        <v>1</v>
      </c>
      <c r="AM189" s="40" t="b">
        <f>IF(_01towers[[#This Row],[Count Rev Colo App]]=_01towers[[#This Row],[10colo_app.Rev]],TRUE,FALSE)</f>
        <v>1</v>
      </c>
      <c r="AN189" s="40" t="b">
        <f>IF(AND(_01towers[[#This Row],[Test Rev Colo]]=TRUE,_01towers[[#This Row],[Test Rev TSS]]=TRUE),TRUE,FALSE)</f>
        <v>1</v>
      </c>
      <c r="AO189" s="40" t="str">
        <f>IF(_01towers[[#This Row],[Test Active]]=TRUE,_01towers[[#This Row],[Prevalidation Status]],"")</f>
        <v>Prevalidation Rejected</v>
      </c>
      <c r="AP189" s="40" t="str">
        <f>IF(_01towers[[#This Row],[Active Prevalidation Status]]="Under Prevalidation",
IF(M189="","Review",M189),"")</f>
        <v/>
      </c>
      <c r="AQ189" s="40" t="str">
        <f>IF(_01towers[[#This Row],[Active Prevalidation Status]]="Under Prevalidation",
IF(N189="","Review",N189),"")</f>
        <v/>
      </c>
      <c r="AR189" s="40" t="str">
        <f>IF(_01towers[[#This Row],[Active Prevalidation Status]]="Under Prevalidation",
IF(O189="","Review",O189),"")</f>
        <v/>
      </c>
      <c r="AS189" s="40" t="str">
        <f>IF(_01towers[[#This Row],[Active Prevalidation Status]]="Under Prevalidation",
IF(P189="","Review",P189),"")</f>
        <v/>
      </c>
      <c r="AT189" s="40" t="str">
        <f>IF(_01towers[[#This Row],[Active Prevalidation Status]]="Under Prevalidation",
IF(Q189="","Review",Q189),"")</f>
        <v/>
      </c>
      <c r="AU189" s="40" t="str">
        <f>IF(_01towers[[#This Row],[Active Prevalidation Status]]="Under Prevalidation",
IF(R189="","Review",R189),"")</f>
        <v/>
      </c>
      <c r="AV189" s="40">
        <f>COUNTIF(_01towers[[#This Row],[SAQ_Result2]:[Community_Result2]],"OK")</f>
        <v>0</v>
      </c>
      <c r="AW189" s="1" t="str">
        <f>IF(AND(OR(_01towers[[#This Row],[Active Prevalidation Status]]="Under Prevalidation",_01towers[[#This Row],[Active Prevalidation Status]]="Prevalidated"),_01towers[[#This Row],[02tss.TSSR_From_Engineer]]&gt;0),"Submitted","")</f>
        <v/>
      </c>
      <c r="AX189" s="40" t="str">
        <f>IF(OR(_01towers[[#This Row],[Active Prevalidation Status]]="Under Prevalidation",_01towers[[#This Row],[Active Prevalidation Status]]="Prevalidated"),_01towers[[#This Row],[02tss.TSS_Result]],"")</f>
        <v/>
      </c>
      <c r="AY189" s="40" t="str">
        <f>IF(AND(_01towers[[#This Row],[Active TSS Result]]="Approved",_01towers[[#This Row],[Active Prevalidation Status]]="Prevalidated"),"In Process","")</f>
        <v/>
      </c>
      <c r="AZ189" s="40" t="str">
        <f>IF(AND(_01towers[[#This Row],[Active TSS Result]]="Approved",_01towers[[#This Row],[Active Prevalidation Status]]="Prevalidated"),_01towers[[#This Row],[10colo_app.Colo_App_Result]],"")</f>
        <v/>
      </c>
      <c r="BA189" s="40">
        <f>COUNTIF(_20work_order[05_id],_01towers[[#This Row],[05_id]])</f>
        <v>0</v>
      </c>
      <c r="BB189" s="40">
        <f>COUNTIFS(_20work_order[05_id],_01towers[[#This Row],[05_id]],_20work_order[Actual_End],"&gt;0")</f>
        <v>0</v>
      </c>
      <c r="BC189" s="40" t="str">
        <f>IF(_01towers[[#This Row],[Completed Work Orders]]&gt;0,"Work Completed",
IF(_01towers[[#This Row],[Count Work Orders]]&gt;0,"Work in Progress",""))</f>
        <v/>
      </c>
      <c r="BD18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89" s="40" t="str">
        <f>_xlfn.SWITCH(_01towers[[#This Row],[Final Colo Status full]],"Commercial Approval Requested","Under Prevalidation",_01towers[[#This Row],[Final Colo Status full]])</f>
        <v>Prevalidation Rejected</v>
      </c>
    </row>
    <row r="190" spans="1:57" hidden="1" x14ac:dyDescent="0.35">
      <c r="A190" s="40" t="s">
        <v>410</v>
      </c>
      <c r="B190" s="40" t="s">
        <v>50</v>
      </c>
      <c r="C190" s="40" t="s">
        <v>51</v>
      </c>
      <c r="D190">
        <v>35</v>
      </c>
      <c r="E190" s="40" t="s">
        <v>66</v>
      </c>
      <c r="F190">
        <v>96.084410000000005</v>
      </c>
      <c r="G190">
        <v>21.913360000000001</v>
      </c>
      <c r="H190" s="40" t="s">
        <v>53</v>
      </c>
      <c r="I190">
        <v>190</v>
      </c>
      <c r="J190" s="40" t="s">
        <v>211</v>
      </c>
      <c r="K190" s="40" t="s">
        <v>136</v>
      </c>
      <c r="L190" s="40" t="s">
        <v>64</v>
      </c>
      <c r="M190" s="40" t="s">
        <v>57</v>
      </c>
      <c r="N190" s="40" t="s">
        <v>57</v>
      </c>
      <c r="O190" s="40" t="s">
        <v>57</v>
      </c>
      <c r="P190" s="40" t="s">
        <v>57</v>
      </c>
      <c r="Q190" s="40" t="s">
        <v>57</v>
      </c>
      <c r="R190" s="40" t="s">
        <v>57</v>
      </c>
      <c r="S190">
        <v>50</v>
      </c>
      <c r="T190">
        <v>1</v>
      </c>
      <c r="U190" s="1"/>
      <c r="V190" s="1"/>
      <c r="W190" s="1"/>
      <c r="X190" s="1"/>
      <c r="Y190" s="1"/>
      <c r="Z190" s="40"/>
      <c r="AA190">
        <v>49</v>
      </c>
      <c r="AB190">
        <v>1</v>
      </c>
      <c r="AC190" s="1"/>
      <c r="AD190" s="40"/>
      <c r="AE190" s="1"/>
      <c r="AF190" s="1"/>
      <c r="AG190" s="1"/>
      <c r="AH190" s="40"/>
      <c r="AI190" s="1"/>
      <c r="AJ190" s="40">
        <f>_xlfn.MAXIFS(_01towers[02tss.Rev],_01towers[05_id],_01towers[[#This Row],[05_id]])</f>
        <v>1</v>
      </c>
      <c r="AK190" s="40" t="b">
        <f>IF(_01towers[[#This Row],[Count Rev TSS]]=_01towers[[#This Row],[02tss.Rev]],TRUE,FALSE)</f>
        <v>1</v>
      </c>
      <c r="AL190" s="40">
        <f>_xlfn.MAXIFS(_01towers[10colo_app.Rev],_01towers[05_id],_01towers[[#This Row],[05_id]])</f>
        <v>1</v>
      </c>
      <c r="AM190" s="40" t="b">
        <f>IF(_01towers[[#This Row],[Count Rev Colo App]]=_01towers[[#This Row],[10colo_app.Rev]],TRUE,FALSE)</f>
        <v>1</v>
      </c>
      <c r="AN190" s="40" t="b">
        <f>IF(AND(_01towers[[#This Row],[Test Rev Colo]]=TRUE,_01towers[[#This Row],[Test Rev TSS]]=TRUE),TRUE,FALSE)</f>
        <v>1</v>
      </c>
      <c r="AO190" s="40" t="str">
        <f>IF(_01towers[[#This Row],[Test Active]]=TRUE,_01towers[[#This Row],[Prevalidation Status]],"")</f>
        <v>Prevalidated</v>
      </c>
      <c r="AP190" s="40" t="str">
        <f>IF(_01towers[[#This Row],[Active Prevalidation Status]]="Under Prevalidation",
IF(M190="","Review",M190),"")</f>
        <v/>
      </c>
      <c r="AQ190" s="40" t="str">
        <f>IF(_01towers[[#This Row],[Active Prevalidation Status]]="Under Prevalidation",
IF(N190="","Review",N190),"")</f>
        <v/>
      </c>
      <c r="AR190" s="40" t="str">
        <f>IF(_01towers[[#This Row],[Active Prevalidation Status]]="Under Prevalidation",
IF(O190="","Review",O190),"")</f>
        <v/>
      </c>
      <c r="AS190" s="40" t="str">
        <f>IF(_01towers[[#This Row],[Active Prevalidation Status]]="Under Prevalidation",
IF(P190="","Review",P190),"")</f>
        <v/>
      </c>
      <c r="AT190" s="40" t="str">
        <f>IF(_01towers[[#This Row],[Active Prevalidation Status]]="Under Prevalidation",
IF(Q190="","Review",Q190),"")</f>
        <v/>
      </c>
      <c r="AU190" s="40" t="str">
        <f>IF(_01towers[[#This Row],[Active Prevalidation Status]]="Under Prevalidation",
IF(R190="","Review",R190),"")</f>
        <v/>
      </c>
      <c r="AV190" s="40">
        <f>COUNTIF(_01towers[[#This Row],[SAQ_Result2]:[Community_Result2]],"OK")</f>
        <v>0</v>
      </c>
      <c r="AW190" s="1" t="str">
        <f>IF(AND(OR(_01towers[[#This Row],[Active Prevalidation Status]]="Under Prevalidation",_01towers[[#This Row],[Active Prevalidation Status]]="Prevalidated"),_01towers[[#This Row],[02tss.TSSR_From_Engineer]]&gt;0),"Submitted","")</f>
        <v/>
      </c>
      <c r="AX190" s="40">
        <f>IF(OR(_01towers[[#This Row],[Active Prevalidation Status]]="Under Prevalidation",_01towers[[#This Row],[Active Prevalidation Status]]="Prevalidated"),_01towers[[#This Row],[02tss.TSS_Result]],"")</f>
        <v>0</v>
      </c>
      <c r="AY190" s="40" t="str">
        <f>IF(AND(_01towers[[#This Row],[Active TSS Result]]="Approved",_01towers[[#This Row],[Active Prevalidation Status]]="Prevalidated"),"In Process","")</f>
        <v/>
      </c>
      <c r="AZ190" s="40" t="str">
        <f>IF(AND(_01towers[[#This Row],[Active TSS Result]]="Approved",_01towers[[#This Row],[Active Prevalidation Status]]="Prevalidated"),_01towers[[#This Row],[10colo_app.Colo_App_Result]],"")</f>
        <v/>
      </c>
      <c r="BA190" s="40">
        <f>COUNTIF(_20work_order[05_id],_01towers[[#This Row],[05_id]])</f>
        <v>0</v>
      </c>
      <c r="BB190" s="40">
        <f>COUNTIFS(_20work_order[05_id],_01towers[[#This Row],[05_id]],_20work_order[Actual_End],"&gt;0")</f>
        <v>0</v>
      </c>
      <c r="BC190" s="40" t="str">
        <f>IF(_01towers[[#This Row],[Completed Work Orders]]&gt;0,"Work Completed",
IF(_01towers[[#This Row],[Count Work Orders]]&gt;0,"Work in Progress",""))</f>
        <v/>
      </c>
      <c r="BD19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90" s="40" t="str">
        <f>_xlfn.SWITCH(_01towers[[#This Row],[Final Colo Status full]],"Commercial Approval Requested","Under Prevalidation",_01towers[[#This Row],[Final Colo Status full]])</f>
        <v>Prevalidated - TSSR in Process</v>
      </c>
    </row>
    <row r="191" spans="1:57" hidden="1" x14ac:dyDescent="0.35">
      <c r="A191" s="40" t="s">
        <v>162</v>
      </c>
      <c r="B191" s="40" t="s">
        <v>50</v>
      </c>
      <c r="C191" s="40" t="s">
        <v>51</v>
      </c>
      <c r="D191">
        <v>45</v>
      </c>
      <c r="E191" s="40" t="s">
        <v>66</v>
      </c>
      <c r="F191">
        <v>96.070164000000005</v>
      </c>
      <c r="G191">
        <v>21.844214000000001</v>
      </c>
      <c r="H191" s="40" t="s">
        <v>62</v>
      </c>
      <c r="I191">
        <v>191</v>
      </c>
      <c r="J191" s="40" t="s">
        <v>636</v>
      </c>
      <c r="K191" s="40" t="s">
        <v>136</v>
      </c>
      <c r="L191" s="40" t="s">
        <v>64</v>
      </c>
      <c r="M191" s="40" t="s">
        <v>57</v>
      </c>
      <c r="N191" s="40" t="s">
        <v>57</v>
      </c>
      <c r="O191" s="40" t="s">
        <v>57</v>
      </c>
      <c r="P191" s="40" t="s">
        <v>57</v>
      </c>
      <c r="Q191" s="40" t="s">
        <v>57</v>
      </c>
      <c r="R191" s="40" t="s">
        <v>57</v>
      </c>
      <c r="S191">
        <v>36</v>
      </c>
      <c r="T191">
        <v>1</v>
      </c>
      <c r="U191" s="1"/>
      <c r="V191" s="1"/>
      <c r="W191" s="1"/>
      <c r="X191" s="1"/>
      <c r="Y191" s="1"/>
      <c r="Z191" s="40"/>
      <c r="AA191">
        <v>35</v>
      </c>
      <c r="AB191">
        <v>1</v>
      </c>
      <c r="AC191" s="1"/>
      <c r="AD191" s="40"/>
      <c r="AE191" s="1"/>
      <c r="AF191" s="1"/>
      <c r="AG191" s="1"/>
      <c r="AH191" s="40"/>
      <c r="AI191" s="1"/>
      <c r="AJ191" s="40">
        <f>_xlfn.MAXIFS(_01towers[02tss.Rev],_01towers[05_id],_01towers[[#This Row],[05_id]])</f>
        <v>1</v>
      </c>
      <c r="AK191" s="40" t="b">
        <f>IF(_01towers[[#This Row],[Count Rev TSS]]=_01towers[[#This Row],[02tss.Rev]],TRUE,FALSE)</f>
        <v>1</v>
      </c>
      <c r="AL191" s="40">
        <f>_xlfn.MAXIFS(_01towers[10colo_app.Rev],_01towers[05_id],_01towers[[#This Row],[05_id]])</f>
        <v>1</v>
      </c>
      <c r="AM191" s="40" t="b">
        <f>IF(_01towers[[#This Row],[Count Rev Colo App]]=_01towers[[#This Row],[10colo_app.Rev]],TRUE,FALSE)</f>
        <v>1</v>
      </c>
      <c r="AN191" s="40" t="b">
        <f>IF(AND(_01towers[[#This Row],[Test Rev Colo]]=TRUE,_01towers[[#This Row],[Test Rev TSS]]=TRUE),TRUE,FALSE)</f>
        <v>1</v>
      </c>
      <c r="AO191" s="40" t="str">
        <f>IF(_01towers[[#This Row],[Test Active]]=TRUE,_01towers[[#This Row],[Prevalidation Status]],"")</f>
        <v>Prevalidated</v>
      </c>
      <c r="AP191" s="40" t="str">
        <f>IF(_01towers[[#This Row],[Active Prevalidation Status]]="Under Prevalidation",
IF(M191="","Review",M191),"")</f>
        <v/>
      </c>
      <c r="AQ191" s="40" t="str">
        <f>IF(_01towers[[#This Row],[Active Prevalidation Status]]="Under Prevalidation",
IF(N191="","Review",N191),"")</f>
        <v/>
      </c>
      <c r="AR191" s="40" t="str">
        <f>IF(_01towers[[#This Row],[Active Prevalidation Status]]="Under Prevalidation",
IF(O191="","Review",O191),"")</f>
        <v/>
      </c>
      <c r="AS191" s="40" t="str">
        <f>IF(_01towers[[#This Row],[Active Prevalidation Status]]="Under Prevalidation",
IF(P191="","Review",P191),"")</f>
        <v/>
      </c>
      <c r="AT191" s="40" t="str">
        <f>IF(_01towers[[#This Row],[Active Prevalidation Status]]="Under Prevalidation",
IF(Q191="","Review",Q191),"")</f>
        <v/>
      </c>
      <c r="AU191" s="40" t="str">
        <f>IF(_01towers[[#This Row],[Active Prevalidation Status]]="Under Prevalidation",
IF(R191="","Review",R191),"")</f>
        <v/>
      </c>
      <c r="AV191" s="40">
        <f>COUNTIF(_01towers[[#This Row],[SAQ_Result2]:[Community_Result2]],"OK")</f>
        <v>0</v>
      </c>
      <c r="AW191" s="1" t="str">
        <f>IF(AND(OR(_01towers[[#This Row],[Active Prevalidation Status]]="Under Prevalidation",_01towers[[#This Row],[Active Prevalidation Status]]="Prevalidated"),_01towers[[#This Row],[02tss.TSSR_From_Engineer]]&gt;0),"Submitted","")</f>
        <v/>
      </c>
      <c r="AX191" s="40">
        <f>IF(OR(_01towers[[#This Row],[Active Prevalidation Status]]="Under Prevalidation",_01towers[[#This Row],[Active Prevalidation Status]]="Prevalidated"),_01towers[[#This Row],[02tss.TSS_Result]],"")</f>
        <v>0</v>
      </c>
      <c r="AY191" s="40" t="str">
        <f>IF(AND(_01towers[[#This Row],[Active TSS Result]]="Approved",_01towers[[#This Row],[Active Prevalidation Status]]="Prevalidated"),"In Process","")</f>
        <v/>
      </c>
      <c r="AZ191" s="40" t="str">
        <f>IF(AND(_01towers[[#This Row],[Active TSS Result]]="Approved",_01towers[[#This Row],[Active Prevalidation Status]]="Prevalidated"),_01towers[[#This Row],[10colo_app.Colo_App_Result]],"")</f>
        <v/>
      </c>
      <c r="BA191" s="40">
        <f>COUNTIF(_20work_order[05_id],_01towers[[#This Row],[05_id]])</f>
        <v>0</v>
      </c>
      <c r="BB191" s="40">
        <f>COUNTIFS(_20work_order[05_id],_01towers[[#This Row],[05_id]],_20work_order[Actual_End],"&gt;0")</f>
        <v>0</v>
      </c>
      <c r="BC191" s="40" t="str">
        <f>IF(_01towers[[#This Row],[Completed Work Orders]]&gt;0,"Work Completed",
IF(_01towers[[#This Row],[Count Work Orders]]&gt;0,"Work in Progress",""))</f>
        <v/>
      </c>
      <c r="BD19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91" s="40" t="str">
        <f>_xlfn.SWITCH(_01towers[[#This Row],[Final Colo Status full]],"Commercial Approval Requested","Under Prevalidation",_01towers[[#This Row],[Final Colo Status full]])</f>
        <v>Prevalidated - TSSR in Process</v>
      </c>
    </row>
    <row r="192" spans="1:57" x14ac:dyDescent="0.35">
      <c r="A192" s="40" t="s">
        <v>411</v>
      </c>
      <c r="B192" s="40" t="s">
        <v>50</v>
      </c>
      <c r="C192" s="40" t="s">
        <v>51</v>
      </c>
      <c r="D192">
        <v>35</v>
      </c>
      <c r="E192" s="40" t="s">
        <v>66</v>
      </c>
      <c r="F192">
        <v>96.118348999999995</v>
      </c>
      <c r="G192">
        <v>21.904062</v>
      </c>
      <c r="H192" s="40" t="s">
        <v>62</v>
      </c>
      <c r="I192">
        <v>192</v>
      </c>
      <c r="J192" s="40" t="s">
        <v>412</v>
      </c>
      <c r="K192" s="40" t="s">
        <v>136</v>
      </c>
      <c r="L192" s="40" t="s">
        <v>56</v>
      </c>
      <c r="M192" s="40" t="s">
        <v>57</v>
      </c>
      <c r="N192" s="40" t="s">
        <v>57</v>
      </c>
      <c r="O192" s="40" t="s">
        <v>57</v>
      </c>
      <c r="P192" s="40" t="s">
        <v>58</v>
      </c>
      <c r="Q192" s="40" t="s">
        <v>57</v>
      </c>
      <c r="R192" s="40" t="s">
        <v>57</v>
      </c>
      <c r="S192">
        <v>52</v>
      </c>
      <c r="T192">
        <v>1</v>
      </c>
      <c r="U192" s="1"/>
      <c r="V192" s="1"/>
      <c r="W192" s="1"/>
      <c r="X192" s="1"/>
      <c r="Y192" s="1"/>
      <c r="Z192" s="40"/>
      <c r="AA192">
        <v>51</v>
      </c>
      <c r="AB192">
        <v>1</v>
      </c>
      <c r="AC192" s="1"/>
      <c r="AD192" s="40"/>
      <c r="AE192" s="1"/>
      <c r="AF192" s="1"/>
      <c r="AG192" s="1"/>
      <c r="AH192" s="40"/>
      <c r="AI192" s="1"/>
      <c r="AJ192" s="40">
        <f>_xlfn.MAXIFS(_01towers[02tss.Rev],_01towers[05_id],_01towers[[#This Row],[05_id]])</f>
        <v>1</v>
      </c>
      <c r="AK192" s="40" t="b">
        <f>IF(_01towers[[#This Row],[Count Rev TSS]]=_01towers[[#This Row],[02tss.Rev]],TRUE,FALSE)</f>
        <v>1</v>
      </c>
      <c r="AL192" s="40">
        <f>_xlfn.MAXIFS(_01towers[10colo_app.Rev],_01towers[05_id],_01towers[[#This Row],[05_id]])</f>
        <v>1</v>
      </c>
      <c r="AM192" s="40" t="b">
        <f>IF(_01towers[[#This Row],[Count Rev Colo App]]=_01towers[[#This Row],[10colo_app.Rev]],TRUE,FALSE)</f>
        <v>1</v>
      </c>
      <c r="AN192" s="40" t="b">
        <f>IF(AND(_01towers[[#This Row],[Test Rev Colo]]=TRUE,_01towers[[#This Row],[Test Rev TSS]]=TRUE),TRUE,FALSE)</f>
        <v>1</v>
      </c>
      <c r="AO192" s="40" t="str">
        <f>IF(_01towers[[#This Row],[Test Active]]=TRUE,_01towers[[#This Row],[Prevalidation Status]],"")</f>
        <v>Commercial Approval Requested</v>
      </c>
      <c r="AP192" s="40" t="str">
        <f>IF(_01towers[[#This Row],[Active Prevalidation Status]]="Under Prevalidation",
IF(M192="","Review",M192),"")</f>
        <v/>
      </c>
      <c r="AQ192" s="40" t="str">
        <f>IF(_01towers[[#This Row],[Active Prevalidation Status]]="Under Prevalidation",
IF(N192="","Review",N192),"")</f>
        <v/>
      </c>
      <c r="AR192" s="40" t="str">
        <f>IF(_01towers[[#This Row],[Active Prevalidation Status]]="Under Prevalidation",
IF(O192="","Review",O192),"")</f>
        <v/>
      </c>
      <c r="AS192" s="40" t="str">
        <f>IF(_01towers[[#This Row],[Active Prevalidation Status]]="Under Prevalidation",
IF(P192="","Review",P192),"")</f>
        <v/>
      </c>
      <c r="AT192" s="40" t="str">
        <f>IF(_01towers[[#This Row],[Active Prevalidation Status]]="Under Prevalidation",
IF(Q192="","Review",Q192),"")</f>
        <v/>
      </c>
      <c r="AU192" s="40" t="str">
        <f>IF(_01towers[[#This Row],[Active Prevalidation Status]]="Under Prevalidation",
IF(R192="","Review",R192),"")</f>
        <v/>
      </c>
      <c r="AV192" s="40">
        <f>COUNTIF(_01towers[[#This Row],[SAQ_Result2]:[Community_Result2]],"OK")</f>
        <v>0</v>
      </c>
      <c r="AW192" s="1" t="str">
        <f>IF(AND(OR(_01towers[[#This Row],[Active Prevalidation Status]]="Under Prevalidation",_01towers[[#This Row],[Active Prevalidation Status]]="Prevalidated"),_01towers[[#This Row],[02tss.TSSR_From_Engineer]]&gt;0),"Submitted","")</f>
        <v/>
      </c>
      <c r="AX192" s="40" t="str">
        <f>IF(OR(_01towers[[#This Row],[Active Prevalidation Status]]="Under Prevalidation",_01towers[[#This Row],[Active Prevalidation Status]]="Prevalidated"),_01towers[[#This Row],[02tss.TSS_Result]],"")</f>
        <v/>
      </c>
      <c r="AY192" s="40" t="str">
        <f>IF(AND(_01towers[[#This Row],[Active TSS Result]]="Approved",_01towers[[#This Row],[Active Prevalidation Status]]="Prevalidated"),"In Process","")</f>
        <v/>
      </c>
      <c r="AZ192" s="40" t="str">
        <f>IF(AND(_01towers[[#This Row],[Active TSS Result]]="Approved",_01towers[[#This Row],[Active Prevalidation Status]]="Prevalidated"),_01towers[[#This Row],[10colo_app.Colo_App_Result]],"")</f>
        <v/>
      </c>
      <c r="BA192" s="40">
        <f>COUNTIF(_20work_order[05_id],_01towers[[#This Row],[05_id]])</f>
        <v>0</v>
      </c>
      <c r="BB192" s="40">
        <f>COUNTIFS(_20work_order[05_id],_01towers[[#This Row],[05_id]],_20work_order[Actual_End],"&gt;0")</f>
        <v>0</v>
      </c>
      <c r="BC192" s="40" t="str">
        <f>IF(_01towers[[#This Row],[Completed Work Orders]]&gt;0,"Work Completed",
IF(_01towers[[#This Row],[Count Work Orders]]&gt;0,"Work in Progress",""))</f>
        <v/>
      </c>
      <c r="BD19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192" s="40" t="str">
        <f>_xlfn.SWITCH(_01towers[[#This Row],[Final Colo Status full]],"Commercial Approval Requested","Under Prevalidation",_01towers[[#This Row],[Final Colo Status full]])</f>
        <v>Under Prevalidation</v>
      </c>
    </row>
    <row r="193" spans="1:57" hidden="1" x14ac:dyDescent="0.35">
      <c r="A193" s="40" t="s">
        <v>413</v>
      </c>
      <c r="B193" s="40" t="s">
        <v>50</v>
      </c>
      <c r="C193" s="40" t="s">
        <v>51</v>
      </c>
      <c r="D193">
        <v>45</v>
      </c>
      <c r="E193" s="40" t="s">
        <v>167</v>
      </c>
      <c r="F193">
        <v>94.962620000000001</v>
      </c>
      <c r="G193">
        <v>20.175160000000002</v>
      </c>
      <c r="H193" s="40" t="s">
        <v>62</v>
      </c>
      <c r="I193">
        <v>193</v>
      </c>
      <c r="J193" s="40" t="s">
        <v>414</v>
      </c>
      <c r="K193" s="40" t="s">
        <v>136</v>
      </c>
      <c r="L193" s="40" t="s">
        <v>64</v>
      </c>
      <c r="M193" s="40" t="s">
        <v>57</v>
      </c>
      <c r="N193" s="40" t="s">
        <v>57</v>
      </c>
      <c r="O193" s="40" t="s">
        <v>57</v>
      </c>
      <c r="P193" s="40" t="s">
        <v>57</v>
      </c>
      <c r="Q193" s="40" t="s">
        <v>57</v>
      </c>
      <c r="R193" s="40" t="s">
        <v>57</v>
      </c>
      <c r="S193">
        <v>61</v>
      </c>
      <c r="T193">
        <v>1</v>
      </c>
      <c r="U193" s="1">
        <v>43277</v>
      </c>
      <c r="V193" s="1">
        <v>43277</v>
      </c>
      <c r="W193" s="1">
        <v>43283</v>
      </c>
      <c r="X193" s="1">
        <v>43319</v>
      </c>
      <c r="Y193" s="1"/>
      <c r="Z193" s="40" t="s">
        <v>59</v>
      </c>
      <c r="AA193">
        <v>60</v>
      </c>
      <c r="AB193">
        <v>1</v>
      </c>
      <c r="AC193" s="1">
        <v>43319</v>
      </c>
      <c r="AD193" s="40" t="s">
        <v>570</v>
      </c>
      <c r="AE193" s="1"/>
      <c r="AF193" s="1"/>
      <c r="AG193" s="1"/>
      <c r="AH193" s="40"/>
      <c r="AI193" s="1"/>
      <c r="AJ193" s="40">
        <f>_xlfn.MAXIFS(_01towers[02tss.Rev],_01towers[05_id],_01towers[[#This Row],[05_id]])</f>
        <v>1</v>
      </c>
      <c r="AK193" s="40" t="b">
        <f>IF(_01towers[[#This Row],[Count Rev TSS]]=_01towers[[#This Row],[02tss.Rev]],TRUE,FALSE)</f>
        <v>1</v>
      </c>
      <c r="AL193" s="40">
        <f>_xlfn.MAXIFS(_01towers[10colo_app.Rev],_01towers[05_id],_01towers[[#This Row],[05_id]])</f>
        <v>1</v>
      </c>
      <c r="AM193" s="40" t="b">
        <f>IF(_01towers[[#This Row],[Count Rev Colo App]]=_01towers[[#This Row],[10colo_app.Rev]],TRUE,FALSE)</f>
        <v>1</v>
      </c>
      <c r="AN193" s="40" t="b">
        <f>IF(AND(_01towers[[#This Row],[Test Rev Colo]]=TRUE,_01towers[[#This Row],[Test Rev TSS]]=TRUE),TRUE,FALSE)</f>
        <v>1</v>
      </c>
      <c r="AO193" s="40" t="str">
        <f>IF(_01towers[[#This Row],[Test Active]]=TRUE,_01towers[[#This Row],[Prevalidation Status]],"")</f>
        <v>Prevalidated</v>
      </c>
      <c r="AP193" s="40" t="str">
        <f>IF(_01towers[[#This Row],[Active Prevalidation Status]]="Under Prevalidation",
IF(M193="","Review",M193),"")</f>
        <v/>
      </c>
      <c r="AQ193" s="40" t="str">
        <f>IF(_01towers[[#This Row],[Active Prevalidation Status]]="Under Prevalidation",
IF(N193="","Review",N193),"")</f>
        <v/>
      </c>
      <c r="AR193" s="40" t="str">
        <f>IF(_01towers[[#This Row],[Active Prevalidation Status]]="Under Prevalidation",
IF(O193="","Review",O193),"")</f>
        <v/>
      </c>
      <c r="AS193" s="40" t="str">
        <f>IF(_01towers[[#This Row],[Active Prevalidation Status]]="Under Prevalidation",
IF(P193="","Review",P193),"")</f>
        <v/>
      </c>
      <c r="AT193" s="40" t="str">
        <f>IF(_01towers[[#This Row],[Active Prevalidation Status]]="Under Prevalidation",
IF(Q193="","Review",Q193),"")</f>
        <v/>
      </c>
      <c r="AU193" s="40" t="str">
        <f>IF(_01towers[[#This Row],[Active Prevalidation Status]]="Under Prevalidation",
IF(R193="","Review",R193),"")</f>
        <v/>
      </c>
      <c r="AV193" s="40">
        <f>COUNTIF(_01towers[[#This Row],[SAQ_Result2]:[Community_Result2]],"OK")</f>
        <v>0</v>
      </c>
      <c r="AW193" s="1" t="str">
        <f>IF(AND(OR(_01towers[[#This Row],[Active Prevalidation Status]]="Under Prevalidation",_01towers[[#This Row],[Active Prevalidation Status]]="Prevalidated"),_01towers[[#This Row],[02tss.TSSR_From_Engineer]]&gt;0),"Submitted","")</f>
        <v>Submitted</v>
      </c>
      <c r="AX193" s="40" t="str">
        <f>IF(OR(_01towers[[#This Row],[Active Prevalidation Status]]="Under Prevalidation",_01towers[[#This Row],[Active Prevalidation Status]]="Prevalidated"),_01towers[[#This Row],[02tss.TSS_Result]],"")</f>
        <v>Approved</v>
      </c>
      <c r="AY193" s="40" t="str">
        <f>IF(AND(_01towers[[#This Row],[Active TSS Result]]="Approved",_01towers[[#This Row],[Active Prevalidation Status]]="Prevalidated"),"In Process","")</f>
        <v>In Process</v>
      </c>
      <c r="AZ193" s="40" t="str">
        <f>IF(AND(_01towers[[#This Row],[Active TSS Result]]="Approved",_01towers[[#This Row],[Active Prevalidation Status]]="Prevalidated"),_01towers[[#This Row],[10colo_app.Colo_App_Result]],"")</f>
        <v>NTP Received</v>
      </c>
      <c r="BA193" s="40">
        <f>COUNTIF(_20work_order[05_id],_01towers[[#This Row],[05_id]])</f>
        <v>0</v>
      </c>
      <c r="BB193" s="40">
        <f>COUNTIFS(_20work_order[05_id],_01towers[[#This Row],[05_id]],_20work_order[Actual_End],"&gt;0")</f>
        <v>0</v>
      </c>
      <c r="BC193" s="40" t="str">
        <f>IF(_01towers[[#This Row],[Completed Work Orders]]&gt;0,"Work Completed",
IF(_01towers[[#This Row],[Count Work Orders]]&gt;0,"Work in Progress",""))</f>
        <v/>
      </c>
      <c r="BD19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193" s="40" t="str">
        <f>_xlfn.SWITCH(_01towers[[#This Row],[Final Colo Status full]],"Commercial Approval Requested","Under Prevalidation",_01towers[[#This Row],[Final Colo Status full]])</f>
        <v>NTP Received</v>
      </c>
    </row>
    <row r="194" spans="1:57" hidden="1" x14ac:dyDescent="0.35">
      <c r="A194" s="40" t="s">
        <v>415</v>
      </c>
      <c r="B194" s="40" t="s">
        <v>85</v>
      </c>
      <c r="C194" s="40" t="s">
        <v>51</v>
      </c>
      <c r="D194">
        <v>35</v>
      </c>
      <c r="E194" s="40" t="s">
        <v>155</v>
      </c>
      <c r="F194">
        <v>96.202814000000004</v>
      </c>
      <c r="G194">
        <v>19.739629000000001</v>
      </c>
      <c r="H194" s="40" t="s">
        <v>53</v>
      </c>
      <c r="I194">
        <v>194</v>
      </c>
      <c r="J194" s="40" t="s">
        <v>637</v>
      </c>
      <c r="K194" s="40" t="s">
        <v>136</v>
      </c>
      <c r="L194" s="40" t="s">
        <v>64</v>
      </c>
      <c r="M194" s="40" t="s">
        <v>57</v>
      </c>
      <c r="N194" s="40" t="s">
        <v>57</v>
      </c>
      <c r="O194" s="40" t="s">
        <v>57</v>
      </c>
      <c r="P194" s="40" t="s">
        <v>58</v>
      </c>
      <c r="Q194" s="40" t="s">
        <v>57</v>
      </c>
      <c r="R194" s="40" t="s">
        <v>57</v>
      </c>
      <c r="S194">
        <v>72</v>
      </c>
      <c r="T194">
        <v>1</v>
      </c>
      <c r="U194" s="1"/>
      <c r="V194" s="1"/>
      <c r="W194" s="1"/>
      <c r="X194" s="1"/>
      <c r="Y194" s="1"/>
      <c r="Z194" s="40"/>
      <c r="AA194">
        <v>71</v>
      </c>
      <c r="AB194">
        <v>1</v>
      </c>
      <c r="AC194" s="1"/>
      <c r="AD194" s="40"/>
      <c r="AE194" s="1"/>
      <c r="AF194" s="1"/>
      <c r="AG194" s="1"/>
      <c r="AH194" s="40"/>
      <c r="AI194" s="1"/>
      <c r="AJ194" s="40">
        <f>_xlfn.MAXIFS(_01towers[02tss.Rev],_01towers[05_id],_01towers[[#This Row],[05_id]])</f>
        <v>1</v>
      </c>
      <c r="AK194" s="40" t="b">
        <f>IF(_01towers[[#This Row],[Count Rev TSS]]=_01towers[[#This Row],[02tss.Rev]],TRUE,FALSE)</f>
        <v>1</v>
      </c>
      <c r="AL194" s="40">
        <f>_xlfn.MAXIFS(_01towers[10colo_app.Rev],_01towers[05_id],_01towers[[#This Row],[05_id]])</f>
        <v>1</v>
      </c>
      <c r="AM194" s="40" t="b">
        <f>IF(_01towers[[#This Row],[Count Rev Colo App]]=_01towers[[#This Row],[10colo_app.Rev]],TRUE,FALSE)</f>
        <v>1</v>
      </c>
      <c r="AN194" s="40" t="b">
        <f>IF(AND(_01towers[[#This Row],[Test Rev Colo]]=TRUE,_01towers[[#This Row],[Test Rev TSS]]=TRUE),TRUE,FALSE)</f>
        <v>1</v>
      </c>
      <c r="AO194" s="40" t="str">
        <f>IF(_01towers[[#This Row],[Test Active]]=TRUE,_01towers[[#This Row],[Prevalidation Status]],"")</f>
        <v>Prevalidated</v>
      </c>
      <c r="AP194" s="40" t="str">
        <f>IF(_01towers[[#This Row],[Active Prevalidation Status]]="Under Prevalidation",
IF(M194="","Review",M194),"")</f>
        <v/>
      </c>
      <c r="AQ194" s="40" t="str">
        <f>IF(_01towers[[#This Row],[Active Prevalidation Status]]="Under Prevalidation",
IF(N194="","Review",N194),"")</f>
        <v/>
      </c>
      <c r="AR194" s="40" t="str">
        <f>IF(_01towers[[#This Row],[Active Prevalidation Status]]="Under Prevalidation",
IF(O194="","Review",O194),"")</f>
        <v/>
      </c>
      <c r="AS194" s="40" t="str">
        <f>IF(_01towers[[#This Row],[Active Prevalidation Status]]="Under Prevalidation",
IF(P194="","Review",P194),"")</f>
        <v/>
      </c>
      <c r="AT194" s="40" t="str">
        <f>IF(_01towers[[#This Row],[Active Prevalidation Status]]="Under Prevalidation",
IF(Q194="","Review",Q194),"")</f>
        <v/>
      </c>
      <c r="AU194" s="40" t="str">
        <f>IF(_01towers[[#This Row],[Active Prevalidation Status]]="Under Prevalidation",
IF(R194="","Review",R194),"")</f>
        <v/>
      </c>
      <c r="AV194" s="40">
        <f>COUNTIF(_01towers[[#This Row],[SAQ_Result2]:[Community_Result2]],"OK")</f>
        <v>0</v>
      </c>
      <c r="AW194" s="1" t="str">
        <f>IF(AND(OR(_01towers[[#This Row],[Active Prevalidation Status]]="Under Prevalidation",_01towers[[#This Row],[Active Prevalidation Status]]="Prevalidated"),_01towers[[#This Row],[02tss.TSSR_From_Engineer]]&gt;0),"Submitted","")</f>
        <v/>
      </c>
      <c r="AX194" s="40">
        <f>IF(OR(_01towers[[#This Row],[Active Prevalidation Status]]="Under Prevalidation",_01towers[[#This Row],[Active Prevalidation Status]]="Prevalidated"),_01towers[[#This Row],[02tss.TSS_Result]],"")</f>
        <v>0</v>
      </c>
      <c r="AY194" s="40" t="str">
        <f>IF(AND(_01towers[[#This Row],[Active TSS Result]]="Approved",_01towers[[#This Row],[Active Prevalidation Status]]="Prevalidated"),"In Process","")</f>
        <v/>
      </c>
      <c r="AZ194" s="40" t="str">
        <f>IF(AND(_01towers[[#This Row],[Active TSS Result]]="Approved",_01towers[[#This Row],[Active Prevalidation Status]]="Prevalidated"),_01towers[[#This Row],[10colo_app.Colo_App_Result]],"")</f>
        <v/>
      </c>
      <c r="BA194" s="40">
        <f>COUNTIF(_20work_order[05_id],_01towers[[#This Row],[05_id]])</f>
        <v>0</v>
      </c>
      <c r="BB194" s="40">
        <f>COUNTIFS(_20work_order[05_id],_01towers[[#This Row],[05_id]],_20work_order[Actual_End],"&gt;0")</f>
        <v>0</v>
      </c>
      <c r="BC194" s="40" t="str">
        <f>IF(_01towers[[#This Row],[Completed Work Orders]]&gt;0,"Work Completed",
IF(_01towers[[#This Row],[Count Work Orders]]&gt;0,"Work in Progress",""))</f>
        <v/>
      </c>
      <c r="BD19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94" s="40" t="str">
        <f>_xlfn.SWITCH(_01towers[[#This Row],[Final Colo Status full]],"Commercial Approval Requested","Under Prevalidation",_01towers[[#This Row],[Final Colo Status full]])</f>
        <v>Prevalidated - TSSR in Process</v>
      </c>
    </row>
    <row r="195" spans="1:57" hidden="1" x14ac:dyDescent="0.35">
      <c r="A195" s="40" t="s">
        <v>416</v>
      </c>
      <c r="B195" s="40" t="s">
        <v>85</v>
      </c>
      <c r="C195" s="40" t="s">
        <v>51</v>
      </c>
      <c r="D195">
        <v>35</v>
      </c>
      <c r="E195" s="40" t="s">
        <v>155</v>
      </c>
      <c r="F195">
        <v>96.210722000000004</v>
      </c>
      <c r="G195">
        <v>19.733732</v>
      </c>
      <c r="H195" s="40" t="s">
        <v>150</v>
      </c>
      <c r="I195">
        <v>195</v>
      </c>
      <c r="J195" s="40" t="s">
        <v>638</v>
      </c>
      <c r="K195" s="40" t="s">
        <v>136</v>
      </c>
      <c r="L195" s="40" t="s">
        <v>64</v>
      </c>
      <c r="M195" s="40" t="s">
        <v>57</v>
      </c>
      <c r="N195" s="40" t="s">
        <v>57</v>
      </c>
      <c r="O195" s="40" t="s">
        <v>57</v>
      </c>
      <c r="P195" s="40" t="s">
        <v>58</v>
      </c>
      <c r="Q195" s="40" t="s">
        <v>57</v>
      </c>
      <c r="R195" s="40" t="s">
        <v>57</v>
      </c>
      <c r="S195">
        <v>70</v>
      </c>
      <c r="T195">
        <v>1</v>
      </c>
      <c r="U195" s="1"/>
      <c r="V195" s="1"/>
      <c r="W195" s="1"/>
      <c r="X195" s="1"/>
      <c r="Y195" s="1"/>
      <c r="Z195" s="40"/>
      <c r="AA195">
        <v>69</v>
      </c>
      <c r="AB195">
        <v>1</v>
      </c>
      <c r="AC195" s="1"/>
      <c r="AD195" s="40"/>
      <c r="AE195" s="1"/>
      <c r="AF195" s="1"/>
      <c r="AG195" s="1"/>
      <c r="AH195" s="40"/>
      <c r="AI195" s="1"/>
      <c r="AJ195" s="40">
        <f>_xlfn.MAXIFS(_01towers[02tss.Rev],_01towers[05_id],_01towers[[#This Row],[05_id]])</f>
        <v>1</v>
      </c>
      <c r="AK195" s="40" t="b">
        <f>IF(_01towers[[#This Row],[Count Rev TSS]]=_01towers[[#This Row],[02tss.Rev]],TRUE,FALSE)</f>
        <v>1</v>
      </c>
      <c r="AL195" s="40">
        <f>_xlfn.MAXIFS(_01towers[10colo_app.Rev],_01towers[05_id],_01towers[[#This Row],[05_id]])</f>
        <v>1</v>
      </c>
      <c r="AM195" s="40" t="b">
        <f>IF(_01towers[[#This Row],[Count Rev Colo App]]=_01towers[[#This Row],[10colo_app.Rev]],TRUE,FALSE)</f>
        <v>1</v>
      </c>
      <c r="AN195" s="40" t="b">
        <f>IF(AND(_01towers[[#This Row],[Test Rev Colo]]=TRUE,_01towers[[#This Row],[Test Rev TSS]]=TRUE),TRUE,FALSE)</f>
        <v>1</v>
      </c>
      <c r="AO195" s="40" t="str">
        <f>IF(_01towers[[#This Row],[Test Active]]=TRUE,_01towers[[#This Row],[Prevalidation Status]],"")</f>
        <v>Prevalidated</v>
      </c>
      <c r="AP195" s="40" t="str">
        <f>IF(_01towers[[#This Row],[Active Prevalidation Status]]="Under Prevalidation",
IF(M195="","Review",M195),"")</f>
        <v/>
      </c>
      <c r="AQ195" s="40" t="str">
        <f>IF(_01towers[[#This Row],[Active Prevalidation Status]]="Under Prevalidation",
IF(N195="","Review",N195),"")</f>
        <v/>
      </c>
      <c r="AR195" s="40" t="str">
        <f>IF(_01towers[[#This Row],[Active Prevalidation Status]]="Under Prevalidation",
IF(O195="","Review",O195),"")</f>
        <v/>
      </c>
      <c r="AS195" s="40" t="str">
        <f>IF(_01towers[[#This Row],[Active Prevalidation Status]]="Under Prevalidation",
IF(P195="","Review",P195),"")</f>
        <v/>
      </c>
      <c r="AT195" s="40" t="str">
        <f>IF(_01towers[[#This Row],[Active Prevalidation Status]]="Under Prevalidation",
IF(Q195="","Review",Q195),"")</f>
        <v/>
      </c>
      <c r="AU195" s="40" t="str">
        <f>IF(_01towers[[#This Row],[Active Prevalidation Status]]="Under Prevalidation",
IF(R195="","Review",R195),"")</f>
        <v/>
      </c>
      <c r="AV195" s="40">
        <f>COUNTIF(_01towers[[#This Row],[SAQ_Result2]:[Community_Result2]],"OK")</f>
        <v>0</v>
      </c>
      <c r="AW195" s="1" t="str">
        <f>IF(AND(OR(_01towers[[#This Row],[Active Prevalidation Status]]="Under Prevalidation",_01towers[[#This Row],[Active Prevalidation Status]]="Prevalidated"),_01towers[[#This Row],[02tss.TSSR_From_Engineer]]&gt;0),"Submitted","")</f>
        <v/>
      </c>
      <c r="AX195" s="40">
        <f>IF(OR(_01towers[[#This Row],[Active Prevalidation Status]]="Under Prevalidation",_01towers[[#This Row],[Active Prevalidation Status]]="Prevalidated"),_01towers[[#This Row],[02tss.TSS_Result]],"")</f>
        <v>0</v>
      </c>
      <c r="AY195" s="40" t="str">
        <f>IF(AND(_01towers[[#This Row],[Active TSS Result]]="Approved",_01towers[[#This Row],[Active Prevalidation Status]]="Prevalidated"),"In Process","")</f>
        <v/>
      </c>
      <c r="AZ195" s="40" t="str">
        <f>IF(AND(_01towers[[#This Row],[Active TSS Result]]="Approved",_01towers[[#This Row],[Active Prevalidation Status]]="Prevalidated"),_01towers[[#This Row],[10colo_app.Colo_App_Result]],"")</f>
        <v/>
      </c>
      <c r="BA195" s="40">
        <f>COUNTIF(_20work_order[05_id],_01towers[[#This Row],[05_id]])</f>
        <v>0</v>
      </c>
      <c r="BB195" s="40">
        <f>COUNTIFS(_20work_order[05_id],_01towers[[#This Row],[05_id]],_20work_order[Actual_End],"&gt;0")</f>
        <v>0</v>
      </c>
      <c r="BC195" s="40" t="str">
        <f>IF(_01towers[[#This Row],[Completed Work Orders]]&gt;0,"Work Completed",
IF(_01towers[[#This Row],[Count Work Orders]]&gt;0,"Work in Progress",""))</f>
        <v/>
      </c>
      <c r="BD19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95" s="40" t="str">
        <f>_xlfn.SWITCH(_01towers[[#This Row],[Final Colo Status full]],"Commercial Approval Requested","Under Prevalidation",_01towers[[#This Row],[Final Colo Status full]])</f>
        <v>Prevalidated - TSSR in Process</v>
      </c>
    </row>
    <row r="196" spans="1:57" hidden="1" x14ac:dyDescent="0.35">
      <c r="A196" s="40" t="s">
        <v>417</v>
      </c>
      <c r="B196" s="40" t="s">
        <v>50</v>
      </c>
      <c r="C196" s="40" t="s">
        <v>82</v>
      </c>
      <c r="D196">
        <v>6</v>
      </c>
      <c r="E196" s="40" t="s">
        <v>66</v>
      </c>
      <c r="F196">
        <v>96.096369999999993</v>
      </c>
      <c r="G196">
        <v>22.0076</v>
      </c>
      <c r="H196" s="40" t="s">
        <v>53</v>
      </c>
      <c r="I196">
        <v>196</v>
      </c>
      <c r="J196" s="40" t="s">
        <v>418</v>
      </c>
      <c r="K196" s="40" t="s">
        <v>136</v>
      </c>
      <c r="L196" s="40" t="s">
        <v>74</v>
      </c>
      <c r="M196" s="40" t="s">
        <v>75</v>
      </c>
      <c r="N196" s="40"/>
      <c r="O196" s="40" t="s">
        <v>58</v>
      </c>
      <c r="P196" s="40"/>
      <c r="Q196" s="40"/>
      <c r="R196" s="40" t="s">
        <v>57</v>
      </c>
      <c r="S196">
        <v>37</v>
      </c>
      <c r="T196">
        <v>1</v>
      </c>
      <c r="U196" s="1"/>
      <c r="V196" s="1"/>
      <c r="W196" s="1"/>
      <c r="X196" s="1"/>
      <c r="Y196" s="1"/>
      <c r="Z196" s="40"/>
      <c r="AA196">
        <v>36</v>
      </c>
      <c r="AB196">
        <v>1</v>
      </c>
      <c r="AC196" s="1"/>
      <c r="AD196" s="40"/>
      <c r="AE196" s="1"/>
      <c r="AF196" s="1"/>
      <c r="AG196" s="1"/>
      <c r="AH196" s="40"/>
      <c r="AI196" s="1"/>
      <c r="AJ196" s="40">
        <f>_xlfn.MAXIFS(_01towers[02tss.Rev],_01towers[05_id],_01towers[[#This Row],[05_id]])</f>
        <v>1</v>
      </c>
      <c r="AK196" s="40" t="b">
        <f>IF(_01towers[[#This Row],[Count Rev TSS]]=_01towers[[#This Row],[02tss.Rev]],TRUE,FALSE)</f>
        <v>1</v>
      </c>
      <c r="AL196" s="40">
        <f>_xlfn.MAXIFS(_01towers[10colo_app.Rev],_01towers[05_id],_01towers[[#This Row],[05_id]])</f>
        <v>1</v>
      </c>
      <c r="AM196" s="40" t="b">
        <f>IF(_01towers[[#This Row],[Count Rev Colo App]]=_01towers[[#This Row],[10colo_app.Rev]],TRUE,FALSE)</f>
        <v>1</v>
      </c>
      <c r="AN196" s="40" t="b">
        <f>IF(AND(_01towers[[#This Row],[Test Rev Colo]]=TRUE,_01towers[[#This Row],[Test Rev TSS]]=TRUE),TRUE,FALSE)</f>
        <v>1</v>
      </c>
      <c r="AO196" s="40" t="str">
        <f>IF(_01towers[[#This Row],[Test Active]]=TRUE,_01towers[[#This Row],[Prevalidation Status]],"")</f>
        <v>Prevalidation Rejected</v>
      </c>
      <c r="AP196" s="40" t="str">
        <f>IF(_01towers[[#This Row],[Active Prevalidation Status]]="Under Prevalidation",
IF(M196="","Review",M196),"")</f>
        <v/>
      </c>
      <c r="AQ196" s="40" t="str">
        <f>IF(_01towers[[#This Row],[Active Prevalidation Status]]="Under Prevalidation",
IF(N196="","Review",N196),"")</f>
        <v/>
      </c>
      <c r="AR196" s="40" t="str">
        <f>IF(_01towers[[#This Row],[Active Prevalidation Status]]="Under Prevalidation",
IF(O196="","Review",O196),"")</f>
        <v/>
      </c>
      <c r="AS196" s="40" t="str">
        <f>IF(_01towers[[#This Row],[Active Prevalidation Status]]="Under Prevalidation",
IF(P196="","Review",P196),"")</f>
        <v/>
      </c>
      <c r="AT196" s="40" t="str">
        <f>IF(_01towers[[#This Row],[Active Prevalidation Status]]="Under Prevalidation",
IF(Q196="","Review",Q196),"")</f>
        <v/>
      </c>
      <c r="AU196" s="40" t="str">
        <f>IF(_01towers[[#This Row],[Active Prevalidation Status]]="Under Prevalidation",
IF(R196="","Review",R196),"")</f>
        <v/>
      </c>
      <c r="AV196" s="40">
        <f>COUNTIF(_01towers[[#This Row],[SAQ_Result2]:[Community_Result2]],"OK")</f>
        <v>0</v>
      </c>
      <c r="AW196" s="1" t="str">
        <f>IF(AND(OR(_01towers[[#This Row],[Active Prevalidation Status]]="Under Prevalidation",_01towers[[#This Row],[Active Prevalidation Status]]="Prevalidated"),_01towers[[#This Row],[02tss.TSSR_From_Engineer]]&gt;0),"Submitted","")</f>
        <v/>
      </c>
      <c r="AX196" s="40" t="str">
        <f>IF(OR(_01towers[[#This Row],[Active Prevalidation Status]]="Under Prevalidation",_01towers[[#This Row],[Active Prevalidation Status]]="Prevalidated"),_01towers[[#This Row],[02tss.TSS_Result]],"")</f>
        <v/>
      </c>
      <c r="AY196" s="40" t="str">
        <f>IF(AND(_01towers[[#This Row],[Active TSS Result]]="Approved",_01towers[[#This Row],[Active Prevalidation Status]]="Prevalidated"),"In Process","")</f>
        <v/>
      </c>
      <c r="AZ196" s="40" t="str">
        <f>IF(AND(_01towers[[#This Row],[Active TSS Result]]="Approved",_01towers[[#This Row],[Active Prevalidation Status]]="Prevalidated"),_01towers[[#This Row],[10colo_app.Colo_App_Result]],"")</f>
        <v/>
      </c>
      <c r="BA196" s="40">
        <f>COUNTIF(_20work_order[05_id],_01towers[[#This Row],[05_id]])</f>
        <v>0</v>
      </c>
      <c r="BB196" s="40">
        <f>COUNTIFS(_20work_order[05_id],_01towers[[#This Row],[05_id]],_20work_order[Actual_End],"&gt;0")</f>
        <v>0</v>
      </c>
      <c r="BC196" s="40" t="str">
        <f>IF(_01towers[[#This Row],[Completed Work Orders]]&gt;0,"Work Completed",
IF(_01towers[[#This Row],[Count Work Orders]]&gt;0,"Work in Progress",""))</f>
        <v/>
      </c>
      <c r="BD19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196" s="40" t="str">
        <f>_xlfn.SWITCH(_01towers[[#This Row],[Final Colo Status full]],"Commercial Approval Requested","Under Prevalidation",_01towers[[#This Row],[Final Colo Status full]])</f>
        <v>Prevalidation Rejected</v>
      </c>
    </row>
    <row r="197" spans="1:57" hidden="1" x14ac:dyDescent="0.35">
      <c r="A197" s="40" t="s">
        <v>419</v>
      </c>
      <c r="B197" s="40" t="s">
        <v>85</v>
      </c>
      <c r="C197" s="40" t="s">
        <v>51</v>
      </c>
      <c r="D197">
        <v>60</v>
      </c>
      <c r="E197" s="40" t="s">
        <v>420</v>
      </c>
      <c r="F197">
        <v>97.498440000000002</v>
      </c>
      <c r="G197">
        <v>19.164729999999999</v>
      </c>
      <c r="H197" s="40" t="s">
        <v>421</v>
      </c>
      <c r="I197">
        <v>197</v>
      </c>
      <c r="J197" s="40" t="s">
        <v>422</v>
      </c>
      <c r="K197" s="40" t="s">
        <v>136</v>
      </c>
      <c r="L197" s="40" t="s">
        <v>64</v>
      </c>
      <c r="M197" s="40" t="s">
        <v>57</v>
      </c>
      <c r="N197" s="40" t="s">
        <v>57</v>
      </c>
      <c r="O197" s="40" t="s">
        <v>57</v>
      </c>
      <c r="P197" s="40" t="s">
        <v>57</v>
      </c>
      <c r="Q197" s="40" t="s">
        <v>57</v>
      </c>
      <c r="R197" s="40" t="s">
        <v>57</v>
      </c>
      <c r="S197">
        <v>95</v>
      </c>
      <c r="T197">
        <v>1</v>
      </c>
      <c r="U197" s="1"/>
      <c r="V197" s="1"/>
      <c r="W197" s="1"/>
      <c r="X197" s="1"/>
      <c r="Y197" s="1"/>
      <c r="Z197" s="40"/>
      <c r="AA197">
        <v>94</v>
      </c>
      <c r="AB197">
        <v>1</v>
      </c>
      <c r="AC197" s="1"/>
      <c r="AD197" s="40"/>
      <c r="AE197" s="1"/>
      <c r="AF197" s="1"/>
      <c r="AG197" s="1"/>
      <c r="AH197" s="40"/>
      <c r="AI197" s="1"/>
      <c r="AJ197" s="40">
        <f>_xlfn.MAXIFS(_01towers[02tss.Rev],_01towers[05_id],_01towers[[#This Row],[05_id]])</f>
        <v>1</v>
      </c>
      <c r="AK197" s="40" t="b">
        <f>IF(_01towers[[#This Row],[Count Rev TSS]]=_01towers[[#This Row],[02tss.Rev]],TRUE,FALSE)</f>
        <v>1</v>
      </c>
      <c r="AL197" s="40">
        <f>_xlfn.MAXIFS(_01towers[10colo_app.Rev],_01towers[05_id],_01towers[[#This Row],[05_id]])</f>
        <v>1</v>
      </c>
      <c r="AM197" s="40" t="b">
        <f>IF(_01towers[[#This Row],[Count Rev Colo App]]=_01towers[[#This Row],[10colo_app.Rev]],TRUE,FALSE)</f>
        <v>1</v>
      </c>
      <c r="AN197" s="40" t="b">
        <f>IF(AND(_01towers[[#This Row],[Test Rev Colo]]=TRUE,_01towers[[#This Row],[Test Rev TSS]]=TRUE),TRUE,FALSE)</f>
        <v>1</v>
      </c>
      <c r="AO197" s="40" t="str">
        <f>IF(_01towers[[#This Row],[Test Active]]=TRUE,_01towers[[#This Row],[Prevalidation Status]],"")</f>
        <v>Prevalidated</v>
      </c>
      <c r="AP197" s="40" t="str">
        <f>IF(_01towers[[#This Row],[Active Prevalidation Status]]="Under Prevalidation",
IF(M197="","Review",M197),"")</f>
        <v/>
      </c>
      <c r="AQ197" s="40" t="str">
        <f>IF(_01towers[[#This Row],[Active Prevalidation Status]]="Under Prevalidation",
IF(N197="","Review",N197),"")</f>
        <v/>
      </c>
      <c r="AR197" s="40" t="str">
        <f>IF(_01towers[[#This Row],[Active Prevalidation Status]]="Under Prevalidation",
IF(O197="","Review",O197),"")</f>
        <v/>
      </c>
      <c r="AS197" s="40" t="str">
        <f>IF(_01towers[[#This Row],[Active Prevalidation Status]]="Under Prevalidation",
IF(P197="","Review",P197),"")</f>
        <v/>
      </c>
      <c r="AT197" s="40" t="str">
        <f>IF(_01towers[[#This Row],[Active Prevalidation Status]]="Under Prevalidation",
IF(Q197="","Review",Q197),"")</f>
        <v/>
      </c>
      <c r="AU197" s="40" t="str">
        <f>IF(_01towers[[#This Row],[Active Prevalidation Status]]="Under Prevalidation",
IF(R197="","Review",R197),"")</f>
        <v/>
      </c>
      <c r="AV197" s="40">
        <f>COUNTIF(_01towers[[#This Row],[SAQ_Result2]:[Community_Result2]],"OK")</f>
        <v>0</v>
      </c>
      <c r="AW197" s="1" t="str">
        <f>IF(AND(OR(_01towers[[#This Row],[Active Prevalidation Status]]="Under Prevalidation",_01towers[[#This Row],[Active Prevalidation Status]]="Prevalidated"),_01towers[[#This Row],[02tss.TSSR_From_Engineer]]&gt;0),"Submitted","")</f>
        <v/>
      </c>
      <c r="AX197" s="40">
        <f>IF(OR(_01towers[[#This Row],[Active Prevalidation Status]]="Under Prevalidation",_01towers[[#This Row],[Active Prevalidation Status]]="Prevalidated"),_01towers[[#This Row],[02tss.TSS_Result]],"")</f>
        <v>0</v>
      </c>
      <c r="AY197" s="40" t="str">
        <f>IF(AND(_01towers[[#This Row],[Active TSS Result]]="Approved",_01towers[[#This Row],[Active Prevalidation Status]]="Prevalidated"),"In Process","")</f>
        <v/>
      </c>
      <c r="AZ197" s="40" t="str">
        <f>IF(AND(_01towers[[#This Row],[Active TSS Result]]="Approved",_01towers[[#This Row],[Active Prevalidation Status]]="Prevalidated"),_01towers[[#This Row],[10colo_app.Colo_App_Result]],"")</f>
        <v/>
      </c>
      <c r="BA197" s="40">
        <f>COUNTIF(_20work_order[05_id],_01towers[[#This Row],[05_id]])</f>
        <v>0</v>
      </c>
      <c r="BB197" s="40">
        <f>COUNTIFS(_20work_order[05_id],_01towers[[#This Row],[05_id]],_20work_order[Actual_End],"&gt;0")</f>
        <v>0</v>
      </c>
      <c r="BC197" s="40" t="str">
        <f>IF(_01towers[[#This Row],[Completed Work Orders]]&gt;0,"Work Completed",
IF(_01towers[[#This Row],[Count Work Orders]]&gt;0,"Work in Progress",""))</f>
        <v/>
      </c>
      <c r="BD19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197" s="40" t="str">
        <f>_xlfn.SWITCH(_01towers[[#This Row],[Final Colo Status full]],"Commercial Approval Requested","Under Prevalidation",_01towers[[#This Row],[Final Colo Status full]])</f>
        <v>Prevalidated - TSSR in Process</v>
      </c>
    </row>
    <row r="198" spans="1:57" hidden="1" x14ac:dyDescent="0.35">
      <c r="A198" s="40" t="s">
        <v>423</v>
      </c>
      <c r="B198" s="40" t="s">
        <v>90</v>
      </c>
      <c r="C198" s="40" t="s">
        <v>51</v>
      </c>
      <c r="D198">
        <v>50</v>
      </c>
      <c r="E198" s="40" t="s">
        <v>424</v>
      </c>
      <c r="F198">
        <v>98.562299999999993</v>
      </c>
      <c r="G198">
        <v>10.00493</v>
      </c>
      <c r="H198" s="40" t="s">
        <v>150</v>
      </c>
      <c r="I198">
        <v>198</v>
      </c>
      <c r="J198" s="40" t="s">
        <v>425</v>
      </c>
      <c r="K198" s="40" t="s">
        <v>136</v>
      </c>
      <c r="L198" s="40" t="s">
        <v>64</v>
      </c>
      <c r="M198" s="40" t="s">
        <v>57</v>
      </c>
      <c r="N198" s="40" t="s">
        <v>57</v>
      </c>
      <c r="O198" s="40" t="s">
        <v>57</v>
      </c>
      <c r="P198" s="40" t="s">
        <v>57</v>
      </c>
      <c r="Q198" s="40" t="s">
        <v>57</v>
      </c>
      <c r="R198" s="40" t="s">
        <v>57</v>
      </c>
      <c r="S198">
        <v>119</v>
      </c>
      <c r="T198">
        <v>1</v>
      </c>
      <c r="U198" s="1">
        <v>43285</v>
      </c>
      <c r="V198" s="1">
        <v>43286</v>
      </c>
      <c r="W198" s="1">
        <v>43286</v>
      </c>
      <c r="X198" s="1">
        <v>43307</v>
      </c>
      <c r="Y198" s="1"/>
      <c r="Z198" s="40" t="s">
        <v>59</v>
      </c>
      <c r="AA198">
        <v>118</v>
      </c>
      <c r="AB198">
        <v>1</v>
      </c>
      <c r="AC198" s="1">
        <v>43307</v>
      </c>
      <c r="AD198" s="40" t="s">
        <v>570</v>
      </c>
      <c r="AE198" s="1"/>
      <c r="AF198" s="1"/>
      <c r="AG198" s="1"/>
      <c r="AH198" s="40"/>
      <c r="AI198" s="1"/>
      <c r="AJ198" s="40">
        <f>_xlfn.MAXIFS(_01towers[02tss.Rev],_01towers[05_id],_01towers[[#This Row],[05_id]])</f>
        <v>1</v>
      </c>
      <c r="AK198" s="40" t="b">
        <f>IF(_01towers[[#This Row],[Count Rev TSS]]=_01towers[[#This Row],[02tss.Rev]],TRUE,FALSE)</f>
        <v>1</v>
      </c>
      <c r="AL198" s="40">
        <f>_xlfn.MAXIFS(_01towers[10colo_app.Rev],_01towers[05_id],_01towers[[#This Row],[05_id]])</f>
        <v>1</v>
      </c>
      <c r="AM198" s="40" t="b">
        <f>IF(_01towers[[#This Row],[Count Rev Colo App]]=_01towers[[#This Row],[10colo_app.Rev]],TRUE,FALSE)</f>
        <v>1</v>
      </c>
      <c r="AN198" s="40" t="b">
        <f>IF(AND(_01towers[[#This Row],[Test Rev Colo]]=TRUE,_01towers[[#This Row],[Test Rev TSS]]=TRUE),TRUE,FALSE)</f>
        <v>1</v>
      </c>
      <c r="AO198" s="40" t="str">
        <f>IF(_01towers[[#This Row],[Test Active]]=TRUE,_01towers[[#This Row],[Prevalidation Status]],"")</f>
        <v>Prevalidated</v>
      </c>
      <c r="AP198" s="40" t="str">
        <f>IF(_01towers[[#This Row],[Active Prevalidation Status]]="Under Prevalidation",
IF(M198="","Review",M198),"")</f>
        <v/>
      </c>
      <c r="AQ198" s="40" t="str">
        <f>IF(_01towers[[#This Row],[Active Prevalidation Status]]="Under Prevalidation",
IF(N198="","Review",N198),"")</f>
        <v/>
      </c>
      <c r="AR198" s="40" t="str">
        <f>IF(_01towers[[#This Row],[Active Prevalidation Status]]="Under Prevalidation",
IF(O198="","Review",O198),"")</f>
        <v/>
      </c>
      <c r="AS198" s="40" t="str">
        <f>IF(_01towers[[#This Row],[Active Prevalidation Status]]="Under Prevalidation",
IF(P198="","Review",P198),"")</f>
        <v/>
      </c>
      <c r="AT198" s="40" t="str">
        <f>IF(_01towers[[#This Row],[Active Prevalidation Status]]="Under Prevalidation",
IF(Q198="","Review",Q198),"")</f>
        <v/>
      </c>
      <c r="AU198" s="40" t="str">
        <f>IF(_01towers[[#This Row],[Active Prevalidation Status]]="Under Prevalidation",
IF(R198="","Review",R198),"")</f>
        <v/>
      </c>
      <c r="AV198" s="40">
        <f>COUNTIF(_01towers[[#This Row],[SAQ_Result2]:[Community_Result2]],"OK")</f>
        <v>0</v>
      </c>
      <c r="AW198" s="1" t="str">
        <f>IF(AND(OR(_01towers[[#This Row],[Active Prevalidation Status]]="Under Prevalidation",_01towers[[#This Row],[Active Prevalidation Status]]="Prevalidated"),_01towers[[#This Row],[02tss.TSSR_From_Engineer]]&gt;0),"Submitted","")</f>
        <v>Submitted</v>
      </c>
      <c r="AX198" s="40" t="str">
        <f>IF(OR(_01towers[[#This Row],[Active Prevalidation Status]]="Under Prevalidation",_01towers[[#This Row],[Active Prevalidation Status]]="Prevalidated"),_01towers[[#This Row],[02tss.TSS_Result]],"")</f>
        <v>Approved</v>
      </c>
      <c r="AY198" s="40" t="str">
        <f>IF(AND(_01towers[[#This Row],[Active TSS Result]]="Approved",_01towers[[#This Row],[Active Prevalidation Status]]="Prevalidated"),"In Process","")</f>
        <v>In Process</v>
      </c>
      <c r="AZ198" s="40" t="str">
        <f>IF(AND(_01towers[[#This Row],[Active TSS Result]]="Approved",_01towers[[#This Row],[Active Prevalidation Status]]="Prevalidated"),_01towers[[#This Row],[10colo_app.Colo_App_Result]],"")</f>
        <v>NTP Received</v>
      </c>
      <c r="BA198" s="40">
        <f>COUNTIF(_20work_order[05_id],_01towers[[#This Row],[05_id]])</f>
        <v>1</v>
      </c>
      <c r="BB198" s="40">
        <f>COUNTIFS(_20work_order[05_id],_01towers[[#This Row],[05_id]],_20work_order[Actual_End],"&gt;0")</f>
        <v>0</v>
      </c>
      <c r="BC198" s="40" t="str">
        <f>IF(_01towers[[#This Row],[Completed Work Orders]]&gt;0,"Work Completed",
IF(_01towers[[#This Row],[Count Work Orders]]&gt;0,"Work in Progress",""))</f>
        <v>Work in Progress</v>
      </c>
      <c r="BD19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in Progress</v>
      </c>
      <c r="BE198" s="40" t="str">
        <f>_xlfn.SWITCH(_01towers[[#This Row],[Final Colo Status full]],"Commercial Approval Requested","Under Prevalidation",_01towers[[#This Row],[Final Colo Status full]])</f>
        <v>Work in Progress</v>
      </c>
    </row>
    <row r="199" spans="1:57" hidden="1" x14ac:dyDescent="0.35">
      <c r="A199" s="40" t="s">
        <v>426</v>
      </c>
      <c r="B199" s="40" t="s">
        <v>90</v>
      </c>
      <c r="C199" s="40" t="s">
        <v>51</v>
      </c>
      <c r="D199">
        <v>60</v>
      </c>
      <c r="E199" s="40" t="s">
        <v>424</v>
      </c>
      <c r="F199">
        <v>98.516649999999998</v>
      </c>
      <c r="G199">
        <v>14.16405</v>
      </c>
      <c r="H199" s="40" t="s">
        <v>53</v>
      </c>
      <c r="I199">
        <v>199</v>
      </c>
      <c r="J199" s="40" t="s">
        <v>639</v>
      </c>
      <c r="K199" s="40" t="s">
        <v>136</v>
      </c>
      <c r="L199" s="40" t="s">
        <v>145</v>
      </c>
      <c r="M199" s="40" t="s">
        <v>57</v>
      </c>
      <c r="N199" s="40" t="s">
        <v>57</v>
      </c>
      <c r="O199" s="40" t="s">
        <v>57</v>
      </c>
      <c r="P199" s="40" t="s">
        <v>58</v>
      </c>
      <c r="Q199" s="40" t="s">
        <v>57</v>
      </c>
      <c r="R199" s="40" t="s">
        <v>58</v>
      </c>
      <c r="S199">
        <v>118</v>
      </c>
      <c r="T199">
        <v>1</v>
      </c>
      <c r="U199" s="1">
        <v>43271</v>
      </c>
      <c r="V199" s="1">
        <v>43273</v>
      </c>
      <c r="W199" s="1">
        <v>43276</v>
      </c>
      <c r="X199" s="1">
        <v>43307</v>
      </c>
      <c r="Y199" s="1"/>
      <c r="Z199" s="40" t="s">
        <v>59</v>
      </c>
      <c r="AA199">
        <v>117</v>
      </c>
      <c r="AB199">
        <v>1</v>
      </c>
      <c r="AC199" s="1"/>
      <c r="AD199" s="40"/>
      <c r="AE199" s="1"/>
      <c r="AF199" s="1"/>
      <c r="AG199" s="1"/>
      <c r="AH199" s="40"/>
      <c r="AI199" s="1"/>
      <c r="AJ199" s="40">
        <f>_xlfn.MAXIFS(_01towers[02tss.Rev],_01towers[05_id],_01towers[[#This Row],[05_id]])</f>
        <v>1</v>
      </c>
      <c r="AK199" s="40" t="b">
        <f>IF(_01towers[[#This Row],[Count Rev TSS]]=_01towers[[#This Row],[02tss.Rev]],TRUE,FALSE)</f>
        <v>1</v>
      </c>
      <c r="AL199" s="40">
        <f>_xlfn.MAXIFS(_01towers[10colo_app.Rev],_01towers[05_id],_01towers[[#This Row],[05_id]])</f>
        <v>1</v>
      </c>
      <c r="AM199" s="40" t="b">
        <f>IF(_01towers[[#This Row],[Count Rev Colo App]]=_01towers[[#This Row],[10colo_app.Rev]],TRUE,FALSE)</f>
        <v>1</v>
      </c>
      <c r="AN199" s="40" t="b">
        <f>IF(AND(_01towers[[#This Row],[Test Rev Colo]]=TRUE,_01towers[[#This Row],[Test Rev TSS]]=TRUE),TRUE,FALSE)</f>
        <v>1</v>
      </c>
      <c r="AO199" s="40" t="str">
        <f>IF(_01towers[[#This Row],[Test Active]]=TRUE,_01towers[[#This Row],[Prevalidation Status]],"")</f>
        <v>Under Prevalidation</v>
      </c>
      <c r="AP199" s="40" t="str">
        <f>IF(_01towers[[#This Row],[Active Prevalidation Status]]="Under Prevalidation",
IF(M199="","Review",M199),"")</f>
        <v>OK</v>
      </c>
      <c r="AQ199" s="40" t="str">
        <f>IF(_01towers[[#This Row],[Active Prevalidation Status]]="Under Prevalidation",
IF(N199="","Review",N199),"")</f>
        <v>OK</v>
      </c>
      <c r="AR199" s="40" t="str">
        <f>IF(_01towers[[#This Row],[Active Prevalidation Status]]="Under Prevalidation",
IF(O199="","Review",O199),"")</f>
        <v>OK</v>
      </c>
      <c r="AS199" s="40" t="str">
        <f>IF(_01towers[[#This Row],[Active Prevalidation Status]]="Under Prevalidation",
IF(P199="","Review",P199),"")</f>
        <v>Review</v>
      </c>
      <c r="AT199" s="40" t="str">
        <f>IF(_01towers[[#This Row],[Active Prevalidation Status]]="Under Prevalidation",
IF(Q199="","Review",Q199),"")</f>
        <v>OK</v>
      </c>
      <c r="AU199" s="40" t="str">
        <f>IF(_01towers[[#This Row],[Active Prevalidation Status]]="Under Prevalidation",
IF(R199="","Review",R199),"")</f>
        <v>Review</v>
      </c>
      <c r="AV199" s="40">
        <f>COUNTIF(_01towers[[#This Row],[SAQ_Result2]:[Community_Result2]],"OK")</f>
        <v>4</v>
      </c>
      <c r="AW199" s="1" t="str">
        <f>IF(AND(OR(_01towers[[#This Row],[Active Prevalidation Status]]="Under Prevalidation",_01towers[[#This Row],[Active Prevalidation Status]]="Prevalidated"),_01towers[[#This Row],[02tss.TSSR_From_Engineer]]&gt;0),"Submitted","")</f>
        <v>Submitted</v>
      </c>
      <c r="AX199" s="40" t="str">
        <f>IF(OR(_01towers[[#This Row],[Active Prevalidation Status]]="Under Prevalidation",_01towers[[#This Row],[Active Prevalidation Status]]="Prevalidated"),_01towers[[#This Row],[02tss.TSS_Result]],"")</f>
        <v>Approved</v>
      </c>
      <c r="AY199" s="40" t="str">
        <f>IF(AND(_01towers[[#This Row],[Active TSS Result]]="Approved",_01towers[[#This Row],[Active Prevalidation Status]]="Prevalidated"),"In Process","")</f>
        <v/>
      </c>
      <c r="AZ199" s="40" t="str">
        <f>IF(AND(_01towers[[#This Row],[Active TSS Result]]="Approved",_01towers[[#This Row],[Active Prevalidation Status]]="Prevalidated"),_01towers[[#This Row],[10colo_app.Colo_App_Result]],"")</f>
        <v/>
      </c>
      <c r="BA199" s="40">
        <f>COUNTIF(_20work_order[05_id],_01towers[[#This Row],[05_id]])</f>
        <v>1</v>
      </c>
      <c r="BB199" s="40">
        <f>COUNTIFS(_20work_order[05_id],_01towers[[#This Row],[05_id]],_20work_order[Actual_End],"&gt;0")</f>
        <v>0</v>
      </c>
      <c r="BC199" s="40" t="str">
        <f>IF(_01towers[[#This Row],[Completed Work Orders]]&gt;0,"Work Completed",
IF(_01towers[[#This Row],[Count Work Orders]]&gt;0,"Work in Progress",""))</f>
        <v>Work in Progress</v>
      </c>
      <c r="BD19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Under Prevalidation</v>
      </c>
      <c r="BE199" s="40" t="str">
        <f>_xlfn.SWITCH(_01towers[[#This Row],[Final Colo Status full]],"Commercial Approval Requested","Under Prevalidation",_01towers[[#This Row],[Final Colo Status full]])</f>
        <v>Under Prevalidation</v>
      </c>
    </row>
    <row r="200" spans="1:57" x14ac:dyDescent="0.35">
      <c r="A200" s="40" t="s">
        <v>427</v>
      </c>
      <c r="B200" s="40" t="s">
        <v>90</v>
      </c>
      <c r="C200" s="40" t="s">
        <v>51</v>
      </c>
      <c r="D200">
        <v>60</v>
      </c>
      <c r="E200" s="40" t="s">
        <v>94</v>
      </c>
      <c r="F200">
        <v>97.910281999999995</v>
      </c>
      <c r="G200">
        <v>16.396953</v>
      </c>
      <c r="H200" s="40" t="s">
        <v>143</v>
      </c>
      <c r="I200">
        <v>200</v>
      </c>
      <c r="J200" s="40" t="s">
        <v>428</v>
      </c>
      <c r="K200" s="40" t="s">
        <v>136</v>
      </c>
      <c r="L200" s="40" t="s">
        <v>56</v>
      </c>
      <c r="M200" s="40" t="s">
        <v>57</v>
      </c>
      <c r="N200" s="40" t="s">
        <v>57</v>
      </c>
      <c r="O200" s="40" t="s">
        <v>57</v>
      </c>
      <c r="P200" s="40" t="s">
        <v>58</v>
      </c>
      <c r="Q200" s="40" t="s">
        <v>57</v>
      </c>
      <c r="R200" s="40" t="s">
        <v>57</v>
      </c>
      <c r="S200">
        <v>115</v>
      </c>
      <c r="T200">
        <v>1</v>
      </c>
      <c r="U200" s="1">
        <v>43273</v>
      </c>
      <c r="V200" s="1">
        <v>43273</v>
      </c>
      <c r="W200" s="1">
        <v>43276</v>
      </c>
      <c r="X200" s="1">
        <v>43311</v>
      </c>
      <c r="Y200" s="1"/>
      <c r="Z200" s="40" t="s">
        <v>59</v>
      </c>
      <c r="AA200">
        <v>114</v>
      </c>
      <c r="AB200">
        <v>1</v>
      </c>
      <c r="AC200" s="1"/>
      <c r="AD200" s="40"/>
      <c r="AE200" s="1"/>
      <c r="AF200" s="1"/>
      <c r="AG200" s="1"/>
      <c r="AH200" s="40"/>
      <c r="AI200" s="1"/>
      <c r="AJ200" s="40">
        <f>_xlfn.MAXIFS(_01towers[02tss.Rev],_01towers[05_id],_01towers[[#This Row],[05_id]])</f>
        <v>1</v>
      </c>
      <c r="AK200" s="40" t="b">
        <f>IF(_01towers[[#This Row],[Count Rev TSS]]=_01towers[[#This Row],[02tss.Rev]],TRUE,FALSE)</f>
        <v>1</v>
      </c>
      <c r="AL200" s="40">
        <f>_xlfn.MAXIFS(_01towers[10colo_app.Rev],_01towers[05_id],_01towers[[#This Row],[05_id]])</f>
        <v>1</v>
      </c>
      <c r="AM200" s="40" t="b">
        <f>IF(_01towers[[#This Row],[Count Rev Colo App]]=_01towers[[#This Row],[10colo_app.Rev]],TRUE,FALSE)</f>
        <v>1</v>
      </c>
      <c r="AN200" s="40" t="b">
        <f>IF(AND(_01towers[[#This Row],[Test Rev Colo]]=TRUE,_01towers[[#This Row],[Test Rev TSS]]=TRUE),TRUE,FALSE)</f>
        <v>1</v>
      </c>
      <c r="AO200" s="40" t="str">
        <f>IF(_01towers[[#This Row],[Test Active]]=TRUE,_01towers[[#This Row],[Prevalidation Status]],"")</f>
        <v>Commercial Approval Requested</v>
      </c>
      <c r="AP200" s="40" t="str">
        <f>IF(_01towers[[#This Row],[Active Prevalidation Status]]="Under Prevalidation",
IF(M200="","Review",M200),"")</f>
        <v/>
      </c>
      <c r="AQ200" s="40" t="str">
        <f>IF(_01towers[[#This Row],[Active Prevalidation Status]]="Under Prevalidation",
IF(N200="","Review",N200),"")</f>
        <v/>
      </c>
      <c r="AR200" s="40" t="str">
        <f>IF(_01towers[[#This Row],[Active Prevalidation Status]]="Under Prevalidation",
IF(O200="","Review",O200),"")</f>
        <v/>
      </c>
      <c r="AS200" s="40" t="str">
        <f>IF(_01towers[[#This Row],[Active Prevalidation Status]]="Under Prevalidation",
IF(P200="","Review",P200),"")</f>
        <v/>
      </c>
      <c r="AT200" s="40" t="str">
        <f>IF(_01towers[[#This Row],[Active Prevalidation Status]]="Under Prevalidation",
IF(Q200="","Review",Q200),"")</f>
        <v/>
      </c>
      <c r="AU200" s="40" t="str">
        <f>IF(_01towers[[#This Row],[Active Prevalidation Status]]="Under Prevalidation",
IF(R200="","Review",R200),"")</f>
        <v/>
      </c>
      <c r="AV200" s="40">
        <f>COUNTIF(_01towers[[#This Row],[SAQ_Result2]:[Community_Result2]],"OK")</f>
        <v>0</v>
      </c>
      <c r="AW200" s="1" t="str">
        <f>IF(AND(OR(_01towers[[#This Row],[Active Prevalidation Status]]="Under Prevalidation",_01towers[[#This Row],[Active Prevalidation Status]]="Prevalidated"),_01towers[[#This Row],[02tss.TSSR_From_Engineer]]&gt;0),"Submitted","")</f>
        <v/>
      </c>
      <c r="AX200" s="40" t="str">
        <f>IF(OR(_01towers[[#This Row],[Active Prevalidation Status]]="Under Prevalidation",_01towers[[#This Row],[Active Prevalidation Status]]="Prevalidated"),_01towers[[#This Row],[02tss.TSS_Result]],"")</f>
        <v/>
      </c>
      <c r="AY200" s="40" t="str">
        <f>IF(AND(_01towers[[#This Row],[Active TSS Result]]="Approved",_01towers[[#This Row],[Active Prevalidation Status]]="Prevalidated"),"In Process","")</f>
        <v/>
      </c>
      <c r="AZ200" s="40" t="str">
        <f>IF(AND(_01towers[[#This Row],[Active TSS Result]]="Approved",_01towers[[#This Row],[Active Prevalidation Status]]="Prevalidated"),_01towers[[#This Row],[10colo_app.Colo_App_Result]],"")</f>
        <v/>
      </c>
      <c r="BA200" s="40">
        <f>COUNTIF(_20work_order[05_id],_01towers[[#This Row],[05_id]])</f>
        <v>0</v>
      </c>
      <c r="BB200" s="40">
        <f>COUNTIFS(_20work_order[05_id],_01towers[[#This Row],[05_id]],_20work_order[Actual_End],"&gt;0")</f>
        <v>0</v>
      </c>
      <c r="BC200" s="40" t="str">
        <f>IF(_01towers[[#This Row],[Completed Work Orders]]&gt;0,"Work Completed",
IF(_01towers[[#This Row],[Count Work Orders]]&gt;0,"Work in Progress",""))</f>
        <v/>
      </c>
      <c r="BD20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00" s="40" t="str">
        <f>_xlfn.SWITCH(_01towers[[#This Row],[Final Colo Status full]],"Commercial Approval Requested","Under Prevalidation",_01towers[[#This Row],[Final Colo Status full]])</f>
        <v>Under Prevalidation</v>
      </c>
    </row>
    <row r="201" spans="1:57" x14ac:dyDescent="0.35">
      <c r="A201" s="40" t="s">
        <v>429</v>
      </c>
      <c r="B201" s="40" t="s">
        <v>90</v>
      </c>
      <c r="C201" s="40" t="s">
        <v>82</v>
      </c>
      <c r="D201">
        <v>6</v>
      </c>
      <c r="E201" s="40" t="s">
        <v>91</v>
      </c>
      <c r="F201">
        <v>98.51267</v>
      </c>
      <c r="G201">
        <v>16.687529999999999</v>
      </c>
      <c r="H201" s="40" t="s">
        <v>53</v>
      </c>
      <c r="I201">
        <v>201</v>
      </c>
      <c r="J201" s="40" t="s">
        <v>640</v>
      </c>
      <c r="K201" s="40" t="s">
        <v>136</v>
      </c>
      <c r="L201" s="40" t="s">
        <v>56</v>
      </c>
      <c r="M201" s="40" t="s">
        <v>57</v>
      </c>
      <c r="N201" s="40" t="s">
        <v>57</v>
      </c>
      <c r="O201" s="40" t="s">
        <v>58</v>
      </c>
      <c r="P201" s="40" t="s">
        <v>58</v>
      </c>
      <c r="Q201" s="40" t="s">
        <v>57</v>
      </c>
      <c r="R201" s="40" t="s">
        <v>58</v>
      </c>
      <c r="S201">
        <v>94</v>
      </c>
      <c r="T201">
        <v>1</v>
      </c>
      <c r="U201" s="1">
        <v>43272</v>
      </c>
      <c r="V201" s="1"/>
      <c r="W201" s="1"/>
      <c r="X201" s="1"/>
      <c r="Y201" s="1"/>
      <c r="Z201" s="40"/>
      <c r="AA201">
        <v>93</v>
      </c>
      <c r="AB201">
        <v>1</v>
      </c>
      <c r="AC201" s="1"/>
      <c r="AD201" s="40"/>
      <c r="AE201" s="1"/>
      <c r="AF201" s="1"/>
      <c r="AG201" s="1"/>
      <c r="AH201" s="40"/>
      <c r="AI201" s="1"/>
      <c r="AJ201" s="40">
        <f>_xlfn.MAXIFS(_01towers[02tss.Rev],_01towers[05_id],_01towers[[#This Row],[05_id]])</f>
        <v>1</v>
      </c>
      <c r="AK201" s="40" t="b">
        <f>IF(_01towers[[#This Row],[Count Rev TSS]]=_01towers[[#This Row],[02tss.Rev]],TRUE,FALSE)</f>
        <v>1</v>
      </c>
      <c r="AL201" s="40">
        <f>_xlfn.MAXIFS(_01towers[10colo_app.Rev],_01towers[05_id],_01towers[[#This Row],[05_id]])</f>
        <v>1</v>
      </c>
      <c r="AM201" s="40" t="b">
        <f>IF(_01towers[[#This Row],[Count Rev Colo App]]=_01towers[[#This Row],[10colo_app.Rev]],TRUE,FALSE)</f>
        <v>1</v>
      </c>
      <c r="AN201" s="40" t="b">
        <f>IF(AND(_01towers[[#This Row],[Test Rev Colo]]=TRUE,_01towers[[#This Row],[Test Rev TSS]]=TRUE),TRUE,FALSE)</f>
        <v>1</v>
      </c>
      <c r="AO201" s="40" t="str">
        <f>IF(_01towers[[#This Row],[Test Active]]=TRUE,_01towers[[#This Row],[Prevalidation Status]],"")</f>
        <v>Commercial Approval Requested</v>
      </c>
      <c r="AP201" s="40" t="str">
        <f>IF(_01towers[[#This Row],[Active Prevalidation Status]]="Under Prevalidation",
IF(M201="","Review",M201),"")</f>
        <v/>
      </c>
      <c r="AQ201" s="40" t="str">
        <f>IF(_01towers[[#This Row],[Active Prevalidation Status]]="Under Prevalidation",
IF(N201="","Review",N201),"")</f>
        <v/>
      </c>
      <c r="AR201" s="40" t="str">
        <f>IF(_01towers[[#This Row],[Active Prevalidation Status]]="Under Prevalidation",
IF(O201="","Review",O201),"")</f>
        <v/>
      </c>
      <c r="AS201" s="40" t="str">
        <f>IF(_01towers[[#This Row],[Active Prevalidation Status]]="Under Prevalidation",
IF(P201="","Review",P201),"")</f>
        <v/>
      </c>
      <c r="AT201" s="40" t="str">
        <f>IF(_01towers[[#This Row],[Active Prevalidation Status]]="Under Prevalidation",
IF(Q201="","Review",Q201),"")</f>
        <v/>
      </c>
      <c r="AU201" s="40" t="str">
        <f>IF(_01towers[[#This Row],[Active Prevalidation Status]]="Under Prevalidation",
IF(R201="","Review",R201),"")</f>
        <v/>
      </c>
      <c r="AV201" s="40">
        <f>COUNTIF(_01towers[[#This Row],[SAQ_Result2]:[Community_Result2]],"OK")</f>
        <v>0</v>
      </c>
      <c r="AW201" s="1" t="str">
        <f>IF(AND(OR(_01towers[[#This Row],[Active Prevalidation Status]]="Under Prevalidation",_01towers[[#This Row],[Active Prevalidation Status]]="Prevalidated"),_01towers[[#This Row],[02tss.TSSR_From_Engineer]]&gt;0),"Submitted","")</f>
        <v/>
      </c>
      <c r="AX201" s="40" t="str">
        <f>IF(OR(_01towers[[#This Row],[Active Prevalidation Status]]="Under Prevalidation",_01towers[[#This Row],[Active Prevalidation Status]]="Prevalidated"),_01towers[[#This Row],[02tss.TSS_Result]],"")</f>
        <v/>
      </c>
      <c r="AY201" s="40" t="str">
        <f>IF(AND(_01towers[[#This Row],[Active TSS Result]]="Approved",_01towers[[#This Row],[Active Prevalidation Status]]="Prevalidated"),"In Process","")</f>
        <v/>
      </c>
      <c r="AZ201" s="40" t="str">
        <f>IF(AND(_01towers[[#This Row],[Active TSS Result]]="Approved",_01towers[[#This Row],[Active Prevalidation Status]]="Prevalidated"),_01towers[[#This Row],[10colo_app.Colo_App_Result]],"")</f>
        <v/>
      </c>
      <c r="BA201" s="40">
        <f>COUNTIF(_20work_order[05_id],_01towers[[#This Row],[05_id]])</f>
        <v>0</v>
      </c>
      <c r="BB201" s="40">
        <f>COUNTIFS(_20work_order[05_id],_01towers[[#This Row],[05_id]],_20work_order[Actual_End],"&gt;0")</f>
        <v>0</v>
      </c>
      <c r="BC201" s="40" t="str">
        <f>IF(_01towers[[#This Row],[Completed Work Orders]]&gt;0,"Work Completed",
IF(_01towers[[#This Row],[Count Work Orders]]&gt;0,"Work in Progress",""))</f>
        <v/>
      </c>
      <c r="BD20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01" s="40" t="str">
        <f>_xlfn.SWITCH(_01towers[[#This Row],[Final Colo Status full]],"Commercial Approval Requested","Under Prevalidation",_01towers[[#This Row],[Final Colo Status full]])</f>
        <v>Under Prevalidation</v>
      </c>
    </row>
    <row r="202" spans="1:57" hidden="1" x14ac:dyDescent="0.35">
      <c r="A202" s="40" t="s">
        <v>430</v>
      </c>
      <c r="B202" s="40" t="s">
        <v>90</v>
      </c>
      <c r="C202" s="40" t="s">
        <v>51</v>
      </c>
      <c r="D202">
        <v>60</v>
      </c>
      <c r="E202" s="40" t="s">
        <v>175</v>
      </c>
      <c r="F202">
        <v>95.193160000000006</v>
      </c>
      <c r="G202">
        <v>18.772030000000001</v>
      </c>
      <c r="H202" s="40" t="s">
        <v>53</v>
      </c>
      <c r="I202">
        <v>202</v>
      </c>
      <c r="J202" s="40" t="s">
        <v>431</v>
      </c>
      <c r="K202" s="40" t="s">
        <v>136</v>
      </c>
      <c r="L202" s="40" t="s">
        <v>64</v>
      </c>
      <c r="M202" s="40" t="s">
        <v>57</v>
      </c>
      <c r="N202" s="40" t="s">
        <v>57</v>
      </c>
      <c r="O202" s="40" t="s">
        <v>57</v>
      </c>
      <c r="P202" s="40" t="s">
        <v>57</v>
      </c>
      <c r="Q202" s="40" t="s">
        <v>57</v>
      </c>
      <c r="R202" s="40" t="s">
        <v>57</v>
      </c>
      <c r="S202">
        <v>29</v>
      </c>
      <c r="T202">
        <v>1</v>
      </c>
      <c r="U202" s="1">
        <v>43267</v>
      </c>
      <c r="V202" s="1"/>
      <c r="W202" s="1"/>
      <c r="X202" s="1"/>
      <c r="Y202" s="1"/>
      <c r="Z202" s="40"/>
      <c r="AA202">
        <v>28</v>
      </c>
      <c r="AB202">
        <v>1</v>
      </c>
      <c r="AC202" s="1"/>
      <c r="AD202" s="40"/>
      <c r="AE202" s="1"/>
      <c r="AF202" s="1"/>
      <c r="AG202" s="1"/>
      <c r="AH202" s="40"/>
      <c r="AI202" s="1"/>
      <c r="AJ202" s="40">
        <f>_xlfn.MAXIFS(_01towers[02tss.Rev],_01towers[05_id],_01towers[[#This Row],[05_id]])</f>
        <v>1</v>
      </c>
      <c r="AK202" s="40" t="b">
        <f>IF(_01towers[[#This Row],[Count Rev TSS]]=_01towers[[#This Row],[02tss.Rev]],TRUE,FALSE)</f>
        <v>1</v>
      </c>
      <c r="AL202" s="40">
        <f>_xlfn.MAXIFS(_01towers[10colo_app.Rev],_01towers[05_id],_01towers[[#This Row],[05_id]])</f>
        <v>1</v>
      </c>
      <c r="AM202" s="40" t="b">
        <f>IF(_01towers[[#This Row],[Count Rev Colo App]]=_01towers[[#This Row],[10colo_app.Rev]],TRUE,FALSE)</f>
        <v>1</v>
      </c>
      <c r="AN202" s="40" t="b">
        <f>IF(AND(_01towers[[#This Row],[Test Rev Colo]]=TRUE,_01towers[[#This Row],[Test Rev TSS]]=TRUE),TRUE,FALSE)</f>
        <v>1</v>
      </c>
      <c r="AO202" s="40" t="str">
        <f>IF(_01towers[[#This Row],[Test Active]]=TRUE,_01towers[[#This Row],[Prevalidation Status]],"")</f>
        <v>Prevalidated</v>
      </c>
      <c r="AP202" s="40" t="str">
        <f>IF(_01towers[[#This Row],[Active Prevalidation Status]]="Under Prevalidation",
IF(M202="","Review",M202),"")</f>
        <v/>
      </c>
      <c r="AQ202" s="40" t="str">
        <f>IF(_01towers[[#This Row],[Active Prevalidation Status]]="Under Prevalidation",
IF(N202="","Review",N202),"")</f>
        <v/>
      </c>
      <c r="AR202" s="40" t="str">
        <f>IF(_01towers[[#This Row],[Active Prevalidation Status]]="Under Prevalidation",
IF(O202="","Review",O202),"")</f>
        <v/>
      </c>
      <c r="AS202" s="40" t="str">
        <f>IF(_01towers[[#This Row],[Active Prevalidation Status]]="Under Prevalidation",
IF(P202="","Review",P202),"")</f>
        <v/>
      </c>
      <c r="AT202" s="40" t="str">
        <f>IF(_01towers[[#This Row],[Active Prevalidation Status]]="Under Prevalidation",
IF(Q202="","Review",Q202),"")</f>
        <v/>
      </c>
      <c r="AU202" s="40" t="str">
        <f>IF(_01towers[[#This Row],[Active Prevalidation Status]]="Under Prevalidation",
IF(R202="","Review",R202),"")</f>
        <v/>
      </c>
      <c r="AV202" s="40">
        <f>COUNTIF(_01towers[[#This Row],[SAQ_Result2]:[Community_Result2]],"OK")</f>
        <v>0</v>
      </c>
      <c r="AW202" s="1" t="str">
        <f>IF(AND(OR(_01towers[[#This Row],[Active Prevalidation Status]]="Under Prevalidation",_01towers[[#This Row],[Active Prevalidation Status]]="Prevalidated"),_01towers[[#This Row],[02tss.TSSR_From_Engineer]]&gt;0),"Submitted","")</f>
        <v/>
      </c>
      <c r="AX202" s="40">
        <f>IF(OR(_01towers[[#This Row],[Active Prevalidation Status]]="Under Prevalidation",_01towers[[#This Row],[Active Prevalidation Status]]="Prevalidated"),_01towers[[#This Row],[02tss.TSS_Result]],"")</f>
        <v>0</v>
      </c>
      <c r="AY202" s="40" t="str">
        <f>IF(AND(_01towers[[#This Row],[Active TSS Result]]="Approved",_01towers[[#This Row],[Active Prevalidation Status]]="Prevalidated"),"In Process","")</f>
        <v/>
      </c>
      <c r="AZ202" s="40" t="str">
        <f>IF(AND(_01towers[[#This Row],[Active TSS Result]]="Approved",_01towers[[#This Row],[Active Prevalidation Status]]="Prevalidated"),_01towers[[#This Row],[10colo_app.Colo_App_Result]],"")</f>
        <v/>
      </c>
      <c r="BA202" s="40">
        <f>COUNTIF(_20work_order[05_id],_01towers[[#This Row],[05_id]])</f>
        <v>1</v>
      </c>
      <c r="BB202" s="40">
        <f>COUNTIFS(_20work_order[05_id],_01towers[[#This Row],[05_id]],_20work_order[Actual_End],"&gt;0")</f>
        <v>1</v>
      </c>
      <c r="BC202" s="40" t="str">
        <f>IF(_01towers[[#This Row],[Completed Work Orders]]&gt;0,"Work Completed",
IF(_01towers[[#This Row],[Count Work Orders]]&gt;0,"Work in Progress",""))</f>
        <v>Work Completed</v>
      </c>
      <c r="BD20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02" s="40" t="str">
        <f>_xlfn.SWITCH(_01towers[[#This Row],[Final Colo Status full]],"Commercial Approval Requested","Under Prevalidation",_01towers[[#This Row],[Final Colo Status full]])</f>
        <v>Prevalidated - TSSR in Process</v>
      </c>
    </row>
    <row r="203" spans="1:57" hidden="1" x14ac:dyDescent="0.35">
      <c r="A203" s="40" t="s">
        <v>432</v>
      </c>
      <c r="B203" s="40" t="s">
        <v>50</v>
      </c>
      <c r="C203" s="40" t="s">
        <v>51</v>
      </c>
      <c r="D203">
        <v>60</v>
      </c>
      <c r="E203" s="40" t="s">
        <v>66</v>
      </c>
      <c r="F203">
        <v>95.776430000000005</v>
      </c>
      <c r="G203">
        <v>20.910440000000001</v>
      </c>
      <c r="H203" s="40" t="s">
        <v>62</v>
      </c>
      <c r="I203">
        <v>203</v>
      </c>
      <c r="J203" s="40" t="s">
        <v>211</v>
      </c>
      <c r="K203" s="40" t="s">
        <v>136</v>
      </c>
      <c r="L203" s="40" t="s">
        <v>64</v>
      </c>
      <c r="M203" s="40" t="s">
        <v>57</v>
      </c>
      <c r="N203" s="40" t="s">
        <v>57</v>
      </c>
      <c r="O203" s="40" t="s">
        <v>57</v>
      </c>
      <c r="P203" s="40" t="s">
        <v>57</v>
      </c>
      <c r="Q203" s="40" t="s">
        <v>57</v>
      </c>
      <c r="R203" s="40" t="s">
        <v>57</v>
      </c>
      <c r="S203">
        <v>46</v>
      </c>
      <c r="T203">
        <v>1</v>
      </c>
      <c r="U203" s="1"/>
      <c r="V203" s="1"/>
      <c r="W203" s="1"/>
      <c r="X203" s="1"/>
      <c r="Y203" s="1"/>
      <c r="Z203" s="40"/>
      <c r="AA203">
        <v>45</v>
      </c>
      <c r="AB203">
        <v>1</v>
      </c>
      <c r="AC203" s="1"/>
      <c r="AD203" s="40"/>
      <c r="AE203" s="1">
        <v>43263</v>
      </c>
      <c r="AF203" s="1">
        <v>43263</v>
      </c>
      <c r="AG203" s="1"/>
      <c r="AH203" s="40"/>
      <c r="AI203" s="1"/>
      <c r="AJ203" s="40">
        <f>_xlfn.MAXIFS(_01towers[02tss.Rev],_01towers[05_id],_01towers[[#This Row],[05_id]])</f>
        <v>1</v>
      </c>
      <c r="AK203" s="40" t="b">
        <f>IF(_01towers[[#This Row],[Count Rev TSS]]=_01towers[[#This Row],[02tss.Rev]],TRUE,FALSE)</f>
        <v>1</v>
      </c>
      <c r="AL203" s="40">
        <f>_xlfn.MAXIFS(_01towers[10colo_app.Rev],_01towers[05_id],_01towers[[#This Row],[05_id]])</f>
        <v>1</v>
      </c>
      <c r="AM203" s="40" t="b">
        <f>IF(_01towers[[#This Row],[Count Rev Colo App]]=_01towers[[#This Row],[10colo_app.Rev]],TRUE,FALSE)</f>
        <v>1</v>
      </c>
      <c r="AN203" s="40" t="b">
        <f>IF(AND(_01towers[[#This Row],[Test Rev Colo]]=TRUE,_01towers[[#This Row],[Test Rev TSS]]=TRUE),TRUE,FALSE)</f>
        <v>1</v>
      </c>
      <c r="AO203" s="40" t="str">
        <f>IF(_01towers[[#This Row],[Test Active]]=TRUE,_01towers[[#This Row],[Prevalidation Status]],"")</f>
        <v>Prevalidated</v>
      </c>
      <c r="AP203" s="40" t="str">
        <f>IF(_01towers[[#This Row],[Active Prevalidation Status]]="Under Prevalidation",
IF(M203="","Review",M203),"")</f>
        <v/>
      </c>
      <c r="AQ203" s="40" t="str">
        <f>IF(_01towers[[#This Row],[Active Prevalidation Status]]="Under Prevalidation",
IF(N203="","Review",N203),"")</f>
        <v/>
      </c>
      <c r="AR203" s="40" t="str">
        <f>IF(_01towers[[#This Row],[Active Prevalidation Status]]="Under Prevalidation",
IF(O203="","Review",O203),"")</f>
        <v/>
      </c>
      <c r="AS203" s="40" t="str">
        <f>IF(_01towers[[#This Row],[Active Prevalidation Status]]="Under Prevalidation",
IF(P203="","Review",P203),"")</f>
        <v/>
      </c>
      <c r="AT203" s="40" t="str">
        <f>IF(_01towers[[#This Row],[Active Prevalidation Status]]="Under Prevalidation",
IF(Q203="","Review",Q203),"")</f>
        <v/>
      </c>
      <c r="AU203" s="40" t="str">
        <f>IF(_01towers[[#This Row],[Active Prevalidation Status]]="Under Prevalidation",
IF(R203="","Review",R203),"")</f>
        <v/>
      </c>
      <c r="AV203" s="40">
        <f>COUNTIF(_01towers[[#This Row],[SAQ_Result2]:[Community_Result2]],"OK")</f>
        <v>0</v>
      </c>
      <c r="AW203" s="1" t="str">
        <f>IF(AND(OR(_01towers[[#This Row],[Active Prevalidation Status]]="Under Prevalidation",_01towers[[#This Row],[Active Prevalidation Status]]="Prevalidated"),_01towers[[#This Row],[02tss.TSSR_From_Engineer]]&gt;0),"Submitted","")</f>
        <v/>
      </c>
      <c r="AX203" s="40">
        <f>IF(OR(_01towers[[#This Row],[Active Prevalidation Status]]="Under Prevalidation",_01towers[[#This Row],[Active Prevalidation Status]]="Prevalidated"),_01towers[[#This Row],[02tss.TSS_Result]],"")</f>
        <v>0</v>
      </c>
      <c r="AY203" s="40" t="str">
        <f>IF(AND(_01towers[[#This Row],[Active TSS Result]]="Approved",_01towers[[#This Row],[Active Prevalidation Status]]="Prevalidated"),"In Process","")</f>
        <v/>
      </c>
      <c r="AZ203" s="40" t="str">
        <f>IF(AND(_01towers[[#This Row],[Active TSS Result]]="Approved",_01towers[[#This Row],[Active Prevalidation Status]]="Prevalidated"),_01towers[[#This Row],[10colo_app.Colo_App_Result]],"")</f>
        <v/>
      </c>
      <c r="BA203" s="40">
        <f>COUNTIF(_20work_order[05_id],_01towers[[#This Row],[05_id]])</f>
        <v>0</v>
      </c>
      <c r="BB203" s="40">
        <f>COUNTIFS(_20work_order[05_id],_01towers[[#This Row],[05_id]],_20work_order[Actual_End],"&gt;0")</f>
        <v>0</v>
      </c>
      <c r="BC203" s="40" t="str">
        <f>IF(_01towers[[#This Row],[Completed Work Orders]]&gt;0,"Work Completed",
IF(_01towers[[#This Row],[Count Work Orders]]&gt;0,"Work in Progress",""))</f>
        <v/>
      </c>
      <c r="BD20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03" s="40" t="str">
        <f>_xlfn.SWITCH(_01towers[[#This Row],[Final Colo Status full]],"Commercial Approval Requested","Under Prevalidation",_01towers[[#This Row],[Final Colo Status full]])</f>
        <v>Prevalidated - TSSR in Process</v>
      </c>
    </row>
    <row r="204" spans="1:57" hidden="1" x14ac:dyDescent="0.35">
      <c r="A204" s="40" t="s">
        <v>433</v>
      </c>
      <c r="B204" s="40" t="s">
        <v>90</v>
      </c>
      <c r="C204" s="40" t="s">
        <v>51</v>
      </c>
      <c r="D204">
        <v>60</v>
      </c>
      <c r="E204" s="40" t="s">
        <v>221</v>
      </c>
      <c r="F204">
        <v>94.34469</v>
      </c>
      <c r="G204">
        <v>16.55274</v>
      </c>
      <c r="H204" s="40" t="s">
        <v>170</v>
      </c>
      <c r="I204">
        <v>204</v>
      </c>
      <c r="J204" s="40" t="s">
        <v>434</v>
      </c>
      <c r="K204" s="40" t="s">
        <v>136</v>
      </c>
      <c r="L204" s="40" t="s">
        <v>64</v>
      </c>
      <c r="M204" s="40" t="s">
        <v>57</v>
      </c>
      <c r="N204" s="40" t="s">
        <v>57</v>
      </c>
      <c r="O204" s="40" t="s">
        <v>57</v>
      </c>
      <c r="P204" s="40" t="s">
        <v>57</v>
      </c>
      <c r="Q204" s="40" t="s">
        <v>57</v>
      </c>
      <c r="R204" s="40" t="s">
        <v>57</v>
      </c>
      <c r="S204">
        <v>11</v>
      </c>
      <c r="T204">
        <v>1</v>
      </c>
      <c r="U204" s="1">
        <v>43269</v>
      </c>
      <c r="V204" s="1">
        <v>43270</v>
      </c>
      <c r="W204" s="1">
        <v>43276</v>
      </c>
      <c r="X204" s="1">
        <v>43312</v>
      </c>
      <c r="Y204" s="1"/>
      <c r="Z204" s="40" t="s">
        <v>59</v>
      </c>
      <c r="AA204">
        <v>11</v>
      </c>
      <c r="AB204">
        <v>1</v>
      </c>
      <c r="AC204" s="1"/>
      <c r="AD204" s="40"/>
      <c r="AE204" s="1">
        <v>43263</v>
      </c>
      <c r="AF204" s="1">
        <v>43263</v>
      </c>
      <c r="AG204" s="1"/>
      <c r="AH204" s="40"/>
      <c r="AI204" s="1"/>
      <c r="AJ204" s="40">
        <f>_xlfn.MAXIFS(_01towers[02tss.Rev],_01towers[05_id],_01towers[[#This Row],[05_id]])</f>
        <v>1</v>
      </c>
      <c r="AK204" s="40" t="b">
        <f>IF(_01towers[[#This Row],[Count Rev TSS]]=_01towers[[#This Row],[02tss.Rev]],TRUE,FALSE)</f>
        <v>1</v>
      </c>
      <c r="AL204" s="40">
        <f>_xlfn.MAXIFS(_01towers[10colo_app.Rev],_01towers[05_id],_01towers[[#This Row],[05_id]])</f>
        <v>1</v>
      </c>
      <c r="AM204" s="40" t="b">
        <f>IF(_01towers[[#This Row],[Count Rev Colo App]]=_01towers[[#This Row],[10colo_app.Rev]],TRUE,FALSE)</f>
        <v>1</v>
      </c>
      <c r="AN204" s="40" t="b">
        <f>IF(AND(_01towers[[#This Row],[Test Rev Colo]]=TRUE,_01towers[[#This Row],[Test Rev TSS]]=TRUE),TRUE,FALSE)</f>
        <v>1</v>
      </c>
      <c r="AO204" s="40" t="str">
        <f>IF(_01towers[[#This Row],[Test Active]]=TRUE,_01towers[[#This Row],[Prevalidation Status]],"")</f>
        <v>Prevalidated</v>
      </c>
      <c r="AP204" s="40" t="str">
        <f>IF(_01towers[[#This Row],[Active Prevalidation Status]]="Under Prevalidation",
IF(M204="","Review",M204),"")</f>
        <v/>
      </c>
      <c r="AQ204" s="40" t="str">
        <f>IF(_01towers[[#This Row],[Active Prevalidation Status]]="Under Prevalidation",
IF(N204="","Review",N204),"")</f>
        <v/>
      </c>
      <c r="AR204" s="40" t="str">
        <f>IF(_01towers[[#This Row],[Active Prevalidation Status]]="Under Prevalidation",
IF(O204="","Review",O204),"")</f>
        <v/>
      </c>
      <c r="AS204" s="40" t="str">
        <f>IF(_01towers[[#This Row],[Active Prevalidation Status]]="Under Prevalidation",
IF(P204="","Review",P204),"")</f>
        <v/>
      </c>
      <c r="AT204" s="40" t="str">
        <f>IF(_01towers[[#This Row],[Active Prevalidation Status]]="Under Prevalidation",
IF(Q204="","Review",Q204),"")</f>
        <v/>
      </c>
      <c r="AU204" s="40" t="str">
        <f>IF(_01towers[[#This Row],[Active Prevalidation Status]]="Under Prevalidation",
IF(R204="","Review",R204),"")</f>
        <v/>
      </c>
      <c r="AV204" s="40">
        <f>COUNTIF(_01towers[[#This Row],[SAQ_Result2]:[Community_Result2]],"OK")</f>
        <v>0</v>
      </c>
      <c r="AW204" s="1" t="str">
        <f>IF(AND(OR(_01towers[[#This Row],[Active Prevalidation Status]]="Under Prevalidation",_01towers[[#This Row],[Active Prevalidation Status]]="Prevalidated"),_01towers[[#This Row],[02tss.TSSR_From_Engineer]]&gt;0),"Submitted","")</f>
        <v>Submitted</v>
      </c>
      <c r="AX204" s="40" t="str">
        <f>IF(OR(_01towers[[#This Row],[Active Prevalidation Status]]="Under Prevalidation",_01towers[[#This Row],[Active Prevalidation Status]]="Prevalidated"),_01towers[[#This Row],[02tss.TSS_Result]],"")</f>
        <v>Approved</v>
      </c>
      <c r="AY204" s="40" t="str">
        <f>IF(AND(_01towers[[#This Row],[Active TSS Result]]="Approved",_01towers[[#This Row],[Active Prevalidation Status]]="Prevalidated"),"In Process","")</f>
        <v>In Process</v>
      </c>
      <c r="AZ204" s="40">
        <f>IF(AND(_01towers[[#This Row],[Active TSS Result]]="Approved",_01towers[[#This Row],[Active Prevalidation Status]]="Prevalidated"),_01towers[[#This Row],[10colo_app.Colo_App_Result]],"")</f>
        <v>0</v>
      </c>
      <c r="BA204" s="40">
        <f>COUNTIF(_20work_order[05_id],_01towers[[#This Row],[05_id]])</f>
        <v>0</v>
      </c>
      <c r="BB204" s="40">
        <f>COUNTIFS(_20work_order[05_id],_01towers[[#This Row],[05_id]],_20work_order[Actual_End],"&gt;0")</f>
        <v>0</v>
      </c>
      <c r="BC204" s="40" t="str">
        <f>IF(_01towers[[#This Row],[Completed Work Orders]]&gt;0,"Work Completed",
IF(_01towers[[#This Row],[Count Work Orders]]&gt;0,"Work in Progress",""))</f>
        <v/>
      </c>
      <c r="BD20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204" s="40" t="str">
        <f>_xlfn.SWITCH(_01towers[[#This Row],[Final Colo Status full]],"Commercial Approval Requested","Under Prevalidation",_01towers[[#This Row],[Final Colo Status full]])</f>
        <v>Prevalidated - TSSR Done</v>
      </c>
    </row>
    <row r="205" spans="1:57" hidden="1" x14ac:dyDescent="0.35">
      <c r="A205" s="40" t="s">
        <v>435</v>
      </c>
      <c r="B205" s="40" t="s">
        <v>50</v>
      </c>
      <c r="C205" s="40" t="s">
        <v>51</v>
      </c>
      <c r="D205">
        <v>40</v>
      </c>
      <c r="E205" s="40" t="s">
        <v>167</v>
      </c>
      <c r="F205">
        <v>94.243739000000005</v>
      </c>
      <c r="G205">
        <v>20.450634000000001</v>
      </c>
      <c r="H205" s="40" t="s">
        <v>53</v>
      </c>
      <c r="I205">
        <v>205</v>
      </c>
      <c r="J205" s="40" t="s">
        <v>436</v>
      </c>
      <c r="K205" s="40" t="s">
        <v>136</v>
      </c>
      <c r="L205" s="40" t="s">
        <v>64</v>
      </c>
      <c r="M205" s="40" t="s">
        <v>57</v>
      </c>
      <c r="N205" s="40" t="s">
        <v>57</v>
      </c>
      <c r="O205" s="40" t="s">
        <v>57</v>
      </c>
      <c r="P205" s="40" t="s">
        <v>57</v>
      </c>
      <c r="Q205" s="40" t="s">
        <v>57</v>
      </c>
      <c r="R205" s="40" t="s">
        <v>57</v>
      </c>
      <c r="S205">
        <v>68</v>
      </c>
      <c r="T205">
        <v>1</v>
      </c>
      <c r="U205" s="1">
        <v>43278</v>
      </c>
      <c r="V205" s="1">
        <v>43278</v>
      </c>
      <c r="W205" s="1">
        <v>43283</v>
      </c>
      <c r="X205" s="1"/>
      <c r="Y205" s="1"/>
      <c r="Z205" s="40"/>
      <c r="AA205">
        <v>67</v>
      </c>
      <c r="AB205">
        <v>1</v>
      </c>
      <c r="AC205" s="1"/>
      <c r="AD205" s="40"/>
      <c r="AE205" s="1"/>
      <c r="AF205" s="1"/>
      <c r="AG205" s="1"/>
      <c r="AH205" s="40"/>
      <c r="AI205" s="1"/>
      <c r="AJ205" s="40">
        <f>_xlfn.MAXIFS(_01towers[02tss.Rev],_01towers[05_id],_01towers[[#This Row],[05_id]])</f>
        <v>1</v>
      </c>
      <c r="AK205" s="40" t="b">
        <f>IF(_01towers[[#This Row],[Count Rev TSS]]=_01towers[[#This Row],[02tss.Rev]],TRUE,FALSE)</f>
        <v>1</v>
      </c>
      <c r="AL205" s="40">
        <f>_xlfn.MAXIFS(_01towers[10colo_app.Rev],_01towers[05_id],_01towers[[#This Row],[05_id]])</f>
        <v>1</v>
      </c>
      <c r="AM205" s="40" t="b">
        <f>IF(_01towers[[#This Row],[Count Rev Colo App]]=_01towers[[#This Row],[10colo_app.Rev]],TRUE,FALSE)</f>
        <v>1</v>
      </c>
      <c r="AN205" s="40" t="b">
        <f>IF(AND(_01towers[[#This Row],[Test Rev Colo]]=TRUE,_01towers[[#This Row],[Test Rev TSS]]=TRUE),TRUE,FALSE)</f>
        <v>1</v>
      </c>
      <c r="AO205" s="40" t="str">
        <f>IF(_01towers[[#This Row],[Test Active]]=TRUE,_01towers[[#This Row],[Prevalidation Status]],"")</f>
        <v>Prevalidated</v>
      </c>
      <c r="AP205" s="40" t="str">
        <f>IF(_01towers[[#This Row],[Active Prevalidation Status]]="Under Prevalidation",
IF(M205="","Review",M205),"")</f>
        <v/>
      </c>
      <c r="AQ205" s="40" t="str">
        <f>IF(_01towers[[#This Row],[Active Prevalidation Status]]="Under Prevalidation",
IF(N205="","Review",N205),"")</f>
        <v/>
      </c>
      <c r="AR205" s="40" t="str">
        <f>IF(_01towers[[#This Row],[Active Prevalidation Status]]="Under Prevalidation",
IF(O205="","Review",O205),"")</f>
        <v/>
      </c>
      <c r="AS205" s="40" t="str">
        <f>IF(_01towers[[#This Row],[Active Prevalidation Status]]="Under Prevalidation",
IF(P205="","Review",P205),"")</f>
        <v/>
      </c>
      <c r="AT205" s="40" t="str">
        <f>IF(_01towers[[#This Row],[Active Prevalidation Status]]="Under Prevalidation",
IF(Q205="","Review",Q205),"")</f>
        <v/>
      </c>
      <c r="AU205" s="40" t="str">
        <f>IF(_01towers[[#This Row],[Active Prevalidation Status]]="Under Prevalidation",
IF(R205="","Review",R205),"")</f>
        <v/>
      </c>
      <c r="AV205" s="40">
        <f>COUNTIF(_01towers[[#This Row],[SAQ_Result2]:[Community_Result2]],"OK")</f>
        <v>0</v>
      </c>
      <c r="AW205" s="1" t="str">
        <f>IF(AND(OR(_01towers[[#This Row],[Active Prevalidation Status]]="Under Prevalidation",_01towers[[#This Row],[Active Prevalidation Status]]="Prevalidated"),_01towers[[#This Row],[02tss.TSSR_From_Engineer]]&gt;0),"Submitted","")</f>
        <v>Submitted</v>
      </c>
      <c r="AX205" s="40">
        <f>IF(OR(_01towers[[#This Row],[Active Prevalidation Status]]="Under Prevalidation",_01towers[[#This Row],[Active Prevalidation Status]]="Prevalidated"),_01towers[[#This Row],[02tss.TSS_Result]],"")</f>
        <v>0</v>
      </c>
      <c r="AY205" s="40" t="str">
        <f>IF(AND(_01towers[[#This Row],[Active TSS Result]]="Approved",_01towers[[#This Row],[Active Prevalidation Status]]="Prevalidated"),"In Process","")</f>
        <v/>
      </c>
      <c r="AZ205" s="40" t="str">
        <f>IF(AND(_01towers[[#This Row],[Active TSS Result]]="Approved",_01towers[[#This Row],[Active Prevalidation Status]]="Prevalidated"),_01towers[[#This Row],[10colo_app.Colo_App_Result]],"")</f>
        <v/>
      </c>
      <c r="BA205" s="40">
        <f>COUNTIF(_20work_order[05_id],_01towers[[#This Row],[05_id]])</f>
        <v>0</v>
      </c>
      <c r="BB205" s="40">
        <f>COUNTIFS(_20work_order[05_id],_01towers[[#This Row],[05_id]],_20work_order[Actual_End],"&gt;0")</f>
        <v>0</v>
      </c>
      <c r="BC205" s="40" t="str">
        <f>IF(_01towers[[#This Row],[Completed Work Orders]]&gt;0,"Work Completed",
IF(_01towers[[#This Row],[Count Work Orders]]&gt;0,"Work in Progress",""))</f>
        <v/>
      </c>
      <c r="BD20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05" s="40" t="str">
        <f>_xlfn.SWITCH(_01towers[[#This Row],[Final Colo Status full]],"Commercial Approval Requested","Under Prevalidation",_01towers[[#This Row],[Final Colo Status full]])</f>
        <v>Prevalidated - TSSR in Process</v>
      </c>
    </row>
    <row r="206" spans="1:57" hidden="1" x14ac:dyDescent="0.35">
      <c r="A206" s="40" t="s">
        <v>437</v>
      </c>
      <c r="B206" s="40" t="s">
        <v>50</v>
      </c>
      <c r="C206" s="40" t="s">
        <v>51</v>
      </c>
      <c r="D206">
        <v>40</v>
      </c>
      <c r="E206" s="40" t="s">
        <v>167</v>
      </c>
      <c r="F206">
        <v>94.248679999999993</v>
      </c>
      <c r="G206">
        <v>20.45299</v>
      </c>
      <c r="H206" s="40" t="s">
        <v>53</v>
      </c>
      <c r="I206">
        <v>206</v>
      </c>
      <c r="J206" s="40" t="s">
        <v>211</v>
      </c>
      <c r="K206" s="40" t="s">
        <v>136</v>
      </c>
      <c r="L206" s="40" t="s">
        <v>148</v>
      </c>
      <c r="M206" s="40" t="s">
        <v>57</v>
      </c>
      <c r="N206" s="40" t="s">
        <v>57</v>
      </c>
      <c r="O206" s="40" t="s">
        <v>57</v>
      </c>
      <c r="P206" s="40" t="s">
        <v>57</v>
      </c>
      <c r="Q206" s="40" t="s">
        <v>57</v>
      </c>
      <c r="R206" s="40" t="s">
        <v>57</v>
      </c>
      <c r="S206">
        <v>69</v>
      </c>
      <c r="T206">
        <v>1</v>
      </c>
      <c r="U206" s="1"/>
      <c r="V206" s="1"/>
      <c r="W206" s="1"/>
      <c r="X206" s="1"/>
      <c r="Y206" s="1"/>
      <c r="Z206" s="40"/>
      <c r="AA206">
        <v>68</v>
      </c>
      <c r="AB206">
        <v>1</v>
      </c>
      <c r="AC206" s="1"/>
      <c r="AD206" s="40"/>
      <c r="AE206" s="1"/>
      <c r="AF206" s="1"/>
      <c r="AG206" s="1"/>
      <c r="AH206" s="40"/>
      <c r="AI206" s="1"/>
      <c r="AJ206" s="40">
        <f>_xlfn.MAXIFS(_01towers[02tss.Rev],_01towers[05_id],_01towers[[#This Row],[05_id]])</f>
        <v>1</v>
      </c>
      <c r="AK206" s="40" t="b">
        <f>IF(_01towers[[#This Row],[Count Rev TSS]]=_01towers[[#This Row],[02tss.Rev]],TRUE,FALSE)</f>
        <v>1</v>
      </c>
      <c r="AL206" s="40">
        <f>_xlfn.MAXIFS(_01towers[10colo_app.Rev],_01towers[05_id],_01towers[[#This Row],[05_id]])</f>
        <v>1</v>
      </c>
      <c r="AM206" s="40" t="b">
        <f>IF(_01towers[[#This Row],[Count Rev Colo App]]=_01towers[[#This Row],[10colo_app.Rev]],TRUE,FALSE)</f>
        <v>1</v>
      </c>
      <c r="AN206" s="40" t="b">
        <f>IF(AND(_01towers[[#This Row],[Test Rev Colo]]=TRUE,_01towers[[#This Row],[Test Rev TSS]]=TRUE),TRUE,FALSE)</f>
        <v>1</v>
      </c>
      <c r="AO206" s="40" t="str">
        <f>IF(_01towers[[#This Row],[Test Active]]=TRUE,_01towers[[#This Row],[Prevalidation Status]],"")</f>
        <v>Dropped by Operator</v>
      </c>
      <c r="AP206" s="40" t="str">
        <f>IF(_01towers[[#This Row],[Active Prevalidation Status]]="Under Prevalidation",
IF(M206="","Review",M206),"")</f>
        <v/>
      </c>
      <c r="AQ206" s="40" t="str">
        <f>IF(_01towers[[#This Row],[Active Prevalidation Status]]="Under Prevalidation",
IF(N206="","Review",N206),"")</f>
        <v/>
      </c>
      <c r="AR206" s="40" t="str">
        <f>IF(_01towers[[#This Row],[Active Prevalidation Status]]="Under Prevalidation",
IF(O206="","Review",O206),"")</f>
        <v/>
      </c>
      <c r="AS206" s="40" t="str">
        <f>IF(_01towers[[#This Row],[Active Prevalidation Status]]="Under Prevalidation",
IF(P206="","Review",P206),"")</f>
        <v/>
      </c>
      <c r="AT206" s="40" t="str">
        <f>IF(_01towers[[#This Row],[Active Prevalidation Status]]="Under Prevalidation",
IF(Q206="","Review",Q206),"")</f>
        <v/>
      </c>
      <c r="AU206" s="40" t="str">
        <f>IF(_01towers[[#This Row],[Active Prevalidation Status]]="Under Prevalidation",
IF(R206="","Review",R206),"")</f>
        <v/>
      </c>
      <c r="AV206" s="40">
        <f>COUNTIF(_01towers[[#This Row],[SAQ_Result2]:[Community_Result2]],"OK")</f>
        <v>0</v>
      </c>
      <c r="AW206" s="1" t="str">
        <f>IF(AND(OR(_01towers[[#This Row],[Active Prevalidation Status]]="Under Prevalidation",_01towers[[#This Row],[Active Prevalidation Status]]="Prevalidated"),_01towers[[#This Row],[02tss.TSSR_From_Engineer]]&gt;0),"Submitted","")</f>
        <v/>
      </c>
      <c r="AX206" s="40" t="str">
        <f>IF(OR(_01towers[[#This Row],[Active Prevalidation Status]]="Under Prevalidation",_01towers[[#This Row],[Active Prevalidation Status]]="Prevalidated"),_01towers[[#This Row],[02tss.TSS_Result]],"")</f>
        <v/>
      </c>
      <c r="AY206" s="40" t="str">
        <f>IF(AND(_01towers[[#This Row],[Active TSS Result]]="Approved",_01towers[[#This Row],[Active Prevalidation Status]]="Prevalidated"),"In Process","")</f>
        <v/>
      </c>
      <c r="AZ206" s="40" t="str">
        <f>IF(AND(_01towers[[#This Row],[Active TSS Result]]="Approved",_01towers[[#This Row],[Active Prevalidation Status]]="Prevalidated"),_01towers[[#This Row],[10colo_app.Colo_App_Result]],"")</f>
        <v/>
      </c>
      <c r="BA206" s="40">
        <f>COUNTIF(_20work_order[05_id],_01towers[[#This Row],[05_id]])</f>
        <v>0</v>
      </c>
      <c r="BB206" s="40">
        <f>COUNTIFS(_20work_order[05_id],_01towers[[#This Row],[05_id]],_20work_order[Actual_End],"&gt;0")</f>
        <v>0</v>
      </c>
      <c r="BC206" s="40" t="str">
        <f>IF(_01towers[[#This Row],[Completed Work Orders]]&gt;0,"Work Completed",
IF(_01towers[[#This Row],[Count Work Orders]]&gt;0,"Work in Progress",""))</f>
        <v/>
      </c>
      <c r="BD20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Dropped by Operator</v>
      </c>
      <c r="BE206" s="40" t="str">
        <f>_xlfn.SWITCH(_01towers[[#This Row],[Final Colo Status full]],"Commercial Approval Requested","Under Prevalidation",_01towers[[#This Row],[Final Colo Status full]])</f>
        <v>Dropped by Operator</v>
      </c>
    </row>
    <row r="207" spans="1:57" hidden="1" x14ac:dyDescent="0.35">
      <c r="A207" s="40" t="s">
        <v>438</v>
      </c>
      <c r="B207" s="40" t="s">
        <v>50</v>
      </c>
      <c r="C207" s="40" t="s">
        <v>51</v>
      </c>
      <c r="D207">
        <v>40</v>
      </c>
      <c r="E207" s="40" t="s">
        <v>79</v>
      </c>
      <c r="F207">
        <v>95.684730000000002</v>
      </c>
      <c r="G207">
        <v>26.006710999999999</v>
      </c>
      <c r="H207" s="40" t="s">
        <v>53</v>
      </c>
      <c r="I207">
        <v>207</v>
      </c>
      <c r="J207" s="40" t="s">
        <v>641</v>
      </c>
      <c r="K207" s="40" t="s">
        <v>136</v>
      </c>
      <c r="L207" s="40" t="s">
        <v>64</v>
      </c>
      <c r="M207" s="40" t="s">
        <v>57</v>
      </c>
      <c r="N207" s="40" t="s">
        <v>57</v>
      </c>
      <c r="O207" s="40" t="s">
        <v>57</v>
      </c>
      <c r="P207" s="40" t="s">
        <v>57</v>
      </c>
      <c r="Q207" s="40" t="s">
        <v>57</v>
      </c>
      <c r="R207" s="40" t="s">
        <v>57</v>
      </c>
      <c r="S207">
        <v>175</v>
      </c>
      <c r="T207">
        <v>1</v>
      </c>
      <c r="U207" s="1"/>
      <c r="V207" s="1"/>
      <c r="W207" s="1"/>
      <c r="X207" s="1"/>
      <c r="Y207" s="1"/>
      <c r="Z207" s="40"/>
      <c r="AA207">
        <v>174</v>
      </c>
      <c r="AB207">
        <v>1</v>
      </c>
      <c r="AC207" s="1"/>
      <c r="AD207" s="40"/>
      <c r="AE207" s="1"/>
      <c r="AF207" s="1"/>
      <c r="AG207" s="1"/>
      <c r="AH207" s="40"/>
      <c r="AI207" s="1"/>
      <c r="AJ207" s="40">
        <f>_xlfn.MAXIFS(_01towers[02tss.Rev],_01towers[05_id],_01towers[[#This Row],[05_id]])</f>
        <v>1</v>
      </c>
      <c r="AK207" s="40" t="b">
        <f>IF(_01towers[[#This Row],[Count Rev TSS]]=_01towers[[#This Row],[02tss.Rev]],TRUE,FALSE)</f>
        <v>1</v>
      </c>
      <c r="AL207" s="40">
        <f>_xlfn.MAXIFS(_01towers[10colo_app.Rev],_01towers[05_id],_01towers[[#This Row],[05_id]])</f>
        <v>1</v>
      </c>
      <c r="AM207" s="40" t="b">
        <f>IF(_01towers[[#This Row],[Count Rev Colo App]]=_01towers[[#This Row],[10colo_app.Rev]],TRUE,FALSE)</f>
        <v>1</v>
      </c>
      <c r="AN207" s="40" t="b">
        <f>IF(AND(_01towers[[#This Row],[Test Rev Colo]]=TRUE,_01towers[[#This Row],[Test Rev TSS]]=TRUE),TRUE,FALSE)</f>
        <v>1</v>
      </c>
      <c r="AO207" s="40" t="str">
        <f>IF(_01towers[[#This Row],[Test Active]]=TRUE,_01towers[[#This Row],[Prevalidation Status]],"")</f>
        <v>Prevalidated</v>
      </c>
      <c r="AP207" s="40" t="str">
        <f>IF(_01towers[[#This Row],[Active Prevalidation Status]]="Under Prevalidation",
IF(M207="","Review",M207),"")</f>
        <v/>
      </c>
      <c r="AQ207" s="40" t="str">
        <f>IF(_01towers[[#This Row],[Active Prevalidation Status]]="Under Prevalidation",
IF(N207="","Review",N207),"")</f>
        <v/>
      </c>
      <c r="AR207" s="40" t="str">
        <f>IF(_01towers[[#This Row],[Active Prevalidation Status]]="Under Prevalidation",
IF(O207="","Review",O207),"")</f>
        <v/>
      </c>
      <c r="AS207" s="40" t="str">
        <f>IF(_01towers[[#This Row],[Active Prevalidation Status]]="Under Prevalidation",
IF(P207="","Review",P207),"")</f>
        <v/>
      </c>
      <c r="AT207" s="40" t="str">
        <f>IF(_01towers[[#This Row],[Active Prevalidation Status]]="Under Prevalidation",
IF(Q207="","Review",Q207),"")</f>
        <v/>
      </c>
      <c r="AU207" s="40" t="str">
        <f>IF(_01towers[[#This Row],[Active Prevalidation Status]]="Under Prevalidation",
IF(R207="","Review",R207),"")</f>
        <v/>
      </c>
      <c r="AV207" s="40">
        <f>COUNTIF(_01towers[[#This Row],[SAQ_Result2]:[Community_Result2]],"OK")</f>
        <v>0</v>
      </c>
      <c r="AW207" s="1" t="str">
        <f>IF(AND(OR(_01towers[[#This Row],[Active Prevalidation Status]]="Under Prevalidation",_01towers[[#This Row],[Active Prevalidation Status]]="Prevalidated"),_01towers[[#This Row],[02tss.TSSR_From_Engineer]]&gt;0),"Submitted","")</f>
        <v/>
      </c>
      <c r="AX207" s="40">
        <f>IF(OR(_01towers[[#This Row],[Active Prevalidation Status]]="Under Prevalidation",_01towers[[#This Row],[Active Prevalidation Status]]="Prevalidated"),_01towers[[#This Row],[02tss.TSS_Result]],"")</f>
        <v>0</v>
      </c>
      <c r="AY207" s="40" t="str">
        <f>IF(AND(_01towers[[#This Row],[Active TSS Result]]="Approved",_01towers[[#This Row],[Active Prevalidation Status]]="Prevalidated"),"In Process","")</f>
        <v/>
      </c>
      <c r="AZ207" s="40" t="str">
        <f>IF(AND(_01towers[[#This Row],[Active TSS Result]]="Approved",_01towers[[#This Row],[Active Prevalidation Status]]="Prevalidated"),_01towers[[#This Row],[10colo_app.Colo_App_Result]],"")</f>
        <v/>
      </c>
      <c r="BA207" s="40">
        <f>COUNTIF(_20work_order[05_id],_01towers[[#This Row],[05_id]])</f>
        <v>0</v>
      </c>
      <c r="BB207" s="40">
        <f>COUNTIFS(_20work_order[05_id],_01towers[[#This Row],[05_id]],_20work_order[Actual_End],"&gt;0")</f>
        <v>0</v>
      </c>
      <c r="BC207" s="40" t="str">
        <f>IF(_01towers[[#This Row],[Completed Work Orders]]&gt;0,"Work Completed",
IF(_01towers[[#This Row],[Count Work Orders]]&gt;0,"Work in Progress",""))</f>
        <v/>
      </c>
      <c r="BD20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07" s="40" t="str">
        <f>_xlfn.SWITCH(_01towers[[#This Row],[Final Colo Status full]],"Commercial Approval Requested","Under Prevalidation",_01towers[[#This Row],[Final Colo Status full]])</f>
        <v>Prevalidated - TSSR in Process</v>
      </c>
    </row>
    <row r="208" spans="1:57" x14ac:dyDescent="0.35">
      <c r="A208" s="40" t="s">
        <v>439</v>
      </c>
      <c r="B208" s="40" t="s">
        <v>90</v>
      </c>
      <c r="C208" s="40" t="s">
        <v>51</v>
      </c>
      <c r="D208">
        <v>35</v>
      </c>
      <c r="E208" s="40" t="s">
        <v>98</v>
      </c>
      <c r="F208">
        <v>96.147660000000002</v>
      </c>
      <c r="G208">
        <v>16.75808</v>
      </c>
      <c r="H208" s="40" t="s">
        <v>143</v>
      </c>
      <c r="I208">
        <v>208</v>
      </c>
      <c r="J208" s="40" t="s">
        <v>576</v>
      </c>
      <c r="K208" s="40" t="s">
        <v>136</v>
      </c>
      <c r="L208" s="40" t="s">
        <v>56</v>
      </c>
      <c r="M208" s="40" t="s">
        <v>57</v>
      </c>
      <c r="N208" s="40" t="s">
        <v>57</v>
      </c>
      <c r="O208" s="40" t="s">
        <v>58</v>
      </c>
      <c r="P208" s="40" t="s">
        <v>57</v>
      </c>
      <c r="Q208" s="40" t="s">
        <v>57</v>
      </c>
      <c r="R208" s="40" t="s">
        <v>57</v>
      </c>
      <c r="S208">
        <v>131</v>
      </c>
      <c r="T208">
        <v>1</v>
      </c>
      <c r="U208" s="1"/>
      <c r="V208" s="1">
        <v>43298</v>
      </c>
      <c r="W208" s="1">
        <v>43304</v>
      </c>
      <c r="X208" s="1"/>
      <c r="Y208" s="1"/>
      <c r="Z208" s="40"/>
      <c r="AA208">
        <v>130</v>
      </c>
      <c r="AB208">
        <v>1</v>
      </c>
      <c r="AC208" s="1"/>
      <c r="AD208" s="40"/>
      <c r="AE208" s="1"/>
      <c r="AF208" s="1"/>
      <c r="AG208" s="1"/>
      <c r="AH208" s="40"/>
      <c r="AI208" s="1"/>
      <c r="AJ208" s="40">
        <f>_xlfn.MAXIFS(_01towers[02tss.Rev],_01towers[05_id],_01towers[[#This Row],[05_id]])</f>
        <v>1</v>
      </c>
      <c r="AK208" s="40" t="b">
        <f>IF(_01towers[[#This Row],[Count Rev TSS]]=_01towers[[#This Row],[02tss.Rev]],TRUE,FALSE)</f>
        <v>1</v>
      </c>
      <c r="AL208" s="40">
        <f>_xlfn.MAXIFS(_01towers[10colo_app.Rev],_01towers[05_id],_01towers[[#This Row],[05_id]])</f>
        <v>1</v>
      </c>
      <c r="AM208" s="40" t="b">
        <f>IF(_01towers[[#This Row],[Count Rev Colo App]]=_01towers[[#This Row],[10colo_app.Rev]],TRUE,FALSE)</f>
        <v>1</v>
      </c>
      <c r="AN208" s="40" t="b">
        <f>IF(AND(_01towers[[#This Row],[Test Rev Colo]]=TRUE,_01towers[[#This Row],[Test Rev TSS]]=TRUE),TRUE,FALSE)</f>
        <v>1</v>
      </c>
      <c r="AO208" s="40" t="str">
        <f>IF(_01towers[[#This Row],[Test Active]]=TRUE,_01towers[[#This Row],[Prevalidation Status]],"")</f>
        <v>Commercial Approval Requested</v>
      </c>
      <c r="AP208" s="40" t="str">
        <f>IF(_01towers[[#This Row],[Active Prevalidation Status]]="Under Prevalidation",
IF(M208="","Review",M208),"")</f>
        <v/>
      </c>
      <c r="AQ208" s="40" t="str">
        <f>IF(_01towers[[#This Row],[Active Prevalidation Status]]="Under Prevalidation",
IF(N208="","Review",N208),"")</f>
        <v/>
      </c>
      <c r="AR208" s="40" t="str">
        <f>IF(_01towers[[#This Row],[Active Prevalidation Status]]="Under Prevalidation",
IF(O208="","Review",O208),"")</f>
        <v/>
      </c>
      <c r="AS208" s="40" t="str">
        <f>IF(_01towers[[#This Row],[Active Prevalidation Status]]="Under Prevalidation",
IF(P208="","Review",P208),"")</f>
        <v/>
      </c>
      <c r="AT208" s="40" t="str">
        <f>IF(_01towers[[#This Row],[Active Prevalidation Status]]="Under Prevalidation",
IF(Q208="","Review",Q208),"")</f>
        <v/>
      </c>
      <c r="AU208" s="40" t="str">
        <f>IF(_01towers[[#This Row],[Active Prevalidation Status]]="Under Prevalidation",
IF(R208="","Review",R208),"")</f>
        <v/>
      </c>
      <c r="AV208" s="40">
        <f>COUNTIF(_01towers[[#This Row],[SAQ_Result2]:[Community_Result2]],"OK")</f>
        <v>0</v>
      </c>
      <c r="AW208" s="1" t="str">
        <f>IF(AND(OR(_01towers[[#This Row],[Active Prevalidation Status]]="Under Prevalidation",_01towers[[#This Row],[Active Prevalidation Status]]="Prevalidated"),_01towers[[#This Row],[02tss.TSSR_From_Engineer]]&gt;0),"Submitted","")</f>
        <v/>
      </c>
      <c r="AX208" s="40" t="str">
        <f>IF(OR(_01towers[[#This Row],[Active Prevalidation Status]]="Under Prevalidation",_01towers[[#This Row],[Active Prevalidation Status]]="Prevalidated"),_01towers[[#This Row],[02tss.TSS_Result]],"")</f>
        <v/>
      </c>
      <c r="AY208" s="40" t="str">
        <f>IF(AND(_01towers[[#This Row],[Active TSS Result]]="Approved",_01towers[[#This Row],[Active Prevalidation Status]]="Prevalidated"),"In Process","")</f>
        <v/>
      </c>
      <c r="AZ208" s="40" t="str">
        <f>IF(AND(_01towers[[#This Row],[Active TSS Result]]="Approved",_01towers[[#This Row],[Active Prevalidation Status]]="Prevalidated"),_01towers[[#This Row],[10colo_app.Colo_App_Result]],"")</f>
        <v/>
      </c>
      <c r="BA208" s="40">
        <f>COUNTIF(_20work_order[05_id],_01towers[[#This Row],[05_id]])</f>
        <v>0</v>
      </c>
      <c r="BB208" s="40">
        <f>COUNTIFS(_20work_order[05_id],_01towers[[#This Row],[05_id]],_20work_order[Actual_End],"&gt;0")</f>
        <v>0</v>
      </c>
      <c r="BC208" s="40" t="str">
        <f>IF(_01towers[[#This Row],[Completed Work Orders]]&gt;0,"Work Completed",
IF(_01towers[[#This Row],[Count Work Orders]]&gt;0,"Work in Progress",""))</f>
        <v/>
      </c>
      <c r="BD20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08" s="40" t="str">
        <f>_xlfn.SWITCH(_01towers[[#This Row],[Final Colo Status full]],"Commercial Approval Requested","Under Prevalidation",_01towers[[#This Row],[Final Colo Status full]])</f>
        <v>Under Prevalidation</v>
      </c>
    </row>
    <row r="209" spans="1:57" hidden="1" x14ac:dyDescent="0.35">
      <c r="A209" s="40" t="s">
        <v>440</v>
      </c>
      <c r="B209" s="40" t="s">
        <v>90</v>
      </c>
      <c r="C209" s="40" t="s">
        <v>72</v>
      </c>
      <c r="D209">
        <v>30</v>
      </c>
      <c r="E209" s="40" t="s">
        <v>98</v>
      </c>
      <c r="F209">
        <v>96.152150000000006</v>
      </c>
      <c r="G209">
        <v>16.753879999999999</v>
      </c>
      <c r="H209" s="40" t="s">
        <v>62</v>
      </c>
      <c r="I209">
        <v>209</v>
      </c>
      <c r="J209" s="40" t="s">
        <v>211</v>
      </c>
      <c r="K209" s="40" t="s">
        <v>136</v>
      </c>
      <c r="L209" s="40" t="s">
        <v>74</v>
      </c>
      <c r="M209" s="40" t="s">
        <v>57</v>
      </c>
      <c r="N209" s="40"/>
      <c r="O209" s="40" t="s">
        <v>75</v>
      </c>
      <c r="P209" s="40"/>
      <c r="Q209" s="40"/>
      <c r="R209" s="40" t="s">
        <v>57</v>
      </c>
      <c r="S209">
        <v>167</v>
      </c>
      <c r="T209">
        <v>1</v>
      </c>
      <c r="U209" s="1"/>
      <c r="V209" s="1"/>
      <c r="W209" s="1"/>
      <c r="X209" s="1"/>
      <c r="Y209" s="1"/>
      <c r="Z209" s="40"/>
      <c r="AA209">
        <v>166</v>
      </c>
      <c r="AB209">
        <v>1</v>
      </c>
      <c r="AC209" s="1"/>
      <c r="AD209" s="40"/>
      <c r="AE209" s="1"/>
      <c r="AF209" s="1"/>
      <c r="AG209" s="1"/>
      <c r="AH209" s="40"/>
      <c r="AI209" s="1"/>
      <c r="AJ209" s="40">
        <f>_xlfn.MAXIFS(_01towers[02tss.Rev],_01towers[05_id],_01towers[[#This Row],[05_id]])</f>
        <v>1</v>
      </c>
      <c r="AK209" s="40" t="b">
        <f>IF(_01towers[[#This Row],[Count Rev TSS]]=_01towers[[#This Row],[02tss.Rev]],TRUE,FALSE)</f>
        <v>1</v>
      </c>
      <c r="AL209" s="40">
        <f>_xlfn.MAXIFS(_01towers[10colo_app.Rev],_01towers[05_id],_01towers[[#This Row],[05_id]])</f>
        <v>1</v>
      </c>
      <c r="AM209" s="40" t="b">
        <f>IF(_01towers[[#This Row],[Count Rev Colo App]]=_01towers[[#This Row],[10colo_app.Rev]],TRUE,FALSE)</f>
        <v>1</v>
      </c>
      <c r="AN209" s="40" t="b">
        <f>IF(AND(_01towers[[#This Row],[Test Rev Colo]]=TRUE,_01towers[[#This Row],[Test Rev TSS]]=TRUE),TRUE,FALSE)</f>
        <v>1</v>
      </c>
      <c r="AO209" s="40" t="str">
        <f>IF(_01towers[[#This Row],[Test Active]]=TRUE,_01towers[[#This Row],[Prevalidation Status]],"")</f>
        <v>Prevalidation Rejected</v>
      </c>
      <c r="AP209" s="40" t="str">
        <f>IF(_01towers[[#This Row],[Active Prevalidation Status]]="Under Prevalidation",
IF(M209="","Review",M209),"")</f>
        <v/>
      </c>
      <c r="AQ209" s="40" t="str">
        <f>IF(_01towers[[#This Row],[Active Prevalidation Status]]="Under Prevalidation",
IF(N209="","Review",N209),"")</f>
        <v/>
      </c>
      <c r="AR209" s="40" t="str">
        <f>IF(_01towers[[#This Row],[Active Prevalidation Status]]="Under Prevalidation",
IF(O209="","Review",O209),"")</f>
        <v/>
      </c>
      <c r="AS209" s="40" t="str">
        <f>IF(_01towers[[#This Row],[Active Prevalidation Status]]="Under Prevalidation",
IF(P209="","Review",P209),"")</f>
        <v/>
      </c>
      <c r="AT209" s="40" t="str">
        <f>IF(_01towers[[#This Row],[Active Prevalidation Status]]="Under Prevalidation",
IF(Q209="","Review",Q209),"")</f>
        <v/>
      </c>
      <c r="AU209" s="40" t="str">
        <f>IF(_01towers[[#This Row],[Active Prevalidation Status]]="Under Prevalidation",
IF(R209="","Review",R209),"")</f>
        <v/>
      </c>
      <c r="AV209" s="40">
        <f>COUNTIF(_01towers[[#This Row],[SAQ_Result2]:[Community_Result2]],"OK")</f>
        <v>0</v>
      </c>
      <c r="AW209" s="1" t="str">
        <f>IF(AND(OR(_01towers[[#This Row],[Active Prevalidation Status]]="Under Prevalidation",_01towers[[#This Row],[Active Prevalidation Status]]="Prevalidated"),_01towers[[#This Row],[02tss.TSSR_From_Engineer]]&gt;0),"Submitted","")</f>
        <v/>
      </c>
      <c r="AX209" s="40" t="str">
        <f>IF(OR(_01towers[[#This Row],[Active Prevalidation Status]]="Under Prevalidation",_01towers[[#This Row],[Active Prevalidation Status]]="Prevalidated"),_01towers[[#This Row],[02tss.TSS_Result]],"")</f>
        <v/>
      </c>
      <c r="AY209" s="40" t="str">
        <f>IF(AND(_01towers[[#This Row],[Active TSS Result]]="Approved",_01towers[[#This Row],[Active Prevalidation Status]]="Prevalidated"),"In Process","")</f>
        <v/>
      </c>
      <c r="AZ209" s="40" t="str">
        <f>IF(AND(_01towers[[#This Row],[Active TSS Result]]="Approved",_01towers[[#This Row],[Active Prevalidation Status]]="Prevalidated"),_01towers[[#This Row],[10colo_app.Colo_App_Result]],"")</f>
        <v/>
      </c>
      <c r="BA209" s="40">
        <f>COUNTIF(_20work_order[05_id],_01towers[[#This Row],[05_id]])</f>
        <v>0</v>
      </c>
      <c r="BB209" s="40">
        <f>COUNTIFS(_20work_order[05_id],_01towers[[#This Row],[05_id]],_20work_order[Actual_End],"&gt;0")</f>
        <v>0</v>
      </c>
      <c r="BC209" s="40" t="str">
        <f>IF(_01towers[[#This Row],[Completed Work Orders]]&gt;0,"Work Completed",
IF(_01towers[[#This Row],[Count Work Orders]]&gt;0,"Work in Progress",""))</f>
        <v/>
      </c>
      <c r="BD20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09" s="40" t="str">
        <f>_xlfn.SWITCH(_01towers[[#This Row],[Final Colo Status full]],"Commercial Approval Requested","Under Prevalidation",_01towers[[#This Row],[Final Colo Status full]])</f>
        <v>Prevalidation Rejected</v>
      </c>
    </row>
    <row r="210" spans="1:57" hidden="1" x14ac:dyDescent="0.35">
      <c r="A210" s="40" t="s">
        <v>441</v>
      </c>
      <c r="B210" s="40" t="s">
        <v>90</v>
      </c>
      <c r="C210" s="40" t="s">
        <v>51</v>
      </c>
      <c r="D210">
        <v>45</v>
      </c>
      <c r="E210" s="40" t="s">
        <v>98</v>
      </c>
      <c r="F210">
        <v>96.144215000000003</v>
      </c>
      <c r="G210">
        <v>17.033743999999999</v>
      </c>
      <c r="H210" s="40" t="s">
        <v>62</v>
      </c>
      <c r="I210">
        <v>210</v>
      </c>
      <c r="J210" s="40" t="s">
        <v>642</v>
      </c>
      <c r="K210" s="40" t="s">
        <v>136</v>
      </c>
      <c r="L210" s="40" t="s">
        <v>64</v>
      </c>
      <c r="M210" s="40" t="s">
        <v>57</v>
      </c>
      <c r="N210" s="40" t="s">
        <v>57</v>
      </c>
      <c r="O210" s="40" t="s">
        <v>57</v>
      </c>
      <c r="P210" s="40" t="s">
        <v>57</v>
      </c>
      <c r="Q210" s="40" t="s">
        <v>57</v>
      </c>
      <c r="R210" s="40" t="s">
        <v>57</v>
      </c>
      <c r="S210">
        <v>172</v>
      </c>
      <c r="T210">
        <v>1</v>
      </c>
      <c r="U210" s="1">
        <v>43262</v>
      </c>
      <c r="V210" s="1">
        <v>43262</v>
      </c>
      <c r="W210" s="1">
        <v>43262</v>
      </c>
      <c r="X210" s="1">
        <v>43262</v>
      </c>
      <c r="Y210" s="1"/>
      <c r="Z210" s="40" t="s">
        <v>59</v>
      </c>
      <c r="AA210">
        <v>171</v>
      </c>
      <c r="AB210">
        <v>1</v>
      </c>
      <c r="AC210" s="1"/>
      <c r="AD210" s="40"/>
      <c r="AE210" s="1"/>
      <c r="AF210" s="1"/>
      <c r="AG210" s="1"/>
      <c r="AH210" s="40"/>
      <c r="AI210" s="1"/>
      <c r="AJ210" s="40">
        <f>_xlfn.MAXIFS(_01towers[02tss.Rev],_01towers[05_id],_01towers[[#This Row],[05_id]])</f>
        <v>1</v>
      </c>
      <c r="AK210" s="40" t="b">
        <f>IF(_01towers[[#This Row],[Count Rev TSS]]=_01towers[[#This Row],[02tss.Rev]],TRUE,FALSE)</f>
        <v>1</v>
      </c>
      <c r="AL210" s="40">
        <f>_xlfn.MAXIFS(_01towers[10colo_app.Rev],_01towers[05_id],_01towers[[#This Row],[05_id]])</f>
        <v>1</v>
      </c>
      <c r="AM210" s="40" t="b">
        <f>IF(_01towers[[#This Row],[Count Rev Colo App]]=_01towers[[#This Row],[10colo_app.Rev]],TRUE,FALSE)</f>
        <v>1</v>
      </c>
      <c r="AN210" s="40" t="b">
        <f>IF(AND(_01towers[[#This Row],[Test Rev Colo]]=TRUE,_01towers[[#This Row],[Test Rev TSS]]=TRUE),TRUE,FALSE)</f>
        <v>1</v>
      </c>
      <c r="AO210" s="40" t="str">
        <f>IF(_01towers[[#This Row],[Test Active]]=TRUE,_01towers[[#This Row],[Prevalidation Status]],"")</f>
        <v>Prevalidated</v>
      </c>
      <c r="AP210" s="40" t="str">
        <f>IF(_01towers[[#This Row],[Active Prevalidation Status]]="Under Prevalidation",
IF(M210="","Review",M210),"")</f>
        <v/>
      </c>
      <c r="AQ210" s="40" t="str">
        <f>IF(_01towers[[#This Row],[Active Prevalidation Status]]="Under Prevalidation",
IF(N210="","Review",N210),"")</f>
        <v/>
      </c>
      <c r="AR210" s="40" t="str">
        <f>IF(_01towers[[#This Row],[Active Prevalidation Status]]="Under Prevalidation",
IF(O210="","Review",O210),"")</f>
        <v/>
      </c>
      <c r="AS210" s="40" t="str">
        <f>IF(_01towers[[#This Row],[Active Prevalidation Status]]="Under Prevalidation",
IF(P210="","Review",P210),"")</f>
        <v/>
      </c>
      <c r="AT210" s="40" t="str">
        <f>IF(_01towers[[#This Row],[Active Prevalidation Status]]="Under Prevalidation",
IF(Q210="","Review",Q210),"")</f>
        <v/>
      </c>
      <c r="AU210" s="40" t="str">
        <f>IF(_01towers[[#This Row],[Active Prevalidation Status]]="Under Prevalidation",
IF(R210="","Review",R210),"")</f>
        <v/>
      </c>
      <c r="AV210" s="40">
        <f>COUNTIF(_01towers[[#This Row],[SAQ_Result2]:[Community_Result2]],"OK")</f>
        <v>0</v>
      </c>
      <c r="AW210" s="1" t="str">
        <f>IF(AND(OR(_01towers[[#This Row],[Active Prevalidation Status]]="Under Prevalidation",_01towers[[#This Row],[Active Prevalidation Status]]="Prevalidated"),_01towers[[#This Row],[02tss.TSSR_From_Engineer]]&gt;0),"Submitted","")</f>
        <v>Submitted</v>
      </c>
      <c r="AX210" s="40" t="str">
        <f>IF(OR(_01towers[[#This Row],[Active Prevalidation Status]]="Under Prevalidation",_01towers[[#This Row],[Active Prevalidation Status]]="Prevalidated"),_01towers[[#This Row],[02tss.TSS_Result]],"")</f>
        <v>Approved</v>
      </c>
      <c r="AY210" s="40" t="str">
        <f>IF(AND(_01towers[[#This Row],[Active TSS Result]]="Approved",_01towers[[#This Row],[Active Prevalidation Status]]="Prevalidated"),"In Process","")</f>
        <v>In Process</v>
      </c>
      <c r="AZ210" s="40">
        <f>IF(AND(_01towers[[#This Row],[Active TSS Result]]="Approved",_01towers[[#This Row],[Active Prevalidation Status]]="Prevalidated"),_01towers[[#This Row],[10colo_app.Colo_App_Result]],"")</f>
        <v>0</v>
      </c>
      <c r="BA210" s="40">
        <f>COUNTIF(_20work_order[05_id],_01towers[[#This Row],[05_id]])</f>
        <v>0</v>
      </c>
      <c r="BB210" s="40">
        <f>COUNTIFS(_20work_order[05_id],_01towers[[#This Row],[05_id]],_20work_order[Actual_End],"&gt;0")</f>
        <v>0</v>
      </c>
      <c r="BC210" s="40" t="str">
        <f>IF(_01towers[[#This Row],[Completed Work Orders]]&gt;0,"Work Completed",
IF(_01towers[[#This Row],[Count Work Orders]]&gt;0,"Work in Progress",""))</f>
        <v/>
      </c>
      <c r="BD21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210" s="40" t="str">
        <f>_xlfn.SWITCH(_01towers[[#This Row],[Final Colo Status full]],"Commercial Approval Requested","Under Prevalidation",_01towers[[#This Row],[Final Colo Status full]])</f>
        <v>Prevalidated - TSSR Done</v>
      </c>
    </row>
    <row r="211" spans="1:57" hidden="1" x14ac:dyDescent="0.35">
      <c r="A211" s="40" t="s">
        <v>442</v>
      </c>
      <c r="B211" s="40" t="s">
        <v>90</v>
      </c>
      <c r="C211" s="40" t="s">
        <v>51</v>
      </c>
      <c r="D211">
        <v>45</v>
      </c>
      <c r="E211" s="40" t="s">
        <v>98</v>
      </c>
      <c r="F211">
        <v>96.328159999999997</v>
      </c>
      <c r="G211">
        <v>16.640180000000001</v>
      </c>
      <c r="H211" s="40" t="s">
        <v>143</v>
      </c>
      <c r="I211">
        <v>211</v>
      </c>
      <c r="J211" s="40" t="s">
        <v>211</v>
      </c>
      <c r="K211" s="40" t="s">
        <v>136</v>
      </c>
      <c r="L211" s="40" t="s">
        <v>64</v>
      </c>
      <c r="M211" s="40" t="s">
        <v>57</v>
      </c>
      <c r="N211" s="40" t="s">
        <v>57</v>
      </c>
      <c r="O211" s="40" t="s">
        <v>57</v>
      </c>
      <c r="P211" s="40" t="s">
        <v>57</v>
      </c>
      <c r="Q211" s="40" t="s">
        <v>57</v>
      </c>
      <c r="R211" s="40" t="s">
        <v>57</v>
      </c>
      <c r="S211">
        <v>134</v>
      </c>
      <c r="T211">
        <v>1</v>
      </c>
      <c r="U211" s="1"/>
      <c r="V211" s="1"/>
      <c r="W211" s="1"/>
      <c r="X211" s="1"/>
      <c r="Y211" s="1"/>
      <c r="Z211" s="40"/>
      <c r="AA211">
        <v>133</v>
      </c>
      <c r="AB211">
        <v>1</v>
      </c>
      <c r="AC211" s="1"/>
      <c r="AD211" s="40"/>
      <c r="AE211" s="1"/>
      <c r="AF211" s="1"/>
      <c r="AG211" s="1"/>
      <c r="AH211" s="40"/>
      <c r="AI211" s="1"/>
      <c r="AJ211" s="40">
        <f>_xlfn.MAXIFS(_01towers[02tss.Rev],_01towers[05_id],_01towers[[#This Row],[05_id]])</f>
        <v>1</v>
      </c>
      <c r="AK211" s="40" t="b">
        <f>IF(_01towers[[#This Row],[Count Rev TSS]]=_01towers[[#This Row],[02tss.Rev]],TRUE,FALSE)</f>
        <v>1</v>
      </c>
      <c r="AL211" s="40">
        <f>_xlfn.MAXIFS(_01towers[10colo_app.Rev],_01towers[05_id],_01towers[[#This Row],[05_id]])</f>
        <v>1</v>
      </c>
      <c r="AM211" s="40" t="b">
        <f>IF(_01towers[[#This Row],[Count Rev Colo App]]=_01towers[[#This Row],[10colo_app.Rev]],TRUE,FALSE)</f>
        <v>1</v>
      </c>
      <c r="AN211" s="40" t="b">
        <f>IF(AND(_01towers[[#This Row],[Test Rev Colo]]=TRUE,_01towers[[#This Row],[Test Rev TSS]]=TRUE),TRUE,FALSE)</f>
        <v>1</v>
      </c>
      <c r="AO211" s="40" t="str">
        <f>IF(_01towers[[#This Row],[Test Active]]=TRUE,_01towers[[#This Row],[Prevalidation Status]],"")</f>
        <v>Prevalidated</v>
      </c>
      <c r="AP211" s="40" t="str">
        <f>IF(_01towers[[#This Row],[Active Prevalidation Status]]="Under Prevalidation",
IF(M211="","Review",M211),"")</f>
        <v/>
      </c>
      <c r="AQ211" s="40" t="str">
        <f>IF(_01towers[[#This Row],[Active Prevalidation Status]]="Under Prevalidation",
IF(N211="","Review",N211),"")</f>
        <v/>
      </c>
      <c r="AR211" s="40" t="str">
        <f>IF(_01towers[[#This Row],[Active Prevalidation Status]]="Under Prevalidation",
IF(O211="","Review",O211),"")</f>
        <v/>
      </c>
      <c r="AS211" s="40" t="str">
        <f>IF(_01towers[[#This Row],[Active Prevalidation Status]]="Under Prevalidation",
IF(P211="","Review",P211),"")</f>
        <v/>
      </c>
      <c r="AT211" s="40" t="str">
        <f>IF(_01towers[[#This Row],[Active Prevalidation Status]]="Under Prevalidation",
IF(Q211="","Review",Q211),"")</f>
        <v/>
      </c>
      <c r="AU211" s="40" t="str">
        <f>IF(_01towers[[#This Row],[Active Prevalidation Status]]="Under Prevalidation",
IF(R211="","Review",R211),"")</f>
        <v/>
      </c>
      <c r="AV211" s="40">
        <f>COUNTIF(_01towers[[#This Row],[SAQ_Result2]:[Community_Result2]],"OK")</f>
        <v>0</v>
      </c>
      <c r="AW211" s="1" t="str">
        <f>IF(AND(OR(_01towers[[#This Row],[Active Prevalidation Status]]="Under Prevalidation",_01towers[[#This Row],[Active Prevalidation Status]]="Prevalidated"),_01towers[[#This Row],[02tss.TSSR_From_Engineer]]&gt;0),"Submitted","")</f>
        <v/>
      </c>
      <c r="AX211" s="40">
        <f>IF(OR(_01towers[[#This Row],[Active Prevalidation Status]]="Under Prevalidation",_01towers[[#This Row],[Active Prevalidation Status]]="Prevalidated"),_01towers[[#This Row],[02tss.TSS_Result]],"")</f>
        <v>0</v>
      </c>
      <c r="AY211" s="40" t="str">
        <f>IF(AND(_01towers[[#This Row],[Active TSS Result]]="Approved",_01towers[[#This Row],[Active Prevalidation Status]]="Prevalidated"),"In Process","")</f>
        <v/>
      </c>
      <c r="AZ211" s="40" t="str">
        <f>IF(AND(_01towers[[#This Row],[Active TSS Result]]="Approved",_01towers[[#This Row],[Active Prevalidation Status]]="Prevalidated"),_01towers[[#This Row],[10colo_app.Colo_App_Result]],"")</f>
        <v/>
      </c>
      <c r="BA211" s="40">
        <f>COUNTIF(_20work_order[05_id],_01towers[[#This Row],[05_id]])</f>
        <v>0</v>
      </c>
      <c r="BB211" s="40">
        <f>COUNTIFS(_20work_order[05_id],_01towers[[#This Row],[05_id]],_20work_order[Actual_End],"&gt;0")</f>
        <v>0</v>
      </c>
      <c r="BC211" s="40" t="str">
        <f>IF(_01towers[[#This Row],[Completed Work Orders]]&gt;0,"Work Completed",
IF(_01towers[[#This Row],[Count Work Orders]]&gt;0,"Work in Progress",""))</f>
        <v/>
      </c>
      <c r="BD21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11" s="40" t="str">
        <f>_xlfn.SWITCH(_01towers[[#This Row],[Final Colo Status full]],"Commercial Approval Requested","Under Prevalidation",_01towers[[#This Row],[Final Colo Status full]])</f>
        <v>Prevalidated - TSSR in Process</v>
      </c>
    </row>
    <row r="212" spans="1:57" hidden="1" x14ac:dyDescent="0.35">
      <c r="A212" s="40" t="s">
        <v>443</v>
      </c>
      <c r="B212" s="40" t="s">
        <v>90</v>
      </c>
      <c r="C212" s="40" t="s">
        <v>51</v>
      </c>
      <c r="D212">
        <v>45</v>
      </c>
      <c r="E212" s="40" t="s">
        <v>98</v>
      </c>
      <c r="F212">
        <v>95.967839999999995</v>
      </c>
      <c r="G212">
        <v>17.306979999999999</v>
      </c>
      <c r="H212" s="40" t="s">
        <v>150</v>
      </c>
      <c r="I212">
        <v>212</v>
      </c>
      <c r="J212" s="40" t="s">
        <v>577</v>
      </c>
      <c r="K212" s="40" t="s">
        <v>136</v>
      </c>
      <c r="L212" s="40" t="s">
        <v>64</v>
      </c>
      <c r="M212" s="40" t="s">
        <v>57</v>
      </c>
      <c r="N212" s="40" t="s">
        <v>57</v>
      </c>
      <c r="O212" s="40" t="s">
        <v>57</v>
      </c>
      <c r="P212" s="40" t="s">
        <v>57</v>
      </c>
      <c r="Q212" s="40" t="s">
        <v>57</v>
      </c>
      <c r="R212" s="40" t="s">
        <v>57</v>
      </c>
      <c r="S212">
        <v>135</v>
      </c>
      <c r="T212">
        <v>1</v>
      </c>
      <c r="U212" s="1"/>
      <c r="V212" s="1"/>
      <c r="W212" s="1"/>
      <c r="X212" s="1"/>
      <c r="Y212" s="1"/>
      <c r="Z212" s="40"/>
      <c r="AA212">
        <v>134</v>
      </c>
      <c r="AB212">
        <v>1</v>
      </c>
      <c r="AC212" s="1"/>
      <c r="AD212" s="40"/>
      <c r="AE212" s="1"/>
      <c r="AF212" s="1"/>
      <c r="AG212" s="1"/>
      <c r="AH212" s="40"/>
      <c r="AI212" s="1"/>
      <c r="AJ212" s="40">
        <f>_xlfn.MAXIFS(_01towers[02tss.Rev],_01towers[05_id],_01towers[[#This Row],[05_id]])</f>
        <v>1</v>
      </c>
      <c r="AK212" s="40" t="b">
        <f>IF(_01towers[[#This Row],[Count Rev TSS]]=_01towers[[#This Row],[02tss.Rev]],TRUE,FALSE)</f>
        <v>1</v>
      </c>
      <c r="AL212" s="40">
        <f>_xlfn.MAXIFS(_01towers[10colo_app.Rev],_01towers[05_id],_01towers[[#This Row],[05_id]])</f>
        <v>1</v>
      </c>
      <c r="AM212" s="40" t="b">
        <f>IF(_01towers[[#This Row],[Count Rev Colo App]]=_01towers[[#This Row],[10colo_app.Rev]],TRUE,FALSE)</f>
        <v>1</v>
      </c>
      <c r="AN212" s="40" t="b">
        <f>IF(AND(_01towers[[#This Row],[Test Rev Colo]]=TRUE,_01towers[[#This Row],[Test Rev TSS]]=TRUE),TRUE,FALSE)</f>
        <v>1</v>
      </c>
      <c r="AO212" s="40" t="str">
        <f>IF(_01towers[[#This Row],[Test Active]]=TRUE,_01towers[[#This Row],[Prevalidation Status]],"")</f>
        <v>Prevalidated</v>
      </c>
      <c r="AP212" s="40" t="str">
        <f>IF(_01towers[[#This Row],[Active Prevalidation Status]]="Under Prevalidation",
IF(M212="","Review",M212),"")</f>
        <v/>
      </c>
      <c r="AQ212" s="40" t="str">
        <f>IF(_01towers[[#This Row],[Active Prevalidation Status]]="Under Prevalidation",
IF(N212="","Review",N212),"")</f>
        <v/>
      </c>
      <c r="AR212" s="40" t="str">
        <f>IF(_01towers[[#This Row],[Active Prevalidation Status]]="Under Prevalidation",
IF(O212="","Review",O212),"")</f>
        <v/>
      </c>
      <c r="AS212" s="40" t="str">
        <f>IF(_01towers[[#This Row],[Active Prevalidation Status]]="Under Prevalidation",
IF(P212="","Review",P212),"")</f>
        <v/>
      </c>
      <c r="AT212" s="40" t="str">
        <f>IF(_01towers[[#This Row],[Active Prevalidation Status]]="Under Prevalidation",
IF(Q212="","Review",Q212),"")</f>
        <v/>
      </c>
      <c r="AU212" s="40" t="str">
        <f>IF(_01towers[[#This Row],[Active Prevalidation Status]]="Under Prevalidation",
IF(R212="","Review",R212),"")</f>
        <v/>
      </c>
      <c r="AV212" s="40">
        <f>COUNTIF(_01towers[[#This Row],[SAQ_Result2]:[Community_Result2]],"OK")</f>
        <v>0</v>
      </c>
      <c r="AW212" s="1" t="str">
        <f>IF(AND(OR(_01towers[[#This Row],[Active Prevalidation Status]]="Under Prevalidation",_01towers[[#This Row],[Active Prevalidation Status]]="Prevalidated"),_01towers[[#This Row],[02tss.TSSR_From_Engineer]]&gt;0),"Submitted","")</f>
        <v/>
      </c>
      <c r="AX212" s="40">
        <f>IF(OR(_01towers[[#This Row],[Active Prevalidation Status]]="Under Prevalidation",_01towers[[#This Row],[Active Prevalidation Status]]="Prevalidated"),_01towers[[#This Row],[02tss.TSS_Result]],"")</f>
        <v>0</v>
      </c>
      <c r="AY212" s="40" t="str">
        <f>IF(AND(_01towers[[#This Row],[Active TSS Result]]="Approved",_01towers[[#This Row],[Active Prevalidation Status]]="Prevalidated"),"In Process","")</f>
        <v/>
      </c>
      <c r="AZ212" s="40" t="str">
        <f>IF(AND(_01towers[[#This Row],[Active TSS Result]]="Approved",_01towers[[#This Row],[Active Prevalidation Status]]="Prevalidated"),_01towers[[#This Row],[10colo_app.Colo_App_Result]],"")</f>
        <v/>
      </c>
      <c r="BA212" s="40">
        <f>COUNTIF(_20work_order[05_id],_01towers[[#This Row],[05_id]])</f>
        <v>0</v>
      </c>
      <c r="BB212" s="40">
        <f>COUNTIFS(_20work_order[05_id],_01towers[[#This Row],[05_id]],_20work_order[Actual_End],"&gt;0")</f>
        <v>0</v>
      </c>
      <c r="BC212" s="40" t="str">
        <f>IF(_01towers[[#This Row],[Completed Work Orders]]&gt;0,"Work Completed",
IF(_01towers[[#This Row],[Count Work Orders]]&gt;0,"Work in Progress",""))</f>
        <v/>
      </c>
      <c r="BD21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12" s="40" t="str">
        <f>_xlfn.SWITCH(_01towers[[#This Row],[Final Colo Status full]],"Commercial Approval Requested","Under Prevalidation",_01towers[[#This Row],[Final Colo Status full]])</f>
        <v>Prevalidated - TSSR in Process</v>
      </c>
    </row>
    <row r="213" spans="1:57" hidden="1" x14ac:dyDescent="0.35">
      <c r="A213" s="40" t="s">
        <v>444</v>
      </c>
      <c r="B213" s="40" t="s">
        <v>90</v>
      </c>
      <c r="C213" s="40" t="s">
        <v>51</v>
      </c>
      <c r="D213">
        <v>35</v>
      </c>
      <c r="E213" s="40" t="s">
        <v>98</v>
      </c>
      <c r="F213">
        <v>96.287679999999995</v>
      </c>
      <c r="G213">
        <v>16.7288</v>
      </c>
      <c r="H213" s="40" t="s">
        <v>53</v>
      </c>
      <c r="I213">
        <v>213</v>
      </c>
      <c r="J213" s="40" t="s">
        <v>445</v>
      </c>
      <c r="K213" s="40" t="s">
        <v>136</v>
      </c>
      <c r="L213" s="40" t="s">
        <v>64</v>
      </c>
      <c r="M213" s="40" t="s">
        <v>57</v>
      </c>
      <c r="N213" s="40" t="s">
        <v>57</v>
      </c>
      <c r="O213" s="40" t="s">
        <v>57</v>
      </c>
      <c r="P213" s="40" t="s">
        <v>57</v>
      </c>
      <c r="Q213" s="40" t="s">
        <v>57</v>
      </c>
      <c r="R213" s="40" t="s">
        <v>57</v>
      </c>
      <c r="S213">
        <v>133</v>
      </c>
      <c r="T213">
        <v>1</v>
      </c>
      <c r="U213" s="1">
        <v>43264</v>
      </c>
      <c r="V213" s="1">
        <v>43266</v>
      </c>
      <c r="W213" s="1">
        <v>43266</v>
      </c>
      <c r="X213" s="1">
        <v>43266</v>
      </c>
      <c r="Y213" s="1"/>
      <c r="Z213" s="40" t="s">
        <v>59</v>
      </c>
      <c r="AA213">
        <v>132</v>
      </c>
      <c r="AB213">
        <v>1</v>
      </c>
      <c r="AC213" s="1">
        <v>43272</v>
      </c>
      <c r="AD213" s="40" t="s">
        <v>570</v>
      </c>
      <c r="AE213" s="1"/>
      <c r="AF213" s="1"/>
      <c r="AG213" s="1"/>
      <c r="AH213" s="40"/>
      <c r="AI213" s="1"/>
      <c r="AJ213" s="40">
        <f>_xlfn.MAXIFS(_01towers[02tss.Rev],_01towers[05_id],_01towers[[#This Row],[05_id]])</f>
        <v>1</v>
      </c>
      <c r="AK213" s="40" t="b">
        <f>IF(_01towers[[#This Row],[Count Rev TSS]]=_01towers[[#This Row],[02tss.Rev]],TRUE,FALSE)</f>
        <v>1</v>
      </c>
      <c r="AL213" s="40">
        <f>_xlfn.MAXIFS(_01towers[10colo_app.Rev],_01towers[05_id],_01towers[[#This Row],[05_id]])</f>
        <v>1</v>
      </c>
      <c r="AM213" s="40" t="b">
        <f>IF(_01towers[[#This Row],[Count Rev Colo App]]=_01towers[[#This Row],[10colo_app.Rev]],TRUE,FALSE)</f>
        <v>1</v>
      </c>
      <c r="AN213" s="40" t="b">
        <f>IF(AND(_01towers[[#This Row],[Test Rev Colo]]=TRUE,_01towers[[#This Row],[Test Rev TSS]]=TRUE),TRUE,FALSE)</f>
        <v>1</v>
      </c>
      <c r="AO213" s="40" t="str">
        <f>IF(_01towers[[#This Row],[Test Active]]=TRUE,_01towers[[#This Row],[Prevalidation Status]],"")</f>
        <v>Prevalidated</v>
      </c>
      <c r="AP213" s="40" t="str">
        <f>IF(_01towers[[#This Row],[Active Prevalidation Status]]="Under Prevalidation",
IF(M213="","Review",M213),"")</f>
        <v/>
      </c>
      <c r="AQ213" s="40" t="str">
        <f>IF(_01towers[[#This Row],[Active Prevalidation Status]]="Under Prevalidation",
IF(N213="","Review",N213),"")</f>
        <v/>
      </c>
      <c r="AR213" s="40" t="str">
        <f>IF(_01towers[[#This Row],[Active Prevalidation Status]]="Under Prevalidation",
IF(O213="","Review",O213),"")</f>
        <v/>
      </c>
      <c r="AS213" s="40" t="str">
        <f>IF(_01towers[[#This Row],[Active Prevalidation Status]]="Under Prevalidation",
IF(P213="","Review",P213),"")</f>
        <v/>
      </c>
      <c r="AT213" s="40" t="str">
        <f>IF(_01towers[[#This Row],[Active Prevalidation Status]]="Under Prevalidation",
IF(Q213="","Review",Q213),"")</f>
        <v/>
      </c>
      <c r="AU213" s="40" t="str">
        <f>IF(_01towers[[#This Row],[Active Prevalidation Status]]="Under Prevalidation",
IF(R213="","Review",R213),"")</f>
        <v/>
      </c>
      <c r="AV213" s="40">
        <f>COUNTIF(_01towers[[#This Row],[SAQ_Result2]:[Community_Result2]],"OK")</f>
        <v>0</v>
      </c>
      <c r="AW213" s="1" t="str">
        <f>IF(AND(OR(_01towers[[#This Row],[Active Prevalidation Status]]="Under Prevalidation",_01towers[[#This Row],[Active Prevalidation Status]]="Prevalidated"),_01towers[[#This Row],[02tss.TSSR_From_Engineer]]&gt;0),"Submitted","")</f>
        <v>Submitted</v>
      </c>
      <c r="AX213" s="40" t="str">
        <f>IF(OR(_01towers[[#This Row],[Active Prevalidation Status]]="Under Prevalidation",_01towers[[#This Row],[Active Prevalidation Status]]="Prevalidated"),_01towers[[#This Row],[02tss.TSS_Result]],"")</f>
        <v>Approved</v>
      </c>
      <c r="AY213" s="40" t="str">
        <f>IF(AND(_01towers[[#This Row],[Active TSS Result]]="Approved",_01towers[[#This Row],[Active Prevalidation Status]]="Prevalidated"),"In Process","")</f>
        <v>In Process</v>
      </c>
      <c r="AZ213" s="40" t="str">
        <f>IF(AND(_01towers[[#This Row],[Active TSS Result]]="Approved",_01towers[[#This Row],[Active Prevalidation Status]]="Prevalidated"),_01towers[[#This Row],[10colo_app.Colo_App_Result]],"")</f>
        <v>NTP Received</v>
      </c>
      <c r="BA213" s="40">
        <f>COUNTIF(_20work_order[05_id],_01towers[[#This Row],[05_id]])</f>
        <v>0</v>
      </c>
      <c r="BB213" s="40">
        <f>COUNTIFS(_20work_order[05_id],_01towers[[#This Row],[05_id]],_20work_order[Actual_End],"&gt;0")</f>
        <v>0</v>
      </c>
      <c r="BC213" s="40" t="str">
        <f>IF(_01towers[[#This Row],[Completed Work Orders]]&gt;0,"Work Completed",
IF(_01towers[[#This Row],[Count Work Orders]]&gt;0,"Work in Progress",""))</f>
        <v/>
      </c>
      <c r="BD21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213" s="40" t="str">
        <f>_xlfn.SWITCH(_01towers[[#This Row],[Final Colo Status full]],"Commercial Approval Requested","Under Prevalidation",_01towers[[#This Row],[Final Colo Status full]])</f>
        <v>NTP Received</v>
      </c>
    </row>
    <row r="214" spans="1:57" hidden="1" x14ac:dyDescent="0.35">
      <c r="A214" s="40" t="s">
        <v>122</v>
      </c>
      <c r="B214" s="40" t="s">
        <v>90</v>
      </c>
      <c r="C214" s="40" t="s">
        <v>51</v>
      </c>
      <c r="D214">
        <v>35</v>
      </c>
      <c r="E214" s="40" t="s">
        <v>98</v>
      </c>
      <c r="F214">
        <v>96.281469999999999</v>
      </c>
      <c r="G214">
        <v>16.736360000000001</v>
      </c>
      <c r="H214" s="40" t="s">
        <v>53</v>
      </c>
      <c r="I214">
        <v>214</v>
      </c>
      <c r="J214" s="40" t="s">
        <v>211</v>
      </c>
      <c r="K214" s="40" t="s">
        <v>136</v>
      </c>
      <c r="L214" s="40" t="s">
        <v>74</v>
      </c>
      <c r="M214" s="40" t="s">
        <v>57</v>
      </c>
      <c r="N214" s="40" t="s">
        <v>57</v>
      </c>
      <c r="O214" s="40" t="s">
        <v>57</v>
      </c>
      <c r="P214" s="40" t="s">
        <v>75</v>
      </c>
      <c r="Q214" s="40" t="s">
        <v>57</v>
      </c>
      <c r="R214" s="40" t="s">
        <v>57</v>
      </c>
      <c r="S214">
        <v>132</v>
      </c>
      <c r="T214">
        <v>1</v>
      </c>
      <c r="U214" s="1"/>
      <c r="V214" s="1"/>
      <c r="W214" s="1"/>
      <c r="X214" s="1"/>
      <c r="Y214" s="1"/>
      <c r="Z214" s="40"/>
      <c r="AA214">
        <v>131</v>
      </c>
      <c r="AB214">
        <v>1</v>
      </c>
      <c r="AC214" s="1"/>
      <c r="AD214" s="40"/>
      <c r="AE214" s="1"/>
      <c r="AF214" s="1"/>
      <c r="AG214" s="1"/>
      <c r="AH214" s="40"/>
      <c r="AI214" s="1"/>
      <c r="AJ214" s="40">
        <f>_xlfn.MAXIFS(_01towers[02tss.Rev],_01towers[05_id],_01towers[[#This Row],[05_id]])</f>
        <v>1</v>
      </c>
      <c r="AK214" s="40" t="b">
        <f>IF(_01towers[[#This Row],[Count Rev TSS]]=_01towers[[#This Row],[02tss.Rev]],TRUE,FALSE)</f>
        <v>1</v>
      </c>
      <c r="AL214" s="40">
        <f>_xlfn.MAXIFS(_01towers[10colo_app.Rev],_01towers[05_id],_01towers[[#This Row],[05_id]])</f>
        <v>1</v>
      </c>
      <c r="AM214" s="40" t="b">
        <f>IF(_01towers[[#This Row],[Count Rev Colo App]]=_01towers[[#This Row],[10colo_app.Rev]],TRUE,FALSE)</f>
        <v>1</v>
      </c>
      <c r="AN214" s="40" t="b">
        <f>IF(AND(_01towers[[#This Row],[Test Rev Colo]]=TRUE,_01towers[[#This Row],[Test Rev TSS]]=TRUE),TRUE,FALSE)</f>
        <v>1</v>
      </c>
      <c r="AO214" s="40" t="str">
        <f>IF(_01towers[[#This Row],[Test Active]]=TRUE,_01towers[[#This Row],[Prevalidation Status]],"")</f>
        <v>Prevalidation Rejected</v>
      </c>
      <c r="AP214" s="40" t="str">
        <f>IF(_01towers[[#This Row],[Active Prevalidation Status]]="Under Prevalidation",
IF(M214="","Review",M214),"")</f>
        <v/>
      </c>
      <c r="AQ214" s="40" t="str">
        <f>IF(_01towers[[#This Row],[Active Prevalidation Status]]="Under Prevalidation",
IF(N214="","Review",N214),"")</f>
        <v/>
      </c>
      <c r="AR214" s="40" t="str">
        <f>IF(_01towers[[#This Row],[Active Prevalidation Status]]="Under Prevalidation",
IF(O214="","Review",O214),"")</f>
        <v/>
      </c>
      <c r="AS214" s="40" t="str">
        <f>IF(_01towers[[#This Row],[Active Prevalidation Status]]="Under Prevalidation",
IF(P214="","Review",P214),"")</f>
        <v/>
      </c>
      <c r="AT214" s="40" t="str">
        <f>IF(_01towers[[#This Row],[Active Prevalidation Status]]="Under Prevalidation",
IF(Q214="","Review",Q214),"")</f>
        <v/>
      </c>
      <c r="AU214" s="40" t="str">
        <f>IF(_01towers[[#This Row],[Active Prevalidation Status]]="Under Prevalidation",
IF(R214="","Review",R214),"")</f>
        <v/>
      </c>
      <c r="AV214" s="40">
        <f>COUNTIF(_01towers[[#This Row],[SAQ_Result2]:[Community_Result2]],"OK")</f>
        <v>0</v>
      </c>
      <c r="AW214" s="1" t="str">
        <f>IF(AND(OR(_01towers[[#This Row],[Active Prevalidation Status]]="Under Prevalidation",_01towers[[#This Row],[Active Prevalidation Status]]="Prevalidated"),_01towers[[#This Row],[02tss.TSSR_From_Engineer]]&gt;0),"Submitted","")</f>
        <v/>
      </c>
      <c r="AX214" s="40" t="str">
        <f>IF(OR(_01towers[[#This Row],[Active Prevalidation Status]]="Under Prevalidation",_01towers[[#This Row],[Active Prevalidation Status]]="Prevalidated"),_01towers[[#This Row],[02tss.TSS_Result]],"")</f>
        <v/>
      </c>
      <c r="AY214" s="40" t="str">
        <f>IF(AND(_01towers[[#This Row],[Active TSS Result]]="Approved",_01towers[[#This Row],[Active Prevalidation Status]]="Prevalidated"),"In Process","")</f>
        <v/>
      </c>
      <c r="AZ214" s="40" t="str">
        <f>IF(AND(_01towers[[#This Row],[Active TSS Result]]="Approved",_01towers[[#This Row],[Active Prevalidation Status]]="Prevalidated"),_01towers[[#This Row],[10colo_app.Colo_App_Result]],"")</f>
        <v/>
      </c>
      <c r="BA214" s="40">
        <f>COUNTIF(_20work_order[05_id],_01towers[[#This Row],[05_id]])</f>
        <v>0</v>
      </c>
      <c r="BB214" s="40">
        <f>COUNTIFS(_20work_order[05_id],_01towers[[#This Row],[05_id]],_20work_order[Actual_End],"&gt;0")</f>
        <v>0</v>
      </c>
      <c r="BC214" s="40" t="str">
        <f>IF(_01towers[[#This Row],[Completed Work Orders]]&gt;0,"Work Completed",
IF(_01towers[[#This Row],[Count Work Orders]]&gt;0,"Work in Progress",""))</f>
        <v/>
      </c>
      <c r="BD21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14" s="40" t="str">
        <f>_xlfn.SWITCH(_01towers[[#This Row],[Final Colo Status full]],"Commercial Approval Requested","Under Prevalidation",_01towers[[#This Row],[Final Colo Status full]])</f>
        <v>Prevalidation Rejected</v>
      </c>
    </row>
    <row r="215" spans="1:57" hidden="1" x14ac:dyDescent="0.35">
      <c r="A215" s="40" t="s">
        <v>446</v>
      </c>
      <c r="B215" s="40" t="s">
        <v>90</v>
      </c>
      <c r="C215" s="40" t="s">
        <v>51</v>
      </c>
      <c r="D215">
        <v>45</v>
      </c>
      <c r="E215" s="40" t="s">
        <v>98</v>
      </c>
      <c r="F215">
        <v>96.063779999999994</v>
      </c>
      <c r="G215">
        <v>16.820209999999999</v>
      </c>
      <c r="H215" s="40" t="s">
        <v>150</v>
      </c>
      <c r="I215">
        <v>215</v>
      </c>
      <c r="J215" s="40" t="s">
        <v>643</v>
      </c>
      <c r="K215" s="40" t="s">
        <v>136</v>
      </c>
      <c r="L215" s="40" t="s">
        <v>64</v>
      </c>
      <c r="M215" s="40" t="s">
        <v>57</v>
      </c>
      <c r="N215" s="40" t="s">
        <v>57</v>
      </c>
      <c r="O215" s="40" t="s">
        <v>57</v>
      </c>
      <c r="P215" s="40" t="s">
        <v>57</v>
      </c>
      <c r="Q215" s="40" t="s">
        <v>57</v>
      </c>
      <c r="R215" s="40" t="s">
        <v>57</v>
      </c>
      <c r="S215">
        <v>129</v>
      </c>
      <c r="T215">
        <v>1</v>
      </c>
      <c r="U215" s="1">
        <v>43262</v>
      </c>
      <c r="V215" s="1">
        <v>43262</v>
      </c>
      <c r="W215" s="1">
        <v>43262</v>
      </c>
      <c r="X215" s="1">
        <v>43262</v>
      </c>
      <c r="Y215" s="1"/>
      <c r="Z215" s="40" t="s">
        <v>59</v>
      </c>
      <c r="AA215">
        <v>128</v>
      </c>
      <c r="AB215">
        <v>1</v>
      </c>
      <c r="AC215" s="1">
        <v>43273</v>
      </c>
      <c r="AD215" s="40" t="s">
        <v>570</v>
      </c>
      <c r="AE215" s="1"/>
      <c r="AF215" s="1"/>
      <c r="AG215" s="1"/>
      <c r="AH215" s="40"/>
      <c r="AI215" s="1"/>
      <c r="AJ215" s="40">
        <f>_xlfn.MAXIFS(_01towers[02tss.Rev],_01towers[05_id],_01towers[[#This Row],[05_id]])</f>
        <v>1</v>
      </c>
      <c r="AK215" s="40" t="b">
        <f>IF(_01towers[[#This Row],[Count Rev TSS]]=_01towers[[#This Row],[02tss.Rev]],TRUE,FALSE)</f>
        <v>1</v>
      </c>
      <c r="AL215" s="40">
        <f>_xlfn.MAXIFS(_01towers[10colo_app.Rev],_01towers[05_id],_01towers[[#This Row],[05_id]])</f>
        <v>1</v>
      </c>
      <c r="AM215" s="40" t="b">
        <f>IF(_01towers[[#This Row],[Count Rev Colo App]]=_01towers[[#This Row],[10colo_app.Rev]],TRUE,FALSE)</f>
        <v>1</v>
      </c>
      <c r="AN215" s="40" t="b">
        <f>IF(AND(_01towers[[#This Row],[Test Rev Colo]]=TRUE,_01towers[[#This Row],[Test Rev TSS]]=TRUE),TRUE,FALSE)</f>
        <v>1</v>
      </c>
      <c r="AO215" s="40" t="str">
        <f>IF(_01towers[[#This Row],[Test Active]]=TRUE,_01towers[[#This Row],[Prevalidation Status]],"")</f>
        <v>Prevalidated</v>
      </c>
      <c r="AP215" s="40" t="str">
        <f>IF(_01towers[[#This Row],[Active Prevalidation Status]]="Under Prevalidation",
IF(M215="","Review",M215),"")</f>
        <v/>
      </c>
      <c r="AQ215" s="40" t="str">
        <f>IF(_01towers[[#This Row],[Active Prevalidation Status]]="Under Prevalidation",
IF(N215="","Review",N215),"")</f>
        <v/>
      </c>
      <c r="AR215" s="40" t="str">
        <f>IF(_01towers[[#This Row],[Active Prevalidation Status]]="Under Prevalidation",
IF(O215="","Review",O215),"")</f>
        <v/>
      </c>
      <c r="AS215" s="40" t="str">
        <f>IF(_01towers[[#This Row],[Active Prevalidation Status]]="Under Prevalidation",
IF(P215="","Review",P215),"")</f>
        <v/>
      </c>
      <c r="AT215" s="40" t="str">
        <f>IF(_01towers[[#This Row],[Active Prevalidation Status]]="Under Prevalidation",
IF(Q215="","Review",Q215),"")</f>
        <v/>
      </c>
      <c r="AU215" s="40" t="str">
        <f>IF(_01towers[[#This Row],[Active Prevalidation Status]]="Under Prevalidation",
IF(R215="","Review",R215),"")</f>
        <v/>
      </c>
      <c r="AV215" s="40">
        <f>COUNTIF(_01towers[[#This Row],[SAQ_Result2]:[Community_Result2]],"OK")</f>
        <v>0</v>
      </c>
      <c r="AW215" s="1" t="str">
        <f>IF(AND(OR(_01towers[[#This Row],[Active Prevalidation Status]]="Under Prevalidation",_01towers[[#This Row],[Active Prevalidation Status]]="Prevalidated"),_01towers[[#This Row],[02tss.TSSR_From_Engineer]]&gt;0),"Submitted","")</f>
        <v>Submitted</v>
      </c>
      <c r="AX215" s="40" t="str">
        <f>IF(OR(_01towers[[#This Row],[Active Prevalidation Status]]="Under Prevalidation",_01towers[[#This Row],[Active Prevalidation Status]]="Prevalidated"),_01towers[[#This Row],[02tss.TSS_Result]],"")</f>
        <v>Approved</v>
      </c>
      <c r="AY215" s="40" t="str">
        <f>IF(AND(_01towers[[#This Row],[Active TSS Result]]="Approved",_01towers[[#This Row],[Active Prevalidation Status]]="Prevalidated"),"In Process","")</f>
        <v>In Process</v>
      </c>
      <c r="AZ215" s="40" t="str">
        <f>IF(AND(_01towers[[#This Row],[Active TSS Result]]="Approved",_01towers[[#This Row],[Active Prevalidation Status]]="Prevalidated"),_01towers[[#This Row],[10colo_app.Colo_App_Result]],"")</f>
        <v>NTP Received</v>
      </c>
      <c r="BA215" s="40">
        <f>COUNTIF(_20work_order[05_id],_01towers[[#This Row],[05_id]])</f>
        <v>0</v>
      </c>
      <c r="BB215" s="40">
        <f>COUNTIFS(_20work_order[05_id],_01towers[[#This Row],[05_id]],_20work_order[Actual_End],"&gt;0")</f>
        <v>0</v>
      </c>
      <c r="BC215" s="40" t="str">
        <f>IF(_01towers[[#This Row],[Completed Work Orders]]&gt;0,"Work Completed",
IF(_01towers[[#This Row],[Count Work Orders]]&gt;0,"Work in Progress",""))</f>
        <v/>
      </c>
      <c r="BD21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215" s="40" t="str">
        <f>_xlfn.SWITCH(_01towers[[#This Row],[Final Colo Status full]],"Commercial Approval Requested","Under Prevalidation",_01towers[[#This Row],[Final Colo Status full]])</f>
        <v>NTP Received</v>
      </c>
    </row>
    <row r="216" spans="1:57" x14ac:dyDescent="0.35">
      <c r="A216" s="40" t="s">
        <v>447</v>
      </c>
      <c r="B216" s="40" t="s">
        <v>90</v>
      </c>
      <c r="C216" s="40" t="s">
        <v>51</v>
      </c>
      <c r="D216">
        <v>45</v>
      </c>
      <c r="E216" s="40" t="s">
        <v>98</v>
      </c>
      <c r="F216">
        <v>96.136369999999999</v>
      </c>
      <c r="G216">
        <v>17.172709999999999</v>
      </c>
      <c r="H216" s="40" t="s">
        <v>53</v>
      </c>
      <c r="I216">
        <v>216</v>
      </c>
      <c r="J216" s="40" t="s">
        <v>448</v>
      </c>
      <c r="K216" s="40" t="s">
        <v>136</v>
      </c>
      <c r="L216" s="40" t="s">
        <v>56</v>
      </c>
      <c r="M216" s="40" t="s">
        <v>57</v>
      </c>
      <c r="N216" s="40" t="s">
        <v>57</v>
      </c>
      <c r="O216" s="40" t="s">
        <v>57</v>
      </c>
      <c r="P216" s="40" t="s">
        <v>58</v>
      </c>
      <c r="Q216" s="40" t="s">
        <v>57</v>
      </c>
      <c r="R216" s="40" t="s">
        <v>57</v>
      </c>
      <c r="S216">
        <v>120</v>
      </c>
      <c r="T216">
        <v>1</v>
      </c>
      <c r="U216" s="1">
        <v>43262</v>
      </c>
      <c r="V216" s="1">
        <v>43263</v>
      </c>
      <c r="W216" s="1">
        <v>43263</v>
      </c>
      <c r="X216" s="1">
        <v>43263</v>
      </c>
      <c r="Y216" s="1"/>
      <c r="Z216" s="40" t="s">
        <v>59</v>
      </c>
      <c r="AA216">
        <v>119</v>
      </c>
      <c r="AB216">
        <v>1</v>
      </c>
      <c r="AC216" s="1"/>
      <c r="AD216" s="40"/>
      <c r="AE216" s="1"/>
      <c r="AF216" s="1"/>
      <c r="AG216" s="1"/>
      <c r="AH216" s="40"/>
      <c r="AI216" s="1"/>
      <c r="AJ216" s="40">
        <f>_xlfn.MAXIFS(_01towers[02tss.Rev],_01towers[05_id],_01towers[[#This Row],[05_id]])</f>
        <v>1</v>
      </c>
      <c r="AK216" s="40" t="b">
        <f>IF(_01towers[[#This Row],[Count Rev TSS]]=_01towers[[#This Row],[02tss.Rev]],TRUE,FALSE)</f>
        <v>1</v>
      </c>
      <c r="AL216" s="40">
        <f>_xlfn.MAXIFS(_01towers[10colo_app.Rev],_01towers[05_id],_01towers[[#This Row],[05_id]])</f>
        <v>1</v>
      </c>
      <c r="AM216" s="40" t="b">
        <f>IF(_01towers[[#This Row],[Count Rev Colo App]]=_01towers[[#This Row],[10colo_app.Rev]],TRUE,FALSE)</f>
        <v>1</v>
      </c>
      <c r="AN216" s="40" t="b">
        <f>IF(AND(_01towers[[#This Row],[Test Rev Colo]]=TRUE,_01towers[[#This Row],[Test Rev TSS]]=TRUE),TRUE,FALSE)</f>
        <v>1</v>
      </c>
      <c r="AO216" s="40" t="str">
        <f>IF(_01towers[[#This Row],[Test Active]]=TRUE,_01towers[[#This Row],[Prevalidation Status]],"")</f>
        <v>Commercial Approval Requested</v>
      </c>
      <c r="AP216" s="40" t="str">
        <f>IF(_01towers[[#This Row],[Active Prevalidation Status]]="Under Prevalidation",
IF(M216="","Review",M216),"")</f>
        <v/>
      </c>
      <c r="AQ216" s="40" t="str">
        <f>IF(_01towers[[#This Row],[Active Prevalidation Status]]="Under Prevalidation",
IF(N216="","Review",N216),"")</f>
        <v/>
      </c>
      <c r="AR216" s="40" t="str">
        <f>IF(_01towers[[#This Row],[Active Prevalidation Status]]="Under Prevalidation",
IF(O216="","Review",O216),"")</f>
        <v/>
      </c>
      <c r="AS216" s="40" t="str">
        <f>IF(_01towers[[#This Row],[Active Prevalidation Status]]="Under Prevalidation",
IF(P216="","Review",P216),"")</f>
        <v/>
      </c>
      <c r="AT216" s="40" t="str">
        <f>IF(_01towers[[#This Row],[Active Prevalidation Status]]="Under Prevalidation",
IF(Q216="","Review",Q216),"")</f>
        <v/>
      </c>
      <c r="AU216" s="40" t="str">
        <f>IF(_01towers[[#This Row],[Active Prevalidation Status]]="Under Prevalidation",
IF(R216="","Review",R216),"")</f>
        <v/>
      </c>
      <c r="AV216" s="40">
        <f>COUNTIF(_01towers[[#This Row],[SAQ_Result2]:[Community_Result2]],"OK")</f>
        <v>0</v>
      </c>
      <c r="AW216" s="1" t="str">
        <f>IF(AND(OR(_01towers[[#This Row],[Active Prevalidation Status]]="Under Prevalidation",_01towers[[#This Row],[Active Prevalidation Status]]="Prevalidated"),_01towers[[#This Row],[02tss.TSSR_From_Engineer]]&gt;0),"Submitted","")</f>
        <v/>
      </c>
      <c r="AX216" s="40" t="str">
        <f>IF(OR(_01towers[[#This Row],[Active Prevalidation Status]]="Under Prevalidation",_01towers[[#This Row],[Active Prevalidation Status]]="Prevalidated"),_01towers[[#This Row],[02tss.TSS_Result]],"")</f>
        <v/>
      </c>
      <c r="AY216" s="40" t="str">
        <f>IF(AND(_01towers[[#This Row],[Active TSS Result]]="Approved",_01towers[[#This Row],[Active Prevalidation Status]]="Prevalidated"),"In Process","")</f>
        <v/>
      </c>
      <c r="AZ216" s="40" t="str">
        <f>IF(AND(_01towers[[#This Row],[Active TSS Result]]="Approved",_01towers[[#This Row],[Active Prevalidation Status]]="Prevalidated"),_01towers[[#This Row],[10colo_app.Colo_App_Result]],"")</f>
        <v/>
      </c>
      <c r="BA216" s="40">
        <f>COUNTIF(_20work_order[05_id],_01towers[[#This Row],[05_id]])</f>
        <v>0</v>
      </c>
      <c r="BB216" s="40">
        <f>COUNTIFS(_20work_order[05_id],_01towers[[#This Row],[05_id]],_20work_order[Actual_End],"&gt;0")</f>
        <v>0</v>
      </c>
      <c r="BC216" s="40" t="str">
        <f>IF(_01towers[[#This Row],[Completed Work Orders]]&gt;0,"Work Completed",
IF(_01towers[[#This Row],[Count Work Orders]]&gt;0,"Work in Progress",""))</f>
        <v/>
      </c>
      <c r="BD21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16" s="40" t="str">
        <f>_xlfn.SWITCH(_01towers[[#This Row],[Final Colo Status full]],"Commercial Approval Requested","Under Prevalidation",_01towers[[#This Row],[Final Colo Status full]])</f>
        <v>Under Prevalidation</v>
      </c>
    </row>
    <row r="217" spans="1:57" hidden="1" x14ac:dyDescent="0.35">
      <c r="A217" s="40" t="s">
        <v>449</v>
      </c>
      <c r="B217" s="40" t="s">
        <v>50</v>
      </c>
      <c r="C217" s="40" t="s">
        <v>51</v>
      </c>
      <c r="D217">
        <v>50</v>
      </c>
      <c r="E217" s="40" t="s">
        <v>52</v>
      </c>
      <c r="F217">
        <v>92.365600000000001</v>
      </c>
      <c r="G217">
        <v>20.819479999999999</v>
      </c>
      <c r="H217" s="40" t="s">
        <v>53</v>
      </c>
      <c r="I217">
        <v>217</v>
      </c>
      <c r="J217" s="40" t="s">
        <v>450</v>
      </c>
      <c r="K217" s="40" t="s">
        <v>124</v>
      </c>
      <c r="L217" s="40" t="s">
        <v>64</v>
      </c>
      <c r="M217" s="40" t="s">
        <v>57</v>
      </c>
      <c r="N217" s="40" t="s">
        <v>57</v>
      </c>
      <c r="O217" s="40" t="s">
        <v>57</v>
      </c>
      <c r="P217" s="40" t="s">
        <v>57</v>
      </c>
      <c r="Q217" s="40" t="s">
        <v>57</v>
      </c>
      <c r="R217" s="40" t="s">
        <v>57</v>
      </c>
      <c r="S217">
        <v>228</v>
      </c>
      <c r="T217">
        <v>1</v>
      </c>
      <c r="U217" s="1">
        <v>43281</v>
      </c>
      <c r="V217" s="1"/>
      <c r="W217" s="1"/>
      <c r="X217" s="1"/>
      <c r="Y217" s="1"/>
      <c r="Z217" s="40"/>
      <c r="AA217">
        <v>227</v>
      </c>
      <c r="AB217">
        <v>1</v>
      </c>
      <c r="AC217" s="1"/>
      <c r="AD217" s="40"/>
      <c r="AE217" s="1"/>
      <c r="AF217" s="1"/>
      <c r="AG217" s="1"/>
      <c r="AH217" s="40"/>
      <c r="AI217" s="1"/>
      <c r="AJ217" s="40">
        <f>_xlfn.MAXIFS(_01towers[02tss.Rev],_01towers[05_id],_01towers[[#This Row],[05_id]])</f>
        <v>1</v>
      </c>
      <c r="AK217" s="40" t="b">
        <f>IF(_01towers[[#This Row],[Count Rev TSS]]=_01towers[[#This Row],[02tss.Rev]],TRUE,FALSE)</f>
        <v>1</v>
      </c>
      <c r="AL217" s="40">
        <f>_xlfn.MAXIFS(_01towers[10colo_app.Rev],_01towers[05_id],_01towers[[#This Row],[05_id]])</f>
        <v>1</v>
      </c>
      <c r="AM217" s="40" t="b">
        <f>IF(_01towers[[#This Row],[Count Rev Colo App]]=_01towers[[#This Row],[10colo_app.Rev]],TRUE,FALSE)</f>
        <v>1</v>
      </c>
      <c r="AN217" s="40" t="b">
        <f>IF(AND(_01towers[[#This Row],[Test Rev Colo]]=TRUE,_01towers[[#This Row],[Test Rev TSS]]=TRUE),TRUE,FALSE)</f>
        <v>1</v>
      </c>
      <c r="AO217" s="40" t="str">
        <f>IF(_01towers[[#This Row],[Test Active]]=TRUE,_01towers[[#This Row],[Prevalidation Status]],"")</f>
        <v>Prevalidated</v>
      </c>
      <c r="AP217" s="40" t="str">
        <f>IF(_01towers[[#This Row],[Active Prevalidation Status]]="Under Prevalidation",
IF(M217="","Review",M217),"")</f>
        <v/>
      </c>
      <c r="AQ217" s="40" t="str">
        <f>IF(_01towers[[#This Row],[Active Prevalidation Status]]="Under Prevalidation",
IF(N217="","Review",N217),"")</f>
        <v/>
      </c>
      <c r="AR217" s="40" t="str">
        <f>IF(_01towers[[#This Row],[Active Prevalidation Status]]="Under Prevalidation",
IF(O217="","Review",O217),"")</f>
        <v/>
      </c>
      <c r="AS217" s="40" t="str">
        <f>IF(_01towers[[#This Row],[Active Prevalidation Status]]="Under Prevalidation",
IF(P217="","Review",P217),"")</f>
        <v/>
      </c>
      <c r="AT217" s="40" t="str">
        <f>IF(_01towers[[#This Row],[Active Prevalidation Status]]="Under Prevalidation",
IF(Q217="","Review",Q217),"")</f>
        <v/>
      </c>
      <c r="AU217" s="40" t="str">
        <f>IF(_01towers[[#This Row],[Active Prevalidation Status]]="Under Prevalidation",
IF(R217="","Review",R217),"")</f>
        <v/>
      </c>
      <c r="AV217" s="40">
        <f>COUNTIF(_01towers[[#This Row],[SAQ_Result2]:[Community_Result2]],"OK")</f>
        <v>0</v>
      </c>
      <c r="AW217" s="1" t="str">
        <f>IF(AND(OR(_01towers[[#This Row],[Active Prevalidation Status]]="Under Prevalidation",_01towers[[#This Row],[Active Prevalidation Status]]="Prevalidated"),_01towers[[#This Row],[02tss.TSSR_From_Engineer]]&gt;0),"Submitted","")</f>
        <v/>
      </c>
      <c r="AX217" s="40">
        <f>IF(OR(_01towers[[#This Row],[Active Prevalidation Status]]="Under Prevalidation",_01towers[[#This Row],[Active Prevalidation Status]]="Prevalidated"),_01towers[[#This Row],[02tss.TSS_Result]],"")</f>
        <v>0</v>
      </c>
      <c r="AY217" s="40" t="str">
        <f>IF(AND(_01towers[[#This Row],[Active TSS Result]]="Approved",_01towers[[#This Row],[Active Prevalidation Status]]="Prevalidated"),"In Process","")</f>
        <v/>
      </c>
      <c r="AZ217" s="40" t="str">
        <f>IF(AND(_01towers[[#This Row],[Active TSS Result]]="Approved",_01towers[[#This Row],[Active Prevalidation Status]]="Prevalidated"),_01towers[[#This Row],[10colo_app.Colo_App_Result]],"")</f>
        <v/>
      </c>
      <c r="BA217" s="40">
        <f>COUNTIF(_20work_order[05_id],_01towers[[#This Row],[05_id]])</f>
        <v>0</v>
      </c>
      <c r="BB217" s="40">
        <f>COUNTIFS(_20work_order[05_id],_01towers[[#This Row],[05_id]],_20work_order[Actual_End],"&gt;0")</f>
        <v>0</v>
      </c>
      <c r="BC217" s="40" t="str">
        <f>IF(_01towers[[#This Row],[Completed Work Orders]]&gt;0,"Work Completed",
IF(_01towers[[#This Row],[Count Work Orders]]&gt;0,"Work in Progress",""))</f>
        <v/>
      </c>
      <c r="BD21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17" s="40" t="str">
        <f>_xlfn.SWITCH(_01towers[[#This Row],[Final Colo Status full]],"Commercial Approval Requested","Under Prevalidation",_01towers[[#This Row],[Final Colo Status full]])</f>
        <v>Prevalidated - TSSR in Process</v>
      </c>
    </row>
    <row r="218" spans="1:57" hidden="1" x14ac:dyDescent="0.35">
      <c r="A218" s="40" t="s">
        <v>451</v>
      </c>
      <c r="B218" s="40" t="s">
        <v>50</v>
      </c>
      <c r="C218" s="40" t="s">
        <v>51</v>
      </c>
      <c r="D218">
        <v>35</v>
      </c>
      <c r="E218" s="40" t="s">
        <v>167</v>
      </c>
      <c r="F218">
        <v>94.939629999999994</v>
      </c>
      <c r="G218">
        <v>20.14686</v>
      </c>
      <c r="H218" s="40" t="s">
        <v>190</v>
      </c>
      <c r="I218">
        <v>218</v>
      </c>
      <c r="J218" s="40" t="s">
        <v>452</v>
      </c>
      <c r="K218" s="40" t="s">
        <v>55</v>
      </c>
      <c r="L218" s="40" t="s">
        <v>74</v>
      </c>
      <c r="M218" s="40" t="s">
        <v>57</v>
      </c>
      <c r="N218" s="40" t="s">
        <v>57</v>
      </c>
      <c r="O218" s="40" t="s">
        <v>58</v>
      </c>
      <c r="P218" s="40"/>
      <c r="Q218" s="40" t="s">
        <v>57</v>
      </c>
      <c r="R218" s="40" t="s">
        <v>58</v>
      </c>
      <c r="S218">
        <v>229</v>
      </c>
      <c r="T218">
        <v>1</v>
      </c>
      <c r="U218" s="1"/>
      <c r="V218" s="1"/>
      <c r="W218" s="1"/>
      <c r="X218" s="1"/>
      <c r="Y218" s="1"/>
      <c r="Z218" s="40"/>
      <c r="AA218">
        <v>228</v>
      </c>
      <c r="AB218">
        <v>1</v>
      </c>
      <c r="AC218" s="1"/>
      <c r="AD218" s="40"/>
      <c r="AE218" s="1"/>
      <c r="AF218" s="1"/>
      <c r="AG218" s="1"/>
      <c r="AH218" s="40"/>
      <c r="AI218" s="1"/>
      <c r="AJ218" s="40">
        <f>_xlfn.MAXIFS(_01towers[02tss.Rev],_01towers[05_id],_01towers[[#This Row],[05_id]])</f>
        <v>1</v>
      </c>
      <c r="AK218" s="40" t="b">
        <f>IF(_01towers[[#This Row],[Count Rev TSS]]=_01towers[[#This Row],[02tss.Rev]],TRUE,FALSE)</f>
        <v>1</v>
      </c>
      <c r="AL218" s="40">
        <f>_xlfn.MAXIFS(_01towers[10colo_app.Rev],_01towers[05_id],_01towers[[#This Row],[05_id]])</f>
        <v>1</v>
      </c>
      <c r="AM218" s="40" t="b">
        <f>IF(_01towers[[#This Row],[Count Rev Colo App]]=_01towers[[#This Row],[10colo_app.Rev]],TRUE,FALSE)</f>
        <v>1</v>
      </c>
      <c r="AN218" s="40" t="b">
        <f>IF(AND(_01towers[[#This Row],[Test Rev Colo]]=TRUE,_01towers[[#This Row],[Test Rev TSS]]=TRUE),TRUE,FALSE)</f>
        <v>1</v>
      </c>
      <c r="AO218" s="40" t="str">
        <f>IF(_01towers[[#This Row],[Test Active]]=TRUE,_01towers[[#This Row],[Prevalidation Status]],"")</f>
        <v>Prevalidation Rejected</v>
      </c>
      <c r="AP218" s="40" t="str">
        <f>IF(_01towers[[#This Row],[Active Prevalidation Status]]="Under Prevalidation",
IF(M218="","Review",M218),"")</f>
        <v/>
      </c>
      <c r="AQ218" s="40" t="str">
        <f>IF(_01towers[[#This Row],[Active Prevalidation Status]]="Under Prevalidation",
IF(N218="","Review",N218),"")</f>
        <v/>
      </c>
      <c r="AR218" s="40" t="str">
        <f>IF(_01towers[[#This Row],[Active Prevalidation Status]]="Under Prevalidation",
IF(O218="","Review",O218),"")</f>
        <v/>
      </c>
      <c r="AS218" s="40" t="str">
        <f>IF(_01towers[[#This Row],[Active Prevalidation Status]]="Under Prevalidation",
IF(P218="","Review",P218),"")</f>
        <v/>
      </c>
      <c r="AT218" s="40" t="str">
        <f>IF(_01towers[[#This Row],[Active Prevalidation Status]]="Under Prevalidation",
IF(Q218="","Review",Q218),"")</f>
        <v/>
      </c>
      <c r="AU218" s="40" t="str">
        <f>IF(_01towers[[#This Row],[Active Prevalidation Status]]="Under Prevalidation",
IF(R218="","Review",R218),"")</f>
        <v/>
      </c>
      <c r="AV218" s="40">
        <f>COUNTIF(_01towers[[#This Row],[SAQ_Result2]:[Community_Result2]],"OK")</f>
        <v>0</v>
      </c>
      <c r="AW218" s="1" t="str">
        <f>IF(AND(OR(_01towers[[#This Row],[Active Prevalidation Status]]="Under Prevalidation",_01towers[[#This Row],[Active Prevalidation Status]]="Prevalidated"),_01towers[[#This Row],[02tss.TSSR_From_Engineer]]&gt;0),"Submitted","")</f>
        <v/>
      </c>
      <c r="AX218" s="40" t="str">
        <f>IF(OR(_01towers[[#This Row],[Active Prevalidation Status]]="Under Prevalidation",_01towers[[#This Row],[Active Prevalidation Status]]="Prevalidated"),_01towers[[#This Row],[02tss.TSS_Result]],"")</f>
        <v/>
      </c>
      <c r="AY218" s="40" t="str">
        <f>IF(AND(_01towers[[#This Row],[Active TSS Result]]="Approved",_01towers[[#This Row],[Active Prevalidation Status]]="Prevalidated"),"In Process","")</f>
        <v/>
      </c>
      <c r="AZ218" s="40" t="str">
        <f>IF(AND(_01towers[[#This Row],[Active TSS Result]]="Approved",_01towers[[#This Row],[Active Prevalidation Status]]="Prevalidated"),_01towers[[#This Row],[10colo_app.Colo_App_Result]],"")</f>
        <v/>
      </c>
      <c r="BA218" s="40">
        <f>COUNTIF(_20work_order[05_id],_01towers[[#This Row],[05_id]])</f>
        <v>0</v>
      </c>
      <c r="BB218" s="40">
        <f>COUNTIFS(_20work_order[05_id],_01towers[[#This Row],[05_id]],_20work_order[Actual_End],"&gt;0")</f>
        <v>0</v>
      </c>
      <c r="BC218" s="40" t="str">
        <f>IF(_01towers[[#This Row],[Completed Work Orders]]&gt;0,"Work Completed",
IF(_01towers[[#This Row],[Count Work Orders]]&gt;0,"Work in Progress",""))</f>
        <v/>
      </c>
      <c r="BD21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18" s="40" t="str">
        <f>_xlfn.SWITCH(_01towers[[#This Row],[Final Colo Status full]],"Commercial Approval Requested","Under Prevalidation",_01towers[[#This Row],[Final Colo Status full]])</f>
        <v>Prevalidation Rejected</v>
      </c>
    </row>
    <row r="219" spans="1:57" hidden="1" x14ac:dyDescent="0.35">
      <c r="A219" s="40" t="s">
        <v>453</v>
      </c>
      <c r="B219" s="40" t="s">
        <v>85</v>
      </c>
      <c r="C219" s="40" t="s">
        <v>51</v>
      </c>
      <c r="D219">
        <v>45</v>
      </c>
      <c r="E219" s="40" t="s">
        <v>167</v>
      </c>
      <c r="F219">
        <v>95.168968000000007</v>
      </c>
      <c r="G219">
        <v>19.319043000000001</v>
      </c>
      <c r="H219" s="40" t="s">
        <v>53</v>
      </c>
      <c r="I219">
        <v>219</v>
      </c>
      <c r="J219" s="40" t="s">
        <v>454</v>
      </c>
      <c r="K219" s="40" t="s">
        <v>55</v>
      </c>
      <c r="L219" s="40" t="s">
        <v>148</v>
      </c>
      <c r="M219" s="40" t="s">
        <v>57</v>
      </c>
      <c r="N219" s="40" t="s">
        <v>57</v>
      </c>
      <c r="O219" s="40" t="s">
        <v>57</v>
      </c>
      <c r="P219" s="40" t="s">
        <v>57</v>
      </c>
      <c r="Q219" s="40" t="s">
        <v>57</v>
      </c>
      <c r="R219" s="40" t="s">
        <v>57</v>
      </c>
      <c r="S219">
        <v>230</v>
      </c>
      <c r="T219">
        <v>1</v>
      </c>
      <c r="U219" s="1"/>
      <c r="V219" s="1"/>
      <c r="W219" s="1"/>
      <c r="X219" s="1"/>
      <c r="Y219" s="1"/>
      <c r="Z219" s="40"/>
      <c r="AA219">
        <v>229</v>
      </c>
      <c r="AB219">
        <v>1</v>
      </c>
      <c r="AC219" s="1"/>
      <c r="AD219" s="40"/>
      <c r="AE219" s="1"/>
      <c r="AF219" s="1"/>
      <c r="AG219" s="1"/>
      <c r="AH219" s="40"/>
      <c r="AI219" s="1"/>
      <c r="AJ219" s="40">
        <f>_xlfn.MAXIFS(_01towers[02tss.Rev],_01towers[05_id],_01towers[[#This Row],[05_id]])</f>
        <v>1</v>
      </c>
      <c r="AK219" s="40" t="b">
        <f>IF(_01towers[[#This Row],[Count Rev TSS]]=_01towers[[#This Row],[02tss.Rev]],TRUE,FALSE)</f>
        <v>1</v>
      </c>
      <c r="AL219" s="40">
        <f>_xlfn.MAXIFS(_01towers[10colo_app.Rev],_01towers[05_id],_01towers[[#This Row],[05_id]])</f>
        <v>1</v>
      </c>
      <c r="AM219" s="40" t="b">
        <f>IF(_01towers[[#This Row],[Count Rev Colo App]]=_01towers[[#This Row],[10colo_app.Rev]],TRUE,FALSE)</f>
        <v>1</v>
      </c>
      <c r="AN219" s="40" t="b">
        <f>IF(AND(_01towers[[#This Row],[Test Rev Colo]]=TRUE,_01towers[[#This Row],[Test Rev TSS]]=TRUE),TRUE,FALSE)</f>
        <v>1</v>
      </c>
      <c r="AO219" s="40" t="str">
        <f>IF(_01towers[[#This Row],[Test Active]]=TRUE,_01towers[[#This Row],[Prevalidation Status]],"")</f>
        <v>Dropped by Operator</v>
      </c>
      <c r="AP219" s="40" t="str">
        <f>IF(_01towers[[#This Row],[Active Prevalidation Status]]="Under Prevalidation",
IF(M219="","Review",M219),"")</f>
        <v/>
      </c>
      <c r="AQ219" s="40" t="str">
        <f>IF(_01towers[[#This Row],[Active Prevalidation Status]]="Under Prevalidation",
IF(N219="","Review",N219),"")</f>
        <v/>
      </c>
      <c r="AR219" s="40" t="str">
        <f>IF(_01towers[[#This Row],[Active Prevalidation Status]]="Under Prevalidation",
IF(O219="","Review",O219),"")</f>
        <v/>
      </c>
      <c r="AS219" s="40" t="str">
        <f>IF(_01towers[[#This Row],[Active Prevalidation Status]]="Under Prevalidation",
IF(P219="","Review",P219),"")</f>
        <v/>
      </c>
      <c r="AT219" s="40" t="str">
        <f>IF(_01towers[[#This Row],[Active Prevalidation Status]]="Under Prevalidation",
IF(Q219="","Review",Q219),"")</f>
        <v/>
      </c>
      <c r="AU219" s="40" t="str">
        <f>IF(_01towers[[#This Row],[Active Prevalidation Status]]="Under Prevalidation",
IF(R219="","Review",R219),"")</f>
        <v/>
      </c>
      <c r="AV219" s="40">
        <f>COUNTIF(_01towers[[#This Row],[SAQ_Result2]:[Community_Result2]],"OK")</f>
        <v>0</v>
      </c>
      <c r="AW219" s="1" t="str">
        <f>IF(AND(OR(_01towers[[#This Row],[Active Prevalidation Status]]="Under Prevalidation",_01towers[[#This Row],[Active Prevalidation Status]]="Prevalidated"),_01towers[[#This Row],[02tss.TSSR_From_Engineer]]&gt;0),"Submitted","")</f>
        <v/>
      </c>
      <c r="AX219" s="40" t="str">
        <f>IF(OR(_01towers[[#This Row],[Active Prevalidation Status]]="Under Prevalidation",_01towers[[#This Row],[Active Prevalidation Status]]="Prevalidated"),_01towers[[#This Row],[02tss.TSS_Result]],"")</f>
        <v/>
      </c>
      <c r="AY219" s="40" t="str">
        <f>IF(AND(_01towers[[#This Row],[Active TSS Result]]="Approved",_01towers[[#This Row],[Active Prevalidation Status]]="Prevalidated"),"In Process","")</f>
        <v/>
      </c>
      <c r="AZ219" s="40" t="str">
        <f>IF(AND(_01towers[[#This Row],[Active TSS Result]]="Approved",_01towers[[#This Row],[Active Prevalidation Status]]="Prevalidated"),_01towers[[#This Row],[10colo_app.Colo_App_Result]],"")</f>
        <v/>
      </c>
      <c r="BA219" s="40">
        <f>COUNTIF(_20work_order[05_id],_01towers[[#This Row],[05_id]])</f>
        <v>0</v>
      </c>
      <c r="BB219" s="40">
        <f>COUNTIFS(_20work_order[05_id],_01towers[[#This Row],[05_id]],_20work_order[Actual_End],"&gt;0")</f>
        <v>0</v>
      </c>
      <c r="BC219" s="40" t="str">
        <f>IF(_01towers[[#This Row],[Completed Work Orders]]&gt;0,"Work Completed",
IF(_01towers[[#This Row],[Count Work Orders]]&gt;0,"Work in Progress",""))</f>
        <v/>
      </c>
      <c r="BD21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Dropped by Operator</v>
      </c>
      <c r="BE219" s="40" t="str">
        <f>_xlfn.SWITCH(_01towers[[#This Row],[Final Colo Status full]],"Commercial Approval Requested","Under Prevalidation",_01towers[[#This Row],[Final Colo Status full]])</f>
        <v>Dropped by Operator</v>
      </c>
    </row>
    <row r="220" spans="1:57" hidden="1" x14ac:dyDescent="0.35">
      <c r="A220" s="40" t="s">
        <v>455</v>
      </c>
      <c r="B220" s="40" t="s">
        <v>50</v>
      </c>
      <c r="C220" s="40" t="s">
        <v>51</v>
      </c>
      <c r="D220">
        <v>45</v>
      </c>
      <c r="E220" s="40" t="s">
        <v>167</v>
      </c>
      <c r="F220">
        <v>95.401240000000001</v>
      </c>
      <c r="G220">
        <v>20.360385000000001</v>
      </c>
      <c r="H220" s="40" t="s">
        <v>53</v>
      </c>
      <c r="I220">
        <v>220</v>
      </c>
      <c r="J220" s="40" t="s">
        <v>456</v>
      </c>
      <c r="K220" s="40" t="s">
        <v>55</v>
      </c>
      <c r="L220" s="40" t="s">
        <v>74</v>
      </c>
      <c r="M220" s="40" t="s">
        <v>57</v>
      </c>
      <c r="N220" s="40" t="s">
        <v>57</v>
      </c>
      <c r="O220" s="40" t="s">
        <v>57</v>
      </c>
      <c r="P220" s="40"/>
      <c r="Q220" s="40"/>
      <c r="R220" s="40" t="s">
        <v>75</v>
      </c>
      <c r="S220">
        <v>231</v>
      </c>
      <c r="T220">
        <v>1</v>
      </c>
      <c r="U220" s="1"/>
      <c r="V220" s="1"/>
      <c r="W220" s="1"/>
      <c r="X220" s="1"/>
      <c r="Y220" s="1"/>
      <c r="Z220" s="40"/>
      <c r="AA220">
        <v>230</v>
      </c>
      <c r="AB220">
        <v>1</v>
      </c>
      <c r="AC220" s="1"/>
      <c r="AD220" s="40"/>
      <c r="AE220" s="1"/>
      <c r="AF220" s="1"/>
      <c r="AG220" s="1"/>
      <c r="AH220" s="40"/>
      <c r="AI220" s="1"/>
      <c r="AJ220" s="40">
        <f>_xlfn.MAXIFS(_01towers[02tss.Rev],_01towers[05_id],_01towers[[#This Row],[05_id]])</f>
        <v>1</v>
      </c>
      <c r="AK220" s="40" t="b">
        <f>IF(_01towers[[#This Row],[Count Rev TSS]]=_01towers[[#This Row],[02tss.Rev]],TRUE,FALSE)</f>
        <v>1</v>
      </c>
      <c r="AL220" s="40">
        <f>_xlfn.MAXIFS(_01towers[10colo_app.Rev],_01towers[05_id],_01towers[[#This Row],[05_id]])</f>
        <v>1</v>
      </c>
      <c r="AM220" s="40" t="b">
        <f>IF(_01towers[[#This Row],[Count Rev Colo App]]=_01towers[[#This Row],[10colo_app.Rev]],TRUE,FALSE)</f>
        <v>1</v>
      </c>
      <c r="AN220" s="40" t="b">
        <f>IF(AND(_01towers[[#This Row],[Test Rev Colo]]=TRUE,_01towers[[#This Row],[Test Rev TSS]]=TRUE),TRUE,FALSE)</f>
        <v>1</v>
      </c>
      <c r="AO220" s="40" t="str">
        <f>IF(_01towers[[#This Row],[Test Active]]=TRUE,_01towers[[#This Row],[Prevalidation Status]],"")</f>
        <v>Prevalidation Rejected</v>
      </c>
      <c r="AP220" s="40" t="str">
        <f>IF(_01towers[[#This Row],[Active Prevalidation Status]]="Under Prevalidation",
IF(M220="","Review",M220),"")</f>
        <v/>
      </c>
      <c r="AQ220" s="40" t="str">
        <f>IF(_01towers[[#This Row],[Active Prevalidation Status]]="Under Prevalidation",
IF(N220="","Review",N220),"")</f>
        <v/>
      </c>
      <c r="AR220" s="40" t="str">
        <f>IF(_01towers[[#This Row],[Active Prevalidation Status]]="Under Prevalidation",
IF(O220="","Review",O220),"")</f>
        <v/>
      </c>
      <c r="AS220" s="40" t="str">
        <f>IF(_01towers[[#This Row],[Active Prevalidation Status]]="Under Prevalidation",
IF(P220="","Review",P220),"")</f>
        <v/>
      </c>
      <c r="AT220" s="40" t="str">
        <f>IF(_01towers[[#This Row],[Active Prevalidation Status]]="Under Prevalidation",
IF(Q220="","Review",Q220),"")</f>
        <v/>
      </c>
      <c r="AU220" s="40" t="str">
        <f>IF(_01towers[[#This Row],[Active Prevalidation Status]]="Under Prevalidation",
IF(R220="","Review",R220),"")</f>
        <v/>
      </c>
      <c r="AV220" s="40">
        <f>COUNTIF(_01towers[[#This Row],[SAQ_Result2]:[Community_Result2]],"OK")</f>
        <v>0</v>
      </c>
      <c r="AW220" s="1" t="str">
        <f>IF(AND(OR(_01towers[[#This Row],[Active Prevalidation Status]]="Under Prevalidation",_01towers[[#This Row],[Active Prevalidation Status]]="Prevalidated"),_01towers[[#This Row],[02tss.TSSR_From_Engineer]]&gt;0),"Submitted","")</f>
        <v/>
      </c>
      <c r="AX220" s="40" t="str">
        <f>IF(OR(_01towers[[#This Row],[Active Prevalidation Status]]="Under Prevalidation",_01towers[[#This Row],[Active Prevalidation Status]]="Prevalidated"),_01towers[[#This Row],[02tss.TSS_Result]],"")</f>
        <v/>
      </c>
      <c r="AY220" s="40" t="str">
        <f>IF(AND(_01towers[[#This Row],[Active TSS Result]]="Approved",_01towers[[#This Row],[Active Prevalidation Status]]="Prevalidated"),"In Process","")</f>
        <v/>
      </c>
      <c r="AZ220" s="40" t="str">
        <f>IF(AND(_01towers[[#This Row],[Active TSS Result]]="Approved",_01towers[[#This Row],[Active Prevalidation Status]]="Prevalidated"),_01towers[[#This Row],[10colo_app.Colo_App_Result]],"")</f>
        <v/>
      </c>
      <c r="BA220" s="40">
        <f>COUNTIF(_20work_order[05_id],_01towers[[#This Row],[05_id]])</f>
        <v>0</v>
      </c>
      <c r="BB220" s="40">
        <f>COUNTIFS(_20work_order[05_id],_01towers[[#This Row],[05_id]],_20work_order[Actual_End],"&gt;0")</f>
        <v>0</v>
      </c>
      <c r="BC220" s="40" t="str">
        <f>IF(_01towers[[#This Row],[Completed Work Orders]]&gt;0,"Work Completed",
IF(_01towers[[#This Row],[Count Work Orders]]&gt;0,"Work in Progress",""))</f>
        <v/>
      </c>
      <c r="BD22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20" s="40" t="str">
        <f>_xlfn.SWITCH(_01towers[[#This Row],[Final Colo Status full]],"Commercial Approval Requested","Under Prevalidation",_01towers[[#This Row],[Final Colo Status full]])</f>
        <v>Prevalidation Rejected</v>
      </c>
    </row>
    <row r="221" spans="1:57" hidden="1" x14ac:dyDescent="0.35">
      <c r="A221" s="40" t="s">
        <v>457</v>
      </c>
      <c r="B221" s="40" t="s">
        <v>85</v>
      </c>
      <c r="C221" s="40" t="s">
        <v>51</v>
      </c>
      <c r="D221">
        <v>50</v>
      </c>
      <c r="E221" s="40" t="s">
        <v>155</v>
      </c>
      <c r="F221">
        <v>96.242636000000005</v>
      </c>
      <c r="G221">
        <v>20.038595999999998</v>
      </c>
      <c r="H221" s="40" t="s">
        <v>53</v>
      </c>
      <c r="I221">
        <v>221</v>
      </c>
      <c r="J221" s="40" t="s">
        <v>458</v>
      </c>
      <c r="K221" s="40" t="s">
        <v>55</v>
      </c>
      <c r="L221" s="40" t="s">
        <v>64</v>
      </c>
      <c r="M221" s="40" t="s">
        <v>57</v>
      </c>
      <c r="N221" s="40" t="s">
        <v>57</v>
      </c>
      <c r="O221" s="40" t="s">
        <v>57</v>
      </c>
      <c r="P221" s="40" t="s">
        <v>57</v>
      </c>
      <c r="Q221" s="40" t="s">
        <v>57</v>
      </c>
      <c r="R221" s="40" t="s">
        <v>57</v>
      </c>
      <c r="S221">
        <v>232</v>
      </c>
      <c r="T221">
        <v>1</v>
      </c>
      <c r="U221" s="1"/>
      <c r="V221" s="1"/>
      <c r="W221" s="1">
        <v>43252</v>
      </c>
      <c r="X221" s="1">
        <v>43252</v>
      </c>
      <c r="Y221" s="1"/>
      <c r="Z221" s="40" t="s">
        <v>59</v>
      </c>
      <c r="AA221">
        <v>231</v>
      </c>
      <c r="AB221">
        <v>1</v>
      </c>
      <c r="AC221" s="1">
        <v>43262</v>
      </c>
      <c r="AD221" s="40" t="s">
        <v>59</v>
      </c>
      <c r="AE221" s="1"/>
      <c r="AF221" s="1"/>
      <c r="AG221" s="1"/>
      <c r="AH221" s="40"/>
      <c r="AI221" s="1"/>
      <c r="AJ221" s="40">
        <f>_xlfn.MAXIFS(_01towers[02tss.Rev],_01towers[05_id],_01towers[[#This Row],[05_id]])</f>
        <v>1</v>
      </c>
      <c r="AK221" s="40" t="b">
        <f>IF(_01towers[[#This Row],[Count Rev TSS]]=_01towers[[#This Row],[02tss.Rev]],TRUE,FALSE)</f>
        <v>1</v>
      </c>
      <c r="AL221" s="40">
        <f>_xlfn.MAXIFS(_01towers[10colo_app.Rev],_01towers[05_id],_01towers[[#This Row],[05_id]])</f>
        <v>1</v>
      </c>
      <c r="AM221" s="40" t="b">
        <f>IF(_01towers[[#This Row],[Count Rev Colo App]]=_01towers[[#This Row],[10colo_app.Rev]],TRUE,FALSE)</f>
        <v>1</v>
      </c>
      <c r="AN221" s="40" t="b">
        <f>IF(AND(_01towers[[#This Row],[Test Rev Colo]]=TRUE,_01towers[[#This Row],[Test Rev TSS]]=TRUE),TRUE,FALSE)</f>
        <v>1</v>
      </c>
      <c r="AO221" s="40" t="str">
        <f>IF(_01towers[[#This Row],[Test Active]]=TRUE,_01towers[[#This Row],[Prevalidation Status]],"")</f>
        <v>Prevalidated</v>
      </c>
      <c r="AP221" s="40" t="str">
        <f>IF(_01towers[[#This Row],[Active Prevalidation Status]]="Under Prevalidation",
IF(M221="","Review",M221),"")</f>
        <v/>
      </c>
      <c r="AQ221" s="40" t="str">
        <f>IF(_01towers[[#This Row],[Active Prevalidation Status]]="Under Prevalidation",
IF(N221="","Review",N221),"")</f>
        <v/>
      </c>
      <c r="AR221" s="40" t="str">
        <f>IF(_01towers[[#This Row],[Active Prevalidation Status]]="Under Prevalidation",
IF(O221="","Review",O221),"")</f>
        <v/>
      </c>
      <c r="AS221" s="40" t="str">
        <f>IF(_01towers[[#This Row],[Active Prevalidation Status]]="Under Prevalidation",
IF(P221="","Review",P221),"")</f>
        <v/>
      </c>
      <c r="AT221" s="40" t="str">
        <f>IF(_01towers[[#This Row],[Active Prevalidation Status]]="Under Prevalidation",
IF(Q221="","Review",Q221),"")</f>
        <v/>
      </c>
      <c r="AU221" s="40" t="str">
        <f>IF(_01towers[[#This Row],[Active Prevalidation Status]]="Under Prevalidation",
IF(R221="","Review",R221),"")</f>
        <v/>
      </c>
      <c r="AV221" s="40">
        <f>COUNTIF(_01towers[[#This Row],[SAQ_Result2]:[Community_Result2]],"OK")</f>
        <v>0</v>
      </c>
      <c r="AW221" s="1" t="str">
        <f>IF(AND(OR(_01towers[[#This Row],[Active Prevalidation Status]]="Under Prevalidation",_01towers[[#This Row],[Active Prevalidation Status]]="Prevalidated"),_01towers[[#This Row],[02tss.TSSR_From_Engineer]]&gt;0),"Submitted","")</f>
        <v>Submitted</v>
      </c>
      <c r="AX221" s="40" t="str">
        <f>IF(OR(_01towers[[#This Row],[Active Prevalidation Status]]="Under Prevalidation",_01towers[[#This Row],[Active Prevalidation Status]]="Prevalidated"),_01towers[[#This Row],[02tss.TSS_Result]],"")</f>
        <v>Approved</v>
      </c>
      <c r="AY221" s="40" t="str">
        <f>IF(AND(_01towers[[#This Row],[Active TSS Result]]="Approved",_01towers[[#This Row],[Active Prevalidation Status]]="Prevalidated"),"In Process","")</f>
        <v>In Process</v>
      </c>
      <c r="AZ221" s="40" t="str">
        <f>IF(AND(_01towers[[#This Row],[Active TSS Result]]="Approved",_01towers[[#This Row],[Active Prevalidation Status]]="Prevalidated"),_01towers[[#This Row],[10colo_app.Colo_App_Result]],"")</f>
        <v>Approved</v>
      </c>
      <c r="BA221" s="40">
        <f>COUNTIF(_20work_order[05_id],_01towers[[#This Row],[05_id]])</f>
        <v>0</v>
      </c>
      <c r="BB221" s="40">
        <f>COUNTIFS(_20work_order[05_id],_01towers[[#This Row],[05_id]],_20work_order[Actual_End],"&gt;0")</f>
        <v>0</v>
      </c>
      <c r="BC221" s="40" t="str">
        <f>IF(_01towers[[#This Row],[Completed Work Orders]]&gt;0,"Work Completed",
IF(_01towers[[#This Row],[Count Work Orders]]&gt;0,"Work in Progress",""))</f>
        <v/>
      </c>
      <c r="BD22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Colo Application Approved</v>
      </c>
      <c r="BE221" s="40" t="str">
        <f>_xlfn.SWITCH(_01towers[[#This Row],[Final Colo Status full]],"Commercial Approval Requested","Under Prevalidation",_01towers[[#This Row],[Final Colo Status full]])</f>
        <v>Colo Application Approved</v>
      </c>
    </row>
    <row r="222" spans="1:57" hidden="1" x14ac:dyDescent="0.35">
      <c r="A222" s="40" t="s">
        <v>459</v>
      </c>
      <c r="B222" s="40" t="s">
        <v>85</v>
      </c>
      <c r="C222" s="40" t="s">
        <v>51</v>
      </c>
      <c r="D222">
        <v>60</v>
      </c>
      <c r="E222" s="40" t="s">
        <v>155</v>
      </c>
      <c r="F222">
        <v>96.167720000000003</v>
      </c>
      <c r="G222">
        <v>19.628900000000002</v>
      </c>
      <c r="H222" s="40" t="s">
        <v>69</v>
      </c>
      <c r="I222">
        <v>222</v>
      </c>
      <c r="J222" s="40" t="s">
        <v>460</v>
      </c>
      <c r="K222" s="40" t="s">
        <v>55</v>
      </c>
      <c r="L222" s="40" t="s">
        <v>74</v>
      </c>
      <c r="M222" s="40" t="s">
        <v>57</v>
      </c>
      <c r="N222" s="40" t="s">
        <v>57</v>
      </c>
      <c r="O222" s="40" t="s">
        <v>57</v>
      </c>
      <c r="P222" s="40"/>
      <c r="Q222" s="40" t="s">
        <v>57</v>
      </c>
      <c r="R222" s="40" t="s">
        <v>75</v>
      </c>
      <c r="S222">
        <v>233</v>
      </c>
      <c r="T222">
        <v>1</v>
      </c>
      <c r="U222" s="1"/>
      <c r="V222" s="1"/>
      <c r="W222" s="1"/>
      <c r="X222" s="1"/>
      <c r="Y222" s="1"/>
      <c r="Z222" s="40"/>
      <c r="AA222">
        <v>232</v>
      </c>
      <c r="AB222">
        <v>1</v>
      </c>
      <c r="AC222" s="1"/>
      <c r="AD222" s="40"/>
      <c r="AE222" s="1"/>
      <c r="AF222" s="1"/>
      <c r="AG222" s="1"/>
      <c r="AH222" s="40"/>
      <c r="AI222" s="1"/>
      <c r="AJ222" s="40">
        <f>_xlfn.MAXIFS(_01towers[02tss.Rev],_01towers[05_id],_01towers[[#This Row],[05_id]])</f>
        <v>1</v>
      </c>
      <c r="AK222" s="40" t="b">
        <f>IF(_01towers[[#This Row],[Count Rev TSS]]=_01towers[[#This Row],[02tss.Rev]],TRUE,FALSE)</f>
        <v>1</v>
      </c>
      <c r="AL222" s="40">
        <f>_xlfn.MAXIFS(_01towers[10colo_app.Rev],_01towers[05_id],_01towers[[#This Row],[05_id]])</f>
        <v>1</v>
      </c>
      <c r="AM222" s="40" t="b">
        <f>IF(_01towers[[#This Row],[Count Rev Colo App]]=_01towers[[#This Row],[10colo_app.Rev]],TRUE,FALSE)</f>
        <v>1</v>
      </c>
      <c r="AN222" s="40" t="b">
        <f>IF(AND(_01towers[[#This Row],[Test Rev Colo]]=TRUE,_01towers[[#This Row],[Test Rev TSS]]=TRUE),TRUE,FALSE)</f>
        <v>1</v>
      </c>
      <c r="AO222" s="40" t="str">
        <f>IF(_01towers[[#This Row],[Test Active]]=TRUE,_01towers[[#This Row],[Prevalidation Status]],"")</f>
        <v>Prevalidation Rejected</v>
      </c>
      <c r="AP222" s="40" t="str">
        <f>IF(_01towers[[#This Row],[Active Prevalidation Status]]="Under Prevalidation",
IF(M222="","Review",M222),"")</f>
        <v/>
      </c>
      <c r="AQ222" s="40" t="str">
        <f>IF(_01towers[[#This Row],[Active Prevalidation Status]]="Under Prevalidation",
IF(N222="","Review",N222),"")</f>
        <v/>
      </c>
      <c r="AR222" s="40" t="str">
        <f>IF(_01towers[[#This Row],[Active Prevalidation Status]]="Under Prevalidation",
IF(O222="","Review",O222),"")</f>
        <v/>
      </c>
      <c r="AS222" s="40" t="str">
        <f>IF(_01towers[[#This Row],[Active Prevalidation Status]]="Under Prevalidation",
IF(P222="","Review",P222),"")</f>
        <v/>
      </c>
      <c r="AT222" s="40" t="str">
        <f>IF(_01towers[[#This Row],[Active Prevalidation Status]]="Under Prevalidation",
IF(Q222="","Review",Q222),"")</f>
        <v/>
      </c>
      <c r="AU222" s="40" t="str">
        <f>IF(_01towers[[#This Row],[Active Prevalidation Status]]="Under Prevalidation",
IF(R222="","Review",R222),"")</f>
        <v/>
      </c>
      <c r="AV222" s="40">
        <f>COUNTIF(_01towers[[#This Row],[SAQ_Result2]:[Community_Result2]],"OK")</f>
        <v>0</v>
      </c>
      <c r="AW222" s="1" t="str">
        <f>IF(AND(OR(_01towers[[#This Row],[Active Prevalidation Status]]="Under Prevalidation",_01towers[[#This Row],[Active Prevalidation Status]]="Prevalidated"),_01towers[[#This Row],[02tss.TSSR_From_Engineer]]&gt;0),"Submitted","")</f>
        <v/>
      </c>
      <c r="AX222" s="40" t="str">
        <f>IF(OR(_01towers[[#This Row],[Active Prevalidation Status]]="Under Prevalidation",_01towers[[#This Row],[Active Prevalidation Status]]="Prevalidated"),_01towers[[#This Row],[02tss.TSS_Result]],"")</f>
        <v/>
      </c>
      <c r="AY222" s="40" t="str">
        <f>IF(AND(_01towers[[#This Row],[Active TSS Result]]="Approved",_01towers[[#This Row],[Active Prevalidation Status]]="Prevalidated"),"In Process","")</f>
        <v/>
      </c>
      <c r="AZ222" s="40" t="str">
        <f>IF(AND(_01towers[[#This Row],[Active TSS Result]]="Approved",_01towers[[#This Row],[Active Prevalidation Status]]="Prevalidated"),_01towers[[#This Row],[10colo_app.Colo_App_Result]],"")</f>
        <v/>
      </c>
      <c r="BA222" s="40">
        <f>COUNTIF(_20work_order[05_id],_01towers[[#This Row],[05_id]])</f>
        <v>0</v>
      </c>
      <c r="BB222" s="40">
        <f>COUNTIFS(_20work_order[05_id],_01towers[[#This Row],[05_id]],_20work_order[Actual_End],"&gt;0")</f>
        <v>0</v>
      </c>
      <c r="BC222" s="40" t="str">
        <f>IF(_01towers[[#This Row],[Completed Work Orders]]&gt;0,"Work Completed",
IF(_01towers[[#This Row],[Count Work Orders]]&gt;0,"Work in Progress",""))</f>
        <v/>
      </c>
      <c r="BD22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22" s="40" t="str">
        <f>_xlfn.SWITCH(_01towers[[#This Row],[Final Colo Status full]],"Commercial Approval Requested","Under Prevalidation",_01towers[[#This Row],[Final Colo Status full]])</f>
        <v>Prevalidation Rejected</v>
      </c>
    </row>
    <row r="223" spans="1:57" hidden="1" x14ac:dyDescent="0.35">
      <c r="A223" s="40" t="s">
        <v>461</v>
      </c>
      <c r="B223" s="40" t="s">
        <v>85</v>
      </c>
      <c r="C223" s="40" t="s">
        <v>51</v>
      </c>
      <c r="D223">
        <v>35</v>
      </c>
      <c r="E223" s="40" t="s">
        <v>155</v>
      </c>
      <c r="F223">
        <v>96.093687000000003</v>
      </c>
      <c r="G223">
        <v>19.705279999999998</v>
      </c>
      <c r="H223" s="40" t="s">
        <v>62</v>
      </c>
      <c r="I223">
        <v>223</v>
      </c>
      <c r="J223" s="40" t="s">
        <v>462</v>
      </c>
      <c r="K223" s="40" t="s">
        <v>55</v>
      </c>
      <c r="L223" s="40" t="s">
        <v>148</v>
      </c>
      <c r="M223" s="40" t="s">
        <v>57</v>
      </c>
      <c r="N223" s="40" t="s">
        <v>57</v>
      </c>
      <c r="O223" s="40" t="s">
        <v>57</v>
      </c>
      <c r="P223" s="40" t="s">
        <v>58</v>
      </c>
      <c r="Q223" s="40"/>
      <c r="R223" s="40" t="s">
        <v>57</v>
      </c>
      <c r="S223">
        <v>234</v>
      </c>
      <c r="T223">
        <v>1</v>
      </c>
      <c r="U223" s="1"/>
      <c r="V223" s="1"/>
      <c r="W223" s="1"/>
      <c r="X223" s="1"/>
      <c r="Y223" s="1"/>
      <c r="Z223" s="40"/>
      <c r="AA223">
        <v>233</v>
      </c>
      <c r="AB223">
        <v>1</v>
      </c>
      <c r="AC223" s="1"/>
      <c r="AD223" s="40"/>
      <c r="AE223" s="1"/>
      <c r="AF223" s="1"/>
      <c r="AG223" s="1"/>
      <c r="AH223" s="40"/>
      <c r="AI223" s="1"/>
      <c r="AJ223" s="40">
        <f>_xlfn.MAXIFS(_01towers[02tss.Rev],_01towers[05_id],_01towers[[#This Row],[05_id]])</f>
        <v>1</v>
      </c>
      <c r="AK223" s="40" t="b">
        <f>IF(_01towers[[#This Row],[Count Rev TSS]]=_01towers[[#This Row],[02tss.Rev]],TRUE,FALSE)</f>
        <v>1</v>
      </c>
      <c r="AL223" s="40">
        <f>_xlfn.MAXIFS(_01towers[10colo_app.Rev],_01towers[05_id],_01towers[[#This Row],[05_id]])</f>
        <v>1</v>
      </c>
      <c r="AM223" s="40" t="b">
        <f>IF(_01towers[[#This Row],[Count Rev Colo App]]=_01towers[[#This Row],[10colo_app.Rev]],TRUE,FALSE)</f>
        <v>1</v>
      </c>
      <c r="AN223" s="40" t="b">
        <f>IF(AND(_01towers[[#This Row],[Test Rev Colo]]=TRUE,_01towers[[#This Row],[Test Rev TSS]]=TRUE),TRUE,FALSE)</f>
        <v>1</v>
      </c>
      <c r="AO223" s="40" t="str">
        <f>IF(_01towers[[#This Row],[Test Active]]=TRUE,_01towers[[#This Row],[Prevalidation Status]],"")</f>
        <v>Dropped by Operator</v>
      </c>
      <c r="AP223" s="40" t="str">
        <f>IF(_01towers[[#This Row],[Active Prevalidation Status]]="Under Prevalidation",
IF(M223="","Review",M223),"")</f>
        <v/>
      </c>
      <c r="AQ223" s="40" t="str">
        <f>IF(_01towers[[#This Row],[Active Prevalidation Status]]="Under Prevalidation",
IF(N223="","Review",N223),"")</f>
        <v/>
      </c>
      <c r="AR223" s="40" t="str">
        <f>IF(_01towers[[#This Row],[Active Prevalidation Status]]="Under Prevalidation",
IF(O223="","Review",O223),"")</f>
        <v/>
      </c>
      <c r="AS223" s="40" t="str">
        <f>IF(_01towers[[#This Row],[Active Prevalidation Status]]="Under Prevalidation",
IF(P223="","Review",P223),"")</f>
        <v/>
      </c>
      <c r="AT223" s="40" t="str">
        <f>IF(_01towers[[#This Row],[Active Prevalidation Status]]="Under Prevalidation",
IF(Q223="","Review",Q223),"")</f>
        <v/>
      </c>
      <c r="AU223" s="40" t="str">
        <f>IF(_01towers[[#This Row],[Active Prevalidation Status]]="Under Prevalidation",
IF(R223="","Review",R223),"")</f>
        <v/>
      </c>
      <c r="AV223" s="40">
        <f>COUNTIF(_01towers[[#This Row],[SAQ_Result2]:[Community_Result2]],"OK")</f>
        <v>0</v>
      </c>
      <c r="AW223" s="1" t="str">
        <f>IF(AND(OR(_01towers[[#This Row],[Active Prevalidation Status]]="Under Prevalidation",_01towers[[#This Row],[Active Prevalidation Status]]="Prevalidated"),_01towers[[#This Row],[02tss.TSSR_From_Engineer]]&gt;0),"Submitted","")</f>
        <v/>
      </c>
      <c r="AX223" s="40" t="str">
        <f>IF(OR(_01towers[[#This Row],[Active Prevalidation Status]]="Under Prevalidation",_01towers[[#This Row],[Active Prevalidation Status]]="Prevalidated"),_01towers[[#This Row],[02tss.TSS_Result]],"")</f>
        <v/>
      </c>
      <c r="AY223" s="40" t="str">
        <f>IF(AND(_01towers[[#This Row],[Active TSS Result]]="Approved",_01towers[[#This Row],[Active Prevalidation Status]]="Prevalidated"),"In Process","")</f>
        <v/>
      </c>
      <c r="AZ223" s="40" t="str">
        <f>IF(AND(_01towers[[#This Row],[Active TSS Result]]="Approved",_01towers[[#This Row],[Active Prevalidation Status]]="Prevalidated"),_01towers[[#This Row],[10colo_app.Colo_App_Result]],"")</f>
        <v/>
      </c>
      <c r="BA223" s="40">
        <f>COUNTIF(_20work_order[05_id],_01towers[[#This Row],[05_id]])</f>
        <v>0</v>
      </c>
      <c r="BB223" s="40">
        <f>COUNTIFS(_20work_order[05_id],_01towers[[#This Row],[05_id]],_20work_order[Actual_End],"&gt;0")</f>
        <v>0</v>
      </c>
      <c r="BC223" s="40" t="str">
        <f>IF(_01towers[[#This Row],[Completed Work Orders]]&gt;0,"Work Completed",
IF(_01towers[[#This Row],[Count Work Orders]]&gt;0,"Work in Progress",""))</f>
        <v/>
      </c>
      <c r="BD22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Dropped by Operator</v>
      </c>
      <c r="BE223" s="40" t="str">
        <f>_xlfn.SWITCH(_01towers[[#This Row],[Final Colo Status full]],"Commercial Approval Requested","Under Prevalidation",_01towers[[#This Row],[Final Colo Status full]])</f>
        <v>Dropped by Operator</v>
      </c>
    </row>
    <row r="224" spans="1:57" hidden="1" x14ac:dyDescent="0.35">
      <c r="A224" s="40" t="s">
        <v>463</v>
      </c>
      <c r="B224" s="40" t="s">
        <v>50</v>
      </c>
      <c r="C224" s="40" t="s">
        <v>51</v>
      </c>
      <c r="D224">
        <v>60</v>
      </c>
      <c r="E224" s="40" t="s">
        <v>79</v>
      </c>
      <c r="F224">
        <v>96.003479999999996</v>
      </c>
      <c r="G224">
        <v>21.92353</v>
      </c>
      <c r="H224" s="40" t="s">
        <v>53</v>
      </c>
      <c r="I224">
        <v>224</v>
      </c>
      <c r="J224" s="40" t="s">
        <v>464</v>
      </c>
      <c r="K224" s="40" t="s">
        <v>55</v>
      </c>
      <c r="L224" s="40" t="s">
        <v>64</v>
      </c>
      <c r="M224" s="40" t="s">
        <v>57</v>
      </c>
      <c r="N224" s="40" t="s">
        <v>57</v>
      </c>
      <c r="O224" s="40" t="s">
        <v>57</v>
      </c>
      <c r="P224" s="40" t="s">
        <v>58</v>
      </c>
      <c r="Q224" s="40" t="s">
        <v>57</v>
      </c>
      <c r="R224" s="40" t="s">
        <v>57</v>
      </c>
      <c r="S224">
        <v>235</v>
      </c>
      <c r="T224">
        <v>1</v>
      </c>
      <c r="U224" s="1"/>
      <c r="V224" s="1"/>
      <c r="W224" s="1"/>
      <c r="X224" s="1"/>
      <c r="Y224" s="1"/>
      <c r="Z224" s="40"/>
      <c r="AA224">
        <v>234</v>
      </c>
      <c r="AB224">
        <v>1</v>
      </c>
      <c r="AC224" s="1"/>
      <c r="AD224" s="40"/>
      <c r="AE224" s="1"/>
      <c r="AF224" s="1"/>
      <c r="AG224" s="1"/>
      <c r="AH224" s="40"/>
      <c r="AI224" s="1"/>
      <c r="AJ224" s="40">
        <f>_xlfn.MAXIFS(_01towers[02tss.Rev],_01towers[05_id],_01towers[[#This Row],[05_id]])</f>
        <v>1</v>
      </c>
      <c r="AK224" s="40" t="b">
        <f>IF(_01towers[[#This Row],[Count Rev TSS]]=_01towers[[#This Row],[02tss.Rev]],TRUE,FALSE)</f>
        <v>1</v>
      </c>
      <c r="AL224" s="40">
        <f>_xlfn.MAXIFS(_01towers[10colo_app.Rev],_01towers[05_id],_01towers[[#This Row],[05_id]])</f>
        <v>1</v>
      </c>
      <c r="AM224" s="40" t="b">
        <f>IF(_01towers[[#This Row],[Count Rev Colo App]]=_01towers[[#This Row],[10colo_app.Rev]],TRUE,FALSE)</f>
        <v>1</v>
      </c>
      <c r="AN224" s="40" t="b">
        <f>IF(AND(_01towers[[#This Row],[Test Rev Colo]]=TRUE,_01towers[[#This Row],[Test Rev TSS]]=TRUE),TRUE,FALSE)</f>
        <v>1</v>
      </c>
      <c r="AO224" s="40" t="str">
        <f>IF(_01towers[[#This Row],[Test Active]]=TRUE,_01towers[[#This Row],[Prevalidation Status]],"")</f>
        <v>Prevalidated</v>
      </c>
      <c r="AP224" s="40" t="str">
        <f>IF(_01towers[[#This Row],[Active Prevalidation Status]]="Under Prevalidation",
IF(M224="","Review",M224),"")</f>
        <v/>
      </c>
      <c r="AQ224" s="40" t="str">
        <f>IF(_01towers[[#This Row],[Active Prevalidation Status]]="Under Prevalidation",
IF(N224="","Review",N224),"")</f>
        <v/>
      </c>
      <c r="AR224" s="40" t="str">
        <f>IF(_01towers[[#This Row],[Active Prevalidation Status]]="Under Prevalidation",
IF(O224="","Review",O224),"")</f>
        <v/>
      </c>
      <c r="AS224" s="40" t="str">
        <f>IF(_01towers[[#This Row],[Active Prevalidation Status]]="Under Prevalidation",
IF(P224="","Review",P224),"")</f>
        <v/>
      </c>
      <c r="AT224" s="40" t="str">
        <f>IF(_01towers[[#This Row],[Active Prevalidation Status]]="Under Prevalidation",
IF(Q224="","Review",Q224),"")</f>
        <v/>
      </c>
      <c r="AU224" s="40" t="str">
        <f>IF(_01towers[[#This Row],[Active Prevalidation Status]]="Under Prevalidation",
IF(R224="","Review",R224),"")</f>
        <v/>
      </c>
      <c r="AV224" s="40">
        <f>COUNTIF(_01towers[[#This Row],[SAQ_Result2]:[Community_Result2]],"OK")</f>
        <v>0</v>
      </c>
      <c r="AW224" s="1" t="str">
        <f>IF(AND(OR(_01towers[[#This Row],[Active Prevalidation Status]]="Under Prevalidation",_01towers[[#This Row],[Active Prevalidation Status]]="Prevalidated"),_01towers[[#This Row],[02tss.TSSR_From_Engineer]]&gt;0),"Submitted","")</f>
        <v/>
      </c>
      <c r="AX224" s="40">
        <f>IF(OR(_01towers[[#This Row],[Active Prevalidation Status]]="Under Prevalidation",_01towers[[#This Row],[Active Prevalidation Status]]="Prevalidated"),_01towers[[#This Row],[02tss.TSS_Result]],"")</f>
        <v>0</v>
      </c>
      <c r="AY224" s="40" t="str">
        <f>IF(AND(_01towers[[#This Row],[Active TSS Result]]="Approved",_01towers[[#This Row],[Active Prevalidation Status]]="Prevalidated"),"In Process","")</f>
        <v/>
      </c>
      <c r="AZ224" s="40" t="str">
        <f>IF(AND(_01towers[[#This Row],[Active TSS Result]]="Approved",_01towers[[#This Row],[Active Prevalidation Status]]="Prevalidated"),_01towers[[#This Row],[10colo_app.Colo_App_Result]],"")</f>
        <v/>
      </c>
      <c r="BA224" s="40">
        <f>COUNTIF(_20work_order[05_id],_01towers[[#This Row],[05_id]])</f>
        <v>0</v>
      </c>
      <c r="BB224" s="40">
        <f>COUNTIFS(_20work_order[05_id],_01towers[[#This Row],[05_id]],_20work_order[Actual_End],"&gt;0")</f>
        <v>0</v>
      </c>
      <c r="BC224" s="40" t="str">
        <f>IF(_01towers[[#This Row],[Completed Work Orders]]&gt;0,"Work Completed",
IF(_01towers[[#This Row],[Count Work Orders]]&gt;0,"Work in Progress",""))</f>
        <v/>
      </c>
      <c r="BD22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24" s="40" t="str">
        <f>_xlfn.SWITCH(_01towers[[#This Row],[Final Colo Status full]],"Commercial Approval Requested","Under Prevalidation",_01towers[[#This Row],[Final Colo Status full]])</f>
        <v>Prevalidated - TSSR in Process</v>
      </c>
    </row>
    <row r="225" spans="1:57" hidden="1" x14ac:dyDescent="0.35">
      <c r="A225" s="40" t="s">
        <v>465</v>
      </c>
      <c r="B225" s="40" t="s">
        <v>50</v>
      </c>
      <c r="C225" s="40" t="s">
        <v>82</v>
      </c>
      <c r="D225">
        <v>6</v>
      </c>
      <c r="E225" s="40" t="s">
        <v>66</v>
      </c>
      <c r="F225">
        <v>96.104039999999998</v>
      </c>
      <c r="G225">
        <v>21.972560000000001</v>
      </c>
      <c r="H225" s="40" t="s">
        <v>53</v>
      </c>
      <c r="I225">
        <v>225</v>
      </c>
      <c r="J225" s="40" t="s">
        <v>466</v>
      </c>
      <c r="K225" s="40" t="s">
        <v>121</v>
      </c>
      <c r="L225" s="40" t="s">
        <v>64</v>
      </c>
      <c r="M225" s="40" t="s">
        <v>57</v>
      </c>
      <c r="N225" s="40" t="s">
        <v>57</v>
      </c>
      <c r="O225" s="40" t="s">
        <v>57</v>
      </c>
      <c r="P225" s="40" t="s">
        <v>161</v>
      </c>
      <c r="Q225" s="40"/>
      <c r="R225" s="40" t="s">
        <v>57</v>
      </c>
      <c r="S225">
        <v>236</v>
      </c>
      <c r="T225">
        <v>1</v>
      </c>
      <c r="U225" s="1"/>
      <c r="V225" s="1">
        <v>43166</v>
      </c>
      <c r="W225" s="1"/>
      <c r="X225" s="1">
        <v>43171</v>
      </c>
      <c r="Y225" s="1"/>
      <c r="Z225" s="40" t="s">
        <v>59</v>
      </c>
      <c r="AA225">
        <v>235</v>
      </c>
      <c r="AB225">
        <v>1</v>
      </c>
      <c r="AC225" s="1"/>
      <c r="AD225" s="40"/>
      <c r="AE225" s="1"/>
      <c r="AF225" s="1"/>
      <c r="AG225" s="1"/>
      <c r="AH225" s="40"/>
      <c r="AI225" s="1"/>
      <c r="AJ225" s="40">
        <f>_xlfn.MAXIFS(_01towers[02tss.Rev],_01towers[05_id],_01towers[[#This Row],[05_id]])</f>
        <v>1</v>
      </c>
      <c r="AK225" s="40" t="b">
        <f>IF(_01towers[[#This Row],[Count Rev TSS]]=_01towers[[#This Row],[02tss.Rev]],TRUE,FALSE)</f>
        <v>1</v>
      </c>
      <c r="AL225" s="40">
        <f>_xlfn.MAXIFS(_01towers[10colo_app.Rev],_01towers[05_id],_01towers[[#This Row],[05_id]])</f>
        <v>1</v>
      </c>
      <c r="AM225" s="40" t="b">
        <f>IF(_01towers[[#This Row],[Count Rev Colo App]]=_01towers[[#This Row],[10colo_app.Rev]],TRUE,FALSE)</f>
        <v>1</v>
      </c>
      <c r="AN225" s="40" t="b">
        <f>IF(AND(_01towers[[#This Row],[Test Rev Colo]]=TRUE,_01towers[[#This Row],[Test Rev TSS]]=TRUE),TRUE,FALSE)</f>
        <v>1</v>
      </c>
      <c r="AO225" s="40" t="str">
        <f>IF(_01towers[[#This Row],[Test Active]]=TRUE,_01towers[[#This Row],[Prevalidation Status]],"")</f>
        <v>Prevalidated</v>
      </c>
      <c r="AP225" s="40" t="str">
        <f>IF(_01towers[[#This Row],[Active Prevalidation Status]]="Under Prevalidation",
IF(M225="","Review",M225),"")</f>
        <v/>
      </c>
      <c r="AQ225" s="40" t="str">
        <f>IF(_01towers[[#This Row],[Active Prevalidation Status]]="Under Prevalidation",
IF(N225="","Review",N225),"")</f>
        <v/>
      </c>
      <c r="AR225" s="40" t="str">
        <f>IF(_01towers[[#This Row],[Active Prevalidation Status]]="Under Prevalidation",
IF(O225="","Review",O225),"")</f>
        <v/>
      </c>
      <c r="AS225" s="40" t="str">
        <f>IF(_01towers[[#This Row],[Active Prevalidation Status]]="Under Prevalidation",
IF(P225="","Review",P225),"")</f>
        <v/>
      </c>
      <c r="AT225" s="40" t="str">
        <f>IF(_01towers[[#This Row],[Active Prevalidation Status]]="Under Prevalidation",
IF(Q225="","Review",Q225),"")</f>
        <v/>
      </c>
      <c r="AU225" s="40" t="str">
        <f>IF(_01towers[[#This Row],[Active Prevalidation Status]]="Under Prevalidation",
IF(R225="","Review",R225),"")</f>
        <v/>
      </c>
      <c r="AV225" s="40">
        <f>COUNTIF(_01towers[[#This Row],[SAQ_Result2]:[Community_Result2]],"OK")</f>
        <v>0</v>
      </c>
      <c r="AW225" s="1" t="str">
        <f>IF(AND(OR(_01towers[[#This Row],[Active Prevalidation Status]]="Under Prevalidation",_01towers[[#This Row],[Active Prevalidation Status]]="Prevalidated"),_01towers[[#This Row],[02tss.TSSR_From_Engineer]]&gt;0),"Submitted","")</f>
        <v/>
      </c>
      <c r="AX225" s="40" t="str">
        <f>IF(OR(_01towers[[#This Row],[Active Prevalidation Status]]="Under Prevalidation",_01towers[[#This Row],[Active Prevalidation Status]]="Prevalidated"),_01towers[[#This Row],[02tss.TSS_Result]],"")</f>
        <v>Approved</v>
      </c>
      <c r="AY225" s="40" t="str">
        <f>IF(AND(_01towers[[#This Row],[Active TSS Result]]="Approved",_01towers[[#This Row],[Active Prevalidation Status]]="Prevalidated"),"In Process","")</f>
        <v>In Process</v>
      </c>
      <c r="AZ225" s="40">
        <f>IF(AND(_01towers[[#This Row],[Active TSS Result]]="Approved",_01towers[[#This Row],[Active Prevalidation Status]]="Prevalidated"),_01towers[[#This Row],[10colo_app.Colo_App_Result]],"")</f>
        <v>0</v>
      </c>
      <c r="BA225" s="40">
        <f>COUNTIF(_20work_order[05_id],_01towers[[#This Row],[05_id]])</f>
        <v>0</v>
      </c>
      <c r="BB225" s="40">
        <f>COUNTIFS(_20work_order[05_id],_01towers[[#This Row],[05_id]],_20work_order[Actual_End],"&gt;0")</f>
        <v>0</v>
      </c>
      <c r="BC225" s="40" t="str">
        <f>IF(_01towers[[#This Row],[Completed Work Orders]]&gt;0,"Work Completed",
IF(_01towers[[#This Row],[Count Work Orders]]&gt;0,"Work in Progress",""))</f>
        <v/>
      </c>
      <c r="BD22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225" s="40" t="str">
        <f>_xlfn.SWITCH(_01towers[[#This Row],[Final Colo Status full]],"Commercial Approval Requested","Under Prevalidation",_01towers[[#This Row],[Final Colo Status full]])</f>
        <v>Prevalidated - TSSR Done</v>
      </c>
    </row>
    <row r="226" spans="1:57" hidden="1" x14ac:dyDescent="0.35">
      <c r="A226" s="40" t="s">
        <v>467</v>
      </c>
      <c r="B226" s="40" t="s">
        <v>50</v>
      </c>
      <c r="C226" s="40" t="s">
        <v>82</v>
      </c>
      <c r="D226">
        <v>6</v>
      </c>
      <c r="E226" s="40" t="s">
        <v>66</v>
      </c>
      <c r="F226">
        <v>96.112989999999996</v>
      </c>
      <c r="G226">
        <v>21.98048</v>
      </c>
      <c r="H226" s="40" t="s">
        <v>53</v>
      </c>
      <c r="I226">
        <v>226</v>
      </c>
      <c r="J226" s="40" t="s">
        <v>468</v>
      </c>
      <c r="K226" s="40" t="s">
        <v>121</v>
      </c>
      <c r="L226" s="40" t="s">
        <v>74</v>
      </c>
      <c r="M226" s="40" t="s">
        <v>75</v>
      </c>
      <c r="N226" s="40" t="s">
        <v>57</v>
      </c>
      <c r="O226" s="40" t="s">
        <v>57</v>
      </c>
      <c r="P226" s="40"/>
      <c r="Q226" s="40"/>
      <c r="R226" s="40" t="s">
        <v>57</v>
      </c>
      <c r="S226">
        <v>237</v>
      </c>
      <c r="T226">
        <v>1</v>
      </c>
      <c r="U226" s="1"/>
      <c r="V226" s="1">
        <v>43166</v>
      </c>
      <c r="W226" s="1"/>
      <c r="X226" s="1">
        <v>43171</v>
      </c>
      <c r="Y226" s="1"/>
      <c r="Z226" s="40" t="s">
        <v>59</v>
      </c>
      <c r="AA226">
        <v>236</v>
      </c>
      <c r="AB226">
        <v>1</v>
      </c>
      <c r="AC226" s="1"/>
      <c r="AD226" s="40"/>
      <c r="AE226" s="1"/>
      <c r="AF226" s="1"/>
      <c r="AG226" s="1"/>
      <c r="AH226" s="40"/>
      <c r="AI226" s="1"/>
      <c r="AJ226" s="40">
        <f>_xlfn.MAXIFS(_01towers[02tss.Rev],_01towers[05_id],_01towers[[#This Row],[05_id]])</f>
        <v>1</v>
      </c>
      <c r="AK226" s="40" t="b">
        <f>IF(_01towers[[#This Row],[Count Rev TSS]]=_01towers[[#This Row],[02tss.Rev]],TRUE,FALSE)</f>
        <v>1</v>
      </c>
      <c r="AL226" s="40">
        <f>_xlfn.MAXIFS(_01towers[10colo_app.Rev],_01towers[05_id],_01towers[[#This Row],[05_id]])</f>
        <v>1</v>
      </c>
      <c r="AM226" s="40" t="b">
        <f>IF(_01towers[[#This Row],[Count Rev Colo App]]=_01towers[[#This Row],[10colo_app.Rev]],TRUE,FALSE)</f>
        <v>1</v>
      </c>
      <c r="AN226" s="40" t="b">
        <f>IF(AND(_01towers[[#This Row],[Test Rev Colo]]=TRUE,_01towers[[#This Row],[Test Rev TSS]]=TRUE),TRUE,FALSE)</f>
        <v>1</v>
      </c>
      <c r="AO226" s="40" t="str">
        <f>IF(_01towers[[#This Row],[Test Active]]=TRUE,_01towers[[#This Row],[Prevalidation Status]],"")</f>
        <v>Prevalidation Rejected</v>
      </c>
      <c r="AP226" s="40" t="str">
        <f>IF(_01towers[[#This Row],[Active Prevalidation Status]]="Under Prevalidation",
IF(M226="","Review",M226),"")</f>
        <v/>
      </c>
      <c r="AQ226" s="40" t="str">
        <f>IF(_01towers[[#This Row],[Active Prevalidation Status]]="Under Prevalidation",
IF(N226="","Review",N226),"")</f>
        <v/>
      </c>
      <c r="AR226" s="40" t="str">
        <f>IF(_01towers[[#This Row],[Active Prevalidation Status]]="Under Prevalidation",
IF(O226="","Review",O226),"")</f>
        <v/>
      </c>
      <c r="AS226" s="40" t="str">
        <f>IF(_01towers[[#This Row],[Active Prevalidation Status]]="Under Prevalidation",
IF(P226="","Review",P226),"")</f>
        <v/>
      </c>
      <c r="AT226" s="40" t="str">
        <f>IF(_01towers[[#This Row],[Active Prevalidation Status]]="Under Prevalidation",
IF(Q226="","Review",Q226),"")</f>
        <v/>
      </c>
      <c r="AU226" s="40" t="str">
        <f>IF(_01towers[[#This Row],[Active Prevalidation Status]]="Under Prevalidation",
IF(R226="","Review",R226),"")</f>
        <v/>
      </c>
      <c r="AV226" s="40">
        <f>COUNTIF(_01towers[[#This Row],[SAQ_Result2]:[Community_Result2]],"OK")</f>
        <v>0</v>
      </c>
      <c r="AW226" s="1" t="str">
        <f>IF(AND(OR(_01towers[[#This Row],[Active Prevalidation Status]]="Under Prevalidation",_01towers[[#This Row],[Active Prevalidation Status]]="Prevalidated"),_01towers[[#This Row],[02tss.TSSR_From_Engineer]]&gt;0),"Submitted","")</f>
        <v/>
      </c>
      <c r="AX226" s="40" t="str">
        <f>IF(OR(_01towers[[#This Row],[Active Prevalidation Status]]="Under Prevalidation",_01towers[[#This Row],[Active Prevalidation Status]]="Prevalidated"),_01towers[[#This Row],[02tss.TSS_Result]],"")</f>
        <v/>
      </c>
      <c r="AY226" s="40" t="str">
        <f>IF(AND(_01towers[[#This Row],[Active TSS Result]]="Approved",_01towers[[#This Row],[Active Prevalidation Status]]="Prevalidated"),"In Process","")</f>
        <v/>
      </c>
      <c r="AZ226" s="40" t="str">
        <f>IF(AND(_01towers[[#This Row],[Active TSS Result]]="Approved",_01towers[[#This Row],[Active Prevalidation Status]]="Prevalidated"),_01towers[[#This Row],[10colo_app.Colo_App_Result]],"")</f>
        <v/>
      </c>
      <c r="BA226" s="40">
        <f>COUNTIF(_20work_order[05_id],_01towers[[#This Row],[05_id]])</f>
        <v>0</v>
      </c>
      <c r="BB226" s="40">
        <f>COUNTIFS(_20work_order[05_id],_01towers[[#This Row],[05_id]],_20work_order[Actual_End],"&gt;0")</f>
        <v>0</v>
      </c>
      <c r="BC226" s="40" t="str">
        <f>IF(_01towers[[#This Row],[Completed Work Orders]]&gt;0,"Work Completed",
IF(_01towers[[#This Row],[Count Work Orders]]&gt;0,"Work in Progress",""))</f>
        <v/>
      </c>
      <c r="BD22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26" s="40" t="str">
        <f>_xlfn.SWITCH(_01towers[[#This Row],[Final Colo Status full]],"Commercial Approval Requested","Under Prevalidation",_01towers[[#This Row],[Final Colo Status full]])</f>
        <v>Prevalidation Rejected</v>
      </c>
    </row>
    <row r="227" spans="1:57" hidden="1" x14ac:dyDescent="0.35">
      <c r="A227" s="40" t="s">
        <v>469</v>
      </c>
      <c r="B227" s="40" t="s">
        <v>50</v>
      </c>
      <c r="C227" s="40" t="s">
        <v>82</v>
      </c>
      <c r="D227">
        <v>6</v>
      </c>
      <c r="E227" s="40" t="s">
        <v>66</v>
      </c>
      <c r="F227">
        <v>96.099080000000001</v>
      </c>
      <c r="G227">
        <v>21.933440000000001</v>
      </c>
      <c r="H227" s="40" t="s">
        <v>53</v>
      </c>
      <c r="I227">
        <v>227</v>
      </c>
      <c r="J227" s="40" t="s">
        <v>470</v>
      </c>
      <c r="K227" s="40" t="s">
        <v>121</v>
      </c>
      <c r="L227" s="40" t="s">
        <v>64</v>
      </c>
      <c r="M227" s="40" t="s">
        <v>57</v>
      </c>
      <c r="N227" s="40" t="s">
        <v>57</v>
      </c>
      <c r="O227" s="40" t="s">
        <v>57</v>
      </c>
      <c r="P227" s="40" t="s">
        <v>161</v>
      </c>
      <c r="Q227" s="40"/>
      <c r="R227" s="40" t="s">
        <v>57</v>
      </c>
      <c r="S227">
        <v>238</v>
      </c>
      <c r="T227">
        <v>1</v>
      </c>
      <c r="U227" s="1"/>
      <c r="V227" s="1">
        <v>43172</v>
      </c>
      <c r="W227" s="1"/>
      <c r="X227" s="1">
        <v>43173</v>
      </c>
      <c r="Y227" s="1"/>
      <c r="Z227" s="40" t="s">
        <v>59</v>
      </c>
      <c r="AA227">
        <v>237</v>
      </c>
      <c r="AB227">
        <v>1</v>
      </c>
      <c r="AC227" s="1"/>
      <c r="AD227" s="40"/>
      <c r="AE227" s="1"/>
      <c r="AF227" s="1"/>
      <c r="AG227" s="1"/>
      <c r="AH227" s="40"/>
      <c r="AI227" s="1"/>
      <c r="AJ227" s="40">
        <f>_xlfn.MAXIFS(_01towers[02tss.Rev],_01towers[05_id],_01towers[[#This Row],[05_id]])</f>
        <v>1</v>
      </c>
      <c r="AK227" s="40" t="b">
        <f>IF(_01towers[[#This Row],[Count Rev TSS]]=_01towers[[#This Row],[02tss.Rev]],TRUE,FALSE)</f>
        <v>1</v>
      </c>
      <c r="AL227" s="40">
        <f>_xlfn.MAXIFS(_01towers[10colo_app.Rev],_01towers[05_id],_01towers[[#This Row],[05_id]])</f>
        <v>1</v>
      </c>
      <c r="AM227" s="40" t="b">
        <f>IF(_01towers[[#This Row],[Count Rev Colo App]]=_01towers[[#This Row],[10colo_app.Rev]],TRUE,FALSE)</f>
        <v>1</v>
      </c>
      <c r="AN227" s="40" t="b">
        <f>IF(AND(_01towers[[#This Row],[Test Rev Colo]]=TRUE,_01towers[[#This Row],[Test Rev TSS]]=TRUE),TRUE,FALSE)</f>
        <v>1</v>
      </c>
      <c r="AO227" s="40" t="str">
        <f>IF(_01towers[[#This Row],[Test Active]]=TRUE,_01towers[[#This Row],[Prevalidation Status]],"")</f>
        <v>Prevalidated</v>
      </c>
      <c r="AP227" s="40" t="str">
        <f>IF(_01towers[[#This Row],[Active Prevalidation Status]]="Under Prevalidation",
IF(M227="","Review",M227),"")</f>
        <v/>
      </c>
      <c r="AQ227" s="40" t="str">
        <f>IF(_01towers[[#This Row],[Active Prevalidation Status]]="Under Prevalidation",
IF(N227="","Review",N227),"")</f>
        <v/>
      </c>
      <c r="AR227" s="40" t="str">
        <f>IF(_01towers[[#This Row],[Active Prevalidation Status]]="Under Prevalidation",
IF(O227="","Review",O227),"")</f>
        <v/>
      </c>
      <c r="AS227" s="40" t="str">
        <f>IF(_01towers[[#This Row],[Active Prevalidation Status]]="Under Prevalidation",
IF(P227="","Review",P227),"")</f>
        <v/>
      </c>
      <c r="AT227" s="40" t="str">
        <f>IF(_01towers[[#This Row],[Active Prevalidation Status]]="Under Prevalidation",
IF(Q227="","Review",Q227),"")</f>
        <v/>
      </c>
      <c r="AU227" s="40" t="str">
        <f>IF(_01towers[[#This Row],[Active Prevalidation Status]]="Under Prevalidation",
IF(R227="","Review",R227),"")</f>
        <v/>
      </c>
      <c r="AV227" s="40">
        <f>COUNTIF(_01towers[[#This Row],[SAQ_Result2]:[Community_Result2]],"OK")</f>
        <v>0</v>
      </c>
      <c r="AW227" s="1" t="str">
        <f>IF(AND(OR(_01towers[[#This Row],[Active Prevalidation Status]]="Under Prevalidation",_01towers[[#This Row],[Active Prevalidation Status]]="Prevalidated"),_01towers[[#This Row],[02tss.TSSR_From_Engineer]]&gt;0),"Submitted","")</f>
        <v/>
      </c>
      <c r="AX227" s="40" t="str">
        <f>IF(OR(_01towers[[#This Row],[Active Prevalidation Status]]="Under Prevalidation",_01towers[[#This Row],[Active Prevalidation Status]]="Prevalidated"),_01towers[[#This Row],[02tss.TSS_Result]],"")</f>
        <v>Approved</v>
      </c>
      <c r="AY227" s="40" t="str">
        <f>IF(AND(_01towers[[#This Row],[Active TSS Result]]="Approved",_01towers[[#This Row],[Active Prevalidation Status]]="Prevalidated"),"In Process","")</f>
        <v>In Process</v>
      </c>
      <c r="AZ227" s="40">
        <f>IF(AND(_01towers[[#This Row],[Active TSS Result]]="Approved",_01towers[[#This Row],[Active Prevalidation Status]]="Prevalidated"),_01towers[[#This Row],[10colo_app.Colo_App_Result]],"")</f>
        <v>0</v>
      </c>
      <c r="BA227" s="40">
        <f>COUNTIF(_20work_order[05_id],_01towers[[#This Row],[05_id]])</f>
        <v>0</v>
      </c>
      <c r="BB227" s="40">
        <f>COUNTIFS(_20work_order[05_id],_01towers[[#This Row],[05_id]],_20work_order[Actual_End],"&gt;0")</f>
        <v>0</v>
      </c>
      <c r="BC227" s="40" t="str">
        <f>IF(_01towers[[#This Row],[Completed Work Orders]]&gt;0,"Work Completed",
IF(_01towers[[#This Row],[Count Work Orders]]&gt;0,"Work in Progress",""))</f>
        <v/>
      </c>
      <c r="BD22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227" s="40" t="str">
        <f>_xlfn.SWITCH(_01towers[[#This Row],[Final Colo Status full]],"Commercial Approval Requested","Under Prevalidation",_01towers[[#This Row],[Final Colo Status full]])</f>
        <v>Prevalidated - TSSR Done</v>
      </c>
    </row>
    <row r="228" spans="1:57" x14ac:dyDescent="0.35">
      <c r="A228" s="40" t="s">
        <v>303</v>
      </c>
      <c r="B228" s="40" t="s">
        <v>90</v>
      </c>
      <c r="C228" s="40" t="s">
        <v>51</v>
      </c>
      <c r="D228">
        <v>35</v>
      </c>
      <c r="E228" s="40" t="s">
        <v>98</v>
      </c>
      <c r="F228">
        <v>96.267070000000004</v>
      </c>
      <c r="G228">
        <v>16.83447</v>
      </c>
      <c r="H228" s="40" t="s">
        <v>53</v>
      </c>
      <c r="I228">
        <v>229</v>
      </c>
      <c r="J228" s="40" t="s">
        <v>610</v>
      </c>
      <c r="K228" s="40" t="s">
        <v>136</v>
      </c>
      <c r="L228" s="40" t="s">
        <v>56</v>
      </c>
      <c r="M228" s="40" t="s">
        <v>57</v>
      </c>
      <c r="N228" s="40" t="s">
        <v>57</v>
      </c>
      <c r="O228" s="40" t="s">
        <v>57</v>
      </c>
      <c r="P228" s="40" t="s">
        <v>58</v>
      </c>
      <c r="Q228" s="40" t="s">
        <v>57</v>
      </c>
      <c r="R228" s="40" t="s">
        <v>57</v>
      </c>
      <c r="S228">
        <v>239</v>
      </c>
      <c r="T228">
        <v>1</v>
      </c>
      <c r="U228" s="1">
        <v>43253</v>
      </c>
      <c r="V228" s="1">
        <v>43255</v>
      </c>
      <c r="W228" s="1">
        <v>43255</v>
      </c>
      <c r="X228" s="1">
        <v>43255</v>
      </c>
      <c r="Y228" s="1"/>
      <c r="Z228" s="40" t="s">
        <v>59</v>
      </c>
      <c r="AA228">
        <v>238</v>
      </c>
      <c r="AB228">
        <v>1</v>
      </c>
      <c r="AC228" s="1"/>
      <c r="AD228" s="40"/>
      <c r="AE228" s="1"/>
      <c r="AF228" s="1"/>
      <c r="AG228" s="1"/>
      <c r="AH228" s="40"/>
      <c r="AI228" s="1"/>
      <c r="AJ228" s="40">
        <f>_xlfn.MAXIFS(_01towers[02tss.Rev],_01towers[05_id],_01towers[[#This Row],[05_id]])</f>
        <v>1</v>
      </c>
      <c r="AK228" s="40" t="b">
        <f>IF(_01towers[[#This Row],[Count Rev TSS]]=_01towers[[#This Row],[02tss.Rev]],TRUE,FALSE)</f>
        <v>1</v>
      </c>
      <c r="AL228" s="40">
        <f>_xlfn.MAXIFS(_01towers[10colo_app.Rev],_01towers[05_id],_01towers[[#This Row],[05_id]])</f>
        <v>1</v>
      </c>
      <c r="AM228" s="40" t="b">
        <f>IF(_01towers[[#This Row],[Count Rev Colo App]]=_01towers[[#This Row],[10colo_app.Rev]],TRUE,FALSE)</f>
        <v>1</v>
      </c>
      <c r="AN228" s="40" t="b">
        <f>IF(AND(_01towers[[#This Row],[Test Rev Colo]]=TRUE,_01towers[[#This Row],[Test Rev TSS]]=TRUE),TRUE,FALSE)</f>
        <v>1</v>
      </c>
      <c r="AO228" s="40" t="str">
        <f>IF(_01towers[[#This Row],[Test Active]]=TRUE,_01towers[[#This Row],[Prevalidation Status]],"")</f>
        <v>Commercial Approval Requested</v>
      </c>
      <c r="AP228" s="40" t="str">
        <f>IF(_01towers[[#This Row],[Active Prevalidation Status]]="Under Prevalidation",
IF(M228="","Review",M228),"")</f>
        <v/>
      </c>
      <c r="AQ228" s="40" t="str">
        <f>IF(_01towers[[#This Row],[Active Prevalidation Status]]="Under Prevalidation",
IF(N228="","Review",N228),"")</f>
        <v/>
      </c>
      <c r="AR228" s="40" t="str">
        <f>IF(_01towers[[#This Row],[Active Prevalidation Status]]="Under Prevalidation",
IF(O228="","Review",O228),"")</f>
        <v/>
      </c>
      <c r="AS228" s="40" t="str">
        <f>IF(_01towers[[#This Row],[Active Prevalidation Status]]="Under Prevalidation",
IF(P228="","Review",P228),"")</f>
        <v/>
      </c>
      <c r="AT228" s="40" t="str">
        <f>IF(_01towers[[#This Row],[Active Prevalidation Status]]="Under Prevalidation",
IF(Q228="","Review",Q228),"")</f>
        <v/>
      </c>
      <c r="AU228" s="40" t="str">
        <f>IF(_01towers[[#This Row],[Active Prevalidation Status]]="Under Prevalidation",
IF(R228="","Review",R228),"")</f>
        <v/>
      </c>
      <c r="AV228" s="40">
        <f>COUNTIF(_01towers[[#This Row],[SAQ_Result2]:[Community_Result2]],"OK")</f>
        <v>0</v>
      </c>
      <c r="AW228" s="1" t="str">
        <f>IF(AND(OR(_01towers[[#This Row],[Active Prevalidation Status]]="Under Prevalidation",_01towers[[#This Row],[Active Prevalidation Status]]="Prevalidated"),_01towers[[#This Row],[02tss.TSSR_From_Engineer]]&gt;0),"Submitted","")</f>
        <v/>
      </c>
      <c r="AX228" s="40" t="str">
        <f>IF(OR(_01towers[[#This Row],[Active Prevalidation Status]]="Under Prevalidation",_01towers[[#This Row],[Active Prevalidation Status]]="Prevalidated"),_01towers[[#This Row],[02tss.TSS_Result]],"")</f>
        <v/>
      </c>
      <c r="AY228" s="40" t="str">
        <f>IF(AND(_01towers[[#This Row],[Active TSS Result]]="Approved",_01towers[[#This Row],[Active Prevalidation Status]]="Prevalidated"),"In Process","")</f>
        <v/>
      </c>
      <c r="AZ228" s="40" t="str">
        <f>IF(AND(_01towers[[#This Row],[Active TSS Result]]="Approved",_01towers[[#This Row],[Active Prevalidation Status]]="Prevalidated"),_01towers[[#This Row],[10colo_app.Colo_App_Result]],"")</f>
        <v/>
      </c>
      <c r="BA228" s="40">
        <f>COUNTIF(_20work_order[05_id],_01towers[[#This Row],[05_id]])</f>
        <v>1</v>
      </c>
      <c r="BB228" s="40">
        <f>COUNTIFS(_20work_order[05_id],_01towers[[#This Row],[05_id]],_20work_order[Actual_End],"&gt;0")</f>
        <v>1</v>
      </c>
      <c r="BC228" s="40" t="str">
        <f>IF(_01towers[[#This Row],[Completed Work Orders]]&gt;0,"Work Completed",
IF(_01towers[[#This Row],[Count Work Orders]]&gt;0,"Work in Progress",""))</f>
        <v>Work Completed</v>
      </c>
      <c r="BD22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28" s="40" t="str">
        <f>_xlfn.SWITCH(_01towers[[#This Row],[Final Colo Status full]],"Commercial Approval Requested","Under Prevalidation",_01towers[[#This Row],[Final Colo Status full]])</f>
        <v>Under Prevalidation</v>
      </c>
    </row>
    <row r="229" spans="1:57" hidden="1" x14ac:dyDescent="0.35">
      <c r="A229" s="40" t="s">
        <v>471</v>
      </c>
      <c r="B229" s="40" t="s">
        <v>90</v>
      </c>
      <c r="C229" s="40" t="s">
        <v>97</v>
      </c>
      <c r="D229">
        <v>30</v>
      </c>
      <c r="E229" s="40" t="s">
        <v>98</v>
      </c>
      <c r="F229">
        <v>96.098460000000003</v>
      </c>
      <c r="G229">
        <v>16.90812</v>
      </c>
      <c r="H229" s="40" t="s">
        <v>53</v>
      </c>
      <c r="I229">
        <v>230</v>
      </c>
      <c r="J229" s="40" t="s">
        <v>472</v>
      </c>
      <c r="K229" s="40" t="s">
        <v>136</v>
      </c>
      <c r="L229" s="40" t="s">
        <v>64</v>
      </c>
      <c r="M229" s="40" t="s">
        <v>57</v>
      </c>
      <c r="N229" s="40" t="s">
        <v>57</v>
      </c>
      <c r="O229" s="40" t="s">
        <v>57</v>
      </c>
      <c r="P229" s="40" t="s">
        <v>57</v>
      </c>
      <c r="Q229" s="40" t="s">
        <v>57</v>
      </c>
      <c r="R229" s="40" t="s">
        <v>57</v>
      </c>
      <c r="S229">
        <v>124</v>
      </c>
      <c r="T229">
        <v>1</v>
      </c>
      <c r="U229" s="1">
        <v>43253</v>
      </c>
      <c r="V229" s="1">
        <v>43255</v>
      </c>
      <c r="W229" s="1">
        <v>43255</v>
      </c>
      <c r="X229" s="1">
        <v>43255</v>
      </c>
      <c r="Y229" s="1"/>
      <c r="Z229" s="40" t="s">
        <v>59</v>
      </c>
      <c r="AA229">
        <v>123</v>
      </c>
      <c r="AB229">
        <v>1</v>
      </c>
      <c r="AC229" s="1">
        <v>43266</v>
      </c>
      <c r="AD229" s="40" t="s">
        <v>570</v>
      </c>
      <c r="AE229" s="1"/>
      <c r="AF229" s="1"/>
      <c r="AG229" s="1"/>
      <c r="AH229" s="40"/>
      <c r="AI229" s="1"/>
      <c r="AJ229" s="40">
        <f>_xlfn.MAXIFS(_01towers[02tss.Rev],_01towers[05_id],_01towers[[#This Row],[05_id]])</f>
        <v>1</v>
      </c>
      <c r="AK229" s="40" t="b">
        <f>IF(_01towers[[#This Row],[Count Rev TSS]]=_01towers[[#This Row],[02tss.Rev]],TRUE,FALSE)</f>
        <v>1</v>
      </c>
      <c r="AL229" s="40">
        <f>_xlfn.MAXIFS(_01towers[10colo_app.Rev],_01towers[05_id],_01towers[[#This Row],[05_id]])</f>
        <v>1</v>
      </c>
      <c r="AM229" s="40" t="b">
        <f>IF(_01towers[[#This Row],[Count Rev Colo App]]=_01towers[[#This Row],[10colo_app.Rev]],TRUE,FALSE)</f>
        <v>1</v>
      </c>
      <c r="AN229" s="40" t="b">
        <f>IF(AND(_01towers[[#This Row],[Test Rev Colo]]=TRUE,_01towers[[#This Row],[Test Rev TSS]]=TRUE),TRUE,FALSE)</f>
        <v>1</v>
      </c>
      <c r="AO229" s="40" t="str">
        <f>IF(_01towers[[#This Row],[Test Active]]=TRUE,_01towers[[#This Row],[Prevalidation Status]],"")</f>
        <v>Prevalidated</v>
      </c>
      <c r="AP229" s="40" t="str">
        <f>IF(_01towers[[#This Row],[Active Prevalidation Status]]="Under Prevalidation",
IF(M229="","Review",M229),"")</f>
        <v/>
      </c>
      <c r="AQ229" s="40" t="str">
        <f>IF(_01towers[[#This Row],[Active Prevalidation Status]]="Under Prevalidation",
IF(N229="","Review",N229),"")</f>
        <v/>
      </c>
      <c r="AR229" s="40" t="str">
        <f>IF(_01towers[[#This Row],[Active Prevalidation Status]]="Under Prevalidation",
IF(O229="","Review",O229),"")</f>
        <v/>
      </c>
      <c r="AS229" s="40" t="str">
        <f>IF(_01towers[[#This Row],[Active Prevalidation Status]]="Under Prevalidation",
IF(P229="","Review",P229),"")</f>
        <v/>
      </c>
      <c r="AT229" s="40" t="str">
        <f>IF(_01towers[[#This Row],[Active Prevalidation Status]]="Under Prevalidation",
IF(Q229="","Review",Q229),"")</f>
        <v/>
      </c>
      <c r="AU229" s="40" t="str">
        <f>IF(_01towers[[#This Row],[Active Prevalidation Status]]="Under Prevalidation",
IF(R229="","Review",R229),"")</f>
        <v/>
      </c>
      <c r="AV229" s="40">
        <f>COUNTIF(_01towers[[#This Row],[SAQ_Result2]:[Community_Result2]],"OK")</f>
        <v>0</v>
      </c>
      <c r="AW229" s="1" t="str">
        <f>IF(AND(OR(_01towers[[#This Row],[Active Prevalidation Status]]="Under Prevalidation",_01towers[[#This Row],[Active Prevalidation Status]]="Prevalidated"),_01towers[[#This Row],[02tss.TSSR_From_Engineer]]&gt;0),"Submitted","")</f>
        <v>Submitted</v>
      </c>
      <c r="AX229" s="40" t="str">
        <f>IF(OR(_01towers[[#This Row],[Active Prevalidation Status]]="Under Prevalidation",_01towers[[#This Row],[Active Prevalidation Status]]="Prevalidated"),_01towers[[#This Row],[02tss.TSS_Result]],"")</f>
        <v>Approved</v>
      </c>
      <c r="AY229" s="40" t="str">
        <f>IF(AND(_01towers[[#This Row],[Active TSS Result]]="Approved",_01towers[[#This Row],[Active Prevalidation Status]]="Prevalidated"),"In Process","")</f>
        <v>In Process</v>
      </c>
      <c r="AZ229" s="40" t="str">
        <f>IF(AND(_01towers[[#This Row],[Active TSS Result]]="Approved",_01towers[[#This Row],[Active Prevalidation Status]]="Prevalidated"),_01towers[[#This Row],[10colo_app.Colo_App_Result]],"")</f>
        <v>NTP Received</v>
      </c>
      <c r="BA229" s="40">
        <f>COUNTIF(_20work_order[05_id],_01towers[[#This Row],[05_id]])</f>
        <v>0</v>
      </c>
      <c r="BB229" s="40">
        <f>COUNTIFS(_20work_order[05_id],_01towers[[#This Row],[05_id]],_20work_order[Actual_End],"&gt;0")</f>
        <v>0</v>
      </c>
      <c r="BC229" s="40" t="str">
        <f>IF(_01towers[[#This Row],[Completed Work Orders]]&gt;0,"Work Completed",
IF(_01towers[[#This Row],[Count Work Orders]]&gt;0,"Work in Progress",""))</f>
        <v/>
      </c>
      <c r="BD22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229" s="40" t="str">
        <f>_xlfn.SWITCH(_01towers[[#This Row],[Final Colo Status full]],"Commercial Approval Requested","Under Prevalidation",_01towers[[#This Row],[Final Colo Status full]])</f>
        <v>NTP Received</v>
      </c>
    </row>
    <row r="230" spans="1:57" hidden="1" x14ac:dyDescent="0.35">
      <c r="A230" s="40" t="s">
        <v>473</v>
      </c>
      <c r="B230" s="40" t="s">
        <v>50</v>
      </c>
      <c r="C230" s="40" t="s">
        <v>51</v>
      </c>
      <c r="D230">
        <v>60</v>
      </c>
      <c r="E230" s="40" t="s">
        <v>79</v>
      </c>
      <c r="F230">
        <v>94.930620000000005</v>
      </c>
      <c r="G230">
        <v>24.863890000000001</v>
      </c>
      <c r="H230" s="40" t="s">
        <v>421</v>
      </c>
      <c r="I230">
        <v>231</v>
      </c>
      <c r="J230" s="40" t="s">
        <v>644</v>
      </c>
      <c r="K230" s="40" t="s">
        <v>136</v>
      </c>
      <c r="L230" s="40" t="s">
        <v>74</v>
      </c>
      <c r="M230" s="40" t="s">
        <v>75</v>
      </c>
      <c r="N230" s="40"/>
      <c r="O230" s="40"/>
      <c r="P230" s="40" t="s">
        <v>57</v>
      </c>
      <c r="Q230" s="40"/>
      <c r="R230" s="40" t="s">
        <v>57</v>
      </c>
      <c r="S230">
        <v>90</v>
      </c>
      <c r="T230">
        <v>1</v>
      </c>
      <c r="U230" s="1"/>
      <c r="V230" s="1"/>
      <c r="W230" s="1"/>
      <c r="X230" s="1"/>
      <c r="Y230" s="1"/>
      <c r="Z230" s="40"/>
      <c r="AA230">
        <v>89</v>
      </c>
      <c r="AB230">
        <v>1</v>
      </c>
      <c r="AC230" s="1"/>
      <c r="AD230" s="40"/>
      <c r="AE230" s="1"/>
      <c r="AF230" s="1"/>
      <c r="AG230" s="1"/>
      <c r="AH230" s="40"/>
      <c r="AI230" s="1"/>
      <c r="AJ230" s="40">
        <f>_xlfn.MAXIFS(_01towers[02tss.Rev],_01towers[05_id],_01towers[[#This Row],[05_id]])</f>
        <v>1</v>
      </c>
      <c r="AK230" s="40" t="b">
        <f>IF(_01towers[[#This Row],[Count Rev TSS]]=_01towers[[#This Row],[02tss.Rev]],TRUE,FALSE)</f>
        <v>1</v>
      </c>
      <c r="AL230" s="40">
        <f>_xlfn.MAXIFS(_01towers[10colo_app.Rev],_01towers[05_id],_01towers[[#This Row],[05_id]])</f>
        <v>1</v>
      </c>
      <c r="AM230" s="40" t="b">
        <f>IF(_01towers[[#This Row],[Count Rev Colo App]]=_01towers[[#This Row],[10colo_app.Rev]],TRUE,FALSE)</f>
        <v>1</v>
      </c>
      <c r="AN230" s="40" t="b">
        <f>IF(AND(_01towers[[#This Row],[Test Rev Colo]]=TRUE,_01towers[[#This Row],[Test Rev TSS]]=TRUE),TRUE,FALSE)</f>
        <v>1</v>
      </c>
      <c r="AO230" s="40" t="str">
        <f>IF(_01towers[[#This Row],[Test Active]]=TRUE,_01towers[[#This Row],[Prevalidation Status]],"")</f>
        <v>Prevalidation Rejected</v>
      </c>
      <c r="AP230" s="40" t="str">
        <f>IF(_01towers[[#This Row],[Active Prevalidation Status]]="Under Prevalidation",
IF(M230="","Review",M230),"")</f>
        <v/>
      </c>
      <c r="AQ230" s="40" t="str">
        <f>IF(_01towers[[#This Row],[Active Prevalidation Status]]="Under Prevalidation",
IF(N230="","Review",N230),"")</f>
        <v/>
      </c>
      <c r="AR230" s="40" t="str">
        <f>IF(_01towers[[#This Row],[Active Prevalidation Status]]="Under Prevalidation",
IF(O230="","Review",O230),"")</f>
        <v/>
      </c>
      <c r="AS230" s="40" t="str">
        <f>IF(_01towers[[#This Row],[Active Prevalidation Status]]="Under Prevalidation",
IF(P230="","Review",P230),"")</f>
        <v/>
      </c>
      <c r="AT230" s="40" t="str">
        <f>IF(_01towers[[#This Row],[Active Prevalidation Status]]="Under Prevalidation",
IF(Q230="","Review",Q230),"")</f>
        <v/>
      </c>
      <c r="AU230" s="40" t="str">
        <f>IF(_01towers[[#This Row],[Active Prevalidation Status]]="Under Prevalidation",
IF(R230="","Review",R230),"")</f>
        <v/>
      </c>
      <c r="AV230" s="40">
        <f>COUNTIF(_01towers[[#This Row],[SAQ_Result2]:[Community_Result2]],"OK")</f>
        <v>0</v>
      </c>
      <c r="AW230" s="1" t="str">
        <f>IF(AND(OR(_01towers[[#This Row],[Active Prevalidation Status]]="Under Prevalidation",_01towers[[#This Row],[Active Prevalidation Status]]="Prevalidated"),_01towers[[#This Row],[02tss.TSSR_From_Engineer]]&gt;0),"Submitted","")</f>
        <v/>
      </c>
      <c r="AX230" s="40" t="str">
        <f>IF(OR(_01towers[[#This Row],[Active Prevalidation Status]]="Under Prevalidation",_01towers[[#This Row],[Active Prevalidation Status]]="Prevalidated"),_01towers[[#This Row],[02tss.TSS_Result]],"")</f>
        <v/>
      </c>
      <c r="AY230" s="40" t="str">
        <f>IF(AND(_01towers[[#This Row],[Active TSS Result]]="Approved",_01towers[[#This Row],[Active Prevalidation Status]]="Prevalidated"),"In Process","")</f>
        <v/>
      </c>
      <c r="AZ230" s="40" t="str">
        <f>IF(AND(_01towers[[#This Row],[Active TSS Result]]="Approved",_01towers[[#This Row],[Active Prevalidation Status]]="Prevalidated"),_01towers[[#This Row],[10colo_app.Colo_App_Result]],"")</f>
        <v/>
      </c>
      <c r="BA230" s="40">
        <f>COUNTIF(_20work_order[05_id],_01towers[[#This Row],[05_id]])</f>
        <v>0</v>
      </c>
      <c r="BB230" s="40">
        <f>COUNTIFS(_20work_order[05_id],_01towers[[#This Row],[05_id]],_20work_order[Actual_End],"&gt;0")</f>
        <v>0</v>
      </c>
      <c r="BC230" s="40" t="str">
        <f>IF(_01towers[[#This Row],[Completed Work Orders]]&gt;0,"Work Completed",
IF(_01towers[[#This Row],[Count Work Orders]]&gt;0,"Work in Progress",""))</f>
        <v/>
      </c>
      <c r="BD23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30" s="40" t="str">
        <f>_xlfn.SWITCH(_01towers[[#This Row],[Final Colo Status full]],"Commercial Approval Requested","Under Prevalidation",_01towers[[#This Row],[Final Colo Status full]])</f>
        <v>Prevalidation Rejected</v>
      </c>
    </row>
    <row r="231" spans="1:57" hidden="1" x14ac:dyDescent="0.35">
      <c r="A231" s="40" t="s">
        <v>461</v>
      </c>
      <c r="B231" s="40" t="s">
        <v>85</v>
      </c>
      <c r="C231" s="40" t="s">
        <v>51</v>
      </c>
      <c r="D231">
        <v>35</v>
      </c>
      <c r="E231" s="40" t="s">
        <v>155</v>
      </c>
      <c r="F231">
        <v>96.093687000000003</v>
      </c>
      <c r="G231">
        <v>19.705279999999998</v>
      </c>
      <c r="H231" s="40" t="s">
        <v>62</v>
      </c>
      <c r="I231">
        <v>232</v>
      </c>
      <c r="J231" s="40" t="s">
        <v>474</v>
      </c>
      <c r="K231" s="40" t="s">
        <v>136</v>
      </c>
      <c r="L231" s="40" t="s">
        <v>64</v>
      </c>
      <c r="M231" s="40" t="s">
        <v>57</v>
      </c>
      <c r="N231" s="40" t="s">
        <v>57</v>
      </c>
      <c r="O231" s="40" t="s">
        <v>57</v>
      </c>
      <c r="P231" s="40" t="s">
        <v>57</v>
      </c>
      <c r="Q231" s="40" t="s">
        <v>57</v>
      </c>
      <c r="R231" s="40" t="s">
        <v>57</v>
      </c>
      <c r="S231">
        <v>71</v>
      </c>
      <c r="T231">
        <v>1</v>
      </c>
      <c r="U231" s="1">
        <v>43263</v>
      </c>
      <c r="V231" s="1">
        <v>43263</v>
      </c>
      <c r="W231" s="1">
        <v>43263</v>
      </c>
      <c r="X231" s="1">
        <v>43263</v>
      </c>
      <c r="Y231" s="1"/>
      <c r="Z231" s="40" t="s">
        <v>59</v>
      </c>
      <c r="AA231">
        <v>70</v>
      </c>
      <c r="AB231">
        <v>1</v>
      </c>
      <c r="AC231" s="1">
        <v>43278</v>
      </c>
      <c r="AD231" s="40" t="s">
        <v>570</v>
      </c>
      <c r="AE231" s="1"/>
      <c r="AF231" s="1"/>
      <c r="AG231" s="1"/>
      <c r="AH231" s="40"/>
      <c r="AI231" s="1"/>
      <c r="AJ231" s="40">
        <f>_xlfn.MAXIFS(_01towers[02tss.Rev],_01towers[05_id],_01towers[[#This Row],[05_id]])</f>
        <v>1</v>
      </c>
      <c r="AK231" s="40" t="b">
        <f>IF(_01towers[[#This Row],[Count Rev TSS]]=_01towers[[#This Row],[02tss.Rev]],TRUE,FALSE)</f>
        <v>1</v>
      </c>
      <c r="AL231" s="40">
        <f>_xlfn.MAXIFS(_01towers[10colo_app.Rev],_01towers[05_id],_01towers[[#This Row],[05_id]])</f>
        <v>1</v>
      </c>
      <c r="AM231" s="40" t="b">
        <f>IF(_01towers[[#This Row],[Count Rev Colo App]]=_01towers[[#This Row],[10colo_app.Rev]],TRUE,FALSE)</f>
        <v>1</v>
      </c>
      <c r="AN231" s="40" t="b">
        <f>IF(AND(_01towers[[#This Row],[Test Rev Colo]]=TRUE,_01towers[[#This Row],[Test Rev TSS]]=TRUE),TRUE,FALSE)</f>
        <v>1</v>
      </c>
      <c r="AO231" s="40" t="str">
        <f>IF(_01towers[[#This Row],[Test Active]]=TRUE,_01towers[[#This Row],[Prevalidation Status]],"")</f>
        <v>Prevalidated</v>
      </c>
      <c r="AP231" s="40" t="str">
        <f>IF(_01towers[[#This Row],[Active Prevalidation Status]]="Under Prevalidation",
IF(M231="","Review",M231),"")</f>
        <v/>
      </c>
      <c r="AQ231" s="40" t="str">
        <f>IF(_01towers[[#This Row],[Active Prevalidation Status]]="Under Prevalidation",
IF(N231="","Review",N231),"")</f>
        <v/>
      </c>
      <c r="AR231" s="40" t="str">
        <f>IF(_01towers[[#This Row],[Active Prevalidation Status]]="Under Prevalidation",
IF(O231="","Review",O231),"")</f>
        <v/>
      </c>
      <c r="AS231" s="40" t="str">
        <f>IF(_01towers[[#This Row],[Active Prevalidation Status]]="Under Prevalidation",
IF(P231="","Review",P231),"")</f>
        <v/>
      </c>
      <c r="AT231" s="40" t="str">
        <f>IF(_01towers[[#This Row],[Active Prevalidation Status]]="Under Prevalidation",
IF(Q231="","Review",Q231),"")</f>
        <v/>
      </c>
      <c r="AU231" s="40" t="str">
        <f>IF(_01towers[[#This Row],[Active Prevalidation Status]]="Under Prevalidation",
IF(R231="","Review",R231),"")</f>
        <v/>
      </c>
      <c r="AV231" s="40">
        <f>COUNTIF(_01towers[[#This Row],[SAQ_Result2]:[Community_Result2]],"OK")</f>
        <v>0</v>
      </c>
      <c r="AW231" s="1" t="str">
        <f>IF(AND(OR(_01towers[[#This Row],[Active Prevalidation Status]]="Under Prevalidation",_01towers[[#This Row],[Active Prevalidation Status]]="Prevalidated"),_01towers[[#This Row],[02tss.TSSR_From_Engineer]]&gt;0),"Submitted","")</f>
        <v>Submitted</v>
      </c>
      <c r="AX231" s="40" t="str">
        <f>IF(OR(_01towers[[#This Row],[Active Prevalidation Status]]="Under Prevalidation",_01towers[[#This Row],[Active Prevalidation Status]]="Prevalidated"),_01towers[[#This Row],[02tss.TSS_Result]],"")</f>
        <v>Approved</v>
      </c>
      <c r="AY231" s="40" t="str">
        <f>IF(AND(_01towers[[#This Row],[Active TSS Result]]="Approved",_01towers[[#This Row],[Active Prevalidation Status]]="Prevalidated"),"In Process","")</f>
        <v>In Process</v>
      </c>
      <c r="AZ231" s="40" t="str">
        <f>IF(AND(_01towers[[#This Row],[Active TSS Result]]="Approved",_01towers[[#This Row],[Active Prevalidation Status]]="Prevalidated"),_01towers[[#This Row],[10colo_app.Colo_App_Result]],"")</f>
        <v>NTP Received</v>
      </c>
      <c r="BA231" s="40">
        <f>COUNTIF(_20work_order[05_id],_01towers[[#This Row],[05_id]])</f>
        <v>0</v>
      </c>
      <c r="BB231" s="40">
        <f>COUNTIFS(_20work_order[05_id],_01towers[[#This Row],[05_id]],_20work_order[Actual_End],"&gt;0")</f>
        <v>0</v>
      </c>
      <c r="BC231" s="40" t="str">
        <f>IF(_01towers[[#This Row],[Completed Work Orders]]&gt;0,"Work Completed",
IF(_01towers[[#This Row],[Count Work Orders]]&gt;0,"Work in Progress",""))</f>
        <v/>
      </c>
      <c r="BD23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NTP Received</v>
      </c>
      <c r="BE231" s="40" t="str">
        <f>_xlfn.SWITCH(_01towers[[#This Row],[Final Colo Status full]],"Commercial Approval Requested","Under Prevalidation",_01towers[[#This Row],[Final Colo Status full]])</f>
        <v>NTP Received</v>
      </c>
    </row>
    <row r="232" spans="1:57" x14ac:dyDescent="0.35">
      <c r="A232" s="40" t="s">
        <v>475</v>
      </c>
      <c r="B232" s="40" t="s">
        <v>90</v>
      </c>
      <c r="C232" s="40" t="s">
        <v>51</v>
      </c>
      <c r="D232">
        <v>35</v>
      </c>
      <c r="E232" s="40" t="s">
        <v>98</v>
      </c>
      <c r="F232">
        <v>96.148870000000002</v>
      </c>
      <c r="G232">
        <v>16.908709999999999</v>
      </c>
      <c r="H232" s="40" t="s">
        <v>259</v>
      </c>
      <c r="I232">
        <v>233</v>
      </c>
      <c r="J232" s="40" t="s">
        <v>476</v>
      </c>
      <c r="K232" s="40" t="s">
        <v>136</v>
      </c>
      <c r="L232" s="40" t="s">
        <v>56</v>
      </c>
      <c r="M232" s="40" t="s">
        <v>57</v>
      </c>
      <c r="N232" s="40" t="s">
        <v>57</v>
      </c>
      <c r="O232" s="40" t="s">
        <v>57</v>
      </c>
      <c r="P232" s="40" t="s">
        <v>58</v>
      </c>
      <c r="Q232" s="40" t="s">
        <v>57</v>
      </c>
      <c r="R232" s="40" t="s">
        <v>57</v>
      </c>
      <c r="S232">
        <v>149</v>
      </c>
      <c r="T232">
        <v>1</v>
      </c>
      <c r="U232" s="1"/>
      <c r="V232" s="1"/>
      <c r="W232" s="1"/>
      <c r="X232" s="1"/>
      <c r="Y232" s="1"/>
      <c r="Z232" s="40"/>
      <c r="AA232">
        <v>148</v>
      </c>
      <c r="AB232">
        <v>1</v>
      </c>
      <c r="AC232" s="1"/>
      <c r="AD232" s="40"/>
      <c r="AE232" s="1"/>
      <c r="AF232" s="1"/>
      <c r="AG232" s="1"/>
      <c r="AH232" s="40"/>
      <c r="AI232" s="1"/>
      <c r="AJ232" s="40">
        <f>_xlfn.MAXIFS(_01towers[02tss.Rev],_01towers[05_id],_01towers[[#This Row],[05_id]])</f>
        <v>1</v>
      </c>
      <c r="AK232" s="40" t="b">
        <f>IF(_01towers[[#This Row],[Count Rev TSS]]=_01towers[[#This Row],[02tss.Rev]],TRUE,FALSE)</f>
        <v>1</v>
      </c>
      <c r="AL232" s="40">
        <f>_xlfn.MAXIFS(_01towers[10colo_app.Rev],_01towers[05_id],_01towers[[#This Row],[05_id]])</f>
        <v>1</v>
      </c>
      <c r="AM232" s="40" t="b">
        <f>IF(_01towers[[#This Row],[Count Rev Colo App]]=_01towers[[#This Row],[10colo_app.Rev]],TRUE,FALSE)</f>
        <v>1</v>
      </c>
      <c r="AN232" s="40" t="b">
        <f>IF(AND(_01towers[[#This Row],[Test Rev Colo]]=TRUE,_01towers[[#This Row],[Test Rev TSS]]=TRUE),TRUE,FALSE)</f>
        <v>1</v>
      </c>
      <c r="AO232" s="40" t="str">
        <f>IF(_01towers[[#This Row],[Test Active]]=TRUE,_01towers[[#This Row],[Prevalidation Status]],"")</f>
        <v>Commercial Approval Requested</v>
      </c>
      <c r="AP232" s="40" t="str">
        <f>IF(_01towers[[#This Row],[Active Prevalidation Status]]="Under Prevalidation",
IF(M232="","Review",M232),"")</f>
        <v/>
      </c>
      <c r="AQ232" s="40" t="str">
        <f>IF(_01towers[[#This Row],[Active Prevalidation Status]]="Under Prevalidation",
IF(N232="","Review",N232),"")</f>
        <v/>
      </c>
      <c r="AR232" s="40" t="str">
        <f>IF(_01towers[[#This Row],[Active Prevalidation Status]]="Under Prevalidation",
IF(O232="","Review",O232),"")</f>
        <v/>
      </c>
      <c r="AS232" s="40" t="str">
        <f>IF(_01towers[[#This Row],[Active Prevalidation Status]]="Under Prevalidation",
IF(P232="","Review",P232),"")</f>
        <v/>
      </c>
      <c r="AT232" s="40" t="str">
        <f>IF(_01towers[[#This Row],[Active Prevalidation Status]]="Under Prevalidation",
IF(Q232="","Review",Q232),"")</f>
        <v/>
      </c>
      <c r="AU232" s="40" t="str">
        <f>IF(_01towers[[#This Row],[Active Prevalidation Status]]="Under Prevalidation",
IF(R232="","Review",R232),"")</f>
        <v/>
      </c>
      <c r="AV232" s="40">
        <f>COUNTIF(_01towers[[#This Row],[SAQ_Result2]:[Community_Result2]],"OK")</f>
        <v>0</v>
      </c>
      <c r="AW232" s="1" t="str">
        <f>IF(AND(OR(_01towers[[#This Row],[Active Prevalidation Status]]="Under Prevalidation",_01towers[[#This Row],[Active Prevalidation Status]]="Prevalidated"),_01towers[[#This Row],[02tss.TSSR_From_Engineer]]&gt;0),"Submitted","")</f>
        <v/>
      </c>
      <c r="AX232" s="40" t="str">
        <f>IF(OR(_01towers[[#This Row],[Active Prevalidation Status]]="Under Prevalidation",_01towers[[#This Row],[Active Prevalidation Status]]="Prevalidated"),_01towers[[#This Row],[02tss.TSS_Result]],"")</f>
        <v/>
      </c>
      <c r="AY232" s="40" t="str">
        <f>IF(AND(_01towers[[#This Row],[Active TSS Result]]="Approved",_01towers[[#This Row],[Active Prevalidation Status]]="Prevalidated"),"In Process","")</f>
        <v/>
      </c>
      <c r="AZ232" s="40" t="str">
        <f>IF(AND(_01towers[[#This Row],[Active TSS Result]]="Approved",_01towers[[#This Row],[Active Prevalidation Status]]="Prevalidated"),_01towers[[#This Row],[10colo_app.Colo_App_Result]],"")</f>
        <v/>
      </c>
      <c r="BA232" s="40">
        <f>COUNTIF(_20work_order[05_id],_01towers[[#This Row],[05_id]])</f>
        <v>0</v>
      </c>
      <c r="BB232" s="40">
        <f>COUNTIFS(_20work_order[05_id],_01towers[[#This Row],[05_id]],_20work_order[Actual_End],"&gt;0")</f>
        <v>0</v>
      </c>
      <c r="BC232" s="40" t="str">
        <f>IF(_01towers[[#This Row],[Completed Work Orders]]&gt;0,"Work Completed",
IF(_01towers[[#This Row],[Count Work Orders]]&gt;0,"Work in Progress",""))</f>
        <v/>
      </c>
      <c r="BD23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32" s="40" t="str">
        <f>_xlfn.SWITCH(_01towers[[#This Row],[Final Colo Status full]],"Commercial Approval Requested","Under Prevalidation",_01towers[[#This Row],[Final Colo Status full]])</f>
        <v>Under Prevalidation</v>
      </c>
    </row>
    <row r="233" spans="1:57" x14ac:dyDescent="0.35">
      <c r="A233" s="40" t="s">
        <v>477</v>
      </c>
      <c r="B233" s="40" t="s">
        <v>50</v>
      </c>
      <c r="C233" s="40" t="s">
        <v>51</v>
      </c>
      <c r="D233">
        <v>60</v>
      </c>
      <c r="E233" s="40" t="s">
        <v>79</v>
      </c>
      <c r="F233">
        <v>95.215819999999994</v>
      </c>
      <c r="G233">
        <v>22.050450000000001</v>
      </c>
      <c r="H233" s="40" t="s">
        <v>62</v>
      </c>
      <c r="I233">
        <v>234</v>
      </c>
      <c r="J233" s="40" t="s">
        <v>645</v>
      </c>
      <c r="K233" s="40" t="s">
        <v>136</v>
      </c>
      <c r="L233" s="40" t="s">
        <v>56</v>
      </c>
      <c r="M233" s="40" t="s">
        <v>57</v>
      </c>
      <c r="N233" s="40" t="s">
        <v>57</v>
      </c>
      <c r="O233" s="40" t="s">
        <v>57</v>
      </c>
      <c r="P233" s="40" t="s">
        <v>58</v>
      </c>
      <c r="Q233" s="40" t="s">
        <v>57</v>
      </c>
      <c r="R233" s="40" t="s">
        <v>58</v>
      </c>
      <c r="S233">
        <v>80</v>
      </c>
      <c r="T233">
        <v>1</v>
      </c>
      <c r="U233" s="1">
        <v>43260</v>
      </c>
      <c r="V233" s="1">
        <v>43263</v>
      </c>
      <c r="W233" s="1">
        <v>43263</v>
      </c>
      <c r="X233" s="1">
        <v>43263</v>
      </c>
      <c r="Y233" s="1"/>
      <c r="Z233" s="40" t="s">
        <v>59</v>
      </c>
      <c r="AA233">
        <v>79</v>
      </c>
      <c r="AB233">
        <v>1</v>
      </c>
      <c r="AC233" s="1"/>
      <c r="AD233" s="40"/>
      <c r="AE233" s="1"/>
      <c r="AF233" s="1"/>
      <c r="AG233" s="1"/>
      <c r="AH233" s="40"/>
      <c r="AI233" s="1"/>
      <c r="AJ233" s="40">
        <f>_xlfn.MAXIFS(_01towers[02tss.Rev],_01towers[05_id],_01towers[[#This Row],[05_id]])</f>
        <v>1</v>
      </c>
      <c r="AK233" s="40" t="b">
        <f>IF(_01towers[[#This Row],[Count Rev TSS]]=_01towers[[#This Row],[02tss.Rev]],TRUE,FALSE)</f>
        <v>1</v>
      </c>
      <c r="AL233" s="40">
        <f>_xlfn.MAXIFS(_01towers[10colo_app.Rev],_01towers[05_id],_01towers[[#This Row],[05_id]])</f>
        <v>1</v>
      </c>
      <c r="AM233" s="40" t="b">
        <f>IF(_01towers[[#This Row],[Count Rev Colo App]]=_01towers[[#This Row],[10colo_app.Rev]],TRUE,FALSE)</f>
        <v>1</v>
      </c>
      <c r="AN233" s="40" t="b">
        <f>IF(AND(_01towers[[#This Row],[Test Rev Colo]]=TRUE,_01towers[[#This Row],[Test Rev TSS]]=TRUE),TRUE,FALSE)</f>
        <v>1</v>
      </c>
      <c r="AO233" s="40" t="str">
        <f>IF(_01towers[[#This Row],[Test Active]]=TRUE,_01towers[[#This Row],[Prevalidation Status]],"")</f>
        <v>Commercial Approval Requested</v>
      </c>
      <c r="AP233" s="40" t="str">
        <f>IF(_01towers[[#This Row],[Active Prevalidation Status]]="Under Prevalidation",
IF(M233="","Review",M233),"")</f>
        <v/>
      </c>
      <c r="AQ233" s="40" t="str">
        <f>IF(_01towers[[#This Row],[Active Prevalidation Status]]="Under Prevalidation",
IF(N233="","Review",N233),"")</f>
        <v/>
      </c>
      <c r="AR233" s="40" t="str">
        <f>IF(_01towers[[#This Row],[Active Prevalidation Status]]="Under Prevalidation",
IF(O233="","Review",O233),"")</f>
        <v/>
      </c>
      <c r="AS233" s="40" t="str">
        <f>IF(_01towers[[#This Row],[Active Prevalidation Status]]="Under Prevalidation",
IF(P233="","Review",P233),"")</f>
        <v/>
      </c>
      <c r="AT233" s="40" t="str">
        <f>IF(_01towers[[#This Row],[Active Prevalidation Status]]="Under Prevalidation",
IF(Q233="","Review",Q233),"")</f>
        <v/>
      </c>
      <c r="AU233" s="40" t="str">
        <f>IF(_01towers[[#This Row],[Active Prevalidation Status]]="Under Prevalidation",
IF(R233="","Review",R233),"")</f>
        <v/>
      </c>
      <c r="AV233" s="40">
        <f>COUNTIF(_01towers[[#This Row],[SAQ_Result2]:[Community_Result2]],"OK")</f>
        <v>0</v>
      </c>
      <c r="AW233" s="1" t="str">
        <f>IF(AND(OR(_01towers[[#This Row],[Active Prevalidation Status]]="Under Prevalidation",_01towers[[#This Row],[Active Prevalidation Status]]="Prevalidated"),_01towers[[#This Row],[02tss.TSSR_From_Engineer]]&gt;0),"Submitted","")</f>
        <v/>
      </c>
      <c r="AX233" s="40" t="str">
        <f>IF(OR(_01towers[[#This Row],[Active Prevalidation Status]]="Under Prevalidation",_01towers[[#This Row],[Active Prevalidation Status]]="Prevalidated"),_01towers[[#This Row],[02tss.TSS_Result]],"")</f>
        <v/>
      </c>
      <c r="AY233" s="40" t="str">
        <f>IF(AND(_01towers[[#This Row],[Active TSS Result]]="Approved",_01towers[[#This Row],[Active Prevalidation Status]]="Prevalidated"),"In Process","")</f>
        <v/>
      </c>
      <c r="AZ233" s="40" t="str">
        <f>IF(AND(_01towers[[#This Row],[Active TSS Result]]="Approved",_01towers[[#This Row],[Active Prevalidation Status]]="Prevalidated"),_01towers[[#This Row],[10colo_app.Colo_App_Result]],"")</f>
        <v/>
      </c>
      <c r="BA233" s="40">
        <f>COUNTIF(_20work_order[05_id],_01towers[[#This Row],[05_id]])</f>
        <v>1</v>
      </c>
      <c r="BB233" s="40">
        <f>COUNTIFS(_20work_order[05_id],_01towers[[#This Row],[05_id]],_20work_order[Actual_End],"&gt;0")</f>
        <v>1</v>
      </c>
      <c r="BC233" s="40" t="str">
        <f>IF(_01towers[[#This Row],[Completed Work Orders]]&gt;0,"Work Completed",
IF(_01towers[[#This Row],[Count Work Orders]]&gt;0,"Work in Progress",""))</f>
        <v>Work Completed</v>
      </c>
      <c r="BD23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33" s="40" t="str">
        <f>_xlfn.SWITCH(_01towers[[#This Row],[Final Colo Status full]],"Commercial Approval Requested","Under Prevalidation",_01towers[[#This Row],[Final Colo Status full]])</f>
        <v>Under Prevalidation</v>
      </c>
    </row>
    <row r="234" spans="1:57" x14ac:dyDescent="0.35">
      <c r="A234" s="40" t="s">
        <v>478</v>
      </c>
      <c r="B234" s="40" t="s">
        <v>90</v>
      </c>
      <c r="C234" s="40" t="s">
        <v>51</v>
      </c>
      <c r="D234">
        <v>60</v>
      </c>
      <c r="E234" s="40" t="s">
        <v>221</v>
      </c>
      <c r="F234">
        <v>95.498159999999999</v>
      </c>
      <c r="G234">
        <v>16.452259999999999</v>
      </c>
      <c r="H234" s="40" t="s">
        <v>143</v>
      </c>
      <c r="I234">
        <v>235</v>
      </c>
      <c r="J234" s="40" t="s">
        <v>479</v>
      </c>
      <c r="K234" s="40" t="s">
        <v>136</v>
      </c>
      <c r="L234" s="40" t="s">
        <v>56</v>
      </c>
      <c r="M234" s="40" t="s">
        <v>57</v>
      </c>
      <c r="N234" s="40" t="s">
        <v>57</v>
      </c>
      <c r="O234" s="40" t="s">
        <v>58</v>
      </c>
      <c r="P234" s="40" t="s">
        <v>58</v>
      </c>
      <c r="Q234" s="40" t="s">
        <v>57</v>
      </c>
      <c r="R234" s="40" t="s">
        <v>57</v>
      </c>
      <c r="S234">
        <v>6</v>
      </c>
      <c r="T234">
        <v>1</v>
      </c>
      <c r="U234" s="1">
        <v>43259</v>
      </c>
      <c r="V234" s="1">
        <v>43259</v>
      </c>
      <c r="W234" s="1">
        <v>43259</v>
      </c>
      <c r="X234" s="1">
        <v>43259</v>
      </c>
      <c r="Y234" s="1"/>
      <c r="Z234" s="40" t="s">
        <v>59</v>
      </c>
      <c r="AA234">
        <v>6</v>
      </c>
      <c r="AB234">
        <v>1</v>
      </c>
      <c r="AC234" s="1"/>
      <c r="AD234" s="40"/>
      <c r="AE234" s="1">
        <v>43269</v>
      </c>
      <c r="AF234" s="1">
        <v>43269</v>
      </c>
      <c r="AG234" s="1"/>
      <c r="AH234" s="40"/>
      <c r="AI234" s="1"/>
      <c r="AJ234" s="40">
        <f>_xlfn.MAXIFS(_01towers[02tss.Rev],_01towers[05_id],_01towers[[#This Row],[05_id]])</f>
        <v>1</v>
      </c>
      <c r="AK234" s="40" t="b">
        <f>IF(_01towers[[#This Row],[Count Rev TSS]]=_01towers[[#This Row],[02tss.Rev]],TRUE,FALSE)</f>
        <v>1</v>
      </c>
      <c r="AL234" s="40">
        <f>_xlfn.MAXIFS(_01towers[10colo_app.Rev],_01towers[05_id],_01towers[[#This Row],[05_id]])</f>
        <v>1</v>
      </c>
      <c r="AM234" s="40" t="b">
        <f>IF(_01towers[[#This Row],[Count Rev Colo App]]=_01towers[[#This Row],[10colo_app.Rev]],TRUE,FALSE)</f>
        <v>1</v>
      </c>
      <c r="AN234" s="40" t="b">
        <f>IF(AND(_01towers[[#This Row],[Test Rev Colo]]=TRUE,_01towers[[#This Row],[Test Rev TSS]]=TRUE),TRUE,FALSE)</f>
        <v>1</v>
      </c>
      <c r="AO234" s="40" t="str">
        <f>IF(_01towers[[#This Row],[Test Active]]=TRUE,_01towers[[#This Row],[Prevalidation Status]],"")</f>
        <v>Commercial Approval Requested</v>
      </c>
      <c r="AP234" s="40" t="str">
        <f>IF(_01towers[[#This Row],[Active Prevalidation Status]]="Under Prevalidation",
IF(M234="","Review",M234),"")</f>
        <v/>
      </c>
      <c r="AQ234" s="40" t="str">
        <f>IF(_01towers[[#This Row],[Active Prevalidation Status]]="Under Prevalidation",
IF(N234="","Review",N234),"")</f>
        <v/>
      </c>
      <c r="AR234" s="40" t="str">
        <f>IF(_01towers[[#This Row],[Active Prevalidation Status]]="Under Prevalidation",
IF(O234="","Review",O234),"")</f>
        <v/>
      </c>
      <c r="AS234" s="40" t="str">
        <f>IF(_01towers[[#This Row],[Active Prevalidation Status]]="Under Prevalidation",
IF(P234="","Review",P234),"")</f>
        <v/>
      </c>
      <c r="AT234" s="40" t="str">
        <f>IF(_01towers[[#This Row],[Active Prevalidation Status]]="Under Prevalidation",
IF(Q234="","Review",Q234),"")</f>
        <v/>
      </c>
      <c r="AU234" s="40" t="str">
        <f>IF(_01towers[[#This Row],[Active Prevalidation Status]]="Under Prevalidation",
IF(R234="","Review",R234),"")</f>
        <v/>
      </c>
      <c r="AV234" s="40">
        <f>COUNTIF(_01towers[[#This Row],[SAQ_Result2]:[Community_Result2]],"OK")</f>
        <v>0</v>
      </c>
      <c r="AW234" s="1" t="str">
        <f>IF(AND(OR(_01towers[[#This Row],[Active Prevalidation Status]]="Under Prevalidation",_01towers[[#This Row],[Active Prevalidation Status]]="Prevalidated"),_01towers[[#This Row],[02tss.TSSR_From_Engineer]]&gt;0),"Submitted","")</f>
        <v/>
      </c>
      <c r="AX234" s="40" t="str">
        <f>IF(OR(_01towers[[#This Row],[Active Prevalidation Status]]="Under Prevalidation",_01towers[[#This Row],[Active Prevalidation Status]]="Prevalidated"),_01towers[[#This Row],[02tss.TSS_Result]],"")</f>
        <v/>
      </c>
      <c r="AY234" s="40" t="str">
        <f>IF(AND(_01towers[[#This Row],[Active TSS Result]]="Approved",_01towers[[#This Row],[Active Prevalidation Status]]="Prevalidated"),"In Process","")</f>
        <v/>
      </c>
      <c r="AZ234" s="40" t="str">
        <f>IF(AND(_01towers[[#This Row],[Active TSS Result]]="Approved",_01towers[[#This Row],[Active Prevalidation Status]]="Prevalidated"),_01towers[[#This Row],[10colo_app.Colo_App_Result]],"")</f>
        <v/>
      </c>
      <c r="BA234" s="40">
        <f>COUNTIF(_20work_order[05_id],_01towers[[#This Row],[05_id]])</f>
        <v>0</v>
      </c>
      <c r="BB234" s="40">
        <f>COUNTIFS(_20work_order[05_id],_01towers[[#This Row],[05_id]],_20work_order[Actual_End],"&gt;0")</f>
        <v>0</v>
      </c>
      <c r="BC234" s="40" t="str">
        <f>IF(_01towers[[#This Row],[Completed Work Orders]]&gt;0,"Work Completed",
IF(_01towers[[#This Row],[Count Work Orders]]&gt;0,"Work in Progress",""))</f>
        <v/>
      </c>
      <c r="BD23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34" s="40" t="str">
        <f>_xlfn.SWITCH(_01towers[[#This Row],[Final Colo Status full]],"Commercial Approval Requested","Under Prevalidation",_01towers[[#This Row],[Final Colo Status full]])</f>
        <v>Under Prevalidation</v>
      </c>
    </row>
    <row r="235" spans="1:57" hidden="1" x14ac:dyDescent="0.35">
      <c r="A235" s="40" t="s">
        <v>480</v>
      </c>
      <c r="B235" s="40" t="s">
        <v>85</v>
      </c>
      <c r="C235" s="40" t="s">
        <v>51</v>
      </c>
      <c r="D235">
        <v>60</v>
      </c>
      <c r="E235" s="40" t="s">
        <v>420</v>
      </c>
      <c r="F235">
        <v>97.238169999999997</v>
      </c>
      <c r="G235">
        <v>19.35614</v>
      </c>
      <c r="H235" s="40" t="s">
        <v>124</v>
      </c>
      <c r="I235">
        <v>236</v>
      </c>
      <c r="J235" s="40" t="s">
        <v>481</v>
      </c>
      <c r="K235" s="40" t="s">
        <v>136</v>
      </c>
      <c r="L235" s="40" t="s">
        <v>64</v>
      </c>
      <c r="M235" s="40" t="s">
        <v>57</v>
      </c>
      <c r="N235" s="40" t="s">
        <v>57</v>
      </c>
      <c r="O235" s="40" t="s">
        <v>57</v>
      </c>
      <c r="P235" s="40" t="s">
        <v>57</v>
      </c>
      <c r="Q235" s="40" t="s">
        <v>57</v>
      </c>
      <c r="R235" s="40" t="s">
        <v>57</v>
      </c>
      <c r="S235">
        <v>96</v>
      </c>
      <c r="T235">
        <v>1</v>
      </c>
      <c r="U235" s="1"/>
      <c r="V235" s="1"/>
      <c r="W235" s="1"/>
      <c r="X235" s="1"/>
      <c r="Y235" s="1"/>
      <c r="Z235" s="40"/>
      <c r="AA235">
        <v>95</v>
      </c>
      <c r="AB235">
        <v>1</v>
      </c>
      <c r="AC235" s="1"/>
      <c r="AD235" s="40"/>
      <c r="AE235" s="1"/>
      <c r="AF235" s="1"/>
      <c r="AG235" s="1"/>
      <c r="AH235" s="40"/>
      <c r="AI235" s="1"/>
      <c r="AJ235" s="40">
        <f>_xlfn.MAXIFS(_01towers[02tss.Rev],_01towers[05_id],_01towers[[#This Row],[05_id]])</f>
        <v>1</v>
      </c>
      <c r="AK235" s="40" t="b">
        <f>IF(_01towers[[#This Row],[Count Rev TSS]]=_01towers[[#This Row],[02tss.Rev]],TRUE,FALSE)</f>
        <v>1</v>
      </c>
      <c r="AL235" s="40">
        <f>_xlfn.MAXIFS(_01towers[10colo_app.Rev],_01towers[05_id],_01towers[[#This Row],[05_id]])</f>
        <v>1</v>
      </c>
      <c r="AM235" s="40" t="b">
        <f>IF(_01towers[[#This Row],[Count Rev Colo App]]=_01towers[[#This Row],[10colo_app.Rev]],TRUE,FALSE)</f>
        <v>1</v>
      </c>
      <c r="AN235" s="40" t="b">
        <f>IF(AND(_01towers[[#This Row],[Test Rev Colo]]=TRUE,_01towers[[#This Row],[Test Rev TSS]]=TRUE),TRUE,FALSE)</f>
        <v>1</v>
      </c>
      <c r="AO235" s="40" t="str">
        <f>IF(_01towers[[#This Row],[Test Active]]=TRUE,_01towers[[#This Row],[Prevalidation Status]],"")</f>
        <v>Prevalidated</v>
      </c>
      <c r="AP235" s="40" t="str">
        <f>IF(_01towers[[#This Row],[Active Prevalidation Status]]="Under Prevalidation",
IF(M235="","Review",M235),"")</f>
        <v/>
      </c>
      <c r="AQ235" s="40" t="str">
        <f>IF(_01towers[[#This Row],[Active Prevalidation Status]]="Under Prevalidation",
IF(N235="","Review",N235),"")</f>
        <v/>
      </c>
      <c r="AR235" s="40" t="str">
        <f>IF(_01towers[[#This Row],[Active Prevalidation Status]]="Under Prevalidation",
IF(O235="","Review",O235),"")</f>
        <v/>
      </c>
      <c r="AS235" s="40" t="str">
        <f>IF(_01towers[[#This Row],[Active Prevalidation Status]]="Under Prevalidation",
IF(P235="","Review",P235),"")</f>
        <v/>
      </c>
      <c r="AT235" s="40" t="str">
        <f>IF(_01towers[[#This Row],[Active Prevalidation Status]]="Under Prevalidation",
IF(Q235="","Review",Q235),"")</f>
        <v/>
      </c>
      <c r="AU235" s="40" t="str">
        <f>IF(_01towers[[#This Row],[Active Prevalidation Status]]="Under Prevalidation",
IF(R235="","Review",R235),"")</f>
        <v/>
      </c>
      <c r="AV235" s="40">
        <f>COUNTIF(_01towers[[#This Row],[SAQ_Result2]:[Community_Result2]],"OK")</f>
        <v>0</v>
      </c>
      <c r="AW235" s="1" t="str">
        <f>IF(AND(OR(_01towers[[#This Row],[Active Prevalidation Status]]="Under Prevalidation",_01towers[[#This Row],[Active Prevalidation Status]]="Prevalidated"),_01towers[[#This Row],[02tss.TSSR_From_Engineer]]&gt;0),"Submitted","")</f>
        <v/>
      </c>
      <c r="AX235" s="40">
        <f>IF(OR(_01towers[[#This Row],[Active Prevalidation Status]]="Under Prevalidation",_01towers[[#This Row],[Active Prevalidation Status]]="Prevalidated"),_01towers[[#This Row],[02tss.TSS_Result]],"")</f>
        <v>0</v>
      </c>
      <c r="AY235" s="40" t="str">
        <f>IF(AND(_01towers[[#This Row],[Active TSS Result]]="Approved",_01towers[[#This Row],[Active Prevalidation Status]]="Prevalidated"),"In Process","")</f>
        <v/>
      </c>
      <c r="AZ235" s="40" t="str">
        <f>IF(AND(_01towers[[#This Row],[Active TSS Result]]="Approved",_01towers[[#This Row],[Active Prevalidation Status]]="Prevalidated"),_01towers[[#This Row],[10colo_app.Colo_App_Result]],"")</f>
        <v/>
      </c>
      <c r="BA235" s="40">
        <f>COUNTIF(_20work_order[05_id],_01towers[[#This Row],[05_id]])</f>
        <v>0</v>
      </c>
      <c r="BB235" s="40">
        <f>COUNTIFS(_20work_order[05_id],_01towers[[#This Row],[05_id]],_20work_order[Actual_End],"&gt;0")</f>
        <v>0</v>
      </c>
      <c r="BC235" s="40" t="str">
        <f>IF(_01towers[[#This Row],[Completed Work Orders]]&gt;0,"Work Completed",
IF(_01towers[[#This Row],[Count Work Orders]]&gt;0,"Work in Progress",""))</f>
        <v/>
      </c>
      <c r="BD23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35" s="40" t="str">
        <f>_xlfn.SWITCH(_01towers[[#This Row],[Final Colo Status full]],"Commercial Approval Requested","Under Prevalidation",_01towers[[#This Row],[Final Colo Status full]])</f>
        <v>Prevalidated - TSSR in Process</v>
      </c>
    </row>
    <row r="236" spans="1:57" hidden="1" x14ac:dyDescent="0.35">
      <c r="A236" s="40" t="s">
        <v>482</v>
      </c>
      <c r="B236" s="40" t="s">
        <v>50</v>
      </c>
      <c r="C236" s="40" t="s">
        <v>51</v>
      </c>
      <c r="D236">
        <v>45</v>
      </c>
      <c r="E236" s="40" t="s">
        <v>79</v>
      </c>
      <c r="F236">
        <v>95.099779999999996</v>
      </c>
      <c r="G236">
        <v>22.173539999999999</v>
      </c>
      <c r="H236" s="40" t="s">
        <v>143</v>
      </c>
      <c r="I236">
        <v>237</v>
      </c>
      <c r="J236" s="40" t="s">
        <v>646</v>
      </c>
      <c r="K236" s="40" t="s">
        <v>136</v>
      </c>
      <c r="L236" s="40" t="s">
        <v>64</v>
      </c>
      <c r="M236" s="40" t="s">
        <v>57</v>
      </c>
      <c r="N236" s="40" t="s">
        <v>57</v>
      </c>
      <c r="O236" s="40" t="s">
        <v>57</v>
      </c>
      <c r="P236" s="40" t="s">
        <v>57</v>
      </c>
      <c r="Q236" s="40" t="s">
        <v>57</v>
      </c>
      <c r="R236" s="40" t="s">
        <v>57</v>
      </c>
      <c r="S236">
        <v>75</v>
      </c>
      <c r="T236">
        <v>1</v>
      </c>
      <c r="U236" s="1">
        <v>43260</v>
      </c>
      <c r="V236" s="1">
        <v>43263</v>
      </c>
      <c r="W236" s="1">
        <v>43263</v>
      </c>
      <c r="X236" s="1">
        <v>43263</v>
      </c>
      <c r="Y236" s="1"/>
      <c r="Z236" s="40" t="s">
        <v>59</v>
      </c>
      <c r="AA236">
        <v>74</v>
      </c>
      <c r="AB236">
        <v>1</v>
      </c>
      <c r="AC236" s="1">
        <v>43276</v>
      </c>
      <c r="AD236" s="40" t="s">
        <v>570</v>
      </c>
      <c r="AE236" s="1"/>
      <c r="AF236" s="1"/>
      <c r="AG236" s="1"/>
      <c r="AH236" s="40"/>
      <c r="AI236" s="1"/>
      <c r="AJ236" s="40">
        <f>_xlfn.MAXIFS(_01towers[02tss.Rev],_01towers[05_id],_01towers[[#This Row],[05_id]])</f>
        <v>1</v>
      </c>
      <c r="AK236" s="40" t="b">
        <f>IF(_01towers[[#This Row],[Count Rev TSS]]=_01towers[[#This Row],[02tss.Rev]],TRUE,FALSE)</f>
        <v>1</v>
      </c>
      <c r="AL236" s="40">
        <f>_xlfn.MAXIFS(_01towers[10colo_app.Rev],_01towers[05_id],_01towers[[#This Row],[05_id]])</f>
        <v>1</v>
      </c>
      <c r="AM236" s="40" t="b">
        <f>IF(_01towers[[#This Row],[Count Rev Colo App]]=_01towers[[#This Row],[10colo_app.Rev]],TRUE,FALSE)</f>
        <v>1</v>
      </c>
      <c r="AN236" s="40" t="b">
        <f>IF(AND(_01towers[[#This Row],[Test Rev Colo]]=TRUE,_01towers[[#This Row],[Test Rev TSS]]=TRUE),TRUE,FALSE)</f>
        <v>1</v>
      </c>
      <c r="AO236" s="40" t="str">
        <f>IF(_01towers[[#This Row],[Test Active]]=TRUE,_01towers[[#This Row],[Prevalidation Status]],"")</f>
        <v>Prevalidated</v>
      </c>
      <c r="AP236" s="40" t="str">
        <f>IF(_01towers[[#This Row],[Active Prevalidation Status]]="Under Prevalidation",
IF(M236="","Review",M236),"")</f>
        <v/>
      </c>
      <c r="AQ236" s="40" t="str">
        <f>IF(_01towers[[#This Row],[Active Prevalidation Status]]="Under Prevalidation",
IF(N236="","Review",N236),"")</f>
        <v/>
      </c>
      <c r="AR236" s="40" t="str">
        <f>IF(_01towers[[#This Row],[Active Prevalidation Status]]="Under Prevalidation",
IF(O236="","Review",O236),"")</f>
        <v/>
      </c>
      <c r="AS236" s="40" t="str">
        <f>IF(_01towers[[#This Row],[Active Prevalidation Status]]="Under Prevalidation",
IF(P236="","Review",P236),"")</f>
        <v/>
      </c>
      <c r="AT236" s="40" t="str">
        <f>IF(_01towers[[#This Row],[Active Prevalidation Status]]="Under Prevalidation",
IF(Q236="","Review",Q236),"")</f>
        <v/>
      </c>
      <c r="AU236" s="40" t="str">
        <f>IF(_01towers[[#This Row],[Active Prevalidation Status]]="Under Prevalidation",
IF(R236="","Review",R236),"")</f>
        <v/>
      </c>
      <c r="AV236" s="40">
        <f>COUNTIF(_01towers[[#This Row],[SAQ_Result2]:[Community_Result2]],"OK")</f>
        <v>0</v>
      </c>
      <c r="AW236" s="1" t="str">
        <f>IF(AND(OR(_01towers[[#This Row],[Active Prevalidation Status]]="Under Prevalidation",_01towers[[#This Row],[Active Prevalidation Status]]="Prevalidated"),_01towers[[#This Row],[02tss.TSSR_From_Engineer]]&gt;0),"Submitted","")</f>
        <v>Submitted</v>
      </c>
      <c r="AX236" s="40" t="str">
        <f>IF(OR(_01towers[[#This Row],[Active Prevalidation Status]]="Under Prevalidation",_01towers[[#This Row],[Active Prevalidation Status]]="Prevalidated"),_01towers[[#This Row],[02tss.TSS_Result]],"")</f>
        <v>Approved</v>
      </c>
      <c r="AY236" s="40" t="str">
        <f>IF(AND(_01towers[[#This Row],[Active TSS Result]]="Approved",_01towers[[#This Row],[Active Prevalidation Status]]="Prevalidated"),"In Process","")</f>
        <v>In Process</v>
      </c>
      <c r="AZ236" s="40" t="str">
        <f>IF(AND(_01towers[[#This Row],[Active TSS Result]]="Approved",_01towers[[#This Row],[Active Prevalidation Status]]="Prevalidated"),_01towers[[#This Row],[10colo_app.Colo_App_Result]],"")</f>
        <v>NTP Received</v>
      </c>
      <c r="BA236" s="40">
        <f>COUNTIF(_20work_order[05_id],_01towers[[#This Row],[05_id]])</f>
        <v>1</v>
      </c>
      <c r="BB236" s="40">
        <f>COUNTIFS(_20work_order[05_id],_01towers[[#This Row],[05_id]],_20work_order[Actual_End],"&gt;0")</f>
        <v>1</v>
      </c>
      <c r="BC236" s="40" t="str">
        <f>IF(_01towers[[#This Row],[Completed Work Orders]]&gt;0,"Work Completed",
IF(_01towers[[#This Row],[Count Work Orders]]&gt;0,"Work in Progress",""))</f>
        <v>Work Completed</v>
      </c>
      <c r="BD23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Work Completed</v>
      </c>
      <c r="BE236" s="40" t="str">
        <f>_xlfn.SWITCH(_01towers[[#This Row],[Final Colo Status full]],"Commercial Approval Requested","Under Prevalidation",_01towers[[#This Row],[Final Colo Status full]])</f>
        <v>Work Completed</v>
      </c>
    </row>
    <row r="237" spans="1:57" x14ac:dyDescent="0.35">
      <c r="A237" s="40" t="s">
        <v>483</v>
      </c>
      <c r="B237" s="40" t="s">
        <v>50</v>
      </c>
      <c r="C237" s="40" t="s">
        <v>51</v>
      </c>
      <c r="D237">
        <v>60</v>
      </c>
      <c r="E237" s="40" t="s">
        <v>66</v>
      </c>
      <c r="F237">
        <v>96.231350000000006</v>
      </c>
      <c r="G237">
        <v>21.876259999999998</v>
      </c>
      <c r="H237" s="40" t="s">
        <v>150</v>
      </c>
      <c r="I237">
        <v>238</v>
      </c>
      <c r="J237" s="40" t="s">
        <v>484</v>
      </c>
      <c r="K237" s="40" t="s">
        <v>136</v>
      </c>
      <c r="L237" s="40" t="s">
        <v>56</v>
      </c>
      <c r="M237" s="40" t="s">
        <v>57</v>
      </c>
      <c r="N237" s="40" t="s">
        <v>57</v>
      </c>
      <c r="O237" s="40" t="s">
        <v>57</v>
      </c>
      <c r="P237" s="40" t="s">
        <v>58</v>
      </c>
      <c r="Q237" s="40" t="s">
        <v>57</v>
      </c>
      <c r="R237" s="40" t="s">
        <v>58</v>
      </c>
      <c r="S237">
        <v>47</v>
      </c>
      <c r="T237">
        <v>1</v>
      </c>
      <c r="U237" s="1">
        <v>43260</v>
      </c>
      <c r="V237" s="1">
        <v>43262</v>
      </c>
      <c r="W237" s="1">
        <v>43262</v>
      </c>
      <c r="X237" s="1">
        <v>43262</v>
      </c>
      <c r="Y237" s="1"/>
      <c r="Z237" s="40" t="s">
        <v>59</v>
      </c>
      <c r="AA237">
        <v>46</v>
      </c>
      <c r="AB237">
        <v>1</v>
      </c>
      <c r="AC237" s="1"/>
      <c r="AD237" s="40"/>
      <c r="AE237" s="1">
        <v>43245</v>
      </c>
      <c r="AF237" s="1">
        <v>43245</v>
      </c>
      <c r="AG237" s="1"/>
      <c r="AH237" s="40"/>
      <c r="AI237" s="1"/>
      <c r="AJ237" s="40">
        <f>_xlfn.MAXIFS(_01towers[02tss.Rev],_01towers[05_id],_01towers[[#This Row],[05_id]])</f>
        <v>1</v>
      </c>
      <c r="AK237" s="40" t="b">
        <f>IF(_01towers[[#This Row],[Count Rev TSS]]=_01towers[[#This Row],[02tss.Rev]],TRUE,FALSE)</f>
        <v>1</v>
      </c>
      <c r="AL237" s="40">
        <f>_xlfn.MAXIFS(_01towers[10colo_app.Rev],_01towers[05_id],_01towers[[#This Row],[05_id]])</f>
        <v>1</v>
      </c>
      <c r="AM237" s="40" t="b">
        <f>IF(_01towers[[#This Row],[Count Rev Colo App]]=_01towers[[#This Row],[10colo_app.Rev]],TRUE,FALSE)</f>
        <v>1</v>
      </c>
      <c r="AN237" s="40" t="b">
        <f>IF(AND(_01towers[[#This Row],[Test Rev Colo]]=TRUE,_01towers[[#This Row],[Test Rev TSS]]=TRUE),TRUE,FALSE)</f>
        <v>1</v>
      </c>
      <c r="AO237" s="40" t="str">
        <f>IF(_01towers[[#This Row],[Test Active]]=TRUE,_01towers[[#This Row],[Prevalidation Status]],"")</f>
        <v>Commercial Approval Requested</v>
      </c>
      <c r="AP237" s="40" t="str">
        <f>IF(_01towers[[#This Row],[Active Prevalidation Status]]="Under Prevalidation",
IF(M237="","Review",M237),"")</f>
        <v/>
      </c>
      <c r="AQ237" s="40" t="str">
        <f>IF(_01towers[[#This Row],[Active Prevalidation Status]]="Under Prevalidation",
IF(N237="","Review",N237),"")</f>
        <v/>
      </c>
      <c r="AR237" s="40" t="str">
        <f>IF(_01towers[[#This Row],[Active Prevalidation Status]]="Under Prevalidation",
IF(O237="","Review",O237),"")</f>
        <v/>
      </c>
      <c r="AS237" s="40" t="str">
        <f>IF(_01towers[[#This Row],[Active Prevalidation Status]]="Under Prevalidation",
IF(P237="","Review",P237),"")</f>
        <v/>
      </c>
      <c r="AT237" s="40" t="str">
        <f>IF(_01towers[[#This Row],[Active Prevalidation Status]]="Under Prevalidation",
IF(Q237="","Review",Q237),"")</f>
        <v/>
      </c>
      <c r="AU237" s="40" t="str">
        <f>IF(_01towers[[#This Row],[Active Prevalidation Status]]="Under Prevalidation",
IF(R237="","Review",R237),"")</f>
        <v/>
      </c>
      <c r="AV237" s="40">
        <f>COUNTIF(_01towers[[#This Row],[SAQ_Result2]:[Community_Result2]],"OK")</f>
        <v>0</v>
      </c>
      <c r="AW237" s="1" t="str">
        <f>IF(AND(OR(_01towers[[#This Row],[Active Prevalidation Status]]="Under Prevalidation",_01towers[[#This Row],[Active Prevalidation Status]]="Prevalidated"),_01towers[[#This Row],[02tss.TSSR_From_Engineer]]&gt;0),"Submitted","")</f>
        <v/>
      </c>
      <c r="AX237" s="40" t="str">
        <f>IF(OR(_01towers[[#This Row],[Active Prevalidation Status]]="Under Prevalidation",_01towers[[#This Row],[Active Prevalidation Status]]="Prevalidated"),_01towers[[#This Row],[02tss.TSS_Result]],"")</f>
        <v/>
      </c>
      <c r="AY237" s="40" t="str">
        <f>IF(AND(_01towers[[#This Row],[Active TSS Result]]="Approved",_01towers[[#This Row],[Active Prevalidation Status]]="Prevalidated"),"In Process","")</f>
        <v/>
      </c>
      <c r="AZ237" s="40" t="str">
        <f>IF(AND(_01towers[[#This Row],[Active TSS Result]]="Approved",_01towers[[#This Row],[Active Prevalidation Status]]="Prevalidated"),_01towers[[#This Row],[10colo_app.Colo_App_Result]],"")</f>
        <v/>
      </c>
      <c r="BA237" s="40">
        <f>COUNTIF(_20work_order[05_id],_01towers[[#This Row],[05_id]])</f>
        <v>0</v>
      </c>
      <c r="BB237" s="40">
        <f>COUNTIFS(_20work_order[05_id],_01towers[[#This Row],[05_id]],_20work_order[Actual_End],"&gt;0")</f>
        <v>0</v>
      </c>
      <c r="BC237" s="40" t="str">
        <f>IF(_01towers[[#This Row],[Completed Work Orders]]&gt;0,"Work Completed",
IF(_01towers[[#This Row],[Count Work Orders]]&gt;0,"Work in Progress",""))</f>
        <v/>
      </c>
      <c r="BD23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37" s="40" t="str">
        <f>_xlfn.SWITCH(_01towers[[#This Row],[Final Colo Status full]],"Commercial Approval Requested","Under Prevalidation",_01towers[[#This Row],[Final Colo Status full]])</f>
        <v>Under Prevalidation</v>
      </c>
    </row>
    <row r="238" spans="1:57" x14ac:dyDescent="0.35">
      <c r="A238" s="40" t="s">
        <v>485</v>
      </c>
      <c r="B238" s="40" t="s">
        <v>50</v>
      </c>
      <c r="C238" s="40" t="s">
        <v>51</v>
      </c>
      <c r="D238">
        <v>60</v>
      </c>
      <c r="E238" s="40" t="s">
        <v>167</v>
      </c>
      <c r="F238">
        <v>94.996099999999998</v>
      </c>
      <c r="G238">
        <v>20.742629999999998</v>
      </c>
      <c r="H238" s="40" t="s">
        <v>62</v>
      </c>
      <c r="I238">
        <v>239</v>
      </c>
      <c r="J238" s="40" t="s">
        <v>647</v>
      </c>
      <c r="K238" s="40" t="s">
        <v>136</v>
      </c>
      <c r="L238" s="40" t="s">
        <v>56</v>
      </c>
      <c r="M238" s="40" t="s">
        <v>57</v>
      </c>
      <c r="N238" s="40" t="s">
        <v>57</v>
      </c>
      <c r="O238" s="40" t="s">
        <v>57</v>
      </c>
      <c r="P238" s="40" t="s">
        <v>58</v>
      </c>
      <c r="Q238" s="40" t="s">
        <v>57</v>
      </c>
      <c r="R238" s="40" t="s">
        <v>57</v>
      </c>
      <c r="S238">
        <v>60</v>
      </c>
      <c r="T238">
        <v>1</v>
      </c>
      <c r="U238" s="1">
        <v>43276</v>
      </c>
      <c r="V238" s="1">
        <v>43276</v>
      </c>
      <c r="W238" s="1">
        <v>43283</v>
      </c>
      <c r="X238" s="1">
        <v>43321</v>
      </c>
      <c r="Y238" s="1"/>
      <c r="Z238" s="40" t="s">
        <v>59</v>
      </c>
      <c r="AA238">
        <v>59</v>
      </c>
      <c r="AB238">
        <v>1</v>
      </c>
      <c r="AC238" s="1"/>
      <c r="AD238" s="40"/>
      <c r="AE238" s="1"/>
      <c r="AF238" s="1"/>
      <c r="AG238" s="1"/>
      <c r="AH238" s="40"/>
      <c r="AI238" s="1"/>
      <c r="AJ238" s="40">
        <f>_xlfn.MAXIFS(_01towers[02tss.Rev],_01towers[05_id],_01towers[[#This Row],[05_id]])</f>
        <v>1</v>
      </c>
      <c r="AK238" s="40" t="b">
        <f>IF(_01towers[[#This Row],[Count Rev TSS]]=_01towers[[#This Row],[02tss.Rev]],TRUE,FALSE)</f>
        <v>1</v>
      </c>
      <c r="AL238" s="40">
        <f>_xlfn.MAXIFS(_01towers[10colo_app.Rev],_01towers[05_id],_01towers[[#This Row],[05_id]])</f>
        <v>1</v>
      </c>
      <c r="AM238" s="40" t="b">
        <f>IF(_01towers[[#This Row],[Count Rev Colo App]]=_01towers[[#This Row],[10colo_app.Rev]],TRUE,FALSE)</f>
        <v>1</v>
      </c>
      <c r="AN238" s="40" t="b">
        <f>IF(AND(_01towers[[#This Row],[Test Rev Colo]]=TRUE,_01towers[[#This Row],[Test Rev TSS]]=TRUE),TRUE,FALSE)</f>
        <v>1</v>
      </c>
      <c r="AO238" s="40" t="str">
        <f>IF(_01towers[[#This Row],[Test Active]]=TRUE,_01towers[[#This Row],[Prevalidation Status]],"")</f>
        <v>Commercial Approval Requested</v>
      </c>
      <c r="AP238" s="40" t="str">
        <f>IF(_01towers[[#This Row],[Active Prevalidation Status]]="Under Prevalidation",
IF(M238="","Review",M238),"")</f>
        <v/>
      </c>
      <c r="AQ238" s="40" t="str">
        <f>IF(_01towers[[#This Row],[Active Prevalidation Status]]="Under Prevalidation",
IF(N238="","Review",N238),"")</f>
        <v/>
      </c>
      <c r="AR238" s="40" t="str">
        <f>IF(_01towers[[#This Row],[Active Prevalidation Status]]="Under Prevalidation",
IF(O238="","Review",O238),"")</f>
        <v/>
      </c>
      <c r="AS238" s="40" t="str">
        <f>IF(_01towers[[#This Row],[Active Prevalidation Status]]="Under Prevalidation",
IF(P238="","Review",P238),"")</f>
        <v/>
      </c>
      <c r="AT238" s="40" t="str">
        <f>IF(_01towers[[#This Row],[Active Prevalidation Status]]="Under Prevalidation",
IF(Q238="","Review",Q238),"")</f>
        <v/>
      </c>
      <c r="AU238" s="40" t="str">
        <f>IF(_01towers[[#This Row],[Active Prevalidation Status]]="Under Prevalidation",
IF(R238="","Review",R238),"")</f>
        <v/>
      </c>
      <c r="AV238" s="40">
        <f>COUNTIF(_01towers[[#This Row],[SAQ_Result2]:[Community_Result2]],"OK")</f>
        <v>0</v>
      </c>
      <c r="AW238" s="1" t="str">
        <f>IF(AND(OR(_01towers[[#This Row],[Active Prevalidation Status]]="Under Prevalidation",_01towers[[#This Row],[Active Prevalidation Status]]="Prevalidated"),_01towers[[#This Row],[02tss.TSSR_From_Engineer]]&gt;0),"Submitted","")</f>
        <v/>
      </c>
      <c r="AX238" s="40" t="str">
        <f>IF(OR(_01towers[[#This Row],[Active Prevalidation Status]]="Under Prevalidation",_01towers[[#This Row],[Active Prevalidation Status]]="Prevalidated"),_01towers[[#This Row],[02tss.TSS_Result]],"")</f>
        <v/>
      </c>
      <c r="AY238" s="40" t="str">
        <f>IF(AND(_01towers[[#This Row],[Active TSS Result]]="Approved",_01towers[[#This Row],[Active Prevalidation Status]]="Prevalidated"),"In Process","")</f>
        <v/>
      </c>
      <c r="AZ238" s="40" t="str">
        <f>IF(AND(_01towers[[#This Row],[Active TSS Result]]="Approved",_01towers[[#This Row],[Active Prevalidation Status]]="Prevalidated"),_01towers[[#This Row],[10colo_app.Colo_App_Result]],"")</f>
        <v/>
      </c>
      <c r="BA238" s="40">
        <f>COUNTIF(_20work_order[05_id],_01towers[[#This Row],[05_id]])</f>
        <v>0</v>
      </c>
      <c r="BB238" s="40">
        <f>COUNTIFS(_20work_order[05_id],_01towers[[#This Row],[05_id]],_20work_order[Actual_End],"&gt;0")</f>
        <v>0</v>
      </c>
      <c r="BC238" s="40" t="str">
        <f>IF(_01towers[[#This Row],[Completed Work Orders]]&gt;0,"Work Completed",
IF(_01towers[[#This Row],[Count Work Orders]]&gt;0,"Work in Progress",""))</f>
        <v/>
      </c>
      <c r="BD23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38" s="40" t="str">
        <f>_xlfn.SWITCH(_01towers[[#This Row],[Final Colo Status full]],"Commercial Approval Requested","Under Prevalidation",_01towers[[#This Row],[Final Colo Status full]])</f>
        <v>Under Prevalidation</v>
      </c>
    </row>
    <row r="239" spans="1:57" x14ac:dyDescent="0.35">
      <c r="A239" s="40" t="s">
        <v>486</v>
      </c>
      <c r="B239" s="40" t="s">
        <v>50</v>
      </c>
      <c r="C239" s="40" t="s">
        <v>51</v>
      </c>
      <c r="D239">
        <v>50</v>
      </c>
      <c r="E239" s="40" t="s">
        <v>167</v>
      </c>
      <c r="F239">
        <v>94.740579999999994</v>
      </c>
      <c r="G239">
        <v>20.217970000000001</v>
      </c>
      <c r="H239" s="40" t="s">
        <v>150</v>
      </c>
      <c r="I239">
        <v>240</v>
      </c>
      <c r="J239" s="40" t="s">
        <v>487</v>
      </c>
      <c r="K239" s="40" t="s">
        <v>136</v>
      </c>
      <c r="L239" s="40" t="s">
        <v>56</v>
      </c>
      <c r="M239" s="40" t="s">
        <v>57</v>
      </c>
      <c r="N239" s="40" t="s">
        <v>57</v>
      </c>
      <c r="O239" s="40" t="s">
        <v>57</v>
      </c>
      <c r="P239" s="40" t="s">
        <v>58</v>
      </c>
      <c r="Q239" s="40" t="s">
        <v>57</v>
      </c>
      <c r="R239" s="40" t="s">
        <v>58</v>
      </c>
      <c r="S239">
        <v>64</v>
      </c>
      <c r="T239">
        <v>1</v>
      </c>
      <c r="U239" s="1">
        <v>43277</v>
      </c>
      <c r="V239" s="1">
        <v>43277</v>
      </c>
      <c r="W239" s="1">
        <v>43283</v>
      </c>
      <c r="X239" s="1"/>
      <c r="Y239" s="1"/>
      <c r="Z239" s="40"/>
      <c r="AA239">
        <v>63</v>
      </c>
      <c r="AB239">
        <v>1</v>
      </c>
      <c r="AC239" s="1"/>
      <c r="AD239" s="40"/>
      <c r="AE239" s="1"/>
      <c r="AF239" s="1"/>
      <c r="AG239" s="1"/>
      <c r="AH239" s="40"/>
      <c r="AI239" s="1"/>
      <c r="AJ239" s="40">
        <f>_xlfn.MAXIFS(_01towers[02tss.Rev],_01towers[05_id],_01towers[[#This Row],[05_id]])</f>
        <v>1</v>
      </c>
      <c r="AK239" s="40" t="b">
        <f>IF(_01towers[[#This Row],[Count Rev TSS]]=_01towers[[#This Row],[02tss.Rev]],TRUE,FALSE)</f>
        <v>1</v>
      </c>
      <c r="AL239" s="40">
        <f>_xlfn.MAXIFS(_01towers[10colo_app.Rev],_01towers[05_id],_01towers[[#This Row],[05_id]])</f>
        <v>1</v>
      </c>
      <c r="AM239" s="40" t="b">
        <f>IF(_01towers[[#This Row],[Count Rev Colo App]]=_01towers[[#This Row],[10colo_app.Rev]],TRUE,FALSE)</f>
        <v>1</v>
      </c>
      <c r="AN239" s="40" t="b">
        <f>IF(AND(_01towers[[#This Row],[Test Rev Colo]]=TRUE,_01towers[[#This Row],[Test Rev TSS]]=TRUE),TRUE,FALSE)</f>
        <v>1</v>
      </c>
      <c r="AO239" s="40" t="str">
        <f>IF(_01towers[[#This Row],[Test Active]]=TRUE,_01towers[[#This Row],[Prevalidation Status]],"")</f>
        <v>Commercial Approval Requested</v>
      </c>
      <c r="AP239" s="40" t="str">
        <f>IF(_01towers[[#This Row],[Active Prevalidation Status]]="Under Prevalidation",
IF(M239="","Review",M239),"")</f>
        <v/>
      </c>
      <c r="AQ239" s="40" t="str">
        <f>IF(_01towers[[#This Row],[Active Prevalidation Status]]="Under Prevalidation",
IF(N239="","Review",N239),"")</f>
        <v/>
      </c>
      <c r="AR239" s="40" t="str">
        <f>IF(_01towers[[#This Row],[Active Prevalidation Status]]="Under Prevalidation",
IF(O239="","Review",O239),"")</f>
        <v/>
      </c>
      <c r="AS239" s="40" t="str">
        <f>IF(_01towers[[#This Row],[Active Prevalidation Status]]="Under Prevalidation",
IF(P239="","Review",P239),"")</f>
        <v/>
      </c>
      <c r="AT239" s="40" t="str">
        <f>IF(_01towers[[#This Row],[Active Prevalidation Status]]="Under Prevalidation",
IF(Q239="","Review",Q239),"")</f>
        <v/>
      </c>
      <c r="AU239" s="40" t="str">
        <f>IF(_01towers[[#This Row],[Active Prevalidation Status]]="Under Prevalidation",
IF(R239="","Review",R239),"")</f>
        <v/>
      </c>
      <c r="AV239" s="40">
        <f>COUNTIF(_01towers[[#This Row],[SAQ_Result2]:[Community_Result2]],"OK")</f>
        <v>0</v>
      </c>
      <c r="AW239" s="1" t="str">
        <f>IF(AND(OR(_01towers[[#This Row],[Active Prevalidation Status]]="Under Prevalidation",_01towers[[#This Row],[Active Prevalidation Status]]="Prevalidated"),_01towers[[#This Row],[02tss.TSSR_From_Engineer]]&gt;0),"Submitted","")</f>
        <v/>
      </c>
      <c r="AX239" s="40" t="str">
        <f>IF(OR(_01towers[[#This Row],[Active Prevalidation Status]]="Under Prevalidation",_01towers[[#This Row],[Active Prevalidation Status]]="Prevalidated"),_01towers[[#This Row],[02tss.TSS_Result]],"")</f>
        <v/>
      </c>
      <c r="AY239" s="40" t="str">
        <f>IF(AND(_01towers[[#This Row],[Active TSS Result]]="Approved",_01towers[[#This Row],[Active Prevalidation Status]]="Prevalidated"),"In Process","")</f>
        <v/>
      </c>
      <c r="AZ239" s="40" t="str">
        <f>IF(AND(_01towers[[#This Row],[Active TSS Result]]="Approved",_01towers[[#This Row],[Active Prevalidation Status]]="Prevalidated"),_01towers[[#This Row],[10colo_app.Colo_App_Result]],"")</f>
        <v/>
      </c>
      <c r="BA239" s="40">
        <f>COUNTIF(_20work_order[05_id],_01towers[[#This Row],[05_id]])</f>
        <v>0</v>
      </c>
      <c r="BB239" s="40">
        <f>COUNTIFS(_20work_order[05_id],_01towers[[#This Row],[05_id]],_20work_order[Actual_End],"&gt;0")</f>
        <v>0</v>
      </c>
      <c r="BC239" s="40" t="str">
        <f>IF(_01towers[[#This Row],[Completed Work Orders]]&gt;0,"Work Completed",
IF(_01towers[[#This Row],[Count Work Orders]]&gt;0,"Work in Progress",""))</f>
        <v/>
      </c>
      <c r="BD23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39" s="40" t="str">
        <f>_xlfn.SWITCH(_01towers[[#This Row],[Final Colo Status full]],"Commercial Approval Requested","Under Prevalidation",_01towers[[#This Row],[Final Colo Status full]])</f>
        <v>Under Prevalidation</v>
      </c>
    </row>
    <row r="240" spans="1:57" x14ac:dyDescent="0.35">
      <c r="A240" s="40" t="s">
        <v>488</v>
      </c>
      <c r="B240" s="40" t="s">
        <v>90</v>
      </c>
      <c r="C240" s="40" t="s">
        <v>51</v>
      </c>
      <c r="D240">
        <v>35</v>
      </c>
      <c r="E240" s="40" t="s">
        <v>98</v>
      </c>
      <c r="F240">
        <v>96.268259999999998</v>
      </c>
      <c r="G240">
        <v>16.8415</v>
      </c>
      <c r="H240" s="40" t="s">
        <v>62</v>
      </c>
      <c r="I240">
        <v>241</v>
      </c>
      <c r="J240" s="40" t="s">
        <v>232</v>
      </c>
      <c r="K240" s="40" t="s">
        <v>136</v>
      </c>
      <c r="L240" s="40" t="s">
        <v>56</v>
      </c>
      <c r="M240" s="40" t="s">
        <v>57</v>
      </c>
      <c r="N240" s="40" t="s">
        <v>57</v>
      </c>
      <c r="O240" s="40" t="s">
        <v>57</v>
      </c>
      <c r="P240" s="40" t="s">
        <v>58</v>
      </c>
      <c r="Q240" s="40" t="s">
        <v>57</v>
      </c>
      <c r="R240" s="40" t="s">
        <v>57</v>
      </c>
      <c r="S240">
        <v>155</v>
      </c>
      <c r="T240">
        <v>1</v>
      </c>
      <c r="U240" s="1">
        <v>43266</v>
      </c>
      <c r="V240" s="1">
        <v>43264</v>
      </c>
      <c r="W240" s="1">
        <v>43264</v>
      </c>
      <c r="X240" s="1">
        <v>43264</v>
      </c>
      <c r="Y240" s="1"/>
      <c r="Z240" s="40" t="s">
        <v>59</v>
      </c>
      <c r="AA240">
        <v>154</v>
      </c>
      <c r="AB240">
        <v>1</v>
      </c>
      <c r="AC240" s="1"/>
      <c r="AD240" s="40"/>
      <c r="AE240" s="1"/>
      <c r="AF240" s="1"/>
      <c r="AG240" s="1"/>
      <c r="AH240" s="40"/>
      <c r="AI240" s="1"/>
      <c r="AJ240" s="40">
        <f>_xlfn.MAXIFS(_01towers[02tss.Rev],_01towers[05_id],_01towers[[#This Row],[05_id]])</f>
        <v>1</v>
      </c>
      <c r="AK240" s="40" t="b">
        <f>IF(_01towers[[#This Row],[Count Rev TSS]]=_01towers[[#This Row],[02tss.Rev]],TRUE,FALSE)</f>
        <v>1</v>
      </c>
      <c r="AL240" s="40">
        <f>_xlfn.MAXIFS(_01towers[10colo_app.Rev],_01towers[05_id],_01towers[[#This Row],[05_id]])</f>
        <v>1</v>
      </c>
      <c r="AM240" s="40" t="b">
        <f>IF(_01towers[[#This Row],[Count Rev Colo App]]=_01towers[[#This Row],[10colo_app.Rev]],TRUE,FALSE)</f>
        <v>1</v>
      </c>
      <c r="AN240" s="40" t="b">
        <f>IF(AND(_01towers[[#This Row],[Test Rev Colo]]=TRUE,_01towers[[#This Row],[Test Rev TSS]]=TRUE),TRUE,FALSE)</f>
        <v>1</v>
      </c>
      <c r="AO240" s="40" t="str">
        <f>IF(_01towers[[#This Row],[Test Active]]=TRUE,_01towers[[#This Row],[Prevalidation Status]],"")</f>
        <v>Commercial Approval Requested</v>
      </c>
      <c r="AP240" s="40" t="str">
        <f>IF(_01towers[[#This Row],[Active Prevalidation Status]]="Under Prevalidation",
IF(M240="","Review",M240),"")</f>
        <v/>
      </c>
      <c r="AQ240" s="40" t="str">
        <f>IF(_01towers[[#This Row],[Active Prevalidation Status]]="Under Prevalidation",
IF(N240="","Review",N240),"")</f>
        <v/>
      </c>
      <c r="AR240" s="40" t="str">
        <f>IF(_01towers[[#This Row],[Active Prevalidation Status]]="Under Prevalidation",
IF(O240="","Review",O240),"")</f>
        <v/>
      </c>
      <c r="AS240" s="40" t="str">
        <f>IF(_01towers[[#This Row],[Active Prevalidation Status]]="Under Prevalidation",
IF(P240="","Review",P240),"")</f>
        <v/>
      </c>
      <c r="AT240" s="40" t="str">
        <f>IF(_01towers[[#This Row],[Active Prevalidation Status]]="Under Prevalidation",
IF(Q240="","Review",Q240),"")</f>
        <v/>
      </c>
      <c r="AU240" s="40" t="str">
        <f>IF(_01towers[[#This Row],[Active Prevalidation Status]]="Under Prevalidation",
IF(R240="","Review",R240),"")</f>
        <v/>
      </c>
      <c r="AV240" s="40">
        <f>COUNTIF(_01towers[[#This Row],[SAQ_Result2]:[Community_Result2]],"OK")</f>
        <v>0</v>
      </c>
      <c r="AW240" s="1" t="str">
        <f>IF(AND(OR(_01towers[[#This Row],[Active Prevalidation Status]]="Under Prevalidation",_01towers[[#This Row],[Active Prevalidation Status]]="Prevalidated"),_01towers[[#This Row],[02tss.TSSR_From_Engineer]]&gt;0),"Submitted","")</f>
        <v/>
      </c>
      <c r="AX240" s="40" t="str">
        <f>IF(OR(_01towers[[#This Row],[Active Prevalidation Status]]="Under Prevalidation",_01towers[[#This Row],[Active Prevalidation Status]]="Prevalidated"),_01towers[[#This Row],[02tss.TSS_Result]],"")</f>
        <v/>
      </c>
      <c r="AY240" s="40" t="str">
        <f>IF(AND(_01towers[[#This Row],[Active TSS Result]]="Approved",_01towers[[#This Row],[Active Prevalidation Status]]="Prevalidated"),"In Process","")</f>
        <v/>
      </c>
      <c r="AZ240" s="40" t="str">
        <f>IF(AND(_01towers[[#This Row],[Active TSS Result]]="Approved",_01towers[[#This Row],[Active Prevalidation Status]]="Prevalidated"),_01towers[[#This Row],[10colo_app.Colo_App_Result]],"")</f>
        <v/>
      </c>
      <c r="BA240" s="40">
        <f>COUNTIF(_20work_order[05_id],_01towers[[#This Row],[05_id]])</f>
        <v>0</v>
      </c>
      <c r="BB240" s="40">
        <f>COUNTIFS(_20work_order[05_id],_01towers[[#This Row],[05_id]],_20work_order[Actual_End],"&gt;0")</f>
        <v>0</v>
      </c>
      <c r="BC240" s="40" t="str">
        <f>IF(_01towers[[#This Row],[Completed Work Orders]]&gt;0,"Work Completed",
IF(_01towers[[#This Row],[Count Work Orders]]&gt;0,"Work in Progress",""))</f>
        <v/>
      </c>
      <c r="BD24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40" s="40" t="str">
        <f>_xlfn.SWITCH(_01towers[[#This Row],[Final Colo Status full]],"Commercial Approval Requested","Under Prevalidation",_01towers[[#This Row],[Final Colo Status full]])</f>
        <v>Under Prevalidation</v>
      </c>
    </row>
    <row r="241" spans="1:57" hidden="1" x14ac:dyDescent="0.35">
      <c r="A241" s="40" t="s">
        <v>370</v>
      </c>
      <c r="B241" s="40" t="s">
        <v>50</v>
      </c>
      <c r="C241" s="40" t="s">
        <v>82</v>
      </c>
      <c r="D241">
        <v>6</v>
      </c>
      <c r="E241" s="40" t="s">
        <v>66</v>
      </c>
      <c r="F241">
        <v>96.063800000000001</v>
      </c>
      <c r="G241">
        <v>21.98387</v>
      </c>
      <c r="H241" s="40" t="s">
        <v>53</v>
      </c>
      <c r="I241">
        <v>242</v>
      </c>
      <c r="J241" s="40" t="s">
        <v>489</v>
      </c>
      <c r="K241" s="40" t="s">
        <v>121</v>
      </c>
      <c r="L241" s="40" t="s">
        <v>64</v>
      </c>
      <c r="M241" s="40" t="s">
        <v>57</v>
      </c>
      <c r="N241" s="40" t="s">
        <v>57</v>
      </c>
      <c r="O241" s="40" t="s">
        <v>57</v>
      </c>
      <c r="P241" s="40" t="s">
        <v>57</v>
      </c>
      <c r="Q241" s="40"/>
      <c r="R241" s="40" t="s">
        <v>57</v>
      </c>
      <c r="S241">
        <v>240</v>
      </c>
      <c r="T241">
        <v>1</v>
      </c>
      <c r="U241" s="1"/>
      <c r="V241" s="1"/>
      <c r="W241" s="1"/>
      <c r="X241" s="1"/>
      <c r="Y241" s="1"/>
      <c r="Z241" s="40"/>
      <c r="AA241">
        <v>239</v>
      </c>
      <c r="AB241">
        <v>1</v>
      </c>
      <c r="AC241" s="1"/>
      <c r="AD241" s="40"/>
      <c r="AE241" s="1"/>
      <c r="AF241" s="1"/>
      <c r="AG241" s="1"/>
      <c r="AH241" s="40"/>
      <c r="AI241" s="1"/>
      <c r="AJ241" s="40">
        <f>_xlfn.MAXIFS(_01towers[02tss.Rev],_01towers[05_id],_01towers[[#This Row],[05_id]])</f>
        <v>1</v>
      </c>
      <c r="AK241" s="40" t="b">
        <f>IF(_01towers[[#This Row],[Count Rev TSS]]=_01towers[[#This Row],[02tss.Rev]],TRUE,FALSE)</f>
        <v>1</v>
      </c>
      <c r="AL241" s="40">
        <f>_xlfn.MAXIFS(_01towers[10colo_app.Rev],_01towers[05_id],_01towers[[#This Row],[05_id]])</f>
        <v>1</v>
      </c>
      <c r="AM241" s="40" t="b">
        <f>IF(_01towers[[#This Row],[Count Rev Colo App]]=_01towers[[#This Row],[10colo_app.Rev]],TRUE,FALSE)</f>
        <v>1</v>
      </c>
      <c r="AN241" s="40" t="b">
        <f>IF(AND(_01towers[[#This Row],[Test Rev Colo]]=TRUE,_01towers[[#This Row],[Test Rev TSS]]=TRUE),TRUE,FALSE)</f>
        <v>1</v>
      </c>
      <c r="AO241" s="40" t="str">
        <f>IF(_01towers[[#This Row],[Test Active]]=TRUE,_01towers[[#This Row],[Prevalidation Status]],"")</f>
        <v>Prevalidated</v>
      </c>
      <c r="AP241" s="40" t="str">
        <f>IF(_01towers[[#This Row],[Active Prevalidation Status]]="Under Prevalidation",
IF(M241="","Review",M241),"")</f>
        <v/>
      </c>
      <c r="AQ241" s="40" t="str">
        <f>IF(_01towers[[#This Row],[Active Prevalidation Status]]="Under Prevalidation",
IF(N241="","Review",N241),"")</f>
        <v/>
      </c>
      <c r="AR241" s="40" t="str">
        <f>IF(_01towers[[#This Row],[Active Prevalidation Status]]="Under Prevalidation",
IF(O241="","Review",O241),"")</f>
        <v/>
      </c>
      <c r="AS241" s="40" t="str">
        <f>IF(_01towers[[#This Row],[Active Prevalidation Status]]="Under Prevalidation",
IF(P241="","Review",P241),"")</f>
        <v/>
      </c>
      <c r="AT241" s="40" t="str">
        <f>IF(_01towers[[#This Row],[Active Prevalidation Status]]="Under Prevalidation",
IF(Q241="","Review",Q241),"")</f>
        <v/>
      </c>
      <c r="AU241" s="40" t="str">
        <f>IF(_01towers[[#This Row],[Active Prevalidation Status]]="Under Prevalidation",
IF(R241="","Review",R241),"")</f>
        <v/>
      </c>
      <c r="AV241" s="40">
        <f>COUNTIF(_01towers[[#This Row],[SAQ_Result2]:[Community_Result2]],"OK")</f>
        <v>0</v>
      </c>
      <c r="AW241" s="1" t="str">
        <f>IF(AND(OR(_01towers[[#This Row],[Active Prevalidation Status]]="Under Prevalidation",_01towers[[#This Row],[Active Prevalidation Status]]="Prevalidated"),_01towers[[#This Row],[02tss.TSSR_From_Engineer]]&gt;0),"Submitted","")</f>
        <v/>
      </c>
      <c r="AX241" s="40">
        <f>IF(OR(_01towers[[#This Row],[Active Prevalidation Status]]="Under Prevalidation",_01towers[[#This Row],[Active Prevalidation Status]]="Prevalidated"),_01towers[[#This Row],[02tss.TSS_Result]],"")</f>
        <v>0</v>
      </c>
      <c r="AY241" s="40" t="str">
        <f>IF(AND(_01towers[[#This Row],[Active TSS Result]]="Approved",_01towers[[#This Row],[Active Prevalidation Status]]="Prevalidated"),"In Process","")</f>
        <v/>
      </c>
      <c r="AZ241" s="40" t="str">
        <f>IF(AND(_01towers[[#This Row],[Active TSS Result]]="Approved",_01towers[[#This Row],[Active Prevalidation Status]]="Prevalidated"),_01towers[[#This Row],[10colo_app.Colo_App_Result]],"")</f>
        <v/>
      </c>
      <c r="BA241" s="40">
        <f>COUNTIF(_20work_order[05_id],_01towers[[#This Row],[05_id]])</f>
        <v>0</v>
      </c>
      <c r="BB241" s="40">
        <f>COUNTIFS(_20work_order[05_id],_01towers[[#This Row],[05_id]],_20work_order[Actual_End],"&gt;0")</f>
        <v>0</v>
      </c>
      <c r="BC241" s="40" t="str">
        <f>IF(_01towers[[#This Row],[Completed Work Orders]]&gt;0,"Work Completed",
IF(_01towers[[#This Row],[Count Work Orders]]&gt;0,"Work in Progress",""))</f>
        <v/>
      </c>
      <c r="BD24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41" s="40" t="str">
        <f>_xlfn.SWITCH(_01towers[[#This Row],[Final Colo Status full]],"Commercial Approval Requested","Under Prevalidation",_01towers[[#This Row],[Final Colo Status full]])</f>
        <v>Prevalidated - TSSR in Process</v>
      </c>
    </row>
    <row r="242" spans="1:57" hidden="1" x14ac:dyDescent="0.35">
      <c r="A242" s="40" t="s">
        <v>388</v>
      </c>
      <c r="B242" s="40" t="s">
        <v>50</v>
      </c>
      <c r="C242" s="40" t="s">
        <v>82</v>
      </c>
      <c r="D242">
        <v>6</v>
      </c>
      <c r="E242" s="40" t="s">
        <v>66</v>
      </c>
      <c r="F242">
        <v>96.080060000000003</v>
      </c>
      <c r="G242">
        <v>21.963609999999999</v>
      </c>
      <c r="H242" s="40" t="s">
        <v>53</v>
      </c>
      <c r="I242">
        <v>244</v>
      </c>
      <c r="J242" s="40" t="s">
        <v>490</v>
      </c>
      <c r="K242" s="40" t="s">
        <v>121</v>
      </c>
      <c r="L242" s="40" t="s">
        <v>64</v>
      </c>
      <c r="M242" s="40" t="s">
        <v>57</v>
      </c>
      <c r="N242" s="40" t="s">
        <v>57</v>
      </c>
      <c r="O242" s="40" t="s">
        <v>57</v>
      </c>
      <c r="P242" s="40" t="s">
        <v>57</v>
      </c>
      <c r="Q242" s="40"/>
      <c r="R242" s="40" t="s">
        <v>57</v>
      </c>
      <c r="S242">
        <v>241</v>
      </c>
      <c r="T242">
        <v>1</v>
      </c>
      <c r="U242" s="1"/>
      <c r="V242" s="1">
        <v>43200</v>
      </c>
      <c r="W242" s="1"/>
      <c r="X242" s="1">
        <v>43200</v>
      </c>
      <c r="Y242" s="1"/>
      <c r="Z242" s="40" t="s">
        <v>59</v>
      </c>
      <c r="AA242">
        <v>240</v>
      </c>
      <c r="AB242">
        <v>1</v>
      </c>
      <c r="AC242" s="1"/>
      <c r="AD242" s="40"/>
      <c r="AE242" s="1"/>
      <c r="AF242" s="1"/>
      <c r="AG242" s="1"/>
      <c r="AH242" s="40"/>
      <c r="AI242" s="1"/>
      <c r="AJ242" s="40">
        <f>_xlfn.MAXIFS(_01towers[02tss.Rev],_01towers[05_id],_01towers[[#This Row],[05_id]])</f>
        <v>1</v>
      </c>
      <c r="AK242" s="40" t="b">
        <f>IF(_01towers[[#This Row],[Count Rev TSS]]=_01towers[[#This Row],[02tss.Rev]],TRUE,FALSE)</f>
        <v>1</v>
      </c>
      <c r="AL242" s="40">
        <f>_xlfn.MAXIFS(_01towers[10colo_app.Rev],_01towers[05_id],_01towers[[#This Row],[05_id]])</f>
        <v>1</v>
      </c>
      <c r="AM242" s="40" t="b">
        <f>IF(_01towers[[#This Row],[Count Rev Colo App]]=_01towers[[#This Row],[10colo_app.Rev]],TRUE,FALSE)</f>
        <v>1</v>
      </c>
      <c r="AN242" s="40" t="b">
        <f>IF(AND(_01towers[[#This Row],[Test Rev Colo]]=TRUE,_01towers[[#This Row],[Test Rev TSS]]=TRUE),TRUE,FALSE)</f>
        <v>1</v>
      </c>
      <c r="AO242" s="40" t="str">
        <f>IF(_01towers[[#This Row],[Test Active]]=TRUE,_01towers[[#This Row],[Prevalidation Status]],"")</f>
        <v>Prevalidated</v>
      </c>
      <c r="AP242" s="40" t="str">
        <f>IF(_01towers[[#This Row],[Active Prevalidation Status]]="Under Prevalidation",
IF(M242="","Review",M242),"")</f>
        <v/>
      </c>
      <c r="AQ242" s="40" t="str">
        <f>IF(_01towers[[#This Row],[Active Prevalidation Status]]="Under Prevalidation",
IF(N242="","Review",N242),"")</f>
        <v/>
      </c>
      <c r="AR242" s="40" t="str">
        <f>IF(_01towers[[#This Row],[Active Prevalidation Status]]="Under Prevalidation",
IF(O242="","Review",O242),"")</f>
        <v/>
      </c>
      <c r="AS242" s="40" t="str">
        <f>IF(_01towers[[#This Row],[Active Prevalidation Status]]="Under Prevalidation",
IF(P242="","Review",P242),"")</f>
        <v/>
      </c>
      <c r="AT242" s="40" t="str">
        <f>IF(_01towers[[#This Row],[Active Prevalidation Status]]="Under Prevalidation",
IF(Q242="","Review",Q242),"")</f>
        <v/>
      </c>
      <c r="AU242" s="40" t="str">
        <f>IF(_01towers[[#This Row],[Active Prevalidation Status]]="Under Prevalidation",
IF(R242="","Review",R242),"")</f>
        <v/>
      </c>
      <c r="AV242" s="40">
        <f>COUNTIF(_01towers[[#This Row],[SAQ_Result2]:[Community_Result2]],"OK")</f>
        <v>0</v>
      </c>
      <c r="AW242" s="1" t="str">
        <f>IF(AND(OR(_01towers[[#This Row],[Active Prevalidation Status]]="Under Prevalidation",_01towers[[#This Row],[Active Prevalidation Status]]="Prevalidated"),_01towers[[#This Row],[02tss.TSSR_From_Engineer]]&gt;0),"Submitted","")</f>
        <v/>
      </c>
      <c r="AX242" s="40" t="str">
        <f>IF(OR(_01towers[[#This Row],[Active Prevalidation Status]]="Under Prevalidation",_01towers[[#This Row],[Active Prevalidation Status]]="Prevalidated"),_01towers[[#This Row],[02tss.TSS_Result]],"")</f>
        <v>Approved</v>
      </c>
      <c r="AY242" s="40" t="str">
        <f>IF(AND(_01towers[[#This Row],[Active TSS Result]]="Approved",_01towers[[#This Row],[Active Prevalidation Status]]="Prevalidated"),"In Process","")</f>
        <v>In Process</v>
      </c>
      <c r="AZ242" s="40">
        <f>IF(AND(_01towers[[#This Row],[Active TSS Result]]="Approved",_01towers[[#This Row],[Active Prevalidation Status]]="Prevalidated"),_01towers[[#This Row],[10colo_app.Colo_App_Result]],"")</f>
        <v>0</v>
      </c>
      <c r="BA242" s="40">
        <f>COUNTIF(_20work_order[05_id],_01towers[[#This Row],[05_id]])</f>
        <v>0</v>
      </c>
      <c r="BB242" s="40">
        <f>COUNTIFS(_20work_order[05_id],_01towers[[#This Row],[05_id]],_20work_order[Actual_End],"&gt;0")</f>
        <v>0</v>
      </c>
      <c r="BC242" s="40" t="str">
        <f>IF(_01towers[[#This Row],[Completed Work Orders]]&gt;0,"Work Completed",
IF(_01towers[[#This Row],[Count Work Orders]]&gt;0,"Work in Progress",""))</f>
        <v/>
      </c>
      <c r="BD24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242" s="40" t="str">
        <f>_xlfn.SWITCH(_01towers[[#This Row],[Final Colo Status full]],"Commercial Approval Requested","Under Prevalidation",_01towers[[#This Row],[Final Colo Status full]])</f>
        <v>Prevalidated - TSSR Done</v>
      </c>
    </row>
    <row r="243" spans="1:57" x14ac:dyDescent="0.35">
      <c r="A243" s="40" t="s">
        <v>491</v>
      </c>
      <c r="B243" s="40" t="s">
        <v>90</v>
      </c>
      <c r="C243" s="40" t="s">
        <v>51</v>
      </c>
      <c r="D243">
        <v>50</v>
      </c>
      <c r="E243" s="40" t="s">
        <v>221</v>
      </c>
      <c r="F243">
        <v>95.692139999999995</v>
      </c>
      <c r="G243">
        <v>17.09252</v>
      </c>
      <c r="H243" s="40" t="s">
        <v>124</v>
      </c>
      <c r="I243">
        <v>246</v>
      </c>
      <c r="J243" s="40" t="s">
        <v>648</v>
      </c>
      <c r="K243" s="40" t="s">
        <v>136</v>
      </c>
      <c r="L243" s="40" t="s">
        <v>56</v>
      </c>
      <c r="M243" s="40" t="s">
        <v>57</v>
      </c>
      <c r="N243" s="40" t="s">
        <v>57</v>
      </c>
      <c r="O243" s="40" t="s">
        <v>57</v>
      </c>
      <c r="P243" s="40" t="s">
        <v>58</v>
      </c>
      <c r="Q243" s="40" t="s">
        <v>57</v>
      </c>
      <c r="R243" s="40" t="s">
        <v>57</v>
      </c>
      <c r="S243">
        <v>242</v>
      </c>
      <c r="T243">
        <v>1</v>
      </c>
      <c r="U243" s="1">
        <v>43269</v>
      </c>
      <c r="V243" s="1">
        <v>43270</v>
      </c>
      <c r="W243" s="1">
        <v>43276</v>
      </c>
      <c r="X243" s="1">
        <v>43276</v>
      </c>
      <c r="Y243" s="1"/>
      <c r="Z243" s="40" t="s">
        <v>59</v>
      </c>
      <c r="AA243">
        <v>241</v>
      </c>
      <c r="AB243">
        <v>1</v>
      </c>
      <c r="AC243" s="1"/>
      <c r="AD243" s="40"/>
      <c r="AE243" s="1"/>
      <c r="AF243" s="1"/>
      <c r="AG243" s="1"/>
      <c r="AH243" s="40"/>
      <c r="AI243" s="1"/>
      <c r="AJ243" s="40">
        <f>_xlfn.MAXIFS(_01towers[02tss.Rev],_01towers[05_id],_01towers[[#This Row],[05_id]])</f>
        <v>1</v>
      </c>
      <c r="AK243" s="40" t="b">
        <f>IF(_01towers[[#This Row],[Count Rev TSS]]=_01towers[[#This Row],[02tss.Rev]],TRUE,FALSE)</f>
        <v>1</v>
      </c>
      <c r="AL243" s="40">
        <f>_xlfn.MAXIFS(_01towers[10colo_app.Rev],_01towers[05_id],_01towers[[#This Row],[05_id]])</f>
        <v>1</v>
      </c>
      <c r="AM243" s="40" t="b">
        <f>IF(_01towers[[#This Row],[Count Rev Colo App]]=_01towers[[#This Row],[10colo_app.Rev]],TRUE,FALSE)</f>
        <v>1</v>
      </c>
      <c r="AN243" s="40" t="b">
        <f>IF(AND(_01towers[[#This Row],[Test Rev Colo]]=TRUE,_01towers[[#This Row],[Test Rev TSS]]=TRUE),TRUE,FALSE)</f>
        <v>1</v>
      </c>
      <c r="AO243" s="40" t="str">
        <f>IF(_01towers[[#This Row],[Test Active]]=TRUE,_01towers[[#This Row],[Prevalidation Status]],"")</f>
        <v>Commercial Approval Requested</v>
      </c>
      <c r="AP243" s="40" t="str">
        <f>IF(_01towers[[#This Row],[Active Prevalidation Status]]="Under Prevalidation",
IF(M243="","Review",M243),"")</f>
        <v/>
      </c>
      <c r="AQ243" s="40" t="str">
        <f>IF(_01towers[[#This Row],[Active Prevalidation Status]]="Under Prevalidation",
IF(N243="","Review",N243),"")</f>
        <v/>
      </c>
      <c r="AR243" s="40" t="str">
        <f>IF(_01towers[[#This Row],[Active Prevalidation Status]]="Under Prevalidation",
IF(O243="","Review",O243),"")</f>
        <v/>
      </c>
      <c r="AS243" s="40" t="str">
        <f>IF(_01towers[[#This Row],[Active Prevalidation Status]]="Under Prevalidation",
IF(P243="","Review",P243),"")</f>
        <v/>
      </c>
      <c r="AT243" s="40" t="str">
        <f>IF(_01towers[[#This Row],[Active Prevalidation Status]]="Under Prevalidation",
IF(Q243="","Review",Q243),"")</f>
        <v/>
      </c>
      <c r="AU243" s="40" t="str">
        <f>IF(_01towers[[#This Row],[Active Prevalidation Status]]="Under Prevalidation",
IF(R243="","Review",R243),"")</f>
        <v/>
      </c>
      <c r="AV243" s="40">
        <f>COUNTIF(_01towers[[#This Row],[SAQ_Result2]:[Community_Result2]],"OK")</f>
        <v>0</v>
      </c>
      <c r="AW243" s="1" t="str">
        <f>IF(AND(OR(_01towers[[#This Row],[Active Prevalidation Status]]="Under Prevalidation",_01towers[[#This Row],[Active Prevalidation Status]]="Prevalidated"),_01towers[[#This Row],[02tss.TSSR_From_Engineer]]&gt;0),"Submitted","")</f>
        <v/>
      </c>
      <c r="AX243" s="40" t="str">
        <f>IF(OR(_01towers[[#This Row],[Active Prevalidation Status]]="Under Prevalidation",_01towers[[#This Row],[Active Prevalidation Status]]="Prevalidated"),_01towers[[#This Row],[02tss.TSS_Result]],"")</f>
        <v/>
      </c>
      <c r="AY243" s="40" t="str">
        <f>IF(AND(_01towers[[#This Row],[Active TSS Result]]="Approved",_01towers[[#This Row],[Active Prevalidation Status]]="Prevalidated"),"In Process","")</f>
        <v/>
      </c>
      <c r="AZ243" s="40" t="str">
        <f>IF(AND(_01towers[[#This Row],[Active TSS Result]]="Approved",_01towers[[#This Row],[Active Prevalidation Status]]="Prevalidated"),_01towers[[#This Row],[10colo_app.Colo_App_Result]],"")</f>
        <v/>
      </c>
      <c r="BA243" s="40">
        <f>COUNTIF(_20work_order[05_id],_01towers[[#This Row],[05_id]])</f>
        <v>1</v>
      </c>
      <c r="BB243" s="40">
        <f>COUNTIFS(_20work_order[05_id],_01towers[[#This Row],[05_id]],_20work_order[Actual_End],"&gt;0")</f>
        <v>1</v>
      </c>
      <c r="BC243" s="40" t="str">
        <f>IF(_01towers[[#This Row],[Completed Work Orders]]&gt;0,"Work Completed",
IF(_01towers[[#This Row],[Count Work Orders]]&gt;0,"Work in Progress",""))</f>
        <v>Work Completed</v>
      </c>
      <c r="BD24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43" s="40" t="str">
        <f>_xlfn.SWITCH(_01towers[[#This Row],[Final Colo Status full]],"Commercial Approval Requested","Under Prevalidation",_01towers[[#This Row],[Final Colo Status full]])</f>
        <v>Under Prevalidation</v>
      </c>
    </row>
    <row r="244" spans="1:57" hidden="1" x14ac:dyDescent="0.35">
      <c r="A244" s="40" t="s">
        <v>492</v>
      </c>
      <c r="B244" s="40" t="s">
        <v>90</v>
      </c>
      <c r="C244" s="40" t="s">
        <v>51</v>
      </c>
      <c r="D244">
        <v>50</v>
      </c>
      <c r="E244" s="40" t="s">
        <v>94</v>
      </c>
      <c r="F244">
        <v>97.631699999999995</v>
      </c>
      <c r="G244">
        <v>16.47748</v>
      </c>
      <c r="H244" s="40" t="s">
        <v>150</v>
      </c>
      <c r="I244">
        <v>247</v>
      </c>
      <c r="J244" s="40" t="s">
        <v>493</v>
      </c>
      <c r="K244" s="40" t="s">
        <v>136</v>
      </c>
      <c r="L244" s="40" t="s">
        <v>74</v>
      </c>
      <c r="M244" s="40" t="s">
        <v>57</v>
      </c>
      <c r="N244" s="40" t="s">
        <v>57</v>
      </c>
      <c r="O244" s="40" t="s">
        <v>57</v>
      </c>
      <c r="P244" s="40" t="s">
        <v>58</v>
      </c>
      <c r="Q244" s="40" t="s">
        <v>57</v>
      </c>
      <c r="R244" s="40" t="s">
        <v>75</v>
      </c>
      <c r="S244">
        <v>243</v>
      </c>
      <c r="T244">
        <v>1</v>
      </c>
      <c r="U244" s="1">
        <v>43284</v>
      </c>
      <c r="V244" s="1">
        <v>43284</v>
      </c>
      <c r="W244" s="1">
        <v>43285</v>
      </c>
      <c r="X244" s="1">
        <v>43285</v>
      </c>
      <c r="Y244" s="1"/>
      <c r="Z244" s="40" t="s">
        <v>59</v>
      </c>
      <c r="AA244">
        <v>242</v>
      </c>
      <c r="AB244">
        <v>1</v>
      </c>
      <c r="AC244" s="1"/>
      <c r="AD244" s="40"/>
      <c r="AE244" s="1"/>
      <c r="AF244" s="1"/>
      <c r="AG244" s="1"/>
      <c r="AH244" s="40"/>
      <c r="AI244" s="1"/>
      <c r="AJ244" s="40">
        <f>_xlfn.MAXIFS(_01towers[02tss.Rev],_01towers[05_id],_01towers[[#This Row],[05_id]])</f>
        <v>1</v>
      </c>
      <c r="AK244" s="40" t="b">
        <f>IF(_01towers[[#This Row],[Count Rev TSS]]=_01towers[[#This Row],[02tss.Rev]],TRUE,FALSE)</f>
        <v>1</v>
      </c>
      <c r="AL244" s="40">
        <f>_xlfn.MAXIFS(_01towers[10colo_app.Rev],_01towers[05_id],_01towers[[#This Row],[05_id]])</f>
        <v>1</v>
      </c>
      <c r="AM244" s="40" t="b">
        <f>IF(_01towers[[#This Row],[Count Rev Colo App]]=_01towers[[#This Row],[10colo_app.Rev]],TRUE,FALSE)</f>
        <v>1</v>
      </c>
      <c r="AN244" s="40" t="b">
        <f>IF(AND(_01towers[[#This Row],[Test Rev Colo]]=TRUE,_01towers[[#This Row],[Test Rev TSS]]=TRUE),TRUE,FALSE)</f>
        <v>1</v>
      </c>
      <c r="AO244" s="40" t="str">
        <f>IF(_01towers[[#This Row],[Test Active]]=TRUE,_01towers[[#This Row],[Prevalidation Status]],"")</f>
        <v>Prevalidation Rejected</v>
      </c>
      <c r="AP244" s="40" t="str">
        <f>IF(_01towers[[#This Row],[Active Prevalidation Status]]="Under Prevalidation",
IF(M244="","Review",M244),"")</f>
        <v/>
      </c>
      <c r="AQ244" s="40" t="str">
        <f>IF(_01towers[[#This Row],[Active Prevalidation Status]]="Under Prevalidation",
IF(N244="","Review",N244),"")</f>
        <v/>
      </c>
      <c r="AR244" s="40" t="str">
        <f>IF(_01towers[[#This Row],[Active Prevalidation Status]]="Under Prevalidation",
IF(O244="","Review",O244),"")</f>
        <v/>
      </c>
      <c r="AS244" s="40" t="str">
        <f>IF(_01towers[[#This Row],[Active Prevalidation Status]]="Under Prevalidation",
IF(P244="","Review",P244),"")</f>
        <v/>
      </c>
      <c r="AT244" s="40" t="str">
        <f>IF(_01towers[[#This Row],[Active Prevalidation Status]]="Under Prevalidation",
IF(Q244="","Review",Q244),"")</f>
        <v/>
      </c>
      <c r="AU244" s="40" t="str">
        <f>IF(_01towers[[#This Row],[Active Prevalidation Status]]="Under Prevalidation",
IF(R244="","Review",R244),"")</f>
        <v/>
      </c>
      <c r="AV244" s="40">
        <f>COUNTIF(_01towers[[#This Row],[SAQ_Result2]:[Community_Result2]],"OK")</f>
        <v>0</v>
      </c>
      <c r="AW244" s="1" t="str">
        <f>IF(AND(OR(_01towers[[#This Row],[Active Prevalidation Status]]="Under Prevalidation",_01towers[[#This Row],[Active Prevalidation Status]]="Prevalidated"),_01towers[[#This Row],[02tss.TSSR_From_Engineer]]&gt;0),"Submitted","")</f>
        <v/>
      </c>
      <c r="AX244" s="40" t="str">
        <f>IF(OR(_01towers[[#This Row],[Active Prevalidation Status]]="Under Prevalidation",_01towers[[#This Row],[Active Prevalidation Status]]="Prevalidated"),_01towers[[#This Row],[02tss.TSS_Result]],"")</f>
        <v/>
      </c>
      <c r="AY244" s="40" t="str">
        <f>IF(AND(_01towers[[#This Row],[Active TSS Result]]="Approved",_01towers[[#This Row],[Active Prevalidation Status]]="Prevalidated"),"In Process","")</f>
        <v/>
      </c>
      <c r="AZ244" s="40" t="str">
        <f>IF(AND(_01towers[[#This Row],[Active TSS Result]]="Approved",_01towers[[#This Row],[Active Prevalidation Status]]="Prevalidated"),_01towers[[#This Row],[10colo_app.Colo_App_Result]],"")</f>
        <v/>
      </c>
      <c r="BA244" s="40">
        <f>COUNTIF(_20work_order[05_id],_01towers[[#This Row],[05_id]])</f>
        <v>0</v>
      </c>
      <c r="BB244" s="40">
        <f>COUNTIFS(_20work_order[05_id],_01towers[[#This Row],[05_id]],_20work_order[Actual_End],"&gt;0")</f>
        <v>0</v>
      </c>
      <c r="BC244" s="40" t="str">
        <f>IF(_01towers[[#This Row],[Completed Work Orders]]&gt;0,"Work Completed",
IF(_01towers[[#This Row],[Count Work Orders]]&gt;0,"Work in Progress",""))</f>
        <v/>
      </c>
      <c r="BD24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44" s="40" t="str">
        <f>_xlfn.SWITCH(_01towers[[#This Row],[Final Colo Status full]],"Commercial Approval Requested","Under Prevalidation",_01towers[[#This Row],[Final Colo Status full]])</f>
        <v>Prevalidation Rejected</v>
      </c>
    </row>
    <row r="245" spans="1:57" x14ac:dyDescent="0.35">
      <c r="A245" s="40" t="s">
        <v>494</v>
      </c>
      <c r="B245" s="40" t="s">
        <v>50</v>
      </c>
      <c r="C245" s="40" t="s">
        <v>51</v>
      </c>
      <c r="D245">
        <v>60</v>
      </c>
      <c r="E245" s="40" t="s">
        <v>167</v>
      </c>
      <c r="F245">
        <v>95.005920000000003</v>
      </c>
      <c r="G245">
        <v>20.121030000000001</v>
      </c>
      <c r="H245" s="40" t="s">
        <v>53</v>
      </c>
      <c r="I245">
        <v>248</v>
      </c>
      <c r="J245" s="40" t="s">
        <v>495</v>
      </c>
      <c r="K245" s="40" t="s">
        <v>136</v>
      </c>
      <c r="L245" s="40" t="s">
        <v>56</v>
      </c>
      <c r="M245" s="40" t="s">
        <v>57</v>
      </c>
      <c r="N245" s="40" t="s">
        <v>57</v>
      </c>
      <c r="O245" s="40" t="s">
        <v>57</v>
      </c>
      <c r="P245" s="40" t="s">
        <v>58</v>
      </c>
      <c r="Q245" s="40" t="s">
        <v>57</v>
      </c>
      <c r="R245" s="40" t="s">
        <v>57</v>
      </c>
      <c r="S245">
        <v>244</v>
      </c>
      <c r="T245">
        <v>1</v>
      </c>
      <c r="U245" s="1">
        <v>43283</v>
      </c>
      <c r="V245" s="1">
        <v>43283</v>
      </c>
      <c r="W245" s="1">
        <v>43286</v>
      </c>
      <c r="X245" s="1">
        <v>43312</v>
      </c>
      <c r="Y245" s="1"/>
      <c r="Z245" s="40" t="s">
        <v>59</v>
      </c>
      <c r="AA245">
        <v>243</v>
      </c>
      <c r="AB245">
        <v>1</v>
      </c>
      <c r="AC245" s="1"/>
      <c r="AD245" s="40"/>
      <c r="AE245" s="1"/>
      <c r="AF245" s="1"/>
      <c r="AG245" s="1"/>
      <c r="AH245" s="40"/>
      <c r="AI245" s="1"/>
      <c r="AJ245" s="40">
        <f>_xlfn.MAXIFS(_01towers[02tss.Rev],_01towers[05_id],_01towers[[#This Row],[05_id]])</f>
        <v>1</v>
      </c>
      <c r="AK245" s="40" t="b">
        <f>IF(_01towers[[#This Row],[Count Rev TSS]]=_01towers[[#This Row],[02tss.Rev]],TRUE,FALSE)</f>
        <v>1</v>
      </c>
      <c r="AL245" s="40">
        <f>_xlfn.MAXIFS(_01towers[10colo_app.Rev],_01towers[05_id],_01towers[[#This Row],[05_id]])</f>
        <v>1</v>
      </c>
      <c r="AM245" s="40" t="b">
        <f>IF(_01towers[[#This Row],[Count Rev Colo App]]=_01towers[[#This Row],[10colo_app.Rev]],TRUE,FALSE)</f>
        <v>1</v>
      </c>
      <c r="AN245" s="40" t="b">
        <f>IF(AND(_01towers[[#This Row],[Test Rev Colo]]=TRUE,_01towers[[#This Row],[Test Rev TSS]]=TRUE),TRUE,FALSE)</f>
        <v>1</v>
      </c>
      <c r="AO245" s="40" t="str">
        <f>IF(_01towers[[#This Row],[Test Active]]=TRUE,_01towers[[#This Row],[Prevalidation Status]],"")</f>
        <v>Commercial Approval Requested</v>
      </c>
      <c r="AP245" s="40" t="str">
        <f>IF(_01towers[[#This Row],[Active Prevalidation Status]]="Under Prevalidation",
IF(M245="","Review",M245),"")</f>
        <v/>
      </c>
      <c r="AQ245" s="40" t="str">
        <f>IF(_01towers[[#This Row],[Active Prevalidation Status]]="Under Prevalidation",
IF(N245="","Review",N245),"")</f>
        <v/>
      </c>
      <c r="AR245" s="40" t="str">
        <f>IF(_01towers[[#This Row],[Active Prevalidation Status]]="Under Prevalidation",
IF(O245="","Review",O245),"")</f>
        <v/>
      </c>
      <c r="AS245" s="40" t="str">
        <f>IF(_01towers[[#This Row],[Active Prevalidation Status]]="Under Prevalidation",
IF(P245="","Review",P245),"")</f>
        <v/>
      </c>
      <c r="AT245" s="40" t="str">
        <f>IF(_01towers[[#This Row],[Active Prevalidation Status]]="Under Prevalidation",
IF(Q245="","Review",Q245),"")</f>
        <v/>
      </c>
      <c r="AU245" s="40" t="str">
        <f>IF(_01towers[[#This Row],[Active Prevalidation Status]]="Under Prevalidation",
IF(R245="","Review",R245),"")</f>
        <v/>
      </c>
      <c r="AV245" s="40">
        <f>COUNTIF(_01towers[[#This Row],[SAQ_Result2]:[Community_Result2]],"OK")</f>
        <v>0</v>
      </c>
      <c r="AW245" s="1" t="str">
        <f>IF(AND(OR(_01towers[[#This Row],[Active Prevalidation Status]]="Under Prevalidation",_01towers[[#This Row],[Active Prevalidation Status]]="Prevalidated"),_01towers[[#This Row],[02tss.TSSR_From_Engineer]]&gt;0),"Submitted","")</f>
        <v/>
      </c>
      <c r="AX245" s="40" t="str">
        <f>IF(OR(_01towers[[#This Row],[Active Prevalidation Status]]="Under Prevalidation",_01towers[[#This Row],[Active Prevalidation Status]]="Prevalidated"),_01towers[[#This Row],[02tss.TSS_Result]],"")</f>
        <v/>
      </c>
      <c r="AY245" s="40" t="str">
        <f>IF(AND(_01towers[[#This Row],[Active TSS Result]]="Approved",_01towers[[#This Row],[Active Prevalidation Status]]="Prevalidated"),"In Process","")</f>
        <v/>
      </c>
      <c r="AZ245" s="40" t="str">
        <f>IF(AND(_01towers[[#This Row],[Active TSS Result]]="Approved",_01towers[[#This Row],[Active Prevalidation Status]]="Prevalidated"),_01towers[[#This Row],[10colo_app.Colo_App_Result]],"")</f>
        <v/>
      </c>
      <c r="BA245" s="40">
        <f>COUNTIF(_20work_order[05_id],_01towers[[#This Row],[05_id]])</f>
        <v>0</v>
      </c>
      <c r="BB245" s="40">
        <f>COUNTIFS(_20work_order[05_id],_01towers[[#This Row],[05_id]],_20work_order[Actual_End],"&gt;0")</f>
        <v>0</v>
      </c>
      <c r="BC245" s="40" t="str">
        <f>IF(_01towers[[#This Row],[Completed Work Orders]]&gt;0,"Work Completed",
IF(_01towers[[#This Row],[Count Work Orders]]&gt;0,"Work in Progress",""))</f>
        <v/>
      </c>
      <c r="BD24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45" s="40" t="str">
        <f>_xlfn.SWITCH(_01towers[[#This Row],[Final Colo Status full]],"Commercial Approval Requested","Under Prevalidation",_01towers[[#This Row],[Final Colo Status full]])</f>
        <v>Under Prevalidation</v>
      </c>
    </row>
    <row r="246" spans="1:57" x14ac:dyDescent="0.35">
      <c r="A246" s="40" t="s">
        <v>496</v>
      </c>
      <c r="B246" s="40" t="s">
        <v>85</v>
      </c>
      <c r="C246" s="40" t="s">
        <v>51</v>
      </c>
      <c r="D246">
        <v>60</v>
      </c>
      <c r="E246" s="40" t="s">
        <v>86</v>
      </c>
      <c r="F246">
        <v>98.615170000000006</v>
      </c>
      <c r="G246">
        <v>21.25742</v>
      </c>
      <c r="H246" s="40" t="s">
        <v>170</v>
      </c>
      <c r="I246">
        <v>249</v>
      </c>
      <c r="J246" s="40" t="s">
        <v>649</v>
      </c>
      <c r="K246" s="40" t="s">
        <v>136</v>
      </c>
      <c r="L246" s="40" t="s">
        <v>56</v>
      </c>
      <c r="M246" s="40" t="s">
        <v>57</v>
      </c>
      <c r="N246" s="40" t="s">
        <v>57</v>
      </c>
      <c r="O246" s="40" t="s">
        <v>57</v>
      </c>
      <c r="P246" s="40" t="s">
        <v>58</v>
      </c>
      <c r="Q246" s="40" t="s">
        <v>57</v>
      </c>
      <c r="R246" s="40" t="s">
        <v>57</v>
      </c>
      <c r="S246">
        <v>245</v>
      </c>
      <c r="T246">
        <v>1</v>
      </c>
      <c r="U246" s="1"/>
      <c r="V246" s="1"/>
      <c r="W246" s="1"/>
      <c r="X246" s="1"/>
      <c r="Y246" s="1"/>
      <c r="Z246" s="40"/>
      <c r="AA246">
        <v>244</v>
      </c>
      <c r="AB246">
        <v>1</v>
      </c>
      <c r="AC246" s="1"/>
      <c r="AD246" s="40"/>
      <c r="AE246" s="1"/>
      <c r="AF246" s="1"/>
      <c r="AG246" s="1"/>
      <c r="AH246" s="40"/>
      <c r="AI246" s="1"/>
      <c r="AJ246" s="40">
        <f>_xlfn.MAXIFS(_01towers[02tss.Rev],_01towers[05_id],_01towers[[#This Row],[05_id]])</f>
        <v>1</v>
      </c>
      <c r="AK246" s="40" t="b">
        <f>IF(_01towers[[#This Row],[Count Rev TSS]]=_01towers[[#This Row],[02tss.Rev]],TRUE,FALSE)</f>
        <v>1</v>
      </c>
      <c r="AL246" s="40">
        <f>_xlfn.MAXIFS(_01towers[10colo_app.Rev],_01towers[05_id],_01towers[[#This Row],[05_id]])</f>
        <v>1</v>
      </c>
      <c r="AM246" s="40" t="b">
        <f>IF(_01towers[[#This Row],[Count Rev Colo App]]=_01towers[[#This Row],[10colo_app.Rev]],TRUE,FALSE)</f>
        <v>1</v>
      </c>
      <c r="AN246" s="40" t="b">
        <f>IF(AND(_01towers[[#This Row],[Test Rev Colo]]=TRUE,_01towers[[#This Row],[Test Rev TSS]]=TRUE),TRUE,FALSE)</f>
        <v>1</v>
      </c>
      <c r="AO246" s="40" t="str">
        <f>IF(_01towers[[#This Row],[Test Active]]=TRUE,_01towers[[#This Row],[Prevalidation Status]],"")</f>
        <v>Commercial Approval Requested</v>
      </c>
      <c r="AP246" s="40" t="str">
        <f>IF(_01towers[[#This Row],[Active Prevalidation Status]]="Under Prevalidation",
IF(M246="","Review",M246),"")</f>
        <v/>
      </c>
      <c r="AQ246" s="40" t="str">
        <f>IF(_01towers[[#This Row],[Active Prevalidation Status]]="Under Prevalidation",
IF(N246="","Review",N246),"")</f>
        <v/>
      </c>
      <c r="AR246" s="40" t="str">
        <f>IF(_01towers[[#This Row],[Active Prevalidation Status]]="Under Prevalidation",
IF(O246="","Review",O246),"")</f>
        <v/>
      </c>
      <c r="AS246" s="40" t="str">
        <f>IF(_01towers[[#This Row],[Active Prevalidation Status]]="Under Prevalidation",
IF(P246="","Review",P246),"")</f>
        <v/>
      </c>
      <c r="AT246" s="40" t="str">
        <f>IF(_01towers[[#This Row],[Active Prevalidation Status]]="Under Prevalidation",
IF(Q246="","Review",Q246),"")</f>
        <v/>
      </c>
      <c r="AU246" s="40" t="str">
        <f>IF(_01towers[[#This Row],[Active Prevalidation Status]]="Under Prevalidation",
IF(R246="","Review",R246),"")</f>
        <v/>
      </c>
      <c r="AV246" s="40">
        <f>COUNTIF(_01towers[[#This Row],[SAQ_Result2]:[Community_Result2]],"OK")</f>
        <v>0</v>
      </c>
      <c r="AW246" s="1" t="str">
        <f>IF(AND(OR(_01towers[[#This Row],[Active Prevalidation Status]]="Under Prevalidation",_01towers[[#This Row],[Active Prevalidation Status]]="Prevalidated"),_01towers[[#This Row],[02tss.TSSR_From_Engineer]]&gt;0),"Submitted","")</f>
        <v/>
      </c>
      <c r="AX246" s="40" t="str">
        <f>IF(OR(_01towers[[#This Row],[Active Prevalidation Status]]="Under Prevalidation",_01towers[[#This Row],[Active Prevalidation Status]]="Prevalidated"),_01towers[[#This Row],[02tss.TSS_Result]],"")</f>
        <v/>
      </c>
      <c r="AY246" s="40" t="str">
        <f>IF(AND(_01towers[[#This Row],[Active TSS Result]]="Approved",_01towers[[#This Row],[Active Prevalidation Status]]="Prevalidated"),"In Process","")</f>
        <v/>
      </c>
      <c r="AZ246" s="40" t="str">
        <f>IF(AND(_01towers[[#This Row],[Active TSS Result]]="Approved",_01towers[[#This Row],[Active Prevalidation Status]]="Prevalidated"),_01towers[[#This Row],[10colo_app.Colo_App_Result]],"")</f>
        <v/>
      </c>
      <c r="BA246" s="40">
        <f>COUNTIF(_20work_order[05_id],_01towers[[#This Row],[05_id]])</f>
        <v>0</v>
      </c>
      <c r="BB246" s="40">
        <f>COUNTIFS(_20work_order[05_id],_01towers[[#This Row],[05_id]],_20work_order[Actual_End],"&gt;0")</f>
        <v>0</v>
      </c>
      <c r="BC246" s="40" t="str">
        <f>IF(_01towers[[#This Row],[Completed Work Orders]]&gt;0,"Work Completed",
IF(_01towers[[#This Row],[Count Work Orders]]&gt;0,"Work in Progress",""))</f>
        <v/>
      </c>
      <c r="BD24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46" s="40" t="str">
        <f>_xlfn.SWITCH(_01towers[[#This Row],[Final Colo Status full]],"Commercial Approval Requested","Under Prevalidation",_01towers[[#This Row],[Final Colo Status full]])</f>
        <v>Under Prevalidation</v>
      </c>
    </row>
    <row r="247" spans="1:57" hidden="1" x14ac:dyDescent="0.35">
      <c r="A247" s="40" t="s">
        <v>497</v>
      </c>
      <c r="B247" s="40" t="s">
        <v>90</v>
      </c>
      <c r="C247" s="40" t="s">
        <v>82</v>
      </c>
      <c r="D247">
        <v>6</v>
      </c>
      <c r="E247" s="40" t="s">
        <v>98</v>
      </c>
      <c r="F247">
        <v>96.160480000000007</v>
      </c>
      <c r="G247">
        <v>16.777979999999999</v>
      </c>
      <c r="H247" s="40" t="s">
        <v>53</v>
      </c>
      <c r="I247">
        <v>250</v>
      </c>
      <c r="J247" s="40" t="s">
        <v>498</v>
      </c>
      <c r="K247" s="40" t="s">
        <v>121</v>
      </c>
      <c r="L247" s="40" t="s">
        <v>64</v>
      </c>
      <c r="M247" s="40" t="s">
        <v>57</v>
      </c>
      <c r="N247" s="40" t="s">
        <v>57</v>
      </c>
      <c r="O247" s="40" t="s">
        <v>57</v>
      </c>
      <c r="P247" s="40" t="s">
        <v>57</v>
      </c>
      <c r="Q247" s="40" t="s">
        <v>57</v>
      </c>
      <c r="R247" s="40" t="s">
        <v>57</v>
      </c>
      <c r="S247">
        <v>246</v>
      </c>
      <c r="T247">
        <v>1</v>
      </c>
      <c r="U247" s="1"/>
      <c r="V247" s="1"/>
      <c r="W247" s="1"/>
      <c r="X247" s="1"/>
      <c r="Y247" s="1"/>
      <c r="Z247" s="40"/>
      <c r="AA247">
        <v>245</v>
      </c>
      <c r="AB247">
        <v>1</v>
      </c>
      <c r="AC247" s="1"/>
      <c r="AD247" s="40"/>
      <c r="AE247" s="1"/>
      <c r="AF247" s="1"/>
      <c r="AG247" s="1"/>
      <c r="AH247" s="40"/>
      <c r="AI247" s="1"/>
      <c r="AJ247" s="40">
        <f>_xlfn.MAXIFS(_01towers[02tss.Rev],_01towers[05_id],_01towers[[#This Row],[05_id]])</f>
        <v>1</v>
      </c>
      <c r="AK247" s="40" t="b">
        <f>IF(_01towers[[#This Row],[Count Rev TSS]]=_01towers[[#This Row],[02tss.Rev]],TRUE,FALSE)</f>
        <v>1</v>
      </c>
      <c r="AL247" s="40">
        <f>_xlfn.MAXIFS(_01towers[10colo_app.Rev],_01towers[05_id],_01towers[[#This Row],[05_id]])</f>
        <v>1</v>
      </c>
      <c r="AM247" s="40" t="b">
        <f>IF(_01towers[[#This Row],[Count Rev Colo App]]=_01towers[[#This Row],[10colo_app.Rev]],TRUE,FALSE)</f>
        <v>1</v>
      </c>
      <c r="AN247" s="40" t="b">
        <f>IF(AND(_01towers[[#This Row],[Test Rev Colo]]=TRUE,_01towers[[#This Row],[Test Rev TSS]]=TRUE),TRUE,FALSE)</f>
        <v>1</v>
      </c>
      <c r="AO247" s="40" t="str">
        <f>IF(_01towers[[#This Row],[Test Active]]=TRUE,_01towers[[#This Row],[Prevalidation Status]],"")</f>
        <v>Prevalidated</v>
      </c>
      <c r="AP247" s="40" t="str">
        <f>IF(_01towers[[#This Row],[Active Prevalidation Status]]="Under Prevalidation",
IF(M247="","Review",M247),"")</f>
        <v/>
      </c>
      <c r="AQ247" s="40" t="str">
        <f>IF(_01towers[[#This Row],[Active Prevalidation Status]]="Under Prevalidation",
IF(N247="","Review",N247),"")</f>
        <v/>
      </c>
      <c r="AR247" s="40" t="str">
        <f>IF(_01towers[[#This Row],[Active Prevalidation Status]]="Under Prevalidation",
IF(O247="","Review",O247),"")</f>
        <v/>
      </c>
      <c r="AS247" s="40" t="str">
        <f>IF(_01towers[[#This Row],[Active Prevalidation Status]]="Under Prevalidation",
IF(P247="","Review",P247),"")</f>
        <v/>
      </c>
      <c r="AT247" s="40" t="str">
        <f>IF(_01towers[[#This Row],[Active Prevalidation Status]]="Under Prevalidation",
IF(Q247="","Review",Q247),"")</f>
        <v/>
      </c>
      <c r="AU247" s="40" t="str">
        <f>IF(_01towers[[#This Row],[Active Prevalidation Status]]="Under Prevalidation",
IF(R247="","Review",R247),"")</f>
        <v/>
      </c>
      <c r="AV247" s="40">
        <f>COUNTIF(_01towers[[#This Row],[SAQ_Result2]:[Community_Result2]],"OK")</f>
        <v>0</v>
      </c>
      <c r="AW247" s="1" t="str">
        <f>IF(AND(OR(_01towers[[#This Row],[Active Prevalidation Status]]="Under Prevalidation",_01towers[[#This Row],[Active Prevalidation Status]]="Prevalidated"),_01towers[[#This Row],[02tss.TSSR_From_Engineer]]&gt;0),"Submitted","")</f>
        <v/>
      </c>
      <c r="AX247" s="40">
        <f>IF(OR(_01towers[[#This Row],[Active Prevalidation Status]]="Under Prevalidation",_01towers[[#This Row],[Active Prevalidation Status]]="Prevalidated"),_01towers[[#This Row],[02tss.TSS_Result]],"")</f>
        <v>0</v>
      </c>
      <c r="AY247" s="40" t="str">
        <f>IF(AND(_01towers[[#This Row],[Active TSS Result]]="Approved",_01towers[[#This Row],[Active Prevalidation Status]]="Prevalidated"),"In Process","")</f>
        <v/>
      </c>
      <c r="AZ247" s="40" t="str">
        <f>IF(AND(_01towers[[#This Row],[Active TSS Result]]="Approved",_01towers[[#This Row],[Active Prevalidation Status]]="Prevalidated"),_01towers[[#This Row],[10colo_app.Colo_App_Result]],"")</f>
        <v/>
      </c>
      <c r="BA247" s="40">
        <f>COUNTIF(_20work_order[05_id],_01towers[[#This Row],[05_id]])</f>
        <v>0</v>
      </c>
      <c r="BB247" s="40">
        <f>COUNTIFS(_20work_order[05_id],_01towers[[#This Row],[05_id]],_20work_order[Actual_End],"&gt;0")</f>
        <v>0</v>
      </c>
      <c r="BC247" s="40" t="str">
        <f>IF(_01towers[[#This Row],[Completed Work Orders]]&gt;0,"Work Completed",
IF(_01towers[[#This Row],[Count Work Orders]]&gt;0,"Work in Progress",""))</f>
        <v/>
      </c>
      <c r="BD24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47" s="40" t="str">
        <f>_xlfn.SWITCH(_01towers[[#This Row],[Final Colo Status full]],"Commercial Approval Requested","Under Prevalidation",_01towers[[#This Row],[Final Colo Status full]])</f>
        <v>Prevalidated - TSSR in Process</v>
      </c>
    </row>
    <row r="248" spans="1:57" hidden="1" x14ac:dyDescent="0.35">
      <c r="A248" s="40" t="s">
        <v>499</v>
      </c>
      <c r="B248" s="40" t="s">
        <v>90</v>
      </c>
      <c r="C248" s="40" t="s">
        <v>97</v>
      </c>
      <c r="D248">
        <v>30</v>
      </c>
      <c r="E248" s="40" t="s">
        <v>98</v>
      </c>
      <c r="F248">
        <v>96.162769999999995</v>
      </c>
      <c r="G248">
        <v>16.925180000000001</v>
      </c>
      <c r="H248" s="40" t="s">
        <v>99</v>
      </c>
      <c r="I248">
        <v>251</v>
      </c>
      <c r="J248" s="40" t="s">
        <v>500</v>
      </c>
      <c r="K248" s="40" t="s">
        <v>55</v>
      </c>
      <c r="L248" s="40" t="s">
        <v>64</v>
      </c>
      <c r="M248" s="40" t="s">
        <v>57</v>
      </c>
      <c r="N248" s="40" t="s">
        <v>57</v>
      </c>
      <c r="O248" s="40" t="s">
        <v>57</v>
      </c>
      <c r="P248" s="40" t="s">
        <v>57</v>
      </c>
      <c r="Q248" s="40" t="s">
        <v>57</v>
      </c>
      <c r="R248" s="40" t="s">
        <v>57</v>
      </c>
      <c r="S248">
        <v>247</v>
      </c>
      <c r="T248">
        <v>1</v>
      </c>
      <c r="U248" s="1"/>
      <c r="V248" s="1"/>
      <c r="W248" s="1"/>
      <c r="X248" s="1"/>
      <c r="Y248" s="1"/>
      <c r="Z248" s="40"/>
      <c r="AA248">
        <v>246</v>
      </c>
      <c r="AB248">
        <v>1</v>
      </c>
      <c r="AC248" s="1"/>
      <c r="AD248" s="40"/>
      <c r="AE248" s="1"/>
      <c r="AF248" s="1"/>
      <c r="AG248" s="1"/>
      <c r="AH248" s="40"/>
      <c r="AI248" s="1"/>
      <c r="AJ248" s="40">
        <f>_xlfn.MAXIFS(_01towers[02tss.Rev],_01towers[05_id],_01towers[[#This Row],[05_id]])</f>
        <v>1</v>
      </c>
      <c r="AK248" s="40" t="b">
        <f>IF(_01towers[[#This Row],[Count Rev TSS]]=_01towers[[#This Row],[02tss.Rev]],TRUE,FALSE)</f>
        <v>1</v>
      </c>
      <c r="AL248" s="40">
        <f>_xlfn.MAXIFS(_01towers[10colo_app.Rev],_01towers[05_id],_01towers[[#This Row],[05_id]])</f>
        <v>1</v>
      </c>
      <c r="AM248" s="40" t="b">
        <f>IF(_01towers[[#This Row],[Count Rev Colo App]]=_01towers[[#This Row],[10colo_app.Rev]],TRUE,FALSE)</f>
        <v>1</v>
      </c>
      <c r="AN248" s="40" t="b">
        <f>IF(AND(_01towers[[#This Row],[Test Rev Colo]]=TRUE,_01towers[[#This Row],[Test Rev TSS]]=TRUE),TRUE,FALSE)</f>
        <v>1</v>
      </c>
      <c r="AO248" s="40" t="str">
        <f>IF(_01towers[[#This Row],[Test Active]]=TRUE,_01towers[[#This Row],[Prevalidation Status]],"")</f>
        <v>Prevalidated</v>
      </c>
      <c r="AP248" s="40" t="str">
        <f>IF(_01towers[[#This Row],[Active Prevalidation Status]]="Under Prevalidation",
IF(M248="","Review",M248),"")</f>
        <v/>
      </c>
      <c r="AQ248" s="40" t="str">
        <f>IF(_01towers[[#This Row],[Active Prevalidation Status]]="Under Prevalidation",
IF(N248="","Review",N248),"")</f>
        <v/>
      </c>
      <c r="AR248" s="40" t="str">
        <f>IF(_01towers[[#This Row],[Active Prevalidation Status]]="Under Prevalidation",
IF(O248="","Review",O248),"")</f>
        <v/>
      </c>
      <c r="AS248" s="40" t="str">
        <f>IF(_01towers[[#This Row],[Active Prevalidation Status]]="Under Prevalidation",
IF(P248="","Review",P248),"")</f>
        <v/>
      </c>
      <c r="AT248" s="40" t="str">
        <f>IF(_01towers[[#This Row],[Active Prevalidation Status]]="Under Prevalidation",
IF(Q248="","Review",Q248),"")</f>
        <v/>
      </c>
      <c r="AU248" s="40" t="str">
        <f>IF(_01towers[[#This Row],[Active Prevalidation Status]]="Under Prevalidation",
IF(R248="","Review",R248),"")</f>
        <v/>
      </c>
      <c r="AV248" s="40">
        <f>COUNTIF(_01towers[[#This Row],[SAQ_Result2]:[Community_Result2]],"OK")</f>
        <v>0</v>
      </c>
      <c r="AW248" s="1" t="str">
        <f>IF(AND(OR(_01towers[[#This Row],[Active Prevalidation Status]]="Under Prevalidation",_01towers[[#This Row],[Active Prevalidation Status]]="Prevalidated"),_01towers[[#This Row],[02tss.TSSR_From_Engineer]]&gt;0),"Submitted","")</f>
        <v/>
      </c>
      <c r="AX248" s="40">
        <f>IF(OR(_01towers[[#This Row],[Active Prevalidation Status]]="Under Prevalidation",_01towers[[#This Row],[Active Prevalidation Status]]="Prevalidated"),_01towers[[#This Row],[02tss.TSS_Result]],"")</f>
        <v>0</v>
      </c>
      <c r="AY248" s="40" t="str">
        <f>IF(AND(_01towers[[#This Row],[Active TSS Result]]="Approved",_01towers[[#This Row],[Active Prevalidation Status]]="Prevalidated"),"In Process","")</f>
        <v/>
      </c>
      <c r="AZ248" s="40" t="str">
        <f>IF(AND(_01towers[[#This Row],[Active TSS Result]]="Approved",_01towers[[#This Row],[Active Prevalidation Status]]="Prevalidated"),_01towers[[#This Row],[10colo_app.Colo_App_Result]],"")</f>
        <v/>
      </c>
      <c r="BA248" s="40">
        <f>COUNTIF(_20work_order[05_id],_01towers[[#This Row],[05_id]])</f>
        <v>0</v>
      </c>
      <c r="BB248" s="40">
        <f>COUNTIFS(_20work_order[05_id],_01towers[[#This Row],[05_id]],_20work_order[Actual_End],"&gt;0")</f>
        <v>0</v>
      </c>
      <c r="BC248" s="40" t="str">
        <f>IF(_01towers[[#This Row],[Completed Work Orders]]&gt;0,"Work Completed",
IF(_01towers[[#This Row],[Count Work Orders]]&gt;0,"Work in Progress",""))</f>
        <v/>
      </c>
      <c r="BD24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48" s="40" t="str">
        <f>_xlfn.SWITCH(_01towers[[#This Row],[Final Colo Status full]],"Commercial Approval Requested","Under Prevalidation",_01towers[[#This Row],[Final Colo Status full]])</f>
        <v>Prevalidated - TSSR in Process</v>
      </c>
    </row>
    <row r="249" spans="1:57" hidden="1" x14ac:dyDescent="0.35">
      <c r="A249" s="40" t="s">
        <v>501</v>
      </c>
      <c r="B249" s="40" t="s">
        <v>90</v>
      </c>
      <c r="C249" s="40" t="s">
        <v>82</v>
      </c>
      <c r="D249">
        <v>6</v>
      </c>
      <c r="E249" s="40" t="s">
        <v>98</v>
      </c>
      <c r="F249">
        <v>96.148089999999996</v>
      </c>
      <c r="G249">
        <v>16.772400000000001</v>
      </c>
      <c r="H249" s="40" t="s">
        <v>69</v>
      </c>
      <c r="I249">
        <v>252</v>
      </c>
      <c r="J249" s="40" t="s">
        <v>502</v>
      </c>
      <c r="K249" s="40" t="s">
        <v>121</v>
      </c>
      <c r="L249" s="40" t="s">
        <v>64</v>
      </c>
      <c r="M249" s="40" t="s">
        <v>57</v>
      </c>
      <c r="N249" s="40" t="s">
        <v>57</v>
      </c>
      <c r="O249" s="40" t="s">
        <v>57</v>
      </c>
      <c r="P249" s="40" t="s">
        <v>57</v>
      </c>
      <c r="Q249" s="40" t="s">
        <v>57</v>
      </c>
      <c r="R249" s="40" t="s">
        <v>57</v>
      </c>
      <c r="S249">
        <v>248</v>
      </c>
      <c r="T249">
        <v>1</v>
      </c>
      <c r="U249" s="1"/>
      <c r="V249" s="1"/>
      <c r="W249" s="1"/>
      <c r="X249" s="1"/>
      <c r="Y249" s="1"/>
      <c r="Z249" s="40"/>
      <c r="AA249">
        <v>247</v>
      </c>
      <c r="AB249">
        <v>1</v>
      </c>
      <c r="AC249" s="1"/>
      <c r="AD249" s="40"/>
      <c r="AE249" s="1"/>
      <c r="AF249" s="1"/>
      <c r="AG249" s="1"/>
      <c r="AH249" s="40"/>
      <c r="AI249" s="1"/>
      <c r="AJ249" s="40">
        <f>_xlfn.MAXIFS(_01towers[02tss.Rev],_01towers[05_id],_01towers[[#This Row],[05_id]])</f>
        <v>1</v>
      </c>
      <c r="AK249" s="40" t="b">
        <f>IF(_01towers[[#This Row],[Count Rev TSS]]=_01towers[[#This Row],[02tss.Rev]],TRUE,FALSE)</f>
        <v>1</v>
      </c>
      <c r="AL249" s="40">
        <f>_xlfn.MAXIFS(_01towers[10colo_app.Rev],_01towers[05_id],_01towers[[#This Row],[05_id]])</f>
        <v>1</v>
      </c>
      <c r="AM249" s="40" t="b">
        <f>IF(_01towers[[#This Row],[Count Rev Colo App]]=_01towers[[#This Row],[10colo_app.Rev]],TRUE,FALSE)</f>
        <v>1</v>
      </c>
      <c r="AN249" s="40" t="b">
        <f>IF(AND(_01towers[[#This Row],[Test Rev Colo]]=TRUE,_01towers[[#This Row],[Test Rev TSS]]=TRUE),TRUE,FALSE)</f>
        <v>1</v>
      </c>
      <c r="AO249" s="40" t="str">
        <f>IF(_01towers[[#This Row],[Test Active]]=TRUE,_01towers[[#This Row],[Prevalidation Status]],"")</f>
        <v>Prevalidated</v>
      </c>
      <c r="AP249" s="40" t="str">
        <f>IF(_01towers[[#This Row],[Active Prevalidation Status]]="Under Prevalidation",
IF(M249="","Review",M249),"")</f>
        <v/>
      </c>
      <c r="AQ249" s="40" t="str">
        <f>IF(_01towers[[#This Row],[Active Prevalidation Status]]="Under Prevalidation",
IF(N249="","Review",N249),"")</f>
        <v/>
      </c>
      <c r="AR249" s="40" t="str">
        <f>IF(_01towers[[#This Row],[Active Prevalidation Status]]="Under Prevalidation",
IF(O249="","Review",O249),"")</f>
        <v/>
      </c>
      <c r="AS249" s="40" t="str">
        <f>IF(_01towers[[#This Row],[Active Prevalidation Status]]="Under Prevalidation",
IF(P249="","Review",P249),"")</f>
        <v/>
      </c>
      <c r="AT249" s="40" t="str">
        <f>IF(_01towers[[#This Row],[Active Prevalidation Status]]="Under Prevalidation",
IF(Q249="","Review",Q249),"")</f>
        <v/>
      </c>
      <c r="AU249" s="40" t="str">
        <f>IF(_01towers[[#This Row],[Active Prevalidation Status]]="Under Prevalidation",
IF(R249="","Review",R249),"")</f>
        <v/>
      </c>
      <c r="AV249" s="40">
        <f>COUNTIF(_01towers[[#This Row],[SAQ_Result2]:[Community_Result2]],"OK")</f>
        <v>0</v>
      </c>
      <c r="AW249" s="1" t="str">
        <f>IF(AND(OR(_01towers[[#This Row],[Active Prevalidation Status]]="Under Prevalidation",_01towers[[#This Row],[Active Prevalidation Status]]="Prevalidated"),_01towers[[#This Row],[02tss.TSSR_From_Engineer]]&gt;0),"Submitted","")</f>
        <v/>
      </c>
      <c r="AX249" s="40">
        <f>IF(OR(_01towers[[#This Row],[Active Prevalidation Status]]="Under Prevalidation",_01towers[[#This Row],[Active Prevalidation Status]]="Prevalidated"),_01towers[[#This Row],[02tss.TSS_Result]],"")</f>
        <v>0</v>
      </c>
      <c r="AY249" s="40" t="str">
        <f>IF(AND(_01towers[[#This Row],[Active TSS Result]]="Approved",_01towers[[#This Row],[Active Prevalidation Status]]="Prevalidated"),"In Process","")</f>
        <v/>
      </c>
      <c r="AZ249" s="40" t="str">
        <f>IF(AND(_01towers[[#This Row],[Active TSS Result]]="Approved",_01towers[[#This Row],[Active Prevalidation Status]]="Prevalidated"),_01towers[[#This Row],[10colo_app.Colo_App_Result]],"")</f>
        <v/>
      </c>
      <c r="BA249" s="40">
        <f>COUNTIF(_20work_order[05_id],_01towers[[#This Row],[05_id]])</f>
        <v>0</v>
      </c>
      <c r="BB249" s="40">
        <f>COUNTIFS(_20work_order[05_id],_01towers[[#This Row],[05_id]],_20work_order[Actual_End],"&gt;0")</f>
        <v>0</v>
      </c>
      <c r="BC249" s="40" t="str">
        <f>IF(_01towers[[#This Row],[Completed Work Orders]]&gt;0,"Work Completed",
IF(_01towers[[#This Row],[Count Work Orders]]&gt;0,"Work in Progress",""))</f>
        <v/>
      </c>
      <c r="BD24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49" s="40" t="str">
        <f>_xlfn.SWITCH(_01towers[[#This Row],[Final Colo Status full]],"Commercial Approval Requested","Under Prevalidation",_01towers[[#This Row],[Final Colo Status full]])</f>
        <v>Prevalidated - TSSR in Process</v>
      </c>
    </row>
    <row r="250" spans="1:57" hidden="1" x14ac:dyDescent="0.35">
      <c r="A250" s="40" t="s">
        <v>503</v>
      </c>
      <c r="B250" s="40" t="s">
        <v>50</v>
      </c>
      <c r="C250" s="40" t="s">
        <v>51</v>
      </c>
      <c r="D250">
        <v>35</v>
      </c>
      <c r="E250" s="40" t="s">
        <v>66</v>
      </c>
      <c r="F250">
        <v>96.485579999999999</v>
      </c>
      <c r="G250">
        <v>22.030460000000001</v>
      </c>
      <c r="H250" s="40" t="s">
        <v>190</v>
      </c>
      <c r="I250">
        <v>253</v>
      </c>
      <c r="J250" s="40" t="s">
        <v>504</v>
      </c>
      <c r="K250" s="40" t="s">
        <v>55</v>
      </c>
      <c r="L250" s="40" t="s">
        <v>74</v>
      </c>
      <c r="M250" s="40"/>
      <c r="N250" s="40" t="s">
        <v>57</v>
      </c>
      <c r="O250" s="40" t="s">
        <v>58</v>
      </c>
      <c r="P250" s="40" t="s">
        <v>161</v>
      </c>
      <c r="Q250" s="40"/>
      <c r="R250" s="40" t="s">
        <v>57</v>
      </c>
      <c r="S250">
        <v>249</v>
      </c>
      <c r="T250">
        <v>1</v>
      </c>
      <c r="U250" s="1"/>
      <c r="V250" s="1"/>
      <c r="W250" s="1"/>
      <c r="X250" s="1"/>
      <c r="Y250" s="1"/>
      <c r="Z250" s="40"/>
      <c r="AA250">
        <v>254</v>
      </c>
      <c r="AB250">
        <v>1</v>
      </c>
      <c r="AC250" s="1"/>
      <c r="AD250" s="40"/>
      <c r="AE250" s="1"/>
      <c r="AF250" s="1"/>
      <c r="AG250" s="1"/>
      <c r="AH250" s="40"/>
      <c r="AI250" s="1"/>
      <c r="AJ250" s="40">
        <f>_xlfn.MAXIFS(_01towers[02tss.Rev],_01towers[05_id],_01towers[[#This Row],[05_id]])</f>
        <v>1</v>
      </c>
      <c r="AK250" s="40" t="b">
        <f>IF(_01towers[[#This Row],[Count Rev TSS]]=_01towers[[#This Row],[02tss.Rev]],TRUE,FALSE)</f>
        <v>1</v>
      </c>
      <c r="AL250" s="40">
        <f>_xlfn.MAXIFS(_01towers[10colo_app.Rev],_01towers[05_id],_01towers[[#This Row],[05_id]])</f>
        <v>1</v>
      </c>
      <c r="AM250" s="40" t="b">
        <f>IF(_01towers[[#This Row],[Count Rev Colo App]]=_01towers[[#This Row],[10colo_app.Rev]],TRUE,FALSE)</f>
        <v>1</v>
      </c>
      <c r="AN250" s="40" t="b">
        <f>IF(AND(_01towers[[#This Row],[Test Rev Colo]]=TRUE,_01towers[[#This Row],[Test Rev TSS]]=TRUE),TRUE,FALSE)</f>
        <v>1</v>
      </c>
      <c r="AO250" s="40" t="str">
        <f>IF(_01towers[[#This Row],[Test Active]]=TRUE,_01towers[[#This Row],[Prevalidation Status]],"")</f>
        <v>Prevalidation Rejected</v>
      </c>
      <c r="AP250" s="40" t="str">
        <f>IF(_01towers[[#This Row],[Active Prevalidation Status]]="Under Prevalidation",
IF(M250="","Review",M250),"")</f>
        <v/>
      </c>
      <c r="AQ250" s="40" t="str">
        <f>IF(_01towers[[#This Row],[Active Prevalidation Status]]="Under Prevalidation",
IF(N250="","Review",N250),"")</f>
        <v/>
      </c>
      <c r="AR250" s="40" t="str">
        <f>IF(_01towers[[#This Row],[Active Prevalidation Status]]="Under Prevalidation",
IF(O250="","Review",O250),"")</f>
        <v/>
      </c>
      <c r="AS250" s="40" t="str">
        <f>IF(_01towers[[#This Row],[Active Prevalidation Status]]="Under Prevalidation",
IF(P250="","Review",P250),"")</f>
        <v/>
      </c>
      <c r="AT250" s="40" t="str">
        <f>IF(_01towers[[#This Row],[Active Prevalidation Status]]="Under Prevalidation",
IF(Q250="","Review",Q250),"")</f>
        <v/>
      </c>
      <c r="AU250" s="40" t="str">
        <f>IF(_01towers[[#This Row],[Active Prevalidation Status]]="Under Prevalidation",
IF(R250="","Review",R250),"")</f>
        <v/>
      </c>
      <c r="AV250" s="40">
        <f>COUNTIF(_01towers[[#This Row],[SAQ_Result2]:[Community_Result2]],"OK")</f>
        <v>0</v>
      </c>
      <c r="AW250" s="1" t="str">
        <f>IF(AND(OR(_01towers[[#This Row],[Active Prevalidation Status]]="Under Prevalidation",_01towers[[#This Row],[Active Prevalidation Status]]="Prevalidated"),_01towers[[#This Row],[02tss.TSSR_From_Engineer]]&gt;0),"Submitted","")</f>
        <v/>
      </c>
      <c r="AX250" s="40" t="str">
        <f>IF(OR(_01towers[[#This Row],[Active Prevalidation Status]]="Under Prevalidation",_01towers[[#This Row],[Active Prevalidation Status]]="Prevalidated"),_01towers[[#This Row],[02tss.TSS_Result]],"")</f>
        <v/>
      </c>
      <c r="AY250" s="40" t="str">
        <f>IF(AND(_01towers[[#This Row],[Active TSS Result]]="Approved",_01towers[[#This Row],[Active Prevalidation Status]]="Prevalidated"),"In Process","")</f>
        <v/>
      </c>
      <c r="AZ250" s="40" t="str">
        <f>IF(AND(_01towers[[#This Row],[Active TSS Result]]="Approved",_01towers[[#This Row],[Active Prevalidation Status]]="Prevalidated"),_01towers[[#This Row],[10colo_app.Colo_App_Result]],"")</f>
        <v/>
      </c>
      <c r="BA250" s="40">
        <f>COUNTIF(_20work_order[05_id],_01towers[[#This Row],[05_id]])</f>
        <v>0</v>
      </c>
      <c r="BB250" s="40">
        <f>COUNTIFS(_20work_order[05_id],_01towers[[#This Row],[05_id]],_20work_order[Actual_End],"&gt;0")</f>
        <v>0</v>
      </c>
      <c r="BC250" s="40" t="str">
        <f>IF(_01towers[[#This Row],[Completed Work Orders]]&gt;0,"Work Completed",
IF(_01towers[[#This Row],[Count Work Orders]]&gt;0,"Work in Progress",""))</f>
        <v/>
      </c>
      <c r="BD25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50" s="40" t="str">
        <f>_xlfn.SWITCH(_01towers[[#This Row],[Final Colo Status full]],"Commercial Approval Requested","Under Prevalidation",_01towers[[#This Row],[Final Colo Status full]])</f>
        <v>Prevalidation Rejected</v>
      </c>
    </row>
    <row r="251" spans="1:57" hidden="1" x14ac:dyDescent="0.35">
      <c r="A251" s="40" t="s">
        <v>505</v>
      </c>
      <c r="B251" s="40" t="s">
        <v>90</v>
      </c>
      <c r="C251" s="40" t="s">
        <v>82</v>
      </c>
      <c r="D251">
        <v>6</v>
      </c>
      <c r="E251" s="40" t="s">
        <v>98</v>
      </c>
      <c r="F251">
        <v>96.119919999999993</v>
      </c>
      <c r="G251">
        <v>16.867509999999999</v>
      </c>
      <c r="H251" s="40" t="s">
        <v>53</v>
      </c>
      <c r="I251">
        <v>254</v>
      </c>
      <c r="J251" s="40" t="s">
        <v>506</v>
      </c>
      <c r="K251" s="40" t="s">
        <v>121</v>
      </c>
      <c r="L251" s="40" t="s">
        <v>74</v>
      </c>
      <c r="M251" s="40" t="s">
        <v>75</v>
      </c>
      <c r="N251" s="40" t="s">
        <v>57</v>
      </c>
      <c r="O251" s="40" t="s">
        <v>57</v>
      </c>
      <c r="P251" s="40" t="s">
        <v>57</v>
      </c>
      <c r="Q251" s="40" t="s">
        <v>57</v>
      </c>
      <c r="R251" s="40" t="s">
        <v>57</v>
      </c>
      <c r="S251">
        <v>250</v>
      </c>
      <c r="T251">
        <v>1</v>
      </c>
      <c r="U251" s="1"/>
      <c r="V251" s="1"/>
      <c r="W251" s="1"/>
      <c r="X251" s="1"/>
      <c r="Y251" s="1"/>
      <c r="Z251" s="40"/>
      <c r="AA251">
        <v>255</v>
      </c>
      <c r="AB251">
        <v>1</v>
      </c>
      <c r="AC251" s="1"/>
      <c r="AD251" s="40"/>
      <c r="AE251" s="1"/>
      <c r="AF251" s="1"/>
      <c r="AG251" s="1"/>
      <c r="AH251" s="40"/>
      <c r="AI251" s="1"/>
      <c r="AJ251" s="40">
        <f>_xlfn.MAXIFS(_01towers[02tss.Rev],_01towers[05_id],_01towers[[#This Row],[05_id]])</f>
        <v>1</v>
      </c>
      <c r="AK251" s="40" t="b">
        <f>IF(_01towers[[#This Row],[Count Rev TSS]]=_01towers[[#This Row],[02tss.Rev]],TRUE,FALSE)</f>
        <v>1</v>
      </c>
      <c r="AL251" s="40">
        <f>_xlfn.MAXIFS(_01towers[10colo_app.Rev],_01towers[05_id],_01towers[[#This Row],[05_id]])</f>
        <v>1</v>
      </c>
      <c r="AM251" s="40" t="b">
        <f>IF(_01towers[[#This Row],[Count Rev Colo App]]=_01towers[[#This Row],[10colo_app.Rev]],TRUE,FALSE)</f>
        <v>1</v>
      </c>
      <c r="AN251" s="40" t="b">
        <f>IF(AND(_01towers[[#This Row],[Test Rev Colo]]=TRUE,_01towers[[#This Row],[Test Rev TSS]]=TRUE),TRUE,FALSE)</f>
        <v>1</v>
      </c>
      <c r="AO251" s="40" t="str">
        <f>IF(_01towers[[#This Row],[Test Active]]=TRUE,_01towers[[#This Row],[Prevalidation Status]],"")</f>
        <v>Prevalidation Rejected</v>
      </c>
      <c r="AP251" s="40" t="str">
        <f>IF(_01towers[[#This Row],[Active Prevalidation Status]]="Under Prevalidation",
IF(M251="","Review",M251),"")</f>
        <v/>
      </c>
      <c r="AQ251" s="40" t="str">
        <f>IF(_01towers[[#This Row],[Active Prevalidation Status]]="Under Prevalidation",
IF(N251="","Review",N251),"")</f>
        <v/>
      </c>
      <c r="AR251" s="40" t="str">
        <f>IF(_01towers[[#This Row],[Active Prevalidation Status]]="Under Prevalidation",
IF(O251="","Review",O251),"")</f>
        <v/>
      </c>
      <c r="AS251" s="40" t="str">
        <f>IF(_01towers[[#This Row],[Active Prevalidation Status]]="Under Prevalidation",
IF(P251="","Review",P251),"")</f>
        <v/>
      </c>
      <c r="AT251" s="40" t="str">
        <f>IF(_01towers[[#This Row],[Active Prevalidation Status]]="Under Prevalidation",
IF(Q251="","Review",Q251),"")</f>
        <v/>
      </c>
      <c r="AU251" s="40" t="str">
        <f>IF(_01towers[[#This Row],[Active Prevalidation Status]]="Under Prevalidation",
IF(R251="","Review",R251),"")</f>
        <v/>
      </c>
      <c r="AV251" s="40">
        <f>COUNTIF(_01towers[[#This Row],[SAQ_Result2]:[Community_Result2]],"OK")</f>
        <v>0</v>
      </c>
      <c r="AW251" s="1" t="str">
        <f>IF(AND(OR(_01towers[[#This Row],[Active Prevalidation Status]]="Under Prevalidation",_01towers[[#This Row],[Active Prevalidation Status]]="Prevalidated"),_01towers[[#This Row],[02tss.TSSR_From_Engineer]]&gt;0),"Submitted","")</f>
        <v/>
      </c>
      <c r="AX251" s="40" t="str">
        <f>IF(OR(_01towers[[#This Row],[Active Prevalidation Status]]="Under Prevalidation",_01towers[[#This Row],[Active Prevalidation Status]]="Prevalidated"),_01towers[[#This Row],[02tss.TSS_Result]],"")</f>
        <v/>
      </c>
      <c r="AY251" s="40" t="str">
        <f>IF(AND(_01towers[[#This Row],[Active TSS Result]]="Approved",_01towers[[#This Row],[Active Prevalidation Status]]="Prevalidated"),"In Process","")</f>
        <v/>
      </c>
      <c r="AZ251" s="40" t="str">
        <f>IF(AND(_01towers[[#This Row],[Active TSS Result]]="Approved",_01towers[[#This Row],[Active Prevalidation Status]]="Prevalidated"),_01towers[[#This Row],[10colo_app.Colo_App_Result]],"")</f>
        <v/>
      </c>
      <c r="BA251" s="40">
        <f>COUNTIF(_20work_order[05_id],_01towers[[#This Row],[05_id]])</f>
        <v>0</v>
      </c>
      <c r="BB251" s="40">
        <f>COUNTIFS(_20work_order[05_id],_01towers[[#This Row],[05_id]],_20work_order[Actual_End],"&gt;0")</f>
        <v>0</v>
      </c>
      <c r="BC251" s="40" t="str">
        <f>IF(_01towers[[#This Row],[Completed Work Orders]]&gt;0,"Work Completed",
IF(_01towers[[#This Row],[Count Work Orders]]&gt;0,"Work in Progress",""))</f>
        <v/>
      </c>
      <c r="BD25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51" s="40" t="str">
        <f>_xlfn.SWITCH(_01towers[[#This Row],[Final Colo Status full]],"Commercial Approval Requested","Under Prevalidation",_01towers[[#This Row],[Final Colo Status full]])</f>
        <v>Prevalidation Rejected</v>
      </c>
    </row>
    <row r="252" spans="1:57" hidden="1" x14ac:dyDescent="0.35">
      <c r="A252" s="40" t="s">
        <v>507</v>
      </c>
      <c r="B252" s="40" t="s">
        <v>50</v>
      </c>
      <c r="C252" s="40" t="s">
        <v>82</v>
      </c>
      <c r="D252">
        <v>6</v>
      </c>
      <c r="E252" s="40" t="s">
        <v>66</v>
      </c>
      <c r="F252">
        <v>96.078540000000004</v>
      </c>
      <c r="G252">
        <v>21.991879999999998</v>
      </c>
      <c r="H252" s="40" t="s">
        <v>69</v>
      </c>
      <c r="I252">
        <v>255</v>
      </c>
      <c r="J252" s="40" t="s">
        <v>508</v>
      </c>
      <c r="K252" s="40" t="s">
        <v>121</v>
      </c>
      <c r="L252" s="40" t="s">
        <v>145</v>
      </c>
      <c r="M252" s="40" t="s">
        <v>57</v>
      </c>
      <c r="N252" s="40" t="s">
        <v>57</v>
      </c>
      <c r="O252" s="40" t="s">
        <v>57</v>
      </c>
      <c r="P252" s="40" t="s">
        <v>161</v>
      </c>
      <c r="Q252" s="40"/>
      <c r="R252" s="40" t="s">
        <v>57</v>
      </c>
      <c r="S252">
        <v>251</v>
      </c>
      <c r="T252">
        <v>1</v>
      </c>
      <c r="U252" s="1"/>
      <c r="V252" s="1"/>
      <c r="W252" s="1"/>
      <c r="X252" s="1"/>
      <c r="Y252" s="1"/>
      <c r="Z252" s="40"/>
      <c r="AA252">
        <v>256</v>
      </c>
      <c r="AB252">
        <v>1</v>
      </c>
      <c r="AC252" s="1"/>
      <c r="AD252" s="40"/>
      <c r="AE252" s="1"/>
      <c r="AF252" s="1"/>
      <c r="AG252" s="1"/>
      <c r="AH252" s="40"/>
      <c r="AI252" s="1"/>
      <c r="AJ252" s="40">
        <f>_xlfn.MAXIFS(_01towers[02tss.Rev],_01towers[05_id],_01towers[[#This Row],[05_id]])</f>
        <v>1</v>
      </c>
      <c r="AK252" s="40" t="b">
        <f>IF(_01towers[[#This Row],[Count Rev TSS]]=_01towers[[#This Row],[02tss.Rev]],TRUE,FALSE)</f>
        <v>1</v>
      </c>
      <c r="AL252" s="40">
        <f>_xlfn.MAXIFS(_01towers[10colo_app.Rev],_01towers[05_id],_01towers[[#This Row],[05_id]])</f>
        <v>1</v>
      </c>
      <c r="AM252" s="40" t="b">
        <f>IF(_01towers[[#This Row],[Count Rev Colo App]]=_01towers[[#This Row],[10colo_app.Rev]],TRUE,FALSE)</f>
        <v>1</v>
      </c>
      <c r="AN252" s="40" t="b">
        <f>IF(AND(_01towers[[#This Row],[Test Rev Colo]]=TRUE,_01towers[[#This Row],[Test Rev TSS]]=TRUE),TRUE,FALSE)</f>
        <v>1</v>
      </c>
      <c r="AO252" s="40" t="str">
        <f>IF(_01towers[[#This Row],[Test Active]]=TRUE,_01towers[[#This Row],[Prevalidation Status]],"")</f>
        <v>Under Prevalidation</v>
      </c>
      <c r="AP252" s="40" t="str">
        <f>IF(_01towers[[#This Row],[Active Prevalidation Status]]="Under Prevalidation",
IF(M252="","Review",M252),"")</f>
        <v>OK</v>
      </c>
      <c r="AQ252" s="40" t="str">
        <f>IF(_01towers[[#This Row],[Active Prevalidation Status]]="Under Prevalidation",
IF(N252="","Review",N252),"")</f>
        <v>OK</v>
      </c>
      <c r="AR252" s="40" t="str">
        <f>IF(_01towers[[#This Row],[Active Prevalidation Status]]="Under Prevalidation",
IF(O252="","Review",O252),"")</f>
        <v>OK</v>
      </c>
      <c r="AS252" s="40" t="str">
        <f>IF(_01towers[[#This Row],[Active Prevalidation Status]]="Under Prevalidation",
IF(P252="","Review",P252),"")</f>
        <v>Ok</v>
      </c>
      <c r="AT252" s="40" t="str">
        <f>IF(_01towers[[#This Row],[Active Prevalidation Status]]="Under Prevalidation",
IF(Q252="","Review",Q252),"")</f>
        <v>Review</v>
      </c>
      <c r="AU252" s="40" t="str">
        <f>IF(_01towers[[#This Row],[Active Prevalidation Status]]="Under Prevalidation",
IF(R252="","Review",R252),"")</f>
        <v>OK</v>
      </c>
      <c r="AV252" s="40">
        <f>COUNTIF(_01towers[[#This Row],[SAQ_Result2]:[Community_Result2]],"OK")</f>
        <v>5</v>
      </c>
      <c r="AW252" s="1" t="str">
        <f>IF(AND(OR(_01towers[[#This Row],[Active Prevalidation Status]]="Under Prevalidation",_01towers[[#This Row],[Active Prevalidation Status]]="Prevalidated"),_01towers[[#This Row],[02tss.TSSR_From_Engineer]]&gt;0),"Submitted","")</f>
        <v/>
      </c>
      <c r="AX252" s="40">
        <f>IF(OR(_01towers[[#This Row],[Active Prevalidation Status]]="Under Prevalidation",_01towers[[#This Row],[Active Prevalidation Status]]="Prevalidated"),_01towers[[#This Row],[02tss.TSS_Result]],"")</f>
        <v>0</v>
      </c>
      <c r="AY252" s="40" t="str">
        <f>IF(AND(_01towers[[#This Row],[Active TSS Result]]="Approved",_01towers[[#This Row],[Active Prevalidation Status]]="Prevalidated"),"In Process","")</f>
        <v/>
      </c>
      <c r="AZ252" s="40" t="str">
        <f>IF(AND(_01towers[[#This Row],[Active TSS Result]]="Approved",_01towers[[#This Row],[Active Prevalidation Status]]="Prevalidated"),_01towers[[#This Row],[10colo_app.Colo_App_Result]],"")</f>
        <v/>
      </c>
      <c r="BA252" s="40">
        <f>COUNTIF(_20work_order[05_id],_01towers[[#This Row],[05_id]])</f>
        <v>0</v>
      </c>
      <c r="BB252" s="40">
        <f>COUNTIFS(_20work_order[05_id],_01towers[[#This Row],[05_id]],_20work_order[Actual_End],"&gt;0")</f>
        <v>0</v>
      </c>
      <c r="BC252" s="40" t="str">
        <f>IF(_01towers[[#This Row],[Completed Work Orders]]&gt;0,"Work Completed",
IF(_01towers[[#This Row],[Count Work Orders]]&gt;0,"Work in Progress",""))</f>
        <v/>
      </c>
      <c r="BD25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Under Prevalidation</v>
      </c>
      <c r="BE252" s="40" t="str">
        <f>_xlfn.SWITCH(_01towers[[#This Row],[Final Colo Status full]],"Commercial Approval Requested","Under Prevalidation",_01towers[[#This Row],[Final Colo Status full]])</f>
        <v>Under Prevalidation</v>
      </c>
    </row>
    <row r="253" spans="1:57" hidden="1" x14ac:dyDescent="0.35">
      <c r="A253" s="40" t="s">
        <v>117</v>
      </c>
      <c r="B253" s="40" t="s">
        <v>50</v>
      </c>
      <c r="C253" s="40" t="s">
        <v>82</v>
      </c>
      <c r="D253">
        <v>6</v>
      </c>
      <c r="E253" s="40" t="s">
        <v>66</v>
      </c>
      <c r="F253">
        <v>96.110633000000007</v>
      </c>
      <c r="G253">
        <v>21.988139</v>
      </c>
      <c r="H253" s="40" t="s">
        <v>53</v>
      </c>
      <c r="I253">
        <v>256</v>
      </c>
      <c r="J253" s="40" t="s">
        <v>509</v>
      </c>
      <c r="K253" s="40" t="s">
        <v>121</v>
      </c>
      <c r="L253" s="40" t="s">
        <v>64</v>
      </c>
      <c r="M253" s="40" t="s">
        <v>57</v>
      </c>
      <c r="N253" s="40" t="s">
        <v>57</v>
      </c>
      <c r="O253" s="40" t="s">
        <v>57</v>
      </c>
      <c r="P253" s="40" t="s">
        <v>161</v>
      </c>
      <c r="Q253" s="40"/>
      <c r="R253" s="40" t="s">
        <v>58</v>
      </c>
      <c r="S253">
        <v>252</v>
      </c>
      <c r="T253">
        <v>1</v>
      </c>
      <c r="U253" s="1"/>
      <c r="V253" s="1"/>
      <c r="W253" s="1"/>
      <c r="X253" s="1"/>
      <c r="Y253" s="1"/>
      <c r="Z253" s="40"/>
      <c r="AA253">
        <v>257</v>
      </c>
      <c r="AB253">
        <v>1</v>
      </c>
      <c r="AC253" s="1"/>
      <c r="AD253" s="40"/>
      <c r="AE253" s="1"/>
      <c r="AF253" s="1"/>
      <c r="AG253" s="1"/>
      <c r="AH253" s="40"/>
      <c r="AI253" s="1"/>
      <c r="AJ253" s="40">
        <f>_xlfn.MAXIFS(_01towers[02tss.Rev],_01towers[05_id],_01towers[[#This Row],[05_id]])</f>
        <v>1</v>
      </c>
      <c r="AK253" s="40" t="b">
        <f>IF(_01towers[[#This Row],[Count Rev TSS]]=_01towers[[#This Row],[02tss.Rev]],TRUE,FALSE)</f>
        <v>1</v>
      </c>
      <c r="AL253" s="40">
        <f>_xlfn.MAXIFS(_01towers[10colo_app.Rev],_01towers[05_id],_01towers[[#This Row],[05_id]])</f>
        <v>1</v>
      </c>
      <c r="AM253" s="40" t="b">
        <f>IF(_01towers[[#This Row],[Count Rev Colo App]]=_01towers[[#This Row],[10colo_app.Rev]],TRUE,FALSE)</f>
        <v>1</v>
      </c>
      <c r="AN253" s="40" t="b">
        <f>IF(AND(_01towers[[#This Row],[Test Rev Colo]]=TRUE,_01towers[[#This Row],[Test Rev TSS]]=TRUE),TRUE,FALSE)</f>
        <v>1</v>
      </c>
      <c r="AO253" s="40" t="str">
        <f>IF(_01towers[[#This Row],[Test Active]]=TRUE,_01towers[[#This Row],[Prevalidation Status]],"")</f>
        <v>Prevalidated</v>
      </c>
      <c r="AP253" s="40" t="str">
        <f>IF(_01towers[[#This Row],[Active Prevalidation Status]]="Under Prevalidation",
IF(M253="","Review",M253),"")</f>
        <v/>
      </c>
      <c r="AQ253" s="40" t="str">
        <f>IF(_01towers[[#This Row],[Active Prevalidation Status]]="Under Prevalidation",
IF(N253="","Review",N253),"")</f>
        <v/>
      </c>
      <c r="AR253" s="40" t="str">
        <f>IF(_01towers[[#This Row],[Active Prevalidation Status]]="Under Prevalidation",
IF(O253="","Review",O253),"")</f>
        <v/>
      </c>
      <c r="AS253" s="40" t="str">
        <f>IF(_01towers[[#This Row],[Active Prevalidation Status]]="Under Prevalidation",
IF(P253="","Review",P253),"")</f>
        <v/>
      </c>
      <c r="AT253" s="40" t="str">
        <f>IF(_01towers[[#This Row],[Active Prevalidation Status]]="Under Prevalidation",
IF(Q253="","Review",Q253),"")</f>
        <v/>
      </c>
      <c r="AU253" s="40" t="str">
        <f>IF(_01towers[[#This Row],[Active Prevalidation Status]]="Under Prevalidation",
IF(R253="","Review",R253),"")</f>
        <v/>
      </c>
      <c r="AV253" s="40">
        <f>COUNTIF(_01towers[[#This Row],[SAQ_Result2]:[Community_Result2]],"OK")</f>
        <v>0</v>
      </c>
      <c r="AW253" s="1" t="str">
        <f>IF(AND(OR(_01towers[[#This Row],[Active Prevalidation Status]]="Under Prevalidation",_01towers[[#This Row],[Active Prevalidation Status]]="Prevalidated"),_01towers[[#This Row],[02tss.TSSR_From_Engineer]]&gt;0),"Submitted","")</f>
        <v/>
      </c>
      <c r="AX253" s="40">
        <f>IF(OR(_01towers[[#This Row],[Active Prevalidation Status]]="Under Prevalidation",_01towers[[#This Row],[Active Prevalidation Status]]="Prevalidated"),_01towers[[#This Row],[02tss.TSS_Result]],"")</f>
        <v>0</v>
      </c>
      <c r="AY253" s="40" t="str">
        <f>IF(AND(_01towers[[#This Row],[Active TSS Result]]="Approved",_01towers[[#This Row],[Active Prevalidation Status]]="Prevalidated"),"In Process","")</f>
        <v/>
      </c>
      <c r="AZ253" s="40" t="str">
        <f>IF(AND(_01towers[[#This Row],[Active TSS Result]]="Approved",_01towers[[#This Row],[Active Prevalidation Status]]="Prevalidated"),_01towers[[#This Row],[10colo_app.Colo_App_Result]],"")</f>
        <v/>
      </c>
      <c r="BA253" s="40">
        <f>COUNTIF(_20work_order[05_id],_01towers[[#This Row],[05_id]])</f>
        <v>0</v>
      </c>
      <c r="BB253" s="40">
        <f>COUNTIFS(_20work_order[05_id],_01towers[[#This Row],[05_id]],_20work_order[Actual_End],"&gt;0")</f>
        <v>0</v>
      </c>
      <c r="BC253" s="40" t="str">
        <f>IF(_01towers[[#This Row],[Completed Work Orders]]&gt;0,"Work Completed",
IF(_01towers[[#This Row],[Count Work Orders]]&gt;0,"Work in Progress",""))</f>
        <v/>
      </c>
      <c r="BD25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53" s="40" t="str">
        <f>_xlfn.SWITCH(_01towers[[#This Row],[Final Colo Status full]],"Commercial Approval Requested","Under Prevalidation",_01towers[[#This Row],[Final Colo Status full]])</f>
        <v>Prevalidated - TSSR in Process</v>
      </c>
    </row>
    <row r="254" spans="1:57" hidden="1" x14ac:dyDescent="0.35">
      <c r="A254" s="40" t="s">
        <v>510</v>
      </c>
      <c r="B254" s="40" t="s">
        <v>90</v>
      </c>
      <c r="C254" s="40" t="s">
        <v>82</v>
      </c>
      <c r="D254">
        <v>6</v>
      </c>
      <c r="E254" s="40" t="s">
        <v>98</v>
      </c>
      <c r="F254">
        <v>96.187830000000005</v>
      </c>
      <c r="G254">
        <v>16.78087</v>
      </c>
      <c r="H254" s="40" t="s">
        <v>69</v>
      </c>
      <c r="I254">
        <v>257</v>
      </c>
      <c r="J254" s="40" t="s">
        <v>511</v>
      </c>
      <c r="K254" s="40" t="s">
        <v>121</v>
      </c>
      <c r="L254" s="40" t="s">
        <v>74</v>
      </c>
      <c r="M254" s="40" t="s">
        <v>75</v>
      </c>
      <c r="N254" s="40" t="s">
        <v>57</v>
      </c>
      <c r="O254" s="40"/>
      <c r="P254" s="40" t="s">
        <v>161</v>
      </c>
      <c r="Q254" s="40" t="s">
        <v>75</v>
      </c>
      <c r="R254" s="40" t="s">
        <v>57</v>
      </c>
      <c r="S254">
        <v>253</v>
      </c>
      <c r="T254">
        <v>1</v>
      </c>
      <c r="U254" s="1"/>
      <c r="V254" s="1"/>
      <c r="W254" s="1"/>
      <c r="X254" s="1"/>
      <c r="Y254" s="1"/>
      <c r="Z254" s="40"/>
      <c r="AA254">
        <v>258</v>
      </c>
      <c r="AB254">
        <v>1</v>
      </c>
      <c r="AC254" s="1"/>
      <c r="AD254" s="40"/>
      <c r="AE254" s="1"/>
      <c r="AF254" s="1"/>
      <c r="AG254" s="1"/>
      <c r="AH254" s="40"/>
      <c r="AI254" s="1"/>
      <c r="AJ254" s="40">
        <f>_xlfn.MAXIFS(_01towers[02tss.Rev],_01towers[05_id],_01towers[[#This Row],[05_id]])</f>
        <v>1</v>
      </c>
      <c r="AK254" s="40" t="b">
        <f>IF(_01towers[[#This Row],[Count Rev TSS]]=_01towers[[#This Row],[02tss.Rev]],TRUE,FALSE)</f>
        <v>1</v>
      </c>
      <c r="AL254" s="40">
        <f>_xlfn.MAXIFS(_01towers[10colo_app.Rev],_01towers[05_id],_01towers[[#This Row],[05_id]])</f>
        <v>1</v>
      </c>
      <c r="AM254" s="40" t="b">
        <f>IF(_01towers[[#This Row],[Count Rev Colo App]]=_01towers[[#This Row],[10colo_app.Rev]],TRUE,FALSE)</f>
        <v>1</v>
      </c>
      <c r="AN254" s="40" t="b">
        <f>IF(AND(_01towers[[#This Row],[Test Rev Colo]]=TRUE,_01towers[[#This Row],[Test Rev TSS]]=TRUE),TRUE,FALSE)</f>
        <v>1</v>
      </c>
      <c r="AO254" s="40" t="str">
        <f>IF(_01towers[[#This Row],[Test Active]]=TRUE,_01towers[[#This Row],[Prevalidation Status]],"")</f>
        <v>Prevalidation Rejected</v>
      </c>
      <c r="AP254" s="40" t="str">
        <f>IF(_01towers[[#This Row],[Active Prevalidation Status]]="Under Prevalidation",
IF(M254="","Review",M254),"")</f>
        <v/>
      </c>
      <c r="AQ254" s="40" t="str">
        <f>IF(_01towers[[#This Row],[Active Prevalidation Status]]="Under Prevalidation",
IF(N254="","Review",N254),"")</f>
        <v/>
      </c>
      <c r="AR254" s="40" t="str">
        <f>IF(_01towers[[#This Row],[Active Prevalidation Status]]="Under Prevalidation",
IF(O254="","Review",O254),"")</f>
        <v/>
      </c>
      <c r="AS254" s="40" t="str">
        <f>IF(_01towers[[#This Row],[Active Prevalidation Status]]="Under Prevalidation",
IF(P254="","Review",P254),"")</f>
        <v/>
      </c>
      <c r="AT254" s="40" t="str">
        <f>IF(_01towers[[#This Row],[Active Prevalidation Status]]="Under Prevalidation",
IF(Q254="","Review",Q254),"")</f>
        <v/>
      </c>
      <c r="AU254" s="40" t="str">
        <f>IF(_01towers[[#This Row],[Active Prevalidation Status]]="Under Prevalidation",
IF(R254="","Review",R254),"")</f>
        <v/>
      </c>
      <c r="AV254" s="40">
        <f>COUNTIF(_01towers[[#This Row],[SAQ_Result2]:[Community_Result2]],"OK")</f>
        <v>0</v>
      </c>
      <c r="AW254" s="1" t="str">
        <f>IF(AND(OR(_01towers[[#This Row],[Active Prevalidation Status]]="Under Prevalidation",_01towers[[#This Row],[Active Prevalidation Status]]="Prevalidated"),_01towers[[#This Row],[02tss.TSSR_From_Engineer]]&gt;0),"Submitted","")</f>
        <v/>
      </c>
      <c r="AX254" s="40" t="str">
        <f>IF(OR(_01towers[[#This Row],[Active Prevalidation Status]]="Under Prevalidation",_01towers[[#This Row],[Active Prevalidation Status]]="Prevalidated"),_01towers[[#This Row],[02tss.TSS_Result]],"")</f>
        <v/>
      </c>
      <c r="AY254" s="40" t="str">
        <f>IF(AND(_01towers[[#This Row],[Active TSS Result]]="Approved",_01towers[[#This Row],[Active Prevalidation Status]]="Prevalidated"),"In Process","")</f>
        <v/>
      </c>
      <c r="AZ254" s="40" t="str">
        <f>IF(AND(_01towers[[#This Row],[Active TSS Result]]="Approved",_01towers[[#This Row],[Active Prevalidation Status]]="Prevalidated"),_01towers[[#This Row],[10colo_app.Colo_App_Result]],"")</f>
        <v/>
      </c>
      <c r="BA254" s="40">
        <f>COUNTIF(_20work_order[05_id],_01towers[[#This Row],[05_id]])</f>
        <v>0</v>
      </c>
      <c r="BB254" s="40">
        <f>COUNTIFS(_20work_order[05_id],_01towers[[#This Row],[05_id]],_20work_order[Actual_End],"&gt;0")</f>
        <v>0</v>
      </c>
      <c r="BC254" s="40" t="str">
        <f>IF(_01towers[[#This Row],[Completed Work Orders]]&gt;0,"Work Completed",
IF(_01towers[[#This Row],[Count Work Orders]]&gt;0,"Work in Progress",""))</f>
        <v/>
      </c>
      <c r="BD25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Prevalidation Rejected</v>
      </c>
      <c r="BE254" s="40" t="str">
        <f>_xlfn.SWITCH(_01towers[[#This Row],[Final Colo Status full]],"Commercial Approval Requested","Under Prevalidation",_01towers[[#This Row],[Final Colo Status full]])</f>
        <v>Prevalidation Rejected</v>
      </c>
    </row>
    <row r="255" spans="1:57" hidden="1" x14ac:dyDescent="0.35">
      <c r="A255" s="40" t="s">
        <v>239</v>
      </c>
      <c r="B255" s="40" t="s">
        <v>90</v>
      </c>
      <c r="C255" s="40" t="s">
        <v>82</v>
      </c>
      <c r="D255">
        <v>6</v>
      </c>
      <c r="E255" s="40" t="s">
        <v>98</v>
      </c>
      <c r="F255">
        <v>96.198689999999999</v>
      </c>
      <c r="G255">
        <v>16.78387</v>
      </c>
      <c r="H255" s="40" t="s">
        <v>53</v>
      </c>
      <c r="I255">
        <v>258</v>
      </c>
      <c r="J255" s="40" t="s">
        <v>512</v>
      </c>
      <c r="K255" s="40" t="s">
        <v>121</v>
      </c>
      <c r="L255" s="40" t="s">
        <v>64</v>
      </c>
      <c r="M255" s="40" t="s">
        <v>57</v>
      </c>
      <c r="N255" s="40" t="s">
        <v>57</v>
      </c>
      <c r="O255" s="40" t="s">
        <v>57</v>
      </c>
      <c r="P255" s="40" t="s">
        <v>161</v>
      </c>
      <c r="Q255" s="40" t="s">
        <v>57</v>
      </c>
      <c r="R255" s="40" t="s">
        <v>57</v>
      </c>
      <c r="S255">
        <v>254</v>
      </c>
      <c r="T255">
        <v>1</v>
      </c>
      <c r="U255" s="1"/>
      <c r="V255" s="1"/>
      <c r="W255" s="1"/>
      <c r="X255" s="1"/>
      <c r="Y255" s="1"/>
      <c r="Z255" s="40"/>
      <c r="AA255">
        <v>259</v>
      </c>
      <c r="AB255">
        <v>1</v>
      </c>
      <c r="AC255" s="1"/>
      <c r="AD255" s="40"/>
      <c r="AE255" s="1"/>
      <c r="AF255" s="1"/>
      <c r="AG255" s="1"/>
      <c r="AH255" s="40"/>
      <c r="AI255" s="1"/>
      <c r="AJ255" s="40">
        <f>_xlfn.MAXIFS(_01towers[02tss.Rev],_01towers[05_id],_01towers[[#This Row],[05_id]])</f>
        <v>1</v>
      </c>
      <c r="AK255" s="40" t="b">
        <f>IF(_01towers[[#This Row],[Count Rev TSS]]=_01towers[[#This Row],[02tss.Rev]],TRUE,FALSE)</f>
        <v>1</v>
      </c>
      <c r="AL255" s="40">
        <f>_xlfn.MAXIFS(_01towers[10colo_app.Rev],_01towers[05_id],_01towers[[#This Row],[05_id]])</f>
        <v>1</v>
      </c>
      <c r="AM255" s="40" t="b">
        <f>IF(_01towers[[#This Row],[Count Rev Colo App]]=_01towers[[#This Row],[10colo_app.Rev]],TRUE,FALSE)</f>
        <v>1</v>
      </c>
      <c r="AN255" s="40" t="b">
        <f>IF(AND(_01towers[[#This Row],[Test Rev Colo]]=TRUE,_01towers[[#This Row],[Test Rev TSS]]=TRUE),TRUE,FALSE)</f>
        <v>1</v>
      </c>
      <c r="AO255" s="40" t="str">
        <f>IF(_01towers[[#This Row],[Test Active]]=TRUE,_01towers[[#This Row],[Prevalidation Status]],"")</f>
        <v>Prevalidated</v>
      </c>
      <c r="AP255" s="40" t="str">
        <f>IF(_01towers[[#This Row],[Active Prevalidation Status]]="Under Prevalidation",
IF(M255="","Review",M255),"")</f>
        <v/>
      </c>
      <c r="AQ255" s="40" t="str">
        <f>IF(_01towers[[#This Row],[Active Prevalidation Status]]="Under Prevalidation",
IF(N255="","Review",N255),"")</f>
        <v/>
      </c>
      <c r="AR255" s="40" t="str">
        <f>IF(_01towers[[#This Row],[Active Prevalidation Status]]="Under Prevalidation",
IF(O255="","Review",O255),"")</f>
        <v/>
      </c>
      <c r="AS255" s="40" t="str">
        <f>IF(_01towers[[#This Row],[Active Prevalidation Status]]="Under Prevalidation",
IF(P255="","Review",P255),"")</f>
        <v/>
      </c>
      <c r="AT255" s="40" t="str">
        <f>IF(_01towers[[#This Row],[Active Prevalidation Status]]="Under Prevalidation",
IF(Q255="","Review",Q255),"")</f>
        <v/>
      </c>
      <c r="AU255" s="40" t="str">
        <f>IF(_01towers[[#This Row],[Active Prevalidation Status]]="Under Prevalidation",
IF(R255="","Review",R255),"")</f>
        <v/>
      </c>
      <c r="AV255" s="40">
        <f>COUNTIF(_01towers[[#This Row],[SAQ_Result2]:[Community_Result2]],"OK")</f>
        <v>0</v>
      </c>
      <c r="AW255" s="1" t="str">
        <f>IF(AND(OR(_01towers[[#This Row],[Active Prevalidation Status]]="Under Prevalidation",_01towers[[#This Row],[Active Prevalidation Status]]="Prevalidated"),_01towers[[#This Row],[02tss.TSSR_From_Engineer]]&gt;0),"Submitted","")</f>
        <v/>
      </c>
      <c r="AX255" s="40">
        <f>IF(OR(_01towers[[#This Row],[Active Prevalidation Status]]="Under Prevalidation",_01towers[[#This Row],[Active Prevalidation Status]]="Prevalidated"),_01towers[[#This Row],[02tss.TSS_Result]],"")</f>
        <v>0</v>
      </c>
      <c r="AY255" s="40" t="str">
        <f>IF(AND(_01towers[[#This Row],[Active TSS Result]]="Approved",_01towers[[#This Row],[Active Prevalidation Status]]="Prevalidated"),"In Process","")</f>
        <v/>
      </c>
      <c r="AZ255" s="40" t="str">
        <f>IF(AND(_01towers[[#This Row],[Active TSS Result]]="Approved",_01towers[[#This Row],[Active Prevalidation Status]]="Prevalidated"),_01towers[[#This Row],[10colo_app.Colo_App_Result]],"")</f>
        <v/>
      </c>
      <c r="BA255" s="40">
        <f>COUNTIF(_20work_order[05_id],_01towers[[#This Row],[05_id]])</f>
        <v>0</v>
      </c>
      <c r="BB255" s="40">
        <f>COUNTIFS(_20work_order[05_id],_01towers[[#This Row],[05_id]],_20work_order[Actual_End],"&gt;0")</f>
        <v>0</v>
      </c>
      <c r="BC255" s="40" t="str">
        <f>IF(_01towers[[#This Row],[Completed Work Orders]]&gt;0,"Work Completed",
IF(_01towers[[#This Row],[Count Work Orders]]&gt;0,"Work in Progress",""))</f>
        <v/>
      </c>
      <c r="BD25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in Process</v>
      </c>
      <c r="BE255" s="40" t="str">
        <f>_xlfn.SWITCH(_01towers[[#This Row],[Final Colo Status full]],"Commercial Approval Requested","Under Prevalidation",_01towers[[#This Row],[Final Colo Status full]])</f>
        <v>Prevalidated - TSSR in Process</v>
      </c>
    </row>
    <row r="256" spans="1:57" x14ac:dyDescent="0.35">
      <c r="A256" s="40" t="s">
        <v>196</v>
      </c>
      <c r="B256" s="40" t="s">
        <v>50</v>
      </c>
      <c r="C256" s="40" t="s">
        <v>82</v>
      </c>
      <c r="D256">
        <v>6</v>
      </c>
      <c r="E256" s="40" t="s">
        <v>66</v>
      </c>
      <c r="F256">
        <v>96.108279999999993</v>
      </c>
      <c r="G256">
        <v>21.959620000000001</v>
      </c>
      <c r="H256" s="40" t="s">
        <v>53</v>
      </c>
      <c r="I256">
        <v>259</v>
      </c>
      <c r="J256" s="40" t="s">
        <v>578</v>
      </c>
      <c r="K256" s="40" t="s">
        <v>136</v>
      </c>
      <c r="L256" s="40" t="s">
        <v>56</v>
      </c>
      <c r="M256" s="40" t="s">
        <v>57</v>
      </c>
      <c r="N256" s="40" t="s">
        <v>57</v>
      </c>
      <c r="O256" s="40" t="s">
        <v>58</v>
      </c>
      <c r="P256" s="40" t="s">
        <v>58</v>
      </c>
      <c r="Q256" s="40"/>
      <c r="R256" s="40" t="s">
        <v>57</v>
      </c>
      <c r="S256">
        <v>255</v>
      </c>
      <c r="T256">
        <v>1</v>
      </c>
      <c r="U256" s="1"/>
      <c r="V256" s="1"/>
      <c r="W256" s="1"/>
      <c r="X256" s="1"/>
      <c r="Y256" s="1"/>
      <c r="Z256" s="40"/>
      <c r="AA256">
        <v>260</v>
      </c>
      <c r="AB256">
        <v>1</v>
      </c>
      <c r="AC256" s="1"/>
      <c r="AD256" s="40"/>
      <c r="AE256" s="1"/>
      <c r="AF256" s="1"/>
      <c r="AG256" s="1"/>
      <c r="AH256" s="40"/>
      <c r="AI256" s="1"/>
      <c r="AJ256" s="40">
        <f>_xlfn.MAXIFS(_01towers[02tss.Rev],_01towers[05_id],_01towers[[#This Row],[05_id]])</f>
        <v>1</v>
      </c>
      <c r="AK256" s="40" t="b">
        <f>IF(_01towers[[#This Row],[Count Rev TSS]]=_01towers[[#This Row],[02tss.Rev]],TRUE,FALSE)</f>
        <v>1</v>
      </c>
      <c r="AL256" s="40">
        <f>_xlfn.MAXIFS(_01towers[10colo_app.Rev],_01towers[05_id],_01towers[[#This Row],[05_id]])</f>
        <v>1</v>
      </c>
      <c r="AM256" s="40" t="b">
        <f>IF(_01towers[[#This Row],[Count Rev Colo App]]=_01towers[[#This Row],[10colo_app.Rev]],TRUE,FALSE)</f>
        <v>1</v>
      </c>
      <c r="AN256" s="40" t="b">
        <f>IF(AND(_01towers[[#This Row],[Test Rev Colo]]=TRUE,_01towers[[#This Row],[Test Rev TSS]]=TRUE),TRUE,FALSE)</f>
        <v>1</v>
      </c>
      <c r="AO256" s="40" t="str">
        <f>IF(_01towers[[#This Row],[Test Active]]=TRUE,_01towers[[#This Row],[Prevalidation Status]],"")</f>
        <v>Commercial Approval Requested</v>
      </c>
      <c r="AP256" s="40" t="str">
        <f>IF(_01towers[[#This Row],[Active Prevalidation Status]]="Under Prevalidation",
IF(M256="","Review",M256),"")</f>
        <v/>
      </c>
      <c r="AQ256" s="40" t="str">
        <f>IF(_01towers[[#This Row],[Active Prevalidation Status]]="Under Prevalidation",
IF(N256="","Review",N256),"")</f>
        <v/>
      </c>
      <c r="AR256" s="40" t="str">
        <f>IF(_01towers[[#This Row],[Active Prevalidation Status]]="Under Prevalidation",
IF(O256="","Review",O256),"")</f>
        <v/>
      </c>
      <c r="AS256" s="40" t="str">
        <f>IF(_01towers[[#This Row],[Active Prevalidation Status]]="Under Prevalidation",
IF(P256="","Review",P256),"")</f>
        <v/>
      </c>
      <c r="AT256" s="40" t="str">
        <f>IF(_01towers[[#This Row],[Active Prevalidation Status]]="Under Prevalidation",
IF(Q256="","Review",Q256),"")</f>
        <v/>
      </c>
      <c r="AU256" s="40" t="str">
        <f>IF(_01towers[[#This Row],[Active Prevalidation Status]]="Under Prevalidation",
IF(R256="","Review",R256),"")</f>
        <v/>
      </c>
      <c r="AV256" s="40">
        <f>COUNTIF(_01towers[[#This Row],[SAQ_Result2]:[Community_Result2]],"OK")</f>
        <v>0</v>
      </c>
      <c r="AW256" s="1" t="str">
        <f>IF(AND(OR(_01towers[[#This Row],[Active Prevalidation Status]]="Under Prevalidation",_01towers[[#This Row],[Active Prevalidation Status]]="Prevalidated"),_01towers[[#This Row],[02tss.TSSR_From_Engineer]]&gt;0),"Submitted","")</f>
        <v/>
      </c>
      <c r="AX256" s="40" t="str">
        <f>IF(OR(_01towers[[#This Row],[Active Prevalidation Status]]="Under Prevalidation",_01towers[[#This Row],[Active Prevalidation Status]]="Prevalidated"),_01towers[[#This Row],[02tss.TSS_Result]],"")</f>
        <v/>
      </c>
      <c r="AY256" s="40" t="str">
        <f>IF(AND(_01towers[[#This Row],[Active TSS Result]]="Approved",_01towers[[#This Row],[Active Prevalidation Status]]="Prevalidated"),"In Process","")</f>
        <v/>
      </c>
      <c r="AZ256" s="40" t="str">
        <f>IF(AND(_01towers[[#This Row],[Active TSS Result]]="Approved",_01towers[[#This Row],[Active Prevalidation Status]]="Prevalidated"),_01towers[[#This Row],[10colo_app.Colo_App_Result]],"")</f>
        <v/>
      </c>
      <c r="BA256" s="40">
        <f>COUNTIF(_20work_order[05_id],_01towers[[#This Row],[05_id]])</f>
        <v>0</v>
      </c>
      <c r="BB256" s="40">
        <f>COUNTIFS(_20work_order[05_id],_01towers[[#This Row],[05_id]],_20work_order[Actual_End],"&gt;0")</f>
        <v>0</v>
      </c>
      <c r="BC256" s="40" t="str">
        <f>IF(_01towers[[#This Row],[Completed Work Orders]]&gt;0,"Work Completed",
IF(_01towers[[#This Row],[Count Work Orders]]&gt;0,"Work in Progress",""))</f>
        <v/>
      </c>
      <c r="BD25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56" s="40" t="str">
        <f>_xlfn.SWITCH(_01towers[[#This Row],[Final Colo Status full]],"Commercial Approval Requested","Under Prevalidation",_01towers[[#This Row],[Final Colo Status full]])</f>
        <v>Under Prevalidation</v>
      </c>
    </row>
    <row r="257" spans="1:57" x14ac:dyDescent="0.35">
      <c r="A257" s="40" t="s">
        <v>579</v>
      </c>
      <c r="B257" s="40" t="s">
        <v>50</v>
      </c>
      <c r="C257" s="40" t="s">
        <v>51</v>
      </c>
      <c r="D257">
        <v>45</v>
      </c>
      <c r="E257" s="40" t="s">
        <v>66</v>
      </c>
      <c r="F257">
        <v>96.053700000000006</v>
      </c>
      <c r="G257">
        <v>21.8201</v>
      </c>
      <c r="H257" s="40" t="s">
        <v>150</v>
      </c>
      <c r="I257">
        <v>260</v>
      </c>
      <c r="J257" s="40" t="s">
        <v>580</v>
      </c>
      <c r="K257" s="40" t="s">
        <v>136</v>
      </c>
      <c r="L257" s="40" t="s">
        <v>56</v>
      </c>
      <c r="M257" s="40" t="s">
        <v>57</v>
      </c>
      <c r="N257" s="40" t="s">
        <v>57</v>
      </c>
      <c r="O257" s="40" t="s">
        <v>57</v>
      </c>
      <c r="P257" s="40" t="s">
        <v>58</v>
      </c>
      <c r="Q257" s="40"/>
      <c r="R257" s="40" t="s">
        <v>57</v>
      </c>
      <c r="S257">
        <v>256</v>
      </c>
      <c r="T257">
        <v>1</v>
      </c>
      <c r="U257" s="1"/>
      <c r="V257" s="1"/>
      <c r="W257" s="1"/>
      <c r="X257" s="1"/>
      <c r="Y257" s="1"/>
      <c r="Z257" s="40"/>
      <c r="AA257">
        <v>261</v>
      </c>
      <c r="AB257">
        <v>1</v>
      </c>
      <c r="AC257" s="1"/>
      <c r="AD257" s="40"/>
      <c r="AE257" s="1"/>
      <c r="AF257" s="1"/>
      <c r="AG257" s="1"/>
      <c r="AH257" s="40"/>
      <c r="AI257" s="1"/>
      <c r="AJ257" s="40">
        <f>_xlfn.MAXIFS(_01towers[02tss.Rev],_01towers[05_id],_01towers[[#This Row],[05_id]])</f>
        <v>1</v>
      </c>
      <c r="AK257" s="40" t="b">
        <f>IF(_01towers[[#This Row],[Count Rev TSS]]=_01towers[[#This Row],[02tss.Rev]],TRUE,FALSE)</f>
        <v>1</v>
      </c>
      <c r="AL257" s="40">
        <f>_xlfn.MAXIFS(_01towers[10colo_app.Rev],_01towers[05_id],_01towers[[#This Row],[05_id]])</f>
        <v>1</v>
      </c>
      <c r="AM257" s="40" t="b">
        <f>IF(_01towers[[#This Row],[Count Rev Colo App]]=_01towers[[#This Row],[10colo_app.Rev]],TRUE,FALSE)</f>
        <v>1</v>
      </c>
      <c r="AN257" s="40" t="b">
        <f>IF(AND(_01towers[[#This Row],[Test Rev Colo]]=TRUE,_01towers[[#This Row],[Test Rev TSS]]=TRUE),TRUE,FALSE)</f>
        <v>1</v>
      </c>
      <c r="AO257" s="40" t="str">
        <f>IF(_01towers[[#This Row],[Test Active]]=TRUE,_01towers[[#This Row],[Prevalidation Status]],"")</f>
        <v>Commercial Approval Requested</v>
      </c>
      <c r="AP257" s="40" t="str">
        <f>IF(_01towers[[#This Row],[Active Prevalidation Status]]="Under Prevalidation",
IF(M257="","Review",M257),"")</f>
        <v/>
      </c>
      <c r="AQ257" s="40" t="str">
        <f>IF(_01towers[[#This Row],[Active Prevalidation Status]]="Under Prevalidation",
IF(N257="","Review",N257),"")</f>
        <v/>
      </c>
      <c r="AR257" s="40" t="str">
        <f>IF(_01towers[[#This Row],[Active Prevalidation Status]]="Under Prevalidation",
IF(O257="","Review",O257),"")</f>
        <v/>
      </c>
      <c r="AS257" s="40" t="str">
        <f>IF(_01towers[[#This Row],[Active Prevalidation Status]]="Under Prevalidation",
IF(P257="","Review",P257),"")</f>
        <v/>
      </c>
      <c r="AT257" s="40" t="str">
        <f>IF(_01towers[[#This Row],[Active Prevalidation Status]]="Under Prevalidation",
IF(Q257="","Review",Q257),"")</f>
        <v/>
      </c>
      <c r="AU257" s="40" t="str">
        <f>IF(_01towers[[#This Row],[Active Prevalidation Status]]="Under Prevalidation",
IF(R257="","Review",R257),"")</f>
        <v/>
      </c>
      <c r="AV257" s="40">
        <f>COUNTIF(_01towers[[#This Row],[SAQ_Result2]:[Community_Result2]],"OK")</f>
        <v>0</v>
      </c>
      <c r="AW257" s="1" t="str">
        <f>IF(AND(OR(_01towers[[#This Row],[Active Prevalidation Status]]="Under Prevalidation",_01towers[[#This Row],[Active Prevalidation Status]]="Prevalidated"),_01towers[[#This Row],[02tss.TSSR_From_Engineer]]&gt;0),"Submitted","")</f>
        <v/>
      </c>
      <c r="AX257" s="40" t="str">
        <f>IF(OR(_01towers[[#This Row],[Active Prevalidation Status]]="Under Prevalidation",_01towers[[#This Row],[Active Prevalidation Status]]="Prevalidated"),_01towers[[#This Row],[02tss.TSS_Result]],"")</f>
        <v/>
      </c>
      <c r="AY257" s="40" t="str">
        <f>IF(AND(_01towers[[#This Row],[Active TSS Result]]="Approved",_01towers[[#This Row],[Active Prevalidation Status]]="Prevalidated"),"In Process","")</f>
        <v/>
      </c>
      <c r="AZ257" s="40" t="str">
        <f>IF(AND(_01towers[[#This Row],[Active TSS Result]]="Approved",_01towers[[#This Row],[Active Prevalidation Status]]="Prevalidated"),_01towers[[#This Row],[10colo_app.Colo_App_Result]],"")</f>
        <v/>
      </c>
      <c r="BA257" s="40">
        <f>COUNTIF(_20work_order[05_id],_01towers[[#This Row],[05_id]])</f>
        <v>0</v>
      </c>
      <c r="BB257" s="40">
        <f>COUNTIFS(_20work_order[05_id],_01towers[[#This Row],[05_id]],_20work_order[Actual_End],"&gt;0")</f>
        <v>0</v>
      </c>
      <c r="BC257" s="40" t="str">
        <f>IF(_01towers[[#This Row],[Completed Work Orders]]&gt;0,"Work Completed",
IF(_01towers[[#This Row],[Count Work Orders]]&gt;0,"Work in Progress",""))</f>
        <v/>
      </c>
      <c r="BD25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57" s="40" t="str">
        <f>_xlfn.SWITCH(_01towers[[#This Row],[Final Colo Status full]],"Commercial Approval Requested","Under Prevalidation",_01towers[[#This Row],[Final Colo Status full]])</f>
        <v>Under Prevalidation</v>
      </c>
    </row>
    <row r="258" spans="1:57" x14ac:dyDescent="0.35">
      <c r="A258" s="40" t="s">
        <v>581</v>
      </c>
      <c r="B258" s="40" t="s">
        <v>90</v>
      </c>
      <c r="C258" s="40" t="s">
        <v>51</v>
      </c>
      <c r="D258">
        <v>50</v>
      </c>
      <c r="E258" s="40" t="s">
        <v>86</v>
      </c>
      <c r="F258">
        <v>98.102320000000006</v>
      </c>
      <c r="G258">
        <v>21.363700000000001</v>
      </c>
      <c r="H258" s="40" t="s">
        <v>55</v>
      </c>
      <c r="I258">
        <v>261</v>
      </c>
      <c r="J258" s="40" t="s">
        <v>650</v>
      </c>
      <c r="K258" s="40" t="s">
        <v>136</v>
      </c>
      <c r="L258" s="40" t="s">
        <v>56</v>
      </c>
      <c r="M258" s="40" t="s">
        <v>57</v>
      </c>
      <c r="N258" s="40" t="s">
        <v>57</v>
      </c>
      <c r="O258" s="40" t="s">
        <v>57</v>
      </c>
      <c r="P258" s="40" t="s">
        <v>58</v>
      </c>
      <c r="Q258" s="40"/>
      <c r="R258" s="40" t="s">
        <v>57</v>
      </c>
      <c r="S258">
        <v>257</v>
      </c>
      <c r="T258">
        <v>1</v>
      </c>
      <c r="U258" s="1"/>
      <c r="V258" s="1"/>
      <c r="W258" s="1"/>
      <c r="X258" s="1"/>
      <c r="Y258" s="1"/>
      <c r="Z258" s="40"/>
      <c r="AA258">
        <v>262</v>
      </c>
      <c r="AB258">
        <v>1</v>
      </c>
      <c r="AC258" s="1"/>
      <c r="AD258" s="40"/>
      <c r="AE258" s="1"/>
      <c r="AF258" s="1"/>
      <c r="AG258" s="1"/>
      <c r="AH258" s="40"/>
      <c r="AI258" s="1"/>
      <c r="AJ258" s="40">
        <f>_xlfn.MAXIFS(_01towers[02tss.Rev],_01towers[05_id],_01towers[[#This Row],[05_id]])</f>
        <v>1</v>
      </c>
      <c r="AK258" s="40" t="b">
        <f>IF(_01towers[[#This Row],[Count Rev TSS]]=_01towers[[#This Row],[02tss.Rev]],TRUE,FALSE)</f>
        <v>1</v>
      </c>
      <c r="AL258" s="40">
        <f>_xlfn.MAXIFS(_01towers[10colo_app.Rev],_01towers[05_id],_01towers[[#This Row],[05_id]])</f>
        <v>1</v>
      </c>
      <c r="AM258" s="40" t="b">
        <f>IF(_01towers[[#This Row],[Count Rev Colo App]]=_01towers[[#This Row],[10colo_app.Rev]],TRUE,FALSE)</f>
        <v>1</v>
      </c>
      <c r="AN258" s="40" t="b">
        <f>IF(AND(_01towers[[#This Row],[Test Rev Colo]]=TRUE,_01towers[[#This Row],[Test Rev TSS]]=TRUE),TRUE,FALSE)</f>
        <v>1</v>
      </c>
      <c r="AO258" s="40" t="str">
        <f>IF(_01towers[[#This Row],[Test Active]]=TRUE,_01towers[[#This Row],[Prevalidation Status]],"")</f>
        <v>Commercial Approval Requested</v>
      </c>
      <c r="AP258" s="40" t="str">
        <f>IF(_01towers[[#This Row],[Active Prevalidation Status]]="Under Prevalidation",
IF(M258="","Review",M258),"")</f>
        <v/>
      </c>
      <c r="AQ258" s="40" t="str">
        <f>IF(_01towers[[#This Row],[Active Prevalidation Status]]="Under Prevalidation",
IF(N258="","Review",N258),"")</f>
        <v/>
      </c>
      <c r="AR258" s="40" t="str">
        <f>IF(_01towers[[#This Row],[Active Prevalidation Status]]="Under Prevalidation",
IF(O258="","Review",O258),"")</f>
        <v/>
      </c>
      <c r="AS258" s="40" t="str">
        <f>IF(_01towers[[#This Row],[Active Prevalidation Status]]="Under Prevalidation",
IF(P258="","Review",P258),"")</f>
        <v/>
      </c>
      <c r="AT258" s="40" t="str">
        <f>IF(_01towers[[#This Row],[Active Prevalidation Status]]="Under Prevalidation",
IF(Q258="","Review",Q258),"")</f>
        <v/>
      </c>
      <c r="AU258" s="40" t="str">
        <f>IF(_01towers[[#This Row],[Active Prevalidation Status]]="Under Prevalidation",
IF(R258="","Review",R258),"")</f>
        <v/>
      </c>
      <c r="AV258" s="40">
        <f>COUNTIF(_01towers[[#This Row],[SAQ_Result2]:[Community_Result2]],"OK")</f>
        <v>0</v>
      </c>
      <c r="AW258" s="1" t="str">
        <f>IF(AND(OR(_01towers[[#This Row],[Active Prevalidation Status]]="Under Prevalidation",_01towers[[#This Row],[Active Prevalidation Status]]="Prevalidated"),_01towers[[#This Row],[02tss.TSSR_From_Engineer]]&gt;0),"Submitted","")</f>
        <v/>
      </c>
      <c r="AX258" s="40" t="str">
        <f>IF(OR(_01towers[[#This Row],[Active Prevalidation Status]]="Under Prevalidation",_01towers[[#This Row],[Active Prevalidation Status]]="Prevalidated"),_01towers[[#This Row],[02tss.TSS_Result]],"")</f>
        <v/>
      </c>
      <c r="AY258" s="40" t="str">
        <f>IF(AND(_01towers[[#This Row],[Active TSS Result]]="Approved",_01towers[[#This Row],[Active Prevalidation Status]]="Prevalidated"),"In Process","")</f>
        <v/>
      </c>
      <c r="AZ258" s="40" t="str">
        <f>IF(AND(_01towers[[#This Row],[Active TSS Result]]="Approved",_01towers[[#This Row],[Active Prevalidation Status]]="Prevalidated"),_01towers[[#This Row],[10colo_app.Colo_App_Result]],"")</f>
        <v/>
      </c>
      <c r="BA258" s="40">
        <f>COUNTIF(_20work_order[05_id],_01towers[[#This Row],[05_id]])</f>
        <v>0</v>
      </c>
      <c r="BB258" s="40">
        <f>COUNTIFS(_20work_order[05_id],_01towers[[#This Row],[05_id]],_20work_order[Actual_End],"&gt;0")</f>
        <v>0</v>
      </c>
      <c r="BC258" s="40" t="str">
        <f>IF(_01towers[[#This Row],[Completed Work Orders]]&gt;0,"Work Completed",
IF(_01towers[[#This Row],[Count Work Orders]]&gt;0,"Work in Progress",""))</f>
        <v/>
      </c>
      <c r="BD25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Requested</v>
      </c>
      <c r="BE258" s="40" t="str">
        <f>_xlfn.SWITCH(_01towers[[#This Row],[Final Colo Status full]],"Commercial Approval Requested","Under Prevalidation",_01towers[[#This Row],[Final Colo Status full]])</f>
        <v>Under Prevalidation</v>
      </c>
    </row>
    <row r="259" spans="1:57" hidden="1" x14ac:dyDescent="0.35">
      <c r="A259" s="40" t="s">
        <v>200</v>
      </c>
      <c r="B259" s="40" t="s">
        <v>50</v>
      </c>
      <c r="C259" s="40" t="s">
        <v>51</v>
      </c>
      <c r="D259">
        <v>35</v>
      </c>
      <c r="E259" s="40" t="s">
        <v>66</v>
      </c>
      <c r="F259">
        <v>96.070260000000005</v>
      </c>
      <c r="G259">
        <v>22.002685</v>
      </c>
      <c r="H259" s="40" t="s">
        <v>62</v>
      </c>
      <c r="I259">
        <v>265</v>
      </c>
      <c r="J259" s="40" t="s">
        <v>582</v>
      </c>
      <c r="K259" s="40" t="s">
        <v>136</v>
      </c>
      <c r="L259" s="40" t="s">
        <v>145</v>
      </c>
      <c r="M259" s="40" t="s">
        <v>57</v>
      </c>
      <c r="N259" s="40" t="s">
        <v>57</v>
      </c>
      <c r="O259" s="40"/>
      <c r="P259" s="40"/>
      <c r="Q259" s="40" t="s">
        <v>57</v>
      </c>
      <c r="R259" s="40" t="s">
        <v>57</v>
      </c>
      <c r="S259">
        <v>258</v>
      </c>
      <c r="T259">
        <v>1</v>
      </c>
      <c r="U259" s="1">
        <v>43322</v>
      </c>
      <c r="V259" s="1">
        <v>43322</v>
      </c>
      <c r="W259" s="1">
        <v>43322</v>
      </c>
      <c r="X259" s="1">
        <v>43322</v>
      </c>
      <c r="Y259" s="1"/>
      <c r="Z259" s="40" t="s">
        <v>59</v>
      </c>
      <c r="AA259">
        <v>263</v>
      </c>
      <c r="AB259">
        <v>1</v>
      </c>
      <c r="AC259" s="1"/>
      <c r="AD259" s="40"/>
      <c r="AE259" s="1"/>
      <c r="AF259" s="1"/>
      <c r="AG259" s="1"/>
      <c r="AH259" s="40"/>
      <c r="AI259" s="1"/>
      <c r="AJ259" s="40">
        <f>_xlfn.MAXIFS(_01towers[02tss.Rev],_01towers[05_id],_01towers[[#This Row],[05_id]])</f>
        <v>1</v>
      </c>
      <c r="AK259" s="40" t="b">
        <f>IF(_01towers[[#This Row],[Count Rev TSS]]=_01towers[[#This Row],[02tss.Rev]],TRUE,FALSE)</f>
        <v>1</v>
      </c>
      <c r="AL259" s="40">
        <f>_xlfn.MAXIFS(_01towers[10colo_app.Rev],_01towers[05_id],_01towers[[#This Row],[05_id]])</f>
        <v>1</v>
      </c>
      <c r="AM259" s="40" t="b">
        <f>IF(_01towers[[#This Row],[Count Rev Colo App]]=_01towers[[#This Row],[10colo_app.Rev]],TRUE,FALSE)</f>
        <v>1</v>
      </c>
      <c r="AN259" s="40" t="b">
        <f>IF(AND(_01towers[[#This Row],[Test Rev Colo]]=TRUE,_01towers[[#This Row],[Test Rev TSS]]=TRUE),TRUE,FALSE)</f>
        <v>1</v>
      </c>
      <c r="AO259" s="40" t="str">
        <f>IF(_01towers[[#This Row],[Test Active]]=TRUE,_01towers[[#This Row],[Prevalidation Status]],"")</f>
        <v>Under Prevalidation</v>
      </c>
      <c r="AP259" s="40" t="str">
        <f>IF(_01towers[[#This Row],[Active Prevalidation Status]]="Under Prevalidation",
IF(M259="","Review",M259),"")</f>
        <v>OK</v>
      </c>
      <c r="AQ259" s="40" t="str">
        <f>IF(_01towers[[#This Row],[Active Prevalidation Status]]="Under Prevalidation",
IF(N259="","Review",N259),"")</f>
        <v>OK</v>
      </c>
      <c r="AR259" s="40" t="str">
        <f>IF(_01towers[[#This Row],[Active Prevalidation Status]]="Under Prevalidation",
IF(O259="","Review",O259),"")</f>
        <v>Review</v>
      </c>
      <c r="AS259" s="40" t="str">
        <f>IF(_01towers[[#This Row],[Active Prevalidation Status]]="Under Prevalidation",
IF(P259="","Review",P259),"")</f>
        <v>Review</v>
      </c>
      <c r="AT259" s="40" t="str">
        <f>IF(_01towers[[#This Row],[Active Prevalidation Status]]="Under Prevalidation",
IF(Q259="","Review",Q259),"")</f>
        <v>OK</v>
      </c>
      <c r="AU259" s="40" t="str">
        <f>IF(_01towers[[#This Row],[Active Prevalidation Status]]="Under Prevalidation",
IF(R259="","Review",R259),"")</f>
        <v>OK</v>
      </c>
      <c r="AV259" s="40">
        <f>COUNTIF(_01towers[[#This Row],[SAQ_Result2]:[Community_Result2]],"OK")</f>
        <v>4</v>
      </c>
      <c r="AW259" s="1" t="str">
        <f>IF(AND(OR(_01towers[[#This Row],[Active Prevalidation Status]]="Under Prevalidation",_01towers[[#This Row],[Active Prevalidation Status]]="Prevalidated"),_01towers[[#This Row],[02tss.TSSR_From_Engineer]]&gt;0),"Submitted","")</f>
        <v>Submitted</v>
      </c>
      <c r="AX259" s="40" t="str">
        <f>IF(OR(_01towers[[#This Row],[Active Prevalidation Status]]="Under Prevalidation",_01towers[[#This Row],[Active Prevalidation Status]]="Prevalidated"),_01towers[[#This Row],[02tss.TSS_Result]],"")</f>
        <v>Approved</v>
      </c>
      <c r="AY259" s="40" t="str">
        <f>IF(AND(_01towers[[#This Row],[Active TSS Result]]="Approved",_01towers[[#This Row],[Active Prevalidation Status]]="Prevalidated"),"In Process","")</f>
        <v/>
      </c>
      <c r="AZ259" s="40" t="str">
        <f>IF(AND(_01towers[[#This Row],[Active TSS Result]]="Approved",_01towers[[#This Row],[Active Prevalidation Status]]="Prevalidated"),_01towers[[#This Row],[10colo_app.Colo_App_Result]],"")</f>
        <v/>
      </c>
      <c r="BA259" s="40">
        <f>COUNTIF(_20work_order[05_id],_01towers[[#This Row],[05_id]])</f>
        <v>0</v>
      </c>
      <c r="BB259" s="40">
        <f>COUNTIFS(_20work_order[05_id],_01towers[[#This Row],[05_id]],_20work_order[Actual_End],"&gt;0")</f>
        <v>0</v>
      </c>
      <c r="BC259" s="40" t="str">
        <f>IF(_01towers[[#This Row],[Completed Work Orders]]&gt;0,"Work Completed",
IF(_01towers[[#This Row],[Count Work Orders]]&gt;0,"Work in Progress",""))</f>
        <v/>
      </c>
      <c r="BD259"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Under Prevalidation</v>
      </c>
      <c r="BE259" s="40" t="str">
        <f>_xlfn.SWITCH(_01towers[[#This Row],[Final Colo Status full]],"Commercial Approval Requested","Under Prevalidation",_01towers[[#This Row],[Final Colo Status full]])</f>
        <v>Under Prevalidation</v>
      </c>
    </row>
    <row r="260" spans="1:57" hidden="1" x14ac:dyDescent="0.35">
      <c r="A260" s="40" t="s">
        <v>583</v>
      </c>
      <c r="B260" s="40" t="s">
        <v>90</v>
      </c>
      <c r="C260" s="40" t="s">
        <v>51</v>
      </c>
      <c r="D260">
        <v>50</v>
      </c>
      <c r="E260" s="40" t="s">
        <v>98</v>
      </c>
      <c r="F260">
        <v>96.32047</v>
      </c>
      <c r="G260">
        <v>16.54984</v>
      </c>
      <c r="H260" s="40" t="s">
        <v>53</v>
      </c>
      <c r="I260">
        <v>266</v>
      </c>
      <c r="J260" s="40" t="s">
        <v>584</v>
      </c>
      <c r="K260" s="40" t="s">
        <v>55</v>
      </c>
      <c r="L260" s="40" t="s">
        <v>64</v>
      </c>
      <c r="M260" s="40" t="s">
        <v>57</v>
      </c>
      <c r="N260" s="40" t="s">
        <v>57</v>
      </c>
      <c r="O260" s="40" t="s">
        <v>161</v>
      </c>
      <c r="P260" s="40" t="s">
        <v>57</v>
      </c>
      <c r="Q260" s="40" t="s">
        <v>57</v>
      </c>
      <c r="R260" s="40" t="s">
        <v>57</v>
      </c>
      <c r="S260">
        <v>259</v>
      </c>
      <c r="T260">
        <v>1</v>
      </c>
      <c r="U260" s="1"/>
      <c r="V260" s="1"/>
      <c r="W260" s="1">
        <v>43326</v>
      </c>
      <c r="X260" s="1">
        <v>43326</v>
      </c>
      <c r="Y260" s="1"/>
      <c r="Z260" s="40" t="s">
        <v>59</v>
      </c>
      <c r="AA260">
        <v>264</v>
      </c>
      <c r="AB260">
        <v>1</v>
      </c>
      <c r="AC260" s="1"/>
      <c r="AD260" s="40"/>
      <c r="AE260" s="1"/>
      <c r="AF260" s="1"/>
      <c r="AG260" s="1"/>
      <c r="AH260" s="40"/>
      <c r="AI260" s="1"/>
      <c r="AJ260" s="40">
        <f>_xlfn.MAXIFS(_01towers[02tss.Rev],_01towers[05_id],_01towers[[#This Row],[05_id]])</f>
        <v>1</v>
      </c>
      <c r="AK260" s="40" t="b">
        <f>IF(_01towers[[#This Row],[Count Rev TSS]]=_01towers[[#This Row],[02tss.Rev]],TRUE,FALSE)</f>
        <v>1</v>
      </c>
      <c r="AL260" s="40">
        <f>_xlfn.MAXIFS(_01towers[10colo_app.Rev],_01towers[05_id],_01towers[[#This Row],[05_id]])</f>
        <v>1</v>
      </c>
      <c r="AM260" s="40" t="b">
        <f>IF(_01towers[[#This Row],[Count Rev Colo App]]=_01towers[[#This Row],[10colo_app.Rev]],TRUE,FALSE)</f>
        <v>1</v>
      </c>
      <c r="AN260" s="40" t="b">
        <f>IF(AND(_01towers[[#This Row],[Test Rev Colo]]=TRUE,_01towers[[#This Row],[Test Rev TSS]]=TRUE),TRUE,FALSE)</f>
        <v>1</v>
      </c>
      <c r="AO260" s="40" t="str">
        <f>IF(_01towers[[#This Row],[Test Active]]=TRUE,_01towers[[#This Row],[Prevalidation Status]],"")</f>
        <v>Prevalidated</v>
      </c>
      <c r="AP260" s="40" t="str">
        <f>IF(_01towers[[#This Row],[Active Prevalidation Status]]="Under Prevalidation",
IF(M260="","Review",M260),"")</f>
        <v/>
      </c>
      <c r="AQ260" s="40" t="str">
        <f>IF(_01towers[[#This Row],[Active Prevalidation Status]]="Under Prevalidation",
IF(N260="","Review",N260),"")</f>
        <v/>
      </c>
      <c r="AR260" s="40" t="str">
        <f>IF(_01towers[[#This Row],[Active Prevalidation Status]]="Under Prevalidation",
IF(O260="","Review",O260),"")</f>
        <v/>
      </c>
      <c r="AS260" s="40" t="str">
        <f>IF(_01towers[[#This Row],[Active Prevalidation Status]]="Under Prevalidation",
IF(P260="","Review",P260),"")</f>
        <v/>
      </c>
      <c r="AT260" s="40" t="str">
        <f>IF(_01towers[[#This Row],[Active Prevalidation Status]]="Under Prevalidation",
IF(Q260="","Review",Q260),"")</f>
        <v/>
      </c>
      <c r="AU260" s="40" t="str">
        <f>IF(_01towers[[#This Row],[Active Prevalidation Status]]="Under Prevalidation",
IF(R260="","Review",R260),"")</f>
        <v/>
      </c>
      <c r="AV260" s="40">
        <f>COUNTIF(_01towers[[#This Row],[SAQ_Result2]:[Community_Result2]],"OK")</f>
        <v>0</v>
      </c>
      <c r="AW260" s="1" t="str">
        <f>IF(AND(OR(_01towers[[#This Row],[Active Prevalidation Status]]="Under Prevalidation",_01towers[[#This Row],[Active Prevalidation Status]]="Prevalidated"),_01towers[[#This Row],[02tss.TSSR_From_Engineer]]&gt;0),"Submitted","")</f>
        <v>Submitted</v>
      </c>
      <c r="AX260" s="40" t="str">
        <f>IF(OR(_01towers[[#This Row],[Active Prevalidation Status]]="Under Prevalidation",_01towers[[#This Row],[Active Prevalidation Status]]="Prevalidated"),_01towers[[#This Row],[02tss.TSS_Result]],"")</f>
        <v>Approved</v>
      </c>
      <c r="AY260" s="40" t="str">
        <f>IF(AND(_01towers[[#This Row],[Active TSS Result]]="Approved",_01towers[[#This Row],[Active Prevalidation Status]]="Prevalidated"),"In Process","")</f>
        <v>In Process</v>
      </c>
      <c r="AZ260" s="40">
        <f>IF(AND(_01towers[[#This Row],[Active TSS Result]]="Approved",_01towers[[#This Row],[Active Prevalidation Status]]="Prevalidated"),_01towers[[#This Row],[10colo_app.Colo_App_Result]],"")</f>
        <v>0</v>
      </c>
      <c r="BA260" s="40">
        <f>COUNTIF(_20work_order[05_id],_01towers[[#This Row],[05_id]])</f>
        <v>0</v>
      </c>
      <c r="BB260" s="40">
        <f>COUNTIFS(_20work_order[05_id],_01towers[[#This Row],[05_id]],_20work_order[Actual_End],"&gt;0")</f>
        <v>0</v>
      </c>
      <c r="BC260" s="40" t="str">
        <f>IF(_01towers[[#This Row],[Completed Work Orders]]&gt;0,"Work Completed",
IF(_01towers[[#This Row],[Count Work Orders]]&gt;0,"Work in Progress",""))</f>
        <v/>
      </c>
      <c r="BD260"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260" s="40" t="str">
        <f>_xlfn.SWITCH(_01towers[[#This Row],[Final Colo Status full]],"Commercial Approval Requested","Under Prevalidation",_01towers[[#This Row],[Final Colo Status full]])</f>
        <v>Prevalidated - TSSR Done</v>
      </c>
    </row>
    <row r="261" spans="1:57" hidden="1" x14ac:dyDescent="0.35">
      <c r="A261" s="40" t="s">
        <v>585</v>
      </c>
      <c r="B261" s="40" t="s">
        <v>90</v>
      </c>
      <c r="C261" s="40" t="s">
        <v>82</v>
      </c>
      <c r="D261">
        <v>6</v>
      </c>
      <c r="E261" s="40" t="s">
        <v>98</v>
      </c>
      <c r="F261">
        <v>96.207785999999999</v>
      </c>
      <c r="G261">
        <v>16.855550999999998</v>
      </c>
      <c r="H261" s="40" t="s">
        <v>99</v>
      </c>
      <c r="I261">
        <v>267</v>
      </c>
      <c r="J261" s="40" t="s">
        <v>586</v>
      </c>
      <c r="K261" s="40" t="s">
        <v>55</v>
      </c>
      <c r="L261" s="40" t="s">
        <v>75</v>
      </c>
      <c r="M261" s="40" t="s">
        <v>75</v>
      </c>
      <c r="N261" s="40" t="s">
        <v>57</v>
      </c>
      <c r="O261" s="40" t="s">
        <v>58</v>
      </c>
      <c r="P261" s="40" t="s">
        <v>57</v>
      </c>
      <c r="Q261" s="40" t="s">
        <v>57</v>
      </c>
      <c r="R261" s="40" t="s">
        <v>57</v>
      </c>
      <c r="S261">
        <v>260</v>
      </c>
      <c r="T261">
        <v>1</v>
      </c>
      <c r="U261" s="1"/>
      <c r="V261" s="1"/>
      <c r="W261" s="1"/>
      <c r="X261" s="1"/>
      <c r="Y261" s="1"/>
      <c r="Z261" s="40"/>
      <c r="AA261">
        <v>265</v>
      </c>
      <c r="AB261">
        <v>1</v>
      </c>
      <c r="AC261" s="1"/>
      <c r="AD261" s="40"/>
      <c r="AE261" s="1"/>
      <c r="AF261" s="1"/>
      <c r="AG261" s="1"/>
      <c r="AH261" s="40"/>
      <c r="AI261" s="1"/>
      <c r="AJ261" s="40">
        <f>_xlfn.MAXIFS(_01towers[02tss.Rev],_01towers[05_id],_01towers[[#This Row],[05_id]])</f>
        <v>1</v>
      </c>
      <c r="AK261" s="40" t="b">
        <f>IF(_01towers[[#This Row],[Count Rev TSS]]=_01towers[[#This Row],[02tss.Rev]],TRUE,FALSE)</f>
        <v>1</v>
      </c>
      <c r="AL261" s="40">
        <f>_xlfn.MAXIFS(_01towers[10colo_app.Rev],_01towers[05_id],_01towers[[#This Row],[05_id]])</f>
        <v>1</v>
      </c>
      <c r="AM261" s="40" t="b">
        <f>IF(_01towers[[#This Row],[Count Rev Colo App]]=_01towers[[#This Row],[10colo_app.Rev]],TRUE,FALSE)</f>
        <v>1</v>
      </c>
      <c r="AN261" s="40" t="b">
        <f>IF(AND(_01towers[[#This Row],[Test Rev Colo]]=TRUE,_01towers[[#This Row],[Test Rev TSS]]=TRUE),TRUE,FALSE)</f>
        <v>1</v>
      </c>
      <c r="AO261" s="40" t="str">
        <f>IF(_01towers[[#This Row],[Test Active]]=TRUE,_01towers[[#This Row],[Prevalidation Status]],"")</f>
        <v>Rejected</v>
      </c>
      <c r="AP261" s="40" t="str">
        <f>IF(_01towers[[#This Row],[Active Prevalidation Status]]="Under Prevalidation",
IF(M261="","Review",M261),"")</f>
        <v/>
      </c>
      <c r="AQ261" s="40" t="str">
        <f>IF(_01towers[[#This Row],[Active Prevalidation Status]]="Under Prevalidation",
IF(N261="","Review",N261),"")</f>
        <v/>
      </c>
      <c r="AR261" s="40" t="str">
        <f>IF(_01towers[[#This Row],[Active Prevalidation Status]]="Under Prevalidation",
IF(O261="","Review",O261),"")</f>
        <v/>
      </c>
      <c r="AS261" s="40" t="str">
        <f>IF(_01towers[[#This Row],[Active Prevalidation Status]]="Under Prevalidation",
IF(P261="","Review",P261),"")</f>
        <v/>
      </c>
      <c r="AT261" s="40" t="str">
        <f>IF(_01towers[[#This Row],[Active Prevalidation Status]]="Under Prevalidation",
IF(Q261="","Review",Q261),"")</f>
        <v/>
      </c>
      <c r="AU261" s="40" t="str">
        <f>IF(_01towers[[#This Row],[Active Prevalidation Status]]="Under Prevalidation",
IF(R261="","Review",R261),"")</f>
        <v/>
      </c>
      <c r="AV261" s="40">
        <f>COUNTIF(_01towers[[#This Row],[SAQ_Result2]:[Community_Result2]],"OK")</f>
        <v>0</v>
      </c>
      <c r="AW261" s="1" t="str">
        <f>IF(AND(OR(_01towers[[#This Row],[Active Prevalidation Status]]="Under Prevalidation",_01towers[[#This Row],[Active Prevalidation Status]]="Prevalidated"),_01towers[[#This Row],[02tss.TSSR_From_Engineer]]&gt;0),"Submitted","")</f>
        <v/>
      </c>
      <c r="AX261" s="40" t="str">
        <f>IF(OR(_01towers[[#This Row],[Active Prevalidation Status]]="Under Prevalidation",_01towers[[#This Row],[Active Prevalidation Status]]="Prevalidated"),_01towers[[#This Row],[02tss.TSS_Result]],"")</f>
        <v/>
      </c>
      <c r="AY261" s="40" t="str">
        <f>IF(AND(_01towers[[#This Row],[Active TSS Result]]="Approved",_01towers[[#This Row],[Active Prevalidation Status]]="Prevalidated"),"In Process","")</f>
        <v/>
      </c>
      <c r="AZ261" s="40" t="str">
        <f>IF(AND(_01towers[[#This Row],[Active TSS Result]]="Approved",_01towers[[#This Row],[Active Prevalidation Status]]="Prevalidated"),_01towers[[#This Row],[10colo_app.Colo_App_Result]],"")</f>
        <v/>
      </c>
      <c r="BA261" s="40">
        <f>COUNTIF(_20work_order[05_id],_01towers[[#This Row],[05_id]])</f>
        <v>0</v>
      </c>
      <c r="BB261" s="40">
        <f>COUNTIFS(_20work_order[05_id],_01towers[[#This Row],[05_id]],_20work_order[Actual_End],"&gt;0")</f>
        <v>0</v>
      </c>
      <c r="BC261" s="40" t="str">
        <f>IF(_01towers[[#This Row],[Completed Work Orders]]&gt;0,"Work Completed",
IF(_01towers[[#This Row],[Count Work Orders]]&gt;0,"Work in Progress",""))</f>
        <v/>
      </c>
      <c r="BD261"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Rejected</v>
      </c>
      <c r="BE261" s="40" t="str">
        <f>_xlfn.SWITCH(_01towers[[#This Row],[Final Colo Status full]],"Commercial Approval Requested","Under Prevalidation",_01towers[[#This Row],[Final Colo Status full]])</f>
        <v>Rejected</v>
      </c>
    </row>
    <row r="262" spans="1:57" hidden="1" x14ac:dyDescent="0.35">
      <c r="A262" s="40" t="s">
        <v>587</v>
      </c>
      <c r="B262" s="40" t="s">
        <v>50</v>
      </c>
      <c r="C262" s="40" t="s">
        <v>51</v>
      </c>
      <c r="D262">
        <v>60</v>
      </c>
      <c r="E262" s="40" t="s">
        <v>79</v>
      </c>
      <c r="F262">
        <v>94.940709999999996</v>
      </c>
      <c r="G262">
        <v>21.846091000000001</v>
      </c>
      <c r="H262" s="40" t="s">
        <v>53</v>
      </c>
      <c r="I262">
        <v>268</v>
      </c>
      <c r="J262" s="40" t="s">
        <v>588</v>
      </c>
      <c r="K262" s="40" t="s">
        <v>55</v>
      </c>
      <c r="L262" s="40" t="s">
        <v>64</v>
      </c>
      <c r="M262" s="40" t="s">
        <v>57</v>
      </c>
      <c r="N262" s="40" t="s">
        <v>57</v>
      </c>
      <c r="O262" s="40" t="s">
        <v>161</v>
      </c>
      <c r="P262" s="40" t="s">
        <v>57</v>
      </c>
      <c r="Q262" s="40" t="s">
        <v>57</v>
      </c>
      <c r="R262" s="40" t="s">
        <v>57</v>
      </c>
      <c r="S262">
        <v>261</v>
      </c>
      <c r="T262">
        <v>1</v>
      </c>
      <c r="U262" s="1"/>
      <c r="V262" s="1"/>
      <c r="W262" s="1">
        <v>43326</v>
      </c>
      <c r="X262" s="1">
        <v>43326</v>
      </c>
      <c r="Y262" s="1"/>
      <c r="Z262" s="40" t="s">
        <v>59</v>
      </c>
      <c r="AA262">
        <v>266</v>
      </c>
      <c r="AB262">
        <v>1</v>
      </c>
      <c r="AC262" s="1"/>
      <c r="AD262" s="40"/>
      <c r="AE262" s="1"/>
      <c r="AF262" s="1"/>
      <c r="AG262" s="1"/>
      <c r="AH262" s="40"/>
      <c r="AI262" s="1"/>
      <c r="AJ262" s="40">
        <f>_xlfn.MAXIFS(_01towers[02tss.Rev],_01towers[05_id],_01towers[[#This Row],[05_id]])</f>
        <v>1</v>
      </c>
      <c r="AK262" s="40" t="b">
        <f>IF(_01towers[[#This Row],[Count Rev TSS]]=_01towers[[#This Row],[02tss.Rev]],TRUE,FALSE)</f>
        <v>1</v>
      </c>
      <c r="AL262" s="40">
        <f>_xlfn.MAXIFS(_01towers[10colo_app.Rev],_01towers[05_id],_01towers[[#This Row],[05_id]])</f>
        <v>1</v>
      </c>
      <c r="AM262" s="40" t="b">
        <f>IF(_01towers[[#This Row],[Count Rev Colo App]]=_01towers[[#This Row],[10colo_app.Rev]],TRUE,FALSE)</f>
        <v>1</v>
      </c>
      <c r="AN262" s="40" t="b">
        <f>IF(AND(_01towers[[#This Row],[Test Rev Colo]]=TRUE,_01towers[[#This Row],[Test Rev TSS]]=TRUE),TRUE,FALSE)</f>
        <v>1</v>
      </c>
      <c r="AO262" s="40" t="str">
        <f>IF(_01towers[[#This Row],[Test Active]]=TRUE,_01towers[[#This Row],[Prevalidation Status]],"")</f>
        <v>Prevalidated</v>
      </c>
      <c r="AP262" s="40" t="str">
        <f>IF(_01towers[[#This Row],[Active Prevalidation Status]]="Under Prevalidation",
IF(M262="","Review",M262),"")</f>
        <v/>
      </c>
      <c r="AQ262" s="40" t="str">
        <f>IF(_01towers[[#This Row],[Active Prevalidation Status]]="Under Prevalidation",
IF(N262="","Review",N262),"")</f>
        <v/>
      </c>
      <c r="AR262" s="40" t="str">
        <f>IF(_01towers[[#This Row],[Active Prevalidation Status]]="Under Prevalidation",
IF(O262="","Review",O262),"")</f>
        <v/>
      </c>
      <c r="AS262" s="40" t="str">
        <f>IF(_01towers[[#This Row],[Active Prevalidation Status]]="Under Prevalidation",
IF(P262="","Review",P262),"")</f>
        <v/>
      </c>
      <c r="AT262" s="40" t="str">
        <f>IF(_01towers[[#This Row],[Active Prevalidation Status]]="Under Prevalidation",
IF(Q262="","Review",Q262),"")</f>
        <v/>
      </c>
      <c r="AU262" s="40" t="str">
        <f>IF(_01towers[[#This Row],[Active Prevalidation Status]]="Under Prevalidation",
IF(R262="","Review",R262),"")</f>
        <v/>
      </c>
      <c r="AV262" s="40">
        <f>COUNTIF(_01towers[[#This Row],[SAQ_Result2]:[Community_Result2]],"OK")</f>
        <v>0</v>
      </c>
      <c r="AW262" s="1" t="str">
        <f>IF(AND(OR(_01towers[[#This Row],[Active Prevalidation Status]]="Under Prevalidation",_01towers[[#This Row],[Active Prevalidation Status]]="Prevalidated"),_01towers[[#This Row],[02tss.TSSR_From_Engineer]]&gt;0),"Submitted","")</f>
        <v>Submitted</v>
      </c>
      <c r="AX262" s="40" t="str">
        <f>IF(OR(_01towers[[#This Row],[Active Prevalidation Status]]="Under Prevalidation",_01towers[[#This Row],[Active Prevalidation Status]]="Prevalidated"),_01towers[[#This Row],[02tss.TSS_Result]],"")</f>
        <v>Approved</v>
      </c>
      <c r="AY262" s="40" t="str">
        <f>IF(AND(_01towers[[#This Row],[Active TSS Result]]="Approved",_01towers[[#This Row],[Active Prevalidation Status]]="Prevalidated"),"In Process","")</f>
        <v>In Process</v>
      </c>
      <c r="AZ262" s="40">
        <f>IF(AND(_01towers[[#This Row],[Active TSS Result]]="Approved",_01towers[[#This Row],[Active Prevalidation Status]]="Prevalidated"),_01towers[[#This Row],[10colo_app.Colo_App_Result]],"")</f>
        <v>0</v>
      </c>
      <c r="BA262" s="40">
        <f>COUNTIF(_20work_order[05_id],_01towers[[#This Row],[05_id]])</f>
        <v>0</v>
      </c>
      <c r="BB262" s="40">
        <f>COUNTIFS(_20work_order[05_id],_01towers[[#This Row],[05_id]],_20work_order[Actual_End],"&gt;0")</f>
        <v>0</v>
      </c>
      <c r="BC262" s="40" t="str">
        <f>IF(_01towers[[#This Row],[Completed Work Orders]]&gt;0,"Work Completed",
IF(_01towers[[#This Row],[Count Work Orders]]&gt;0,"Work in Progress",""))</f>
        <v/>
      </c>
      <c r="BD262"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262" s="40" t="str">
        <f>_xlfn.SWITCH(_01towers[[#This Row],[Final Colo Status full]],"Commercial Approval Requested","Under Prevalidation",_01towers[[#This Row],[Final Colo Status full]])</f>
        <v>Prevalidated - TSSR Done</v>
      </c>
    </row>
    <row r="263" spans="1:57" hidden="1" x14ac:dyDescent="0.35">
      <c r="A263" s="40" t="s">
        <v>589</v>
      </c>
      <c r="B263" s="40" t="s">
        <v>90</v>
      </c>
      <c r="C263" s="40" t="s">
        <v>51</v>
      </c>
      <c r="D263">
        <v>35</v>
      </c>
      <c r="E263" s="40" t="s">
        <v>98</v>
      </c>
      <c r="F263">
        <v>96.117239999999995</v>
      </c>
      <c r="G263">
        <v>16.90043</v>
      </c>
      <c r="H263" s="40" t="s">
        <v>53</v>
      </c>
      <c r="I263">
        <v>269</v>
      </c>
      <c r="J263" s="40" t="s">
        <v>590</v>
      </c>
      <c r="K263" s="40" t="s">
        <v>55</v>
      </c>
      <c r="L263" s="40" t="s">
        <v>64</v>
      </c>
      <c r="M263" s="40" t="s">
        <v>57</v>
      </c>
      <c r="N263" s="40" t="s">
        <v>57</v>
      </c>
      <c r="O263" s="40" t="s">
        <v>58</v>
      </c>
      <c r="P263" s="40" t="s">
        <v>57</v>
      </c>
      <c r="Q263" s="40" t="s">
        <v>57</v>
      </c>
      <c r="R263" s="40" t="s">
        <v>57</v>
      </c>
      <c r="S263">
        <v>262</v>
      </c>
      <c r="T263">
        <v>1</v>
      </c>
      <c r="U263" s="1"/>
      <c r="V263" s="1"/>
      <c r="W263" s="1"/>
      <c r="X263" s="1"/>
      <c r="Y263" s="1"/>
      <c r="Z263" s="40" t="s">
        <v>59</v>
      </c>
      <c r="AA263">
        <v>267</v>
      </c>
      <c r="AB263">
        <v>1</v>
      </c>
      <c r="AC263" s="1"/>
      <c r="AD263" s="40"/>
      <c r="AE263" s="1"/>
      <c r="AF263" s="1"/>
      <c r="AG263" s="1"/>
      <c r="AH263" s="40"/>
      <c r="AI263" s="1"/>
      <c r="AJ263" s="40">
        <f>_xlfn.MAXIFS(_01towers[02tss.Rev],_01towers[05_id],_01towers[[#This Row],[05_id]])</f>
        <v>1</v>
      </c>
      <c r="AK263" s="40" t="b">
        <f>IF(_01towers[[#This Row],[Count Rev TSS]]=_01towers[[#This Row],[02tss.Rev]],TRUE,FALSE)</f>
        <v>1</v>
      </c>
      <c r="AL263" s="40">
        <f>_xlfn.MAXIFS(_01towers[10colo_app.Rev],_01towers[05_id],_01towers[[#This Row],[05_id]])</f>
        <v>1</v>
      </c>
      <c r="AM263" s="40" t="b">
        <f>IF(_01towers[[#This Row],[Count Rev Colo App]]=_01towers[[#This Row],[10colo_app.Rev]],TRUE,FALSE)</f>
        <v>1</v>
      </c>
      <c r="AN263" s="40" t="b">
        <f>IF(AND(_01towers[[#This Row],[Test Rev Colo]]=TRUE,_01towers[[#This Row],[Test Rev TSS]]=TRUE),TRUE,FALSE)</f>
        <v>1</v>
      </c>
      <c r="AO263" s="40" t="str">
        <f>IF(_01towers[[#This Row],[Test Active]]=TRUE,_01towers[[#This Row],[Prevalidation Status]],"")</f>
        <v>Prevalidated</v>
      </c>
      <c r="AP263" s="40" t="str">
        <f>IF(_01towers[[#This Row],[Active Prevalidation Status]]="Under Prevalidation",
IF(M263="","Review",M263),"")</f>
        <v/>
      </c>
      <c r="AQ263" s="40" t="str">
        <f>IF(_01towers[[#This Row],[Active Prevalidation Status]]="Under Prevalidation",
IF(N263="","Review",N263),"")</f>
        <v/>
      </c>
      <c r="AR263" s="40" t="str">
        <f>IF(_01towers[[#This Row],[Active Prevalidation Status]]="Under Prevalidation",
IF(O263="","Review",O263),"")</f>
        <v/>
      </c>
      <c r="AS263" s="40" t="str">
        <f>IF(_01towers[[#This Row],[Active Prevalidation Status]]="Under Prevalidation",
IF(P263="","Review",P263),"")</f>
        <v/>
      </c>
      <c r="AT263" s="40" t="str">
        <f>IF(_01towers[[#This Row],[Active Prevalidation Status]]="Under Prevalidation",
IF(Q263="","Review",Q263),"")</f>
        <v/>
      </c>
      <c r="AU263" s="40" t="str">
        <f>IF(_01towers[[#This Row],[Active Prevalidation Status]]="Under Prevalidation",
IF(R263="","Review",R263),"")</f>
        <v/>
      </c>
      <c r="AV263" s="40">
        <f>COUNTIF(_01towers[[#This Row],[SAQ_Result2]:[Community_Result2]],"OK")</f>
        <v>0</v>
      </c>
      <c r="AW263" s="1" t="str">
        <f>IF(AND(OR(_01towers[[#This Row],[Active Prevalidation Status]]="Under Prevalidation",_01towers[[#This Row],[Active Prevalidation Status]]="Prevalidated"),_01towers[[#This Row],[02tss.TSSR_From_Engineer]]&gt;0),"Submitted","")</f>
        <v/>
      </c>
      <c r="AX263" s="40" t="str">
        <f>IF(OR(_01towers[[#This Row],[Active Prevalidation Status]]="Under Prevalidation",_01towers[[#This Row],[Active Prevalidation Status]]="Prevalidated"),_01towers[[#This Row],[02tss.TSS_Result]],"")</f>
        <v>Approved</v>
      </c>
      <c r="AY263" s="40" t="str">
        <f>IF(AND(_01towers[[#This Row],[Active TSS Result]]="Approved",_01towers[[#This Row],[Active Prevalidation Status]]="Prevalidated"),"In Process","")</f>
        <v>In Process</v>
      </c>
      <c r="AZ263" s="40">
        <f>IF(AND(_01towers[[#This Row],[Active TSS Result]]="Approved",_01towers[[#This Row],[Active Prevalidation Status]]="Prevalidated"),_01towers[[#This Row],[10colo_app.Colo_App_Result]],"")</f>
        <v>0</v>
      </c>
      <c r="BA263" s="40">
        <f>COUNTIF(_20work_order[05_id],_01towers[[#This Row],[05_id]])</f>
        <v>0</v>
      </c>
      <c r="BB263" s="40">
        <f>COUNTIFS(_20work_order[05_id],_01towers[[#This Row],[05_id]],_20work_order[Actual_End],"&gt;0")</f>
        <v>0</v>
      </c>
      <c r="BC263" s="40" t="str">
        <f>IF(_01towers[[#This Row],[Completed Work Orders]]&gt;0,"Work Completed",
IF(_01towers[[#This Row],[Count Work Orders]]&gt;0,"Work in Progress",""))</f>
        <v/>
      </c>
      <c r="BD263"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263" s="40" t="str">
        <f>_xlfn.SWITCH(_01towers[[#This Row],[Final Colo Status full]],"Commercial Approval Requested","Under Prevalidation",_01towers[[#This Row],[Final Colo Status full]])</f>
        <v>Prevalidated - TSSR Done</v>
      </c>
    </row>
    <row r="264" spans="1:57" hidden="1" x14ac:dyDescent="0.35">
      <c r="A264" s="40" t="s">
        <v>591</v>
      </c>
      <c r="B264" s="40" t="s">
        <v>85</v>
      </c>
      <c r="C264" s="40" t="s">
        <v>51</v>
      </c>
      <c r="D264">
        <v>60</v>
      </c>
      <c r="E264" s="40" t="s">
        <v>167</v>
      </c>
      <c r="F264">
        <v>95.177049999999994</v>
      </c>
      <c r="G264">
        <v>19.31887</v>
      </c>
      <c r="H264" s="40" t="s">
        <v>53</v>
      </c>
      <c r="I264">
        <v>270</v>
      </c>
      <c r="J264" s="40" t="s">
        <v>592</v>
      </c>
      <c r="K264" s="40" t="s">
        <v>55</v>
      </c>
      <c r="L264" s="40" t="s">
        <v>64</v>
      </c>
      <c r="M264" s="40" t="s">
        <v>57</v>
      </c>
      <c r="N264" s="40" t="s">
        <v>57</v>
      </c>
      <c r="O264" s="40" t="s">
        <v>161</v>
      </c>
      <c r="P264" s="40" t="s">
        <v>57</v>
      </c>
      <c r="Q264" s="40" t="s">
        <v>57</v>
      </c>
      <c r="R264" s="40" t="s">
        <v>57</v>
      </c>
      <c r="S264">
        <v>263</v>
      </c>
      <c r="T264">
        <v>1</v>
      </c>
      <c r="U264" s="1"/>
      <c r="V264" s="1"/>
      <c r="W264" s="1">
        <v>43326</v>
      </c>
      <c r="X264" s="1">
        <v>43326</v>
      </c>
      <c r="Y264" s="1"/>
      <c r="Z264" s="40" t="s">
        <v>59</v>
      </c>
      <c r="AA264">
        <v>268</v>
      </c>
      <c r="AB264">
        <v>1</v>
      </c>
      <c r="AC264" s="1"/>
      <c r="AD264" s="40"/>
      <c r="AE264" s="1"/>
      <c r="AF264" s="1"/>
      <c r="AG264" s="1"/>
      <c r="AH264" s="40"/>
      <c r="AI264" s="1"/>
      <c r="AJ264" s="40">
        <f>_xlfn.MAXIFS(_01towers[02tss.Rev],_01towers[05_id],_01towers[[#This Row],[05_id]])</f>
        <v>1</v>
      </c>
      <c r="AK264" s="40" t="b">
        <f>IF(_01towers[[#This Row],[Count Rev TSS]]=_01towers[[#This Row],[02tss.Rev]],TRUE,FALSE)</f>
        <v>1</v>
      </c>
      <c r="AL264" s="40">
        <f>_xlfn.MAXIFS(_01towers[10colo_app.Rev],_01towers[05_id],_01towers[[#This Row],[05_id]])</f>
        <v>1</v>
      </c>
      <c r="AM264" s="40" t="b">
        <f>IF(_01towers[[#This Row],[Count Rev Colo App]]=_01towers[[#This Row],[10colo_app.Rev]],TRUE,FALSE)</f>
        <v>1</v>
      </c>
      <c r="AN264" s="40" t="b">
        <f>IF(AND(_01towers[[#This Row],[Test Rev Colo]]=TRUE,_01towers[[#This Row],[Test Rev TSS]]=TRUE),TRUE,FALSE)</f>
        <v>1</v>
      </c>
      <c r="AO264" s="40" t="str">
        <f>IF(_01towers[[#This Row],[Test Active]]=TRUE,_01towers[[#This Row],[Prevalidation Status]],"")</f>
        <v>Prevalidated</v>
      </c>
      <c r="AP264" s="40" t="str">
        <f>IF(_01towers[[#This Row],[Active Prevalidation Status]]="Under Prevalidation",
IF(M264="","Review",M264),"")</f>
        <v/>
      </c>
      <c r="AQ264" s="40" t="str">
        <f>IF(_01towers[[#This Row],[Active Prevalidation Status]]="Under Prevalidation",
IF(N264="","Review",N264),"")</f>
        <v/>
      </c>
      <c r="AR264" s="40" t="str">
        <f>IF(_01towers[[#This Row],[Active Prevalidation Status]]="Under Prevalidation",
IF(O264="","Review",O264),"")</f>
        <v/>
      </c>
      <c r="AS264" s="40" t="str">
        <f>IF(_01towers[[#This Row],[Active Prevalidation Status]]="Under Prevalidation",
IF(P264="","Review",P264),"")</f>
        <v/>
      </c>
      <c r="AT264" s="40" t="str">
        <f>IF(_01towers[[#This Row],[Active Prevalidation Status]]="Under Prevalidation",
IF(Q264="","Review",Q264),"")</f>
        <v/>
      </c>
      <c r="AU264" s="40" t="str">
        <f>IF(_01towers[[#This Row],[Active Prevalidation Status]]="Under Prevalidation",
IF(R264="","Review",R264),"")</f>
        <v/>
      </c>
      <c r="AV264" s="40">
        <f>COUNTIF(_01towers[[#This Row],[SAQ_Result2]:[Community_Result2]],"OK")</f>
        <v>0</v>
      </c>
      <c r="AW264" s="1" t="str">
        <f>IF(AND(OR(_01towers[[#This Row],[Active Prevalidation Status]]="Under Prevalidation",_01towers[[#This Row],[Active Prevalidation Status]]="Prevalidated"),_01towers[[#This Row],[02tss.TSSR_From_Engineer]]&gt;0),"Submitted","")</f>
        <v>Submitted</v>
      </c>
      <c r="AX264" s="40" t="str">
        <f>IF(OR(_01towers[[#This Row],[Active Prevalidation Status]]="Under Prevalidation",_01towers[[#This Row],[Active Prevalidation Status]]="Prevalidated"),_01towers[[#This Row],[02tss.TSS_Result]],"")</f>
        <v>Approved</v>
      </c>
      <c r="AY264" s="40" t="str">
        <f>IF(AND(_01towers[[#This Row],[Active TSS Result]]="Approved",_01towers[[#This Row],[Active Prevalidation Status]]="Prevalidated"),"In Process","")</f>
        <v>In Process</v>
      </c>
      <c r="AZ264" s="40">
        <f>IF(AND(_01towers[[#This Row],[Active TSS Result]]="Approved",_01towers[[#This Row],[Active Prevalidation Status]]="Prevalidated"),_01towers[[#This Row],[10colo_app.Colo_App_Result]],"")</f>
        <v>0</v>
      </c>
      <c r="BA264" s="40">
        <f>COUNTIF(_20work_order[05_id],_01towers[[#This Row],[05_id]])</f>
        <v>0</v>
      </c>
      <c r="BB264" s="40">
        <f>COUNTIFS(_20work_order[05_id],_01towers[[#This Row],[05_id]],_20work_order[Actual_End],"&gt;0")</f>
        <v>0</v>
      </c>
      <c r="BC264" s="40" t="str">
        <f>IF(_01towers[[#This Row],[Completed Work Orders]]&gt;0,"Work Completed",
IF(_01towers[[#This Row],[Count Work Orders]]&gt;0,"Work in Progress",""))</f>
        <v/>
      </c>
      <c r="BD264"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264" s="40" t="str">
        <f>_xlfn.SWITCH(_01towers[[#This Row],[Final Colo Status full]],"Commercial Approval Requested","Under Prevalidation",_01towers[[#This Row],[Final Colo Status full]])</f>
        <v>Prevalidated - TSSR Done</v>
      </c>
    </row>
    <row r="265" spans="1:57" hidden="1" x14ac:dyDescent="0.35">
      <c r="A265" s="40" t="s">
        <v>593</v>
      </c>
      <c r="B265" s="40" t="s">
        <v>90</v>
      </c>
      <c r="C265" s="40" t="s">
        <v>51</v>
      </c>
      <c r="D265">
        <v>35</v>
      </c>
      <c r="E265" s="40" t="s">
        <v>98</v>
      </c>
      <c r="F265">
        <v>96.189175000000006</v>
      </c>
      <c r="G265">
        <v>16.857748999999998</v>
      </c>
      <c r="H265" s="40" t="s">
        <v>99</v>
      </c>
      <c r="I265">
        <v>271</v>
      </c>
      <c r="J265" s="40" t="s">
        <v>594</v>
      </c>
      <c r="K265" s="40" t="s">
        <v>55</v>
      </c>
      <c r="L265" s="40" t="s">
        <v>670</v>
      </c>
      <c r="M265" s="40" t="s">
        <v>57</v>
      </c>
      <c r="N265" s="40" t="s">
        <v>57</v>
      </c>
      <c r="O265" s="40" t="s">
        <v>75</v>
      </c>
      <c r="P265" s="40" t="s">
        <v>57</v>
      </c>
      <c r="Q265" s="40" t="s">
        <v>57</v>
      </c>
      <c r="R265" s="40" t="s">
        <v>57</v>
      </c>
      <c r="S265">
        <v>264</v>
      </c>
      <c r="T265">
        <v>1</v>
      </c>
      <c r="U265" s="1"/>
      <c r="V265" s="1"/>
      <c r="W265" s="1"/>
      <c r="X265" s="1"/>
      <c r="Y265" s="1"/>
      <c r="Z265" s="40"/>
      <c r="AA265">
        <v>269</v>
      </c>
      <c r="AB265">
        <v>1</v>
      </c>
      <c r="AC265" s="1"/>
      <c r="AD265" s="40"/>
      <c r="AE265" s="1"/>
      <c r="AF265" s="1"/>
      <c r="AG265" s="1"/>
      <c r="AH265" s="40"/>
      <c r="AI265" s="1"/>
      <c r="AJ265" s="40">
        <f>_xlfn.MAXIFS(_01towers[02tss.Rev],_01towers[05_id],_01towers[[#This Row],[05_id]])</f>
        <v>1</v>
      </c>
      <c r="AK265" s="40" t="b">
        <f>IF(_01towers[[#This Row],[Count Rev TSS]]=_01towers[[#This Row],[02tss.Rev]],TRUE,FALSE)</f>
        <v>1</v>
      </c>
      <c r="AL265" s="40">
        <f>_xlfn.MAXIFS(_01towers[10colo_app.Rev],_01towers[05_id],_01towers[[#This Row],[05_id]])</f>
        <v>1</v>
      </c>
      <c r="AM265" s="40" t="b">
        <f>IF(_01towers[[#This Row],[Count Rev Colo App]]=_01towers[[#This Row],[10colo_app.Rev]],TRUE,FALSE)</f>
        <v>1</v>
      </c>
      <c r="AN265" s="40" t="b">
        <f>IF(AND(_01towers[[#This Row],[Test Rev Colo]]=TRUE,_01towers[[#This Row],[Test Rev TSS]]=TRUE),TRUE,FALSE)</f>
        <v>1</v>
      </c>
      <c r="AO265" s="40" t="str">
        <f>IF(_01towers[[#This Row],[Test Active]]=TRUE,_01towers[[#This Row],[Prevalidation Status]],"")</f>
        <v>Commercial Approval Pending</v>
      </c>
      <c r="AP265" s="40" t="str">
        <f>IF(_01towers[[#This Row],[Active Prevalidation Status]]="Under Prevalidation",
IF(M265="","Review",M265),"")</f>
        <v/>
      </c>
      <c r="AQ265" s="40" t="str">
        <f>IF(_01towers[[#This Row],[Active Prevalidation Status]]="Under Prevalidation",
IF(N265="","Review",N265),"")</f>
        <v/>
      </c>
      <c r="AR265" s="40" t="str">
        <f>IF(_01towers[[#This Row],[Active Prevalidation Status]]="Under Prevalidation",
IF(O265="","Review",O265),"")</f>
        <v/>
      </c>
      <c r="AS265" s="40" t="str">
        <f>IF(_01towers[[#This Row],[Active Prevalidation Status]]="Under Prevalidation",
IF(P265="","Review",P265),"")</f>
        <v/>
      </c>
      <c r="AT265" s="40" t="str">
        <f>IF(_01towers[[#This Row],[Active Prevalidation Status]]="Under Prevalidation",
IF(Q265="","Review",Q265),"")</f>
        <v/>
      </c>
      <c r="AU265" s="40" t="str">
        <f>IF(_01towers[[#This Row],[Active Prevalidation Status]]="Under Prevalidation",
IF(R265="","Review",R265),"")</f>
        <v/>
      </c>
      <c r="AV265" s="40">
        <f>COUNTIF(_01towers[[#This Row],[SAQ_Result2]:[Community_Result2]],"OK")</f>
        <v>0</v>
      </c>
      <c r="AW265" s="1" t="str">
        <f>IF(AND(OR(_01towers[[#This Row],[Active Prevalidation Status]]="Under Prevalidation",_01towers[[#This Row],[Active Prevalidation Status]]="Prevalidated"),_01towers[[#This Row],[02tss.TSSR_From_Engineer]]&gt;0),"Submitted","")</f>
        <v/>
      </c>
      <c r="AX265" s="40" t="str">
        <f>IF(OR(_01towers[[#This Row],[Active Prevalidation Status]]="Under Prevalidation",_01towers[[#This Row],[Active Prevalidation Status]]="Prevalidated"),_01towers[[#This Row],[02tss.TSS_Result]],"")</f>
        <v/>
      </c>
      <c r="AY265" s="40" t="str">
        <f>IF(AND(_01towers[[#This Row],[Active TSS Result]]="Approved",_01towers[[#This Row],[Active Prevalidation Status]]="Prevalidated"),"In Process","")</f>
        <v/>
      </c>
      <c r="AZ265" s="40" t="str">
        <f>IF(AND(_01towers[[#This Row],[Active TSS Result]]="Approved",_01towers[[#This Row],[Active Prevalidation Status]]="Prevalidated"),_01towers[[#This Row],[10colo_app.Colo_App_Result]],"")</f>
        <v/>
      </c>
      <c r="BA265" s="40">
        <f>COUNTIF(_20work_order[05_id],_01towers[[#This Row],[05_id]])</f>
        <v>0</v>
      </c>
      <c r="BB265" s="40">
        <f>COUNTIFS(_20work_order[05_id],_01towers[[#This Row],[05_id]],_20work_order[Actual_End],"&gt;0")</f>
        <v>0</v>
      </c>
      <c r="BC265" s="40" t="str">
        <f>IF(_01towers[[#This Row],[Completed Work Orders]]&gt;0,"Work Completed",
IF(_01towers[[#This Row],[Count Work Orders]]&gt;0,"Work in Progress",""))</f>
        <v/>
      </c>
      <c r="BD265"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Pending</v>
      </c>
      <c r="BE265" s="40" t="str">
        <f>_xlfn.SWITCH(_01towers[[#This Row],[Final Colo Status full]],"Commercial Approval Requested","Under Prevalidation",_01towers[[#This Row],[Final Colo Status full]])</f>
        <v>Commercial Approval Pending</v>
      </c>
    </row>
    <row r="266" spans="1:57" hidden="1" x14ac:dyDescent="0.35">
      <c r="A266" s="40" t="s">
        <v>595</v>
      </c>
      <c r="B266" s="40" t="s">
        <v>90</v>
      </c>
      <c r="C266" s="40" t="s">
        <v>51</v>
      </c>
      <c r="D266">
        <v>35</v>
      </c>
      <c r="E266" s="40" t="s">
        <v>94</v>
      </c>
      <c r="F266">
        <v>97.723060000000004</v>
      </c>
      <c r="G266">
        <v>16.260819999999999</v>
      </c>
      <c r="H266" s="40" t="s">
        <v>53</v>
      </c>
      <c r="I266">
        <v>272</v>
      </c>
      <c r="J266" s="40" t="s">
        <v>596</v>
      </c>
      <c r="K266" s="40" t="s">
        <v>55</v>
      </c>
      <c r="L266" s="40" t="s">
        <v>75</v>
      </c>
      <c r="M266" s="40" t="s">
        <v>161</v>
      </c>
      <c r="N266" s="40" t="s">
        <v>57</v>
      </c>
      <c r="O266" s="40" t="s">
        <v>161</v>
      </c>
      <c r="P266" s="40" t="s">
        <v>75</v>
      </c>
      <c r="Q266" s="40" t="s">
        <v>57</v>
      </c>
      <c r="R266" s="40" t="s">
        <v>75</v>
      </c>
      <c r="S266">
        <v>265</v>
      </c>
      <c r="T266">
        <v>1</v>
      </c>
      <c r="U266" s="1"/>
      <c r="V266" s="1"/>
      <c r="W266" s="1"/>
      <c r="X266" s="1"/>
      <c r="Y266" s="1"/>
      <c r="Z266" s="40"/>
      <c r="AA266">
        <v>270</v>
      </c>
      <c r="AB266">
        <v>1</v>
      </c>
      <c r="AC266" s="1"/>
      <c r="AD266" s="40"/>
      <c r="AE266" s="1"/>
      <c r="AF266" s="1"/>
      <c r="AG266" s="1"/>
      <c r="AH266" s="40"/>
      <c r="AI266" s="1"/>
      <c r="AJ266" s="40">
        <f>_xlfn.MAXIFS(_01towers[02tss.Rev],_01towers[05_id],_01towers[[#This Row],[05_id]])</f>
        <v>1</v>
      </c>
      <c r="AK266" s="40" t="b">
        <f>IF(_01towers[[#This Row],[Count Rev TSS]]=_01towers[[#This Row],[02tss.Rev]],TRUE,FALSE)</f>
        <v>1</v>
      </c>
      <c r="AL266" s="40">
        <f>_xlfn.MAXIFS(_01towers[10colo_app.Rev],_01towers[05_id],_01towers[[#This Row],[05_id]])</f>
        <v>1</v>
      </c>
      <c r="AM266" s="40" t="b">
        <f>IF(_01towers[[#This Row],[Count Rev Colo App]]=_01towers[[#This Row],[10colo_app.Rev]],TRUE,FALSE)</f>
        <v>1</v>
      </c>
      <c r="AN266" s="40" t="b">
        <f>IF(AND(_01towers[[#This Row],[Test Rev Colo]]=TRUE,_01towers[[#This Row],[Test Rev TSS]]=TRUE),TRUE,FALSE)</f>
        <v>1</v>
      </c>
      <c r="AO266" s="40" t="str">
        <f>IF(_01towers[[#This Row],[Test Active]]=TRUE,_01towers[[#This Row],[Prevalidation Status]],"")</f>
        <v>Rejected</v>
      </c>
      <c r="AP266" s="40" t="str">
        <f>IF(_01towers[[#This Row],[Active Prevalidation Status]]="Under Prevalidation",
IF(M266="","Review",M266),"")</f>
        <v/>
      </c>
      <c r="AQ266" s="40" t="str">
        <f>IF(_01towers[[#This Row],[Active Prevalidation Status]]="Under Prevalidation",
IF(N266="","Review",N266),"")</f>
        <v/>
      </c>
      <c r="AR266" s="40" t="str">
        <f>IF(_01towers[[#This Row],[Active Prevalidation Status]]="Under Prevalidation",
IF(O266="","Review",O266),"")</f>
        <v/>
      </c>
      <c r="AS266" s="40" t="str">
        <f>IF(_01towers[[#This Row],[Active Prevalidation Status]]="Under Prevalidation",
IF(P266="","Review",P266),"")</f>
        <v/>
      </c>
      <c r="AT266" s="40" t="str">
        <f>IF(_01towers[[#This Row],[Active Prevalidation Status]]="Under Prevalidation",
IF(Q266="","Review",Q266),"")</f>
        <v/>
      </c>
      <c r="AU266" s="40" t="str">
        <f>IF(_01towers[[#This Row],[Active Prevalidation Status]]="Under Prevalidation",
IF(R266="","Review",R266),"")</f>
        <v/>
      </c>
      <c r="AV266" s="40">
        <f>COUNTIF(_01towers[[#This Row],[SAQ_Result2]:[Community_Result2]],"OK")</f>
        <v>0</v>
      </c>
      <c r="AW266" s="1" t="str">
        <f>IF(AND(OR(_01towers[[#This Row],[Active Prevalidation Status]]="Under Prevalidation",_01towers[[#This Row],[Active Prevalidation Status]]="Prevalidated"),_01towers[[#This Row],[02tss.TSSR_From_Engineer]]&gt;0),"Submitted","")</f>
        <v/>
      </c>
      <c r="AX266" s="40" t="str">
        <f>IF(OR(_01towers[[#This Row],[Active Prevalidation Status]]="Under Prevalidation",_01towers[[#This Row],[Active Prevalidation Status]]="Prevalidated"),_01towers[[#This Row],[02tss.TSS_Result]],"")</f>
        <v/>
      </c>
      <c r="AY266" s="40" t="str">
        <f>IF(AND(_01towers[[#This Row],[Active TSS Result]]="Approved",_01towers[[#This Row],[Active Prevalidation Status]]="Prevalidated"),"In Process","")</f>
        <v/>
      </c>
      <c r="AZ266" s="40" t="str">
        <f>IF(AND(_01towers[[#This Row],[Active TSS Result]]="Approved",_01towers[[#This Row],[Active Prevalidation Status]]="Prevalidated"),_01towers[[#This Row],[10colo_app.Colo_App_Result]],"")</f>
        <v/>
      </c>
      <c r="BA266" s="40">
        <f>COUNTIF(_20work_order[05_id],_01towers[[#This Row],[05_id]])</f>
        <v>0</v>
      </c>
      <c r="BB266" s="40">
        <f>COUNTIFS(_20work_order[05_id],_01towers[[#This Row],[05_id]],_20work_order[Actual_End],"&gt;0")</f>
        <v>0</v>
      </c>
      <c r="BC266" s="40" t="str">
        <f>IF(_01towers[[#This Row],[Completed Work Orders]]&gt;0,"Work Completed",
IF(_01towers[[#This Row],[Count Work Orders]]&gt;0,"Work in Progress",""))</f>
        <v/>
      </c>
      <c r="BD266"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Rejected</v>
      </c>
      <c r="BE266" s="40" t="str">
        <f>_xlfn.SWITCH(_01towers[[#This Row],[Final Colo Status full]],"Commercial Approval Requested","Under Prevalidation",_01towers[[#This Row],[Final Colo Status full]])</f>
        <v>Rejected</v>
      </c>
    </row>
    <row r="267" spans="1:57" hidden="1" x14ac:dyDescent="0.35">
      <c r="A267" s="40" t="s">
        <v>597</v>
      </c>
      <c r="B267" s="40" t="s">
        <v>85</v>
      </c>
      <c r="C267" s="40" t="s">
        <v>51</v>
      </c>
      <c r="D267">
        <v>60</v>
      </c>
      <c r="E267" s="40" t="s">
        <v>155</v>
      </c>
      <c r="F267">
        <v>96.261160000000004</v>
      </c>
      <c r="G267">
        <v>19.936029999999999</v>
      </c>
      <c r="H267" s="40" t="s">
        <v>53</v>
      </c>
      <c r="I267">
        <v>273</v>
      </c>
      <c r="J267" s="40" t="s">
        <v>598</v>
      </c>
      <c r="K267" s="40" t="s">
        <v>55</v>
      </c>
      <c r="L267" s="40" t="s">
        <v>64</v>
      </c>
      <c r="M267" s="40" t="s">
        <v>57</v>
      </c>
      <c r="N267" s="40" t="s">
        <v>57</v>
      </c>
      <c r="O267" s="40" t="s">
        <v>161</v>
      </c>
      <c r="P267" s="40" t="s">
        <v>57</v>
      </c>
      <c r="Q267" s="40" t="s">
        <v>57</v>
      </c>
      <c r="R267" s="40" t="s">
        <v>57</v>
      </c>
      <c r="S267">
        <v>266</v>
      </c>
      <c r="T267">
        <v>1</v>
      </c>
      <c r="U267" s="1"/>
      <c r="V267" s="1"/>
      <c r="W267" s="1">
        <v>43326</v>
      </c>
      <c r="X267" s="1">
        <v>43326</v>
      </c>
      <c r="Y267" s="1"/>
      <c r="Z267" s="40" t="s">
        <v>59</v>
      </c>
      <c r="AA267">
        <v>271</v>
      </c>
      <c r="AB267">
        <v>1</v>
      </c>
      <c r="AC267" s="1"/>
      <c r="AD267" s="40"/>
      <c r="AE267" s="1"/>
      <c r="AF267" s="1"/>
      <c r="AG267" s="1"/>
      <c r="AH267" s="40"/>
      <c r="AI267" s="1"/>
      <c r="AJ267" s="40">
        <f>_xlfn.MAXIFS(_01towers[02tss.Rev],_01towers[05_id],_01towers[[#This Row],[05_id]])</f>
        <v>1</v>
      </c>
      <c r="AK267" s="40" t="b">
        <f>IF(_01towers[[#This Row],[Count Rev TSS]]=_01towers[[#This Row],[02tss.Rev]],TRUE,FALSE)</f>
        <v>1</v>
      </c>
      <c r="AL267" s="40">
        <f>_xlfn.MAXIFS(_01towers[10colo_app.Rev],_01towers[05_id],_01towers[[#This Row],[05_id]])</f>
        <v>1</v>
      </c>
      <c r="AM267" s="40" t="b">
        <f>IF(_01towers[[#This Row],[Count Rev Colo App]]=_01towers[[#This Row],[10colo_app.Rev]],TRUE,FALSE)</f>
        <v>1</v>
      </c>
      <c r="AN267" s="40" t="b">
        <f>IF(AND(_01towers[[#This Row],[Test Rev Colo]]=TRUE,_01towers[[#This Row],[Test Rev TSS]]=TRUE),TRUE,FALSE)</f>
        <v>1</v>
      </c>
      <c r="AO267" s="40" t="str">
        <f>IF(_01towers[[#This Row],[Test Active]]=TRUE,_01towers[[#This Row],[Prevalidation Status]],"")</f>
        <v>Prevalidated</v>
      </c>
      <c r="AP267" s="40" t="str">
        <f>IF(_01towers[[#This Row],[Active Prevalidation Status]]="Under Prevalidation",
IF(M267="","Review",M267),"")</f>
        <v/>
      </c>
      <c r="AQ267" s="40" t="str">
        <f>IF(_01towers[[#This Row],[Active Prevalidation Status]]="Under Prevalidation",
IF(N267="","Review",N267),"")</f>
        <v/>
      </c>
      <c r="AR267" s="40" t="str">
        <f>IF(_01towers[[#This Row],[Active Prevalidation Status]]="Under Prevalidation",
IF(O267="","Review",O267),"")</f>
        <v/>
      </c>
      <c r="AS267" s="40" t="str">
        <f>IF(_01towers[[#This Row],[Active Prevalidation Status]]="Under Prevalidation",
IF(P267="","Review",P267),"")</f>
        <v/>
      </c>
      <c r="AT267" s="40" t="str">
        <f>IF(_01towers[[#This Row],[Active Prevalidation Status]]="Under Prevalidation",
IF(Q267="","Review",Q267),"")</f>
        <v/>
      </c>
      <c r="AU267" s="40" t="str">
        <f>IF(_01towers[[#This Row],[Active Prevalidation Status]]="Under Prevalidation",
IF(R267="","Review",R267),"")</f>
        <v/>
      </c>
      <c r="AV267" s="40">
        <f>COUNTIF(_01towers[[#This Row],[SAQ_Result2]:[Community_Result2]],"OK")</f>
        <v>0</v>
      </c>
      <c r="AW267" s="1" t="str">
        <f>IF(AND(OR(_01towers[[#This Row],[Active Prevalidation Status]]="Under Prevalidation",_01towers[[#This Row],[Active Prevalidation Status]]="Prevalidated"),_01towers[[#This Row],[02tss.TSSR_From_Engineer]]&gt;0),"Submitted","")</f>
        <v>Submitted</v>
      </c>
      <c r="AX267" s="40" t="str">
        <f>IF(OR(_01towers[[#This Row],[Active Prevalidation Status]]="Under Prevalidation",_01towers[[#This Row],[Active Prevalidation Status]]="Prevalidated"),_01towers[[#This Row],[02tss.TSS_Result]],"")</f>
        <v>Approved</v>
      </c>
      <c r="AY267" s="40" t="str">
        <f>IF(AND(_01towers[[#This Row],[Active TSS Result]]="Approved",_01towers[[#This Row],[Active Prevalidation Status]]="Prevalidated"),"In Process","")</f>
        <v>In Process</v>
      </c>
      <c r="AZ267" s="40">
        <f>IF(AND(_01towers[[#This Row],[Active TSS Result]]="Approved",_01towers[[#This Row],[Active Prevalidation Status]]="Prevalidated"),_01towers[[#This Row],[10colo_app.Colo_App_Result]],"")</f>
        <v>0</v>
      </c>
      <c r="BA267" s="40">
        <f>COUNTIF(_20work_order[05_id],_01towers[[#This Row],[05_id]])</f>
        <v>0</v>
      </c>
      <c r="BB267" s="40">
        <f>COUNTIFS(_20work_order[05_id],_01towers[[#This Row],[05_id]],_20work_order[Actual_End],"&gt;0")</f>
        <v>0</v>
      </c>
      <c r="BC267" s="40" t="str">
        <f>IF(_01towers[[#This Row],[Completed Work Orders]]&gt;0,"Work Completed",
IF(_01towers[[#This Row],[Count Work Orders]]&gt;0,"Work in Progress",""))</f>
        <v/>
      </c>
      <c r="BD267"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Prevalidated - TSSR Done</v>
      </c>
      <c r="BE267" s="40" t="str">
        <f>_xlfn.SWITCH(_01towers[[#This Row],[Final Colo Status full]],"Commercial Approval Requested","Under Prevalidation",_01towers[[#This Row],[Final Colo Status full]])</f>
        <v>Prevalidated - TSSR Done</v>
      </c>
    </row>
    <row r="268" spans="1:57" hidden="1" x14ac:dyDescent="0.35">
      <c r="A268" s="40" t="s">
        <v>651</v>
      </c>
      <c r="B268" s="40" t="s">
        <v>90</v>
      </c>
      <c r="C268" s="40" t="s">
        <v>51</v>
      </c>
      <c r="D268">
        <v>35</v>
      </c>
      <c r="E268" s="40" t="s">
        <v>98</v>
      </c>
      <c r="F268">
        <v>96.241739999999993</v>
      </c>
      <c r="G268">
        <v>16.767330000000001</v>
      </c>
      <c r="H268" s="40" t="s">
        <v>190</v>
      </c>
      <c r="I268">
        <v>274</v>
      </c>
      <c r="J268" s="40" t="s">
        <v>504</v>
      </c>
      <c r="K268" s="40" t="s">
        <v>55</v>
      </c>
      <c r="L268" s="40" t="s">
        <v>670</v>
      </c>
      <c r="M268" s="40"/>
      <c r="N268" s="40" t="s">
        <v>57</v>
      </c>
      <c r="O268" s="40"/>
      <c r="P268" s="40"/>
      <c r="Q268" s="40"/>
      <c r="R268" s="40"/>
      <c r="U268" s="1"/>
      <c r="V268" s="1"/>
      <c r="W268" s="1"/>
      <c r="X268" s="1"/>
      <c r="Y268" s="1"/>
      <c r="Z268" s="40"/>
      <c r="AC268" s="1"/>
      <c r="AD268" s="40"/>
      <c r="AE268" s="1"/>
      <c r="AF268" s="1"/>
      <c r="AG268" s="1"/>
      <c r="AH268" s="40"/>
      <c r="AI268" s="1"/>
      <c r="AJ268" s="40">
        <f>_xlfn.MAXIFS(_01towers[02tss.Rev],_01towers[05_id],_01towers[[#This Row],[05_id]])</f>
        <v>0</v>
      </c>
      <c r="AK268" s="40" t="b">
        <f>IF(_01towers[[#This Row],[Count Rev TSS]]=_01towers[[#This Row],[02tss.Rev]],TRUE,FALSE)</f>
        <v>1</v>
      </c>
      <c r="AL268" s="40">
        <f>_xlfn.MAXIFS(_01towers[10colo_app.Rev],_01towers[05_id],_01towers[[#This Row],[05_id]])</f>
        <v>0</v>
      </c>
      <c r="AM268" s="40" t="b">
        <f>IF(_01towers[[#This Row],[Count Rev Colo App]]=_01towers[[#This Row],[10colo_app.Rev]],TRUE,FALSE)</f>
        <v>1</v>
      </c>
      <c r="AN268" s="40" t="b">
        <f>IF(AND(_01towers[[#This Row],[Test Rev Colo]]=TRUE,_01towers[[#This Row],[Test Rev TSS]]=TRUE),TRUE,FALSE)</f>
        <v>1</v>
      </c>
      <c r="AO268" s="40" t="str">
        <f>IF(_01towers[[#This Row],[Test Active]]=TRUE,_01towers[[#This Row],[Prevalidation Status]],"")</f>
        <v>Commercial Approval Pending</v>
      </c>
      <c r="AP268" s="40" t="str">
        <f>IF(_01towers[[#This Row],[Active Prevalidation Status]]="Under Prevalidation",
IF(M268="","Review",M268),"")</f>
        <v/>
      </c>
      <c r="AQ268" s="40" t="str">
        <f>IF(_01towers[[#This Row],[Active Prevalidation Status]]="Under Prevalidation",
IF(N268="","Review",N268),"")</f>
        <v/>
      </c>
      <c r="AR268" s="40" t="str">
        <f>IF(_01towers[[#This Row],[Active Prevalidation Status]]="Under Prevalidation",
IF(O268="","Review",O268),"")</f>
        <v/>
      </c>
      <c r="AS268" s="40" t="str">
        <f>IF(_01towers[[#This Row],[Active Prevalidation Status]]="Under Prevalidation",
IF(P268="","Review",P268),"")</f>
        <v/>
      </c>
      <c r="AT268" s="40" t="str">
        <f>IF(_01towers[[#This Row],[Active Prevalidation Status]]="Under Prevalidation",
IF(Q268="","Review",Q268),"")</f>
        <v/>
      </c>
      <c r="AU268" s="40" t="str">
        <f>IF(_01towers[[#This Row],[Active Prevalidation Status]]="Under Prevalidation",
IF(R268="","Review",R268),"")</f>
        <v/>
      </c>
      <c r="AV268" s="40">
        <f>COUNTIF(_01towers[[#This Row],[SAQ_Result2]:[Community_Result2]],"OK")</f>
        <v>0</v>
      </c>
      <c r="AW268" s="1" t="str">
        <f>IF(AND(OR(_01towers[[#This Row],[Active Prevalidation Status]]="Under Prevalidation",_01towers[[#This Row],[Active Prevalidation Status]]="Prevalidated"),_01towers[[#This Row],[02tss.TSSR_From_Engineer]]&gt;0),"Submitted","")</f>
        <v/>
      </c>
      <c r="AX268" s="40" t="str">
        <f>IF(OR(_01towers[[#This Row],[Active Prevalidation Status]]="Under Prevalidation",_01towers[[#This Row],[Active Prevalidation Status]]="Prevalidated"),_01towers[[#This Row],[02tss.TSS_Result]],"")</f>
        <v/>
      </c>
      <c r="AY268" s="40" t="str">
        <f>IF(AND(_01towers[[#This Row],[Active TSS Result]]="Approved",_01towers[[#This Row],[Active Prevalidation Status]]="Prevalidated"),"In Process","")</f>
        <v/>
      </c>
      <c r="AZ268" s="40" t="str">
        <f>IF(AND(_01towers[[#This Row],[Active TSS Result]]="Approved",_01towers[[#This Row],[Active Prevalidation Status]]="Prevalidated"),_01towers[[#This Row],[10colo_app.Colo_App_Result]],"")</f>
        <v/>
      </c>
      <c r="BA268" s="40">
        <f>COUNTIF(_20work_order[05_id],_01towers[[#This Row],[05_id]])</f>
        <v>0</v>
      </c>
      <c r="BB268" s="40">
        <f>COUNTIFS(_20work_order[05_id],_01towers[[#This Row],[05_id]],_20work_order[Actual_End],"&gt;0")</f>
        <v>0</v>
      </c>
      <c r="BC268" s="40" t="str">
        <f>IF(_01towers[[#This Row],[Completed Work Orders]]&gt;0,"Work Completed",
IF(_01towers[[#This Row],[Count Work Orders]]&gt;0,"Work in Progress",""))</f>
        <v/>
      </c>
      <c r="BD268" s="40" t="str">
        <f>IF(_01towers[[#This Row],[10colo_app.On_Air_Date]]&gt;0,"On Air",IF(_01towers[[#This Row],[10colo_app.RFI_Approval_Date]]&gt;0,"RFI",
IF(AND(_01towers[[#This Row],[WIP Readiness]]&lt;&gt;"",OR(_01towers[[#This Row],[Active Colo Application Result]]="Approved",_01towers[[#This Row],[Active Colo Application Result]]="NTP Received")),_01towers[[#This Row],[WIP Readiness]],
IF(_01towers[[#This Row],[Active Colo Application Result]]="Approved","Colo Application Approved",
IF(_01towers[[#This Row],[Active Colo Application Result]]="NTP Received",_01towers[[#This Row],[Active Colo Application Result]],
IF(AND(_01towers[[#This Row],[Active TSS Result]]="Approved",_01towers[[#This Row],[Active Prevalidation Status]]="Prevalidated"),"Prevalidated - TSSR Done",
IF(_01towers[[#This Row],[Active Prevalidation Status]]="Prevalidated","Prevalidated - TSSR in Process",_01towers[[#This Row],[Active Prevalidation Status]])))))))</f>
        <v>Commercial Approval Pending</v>
      </c>
      <c r="BE268" s="40" t="str">
        <f>_xlfn.SWITCH(_01towers[[#This Row],[Final Colo Status full]],"Commercial Approval Requested","Under Prevalidation",_01towers[[#This Row],[Final Colo Status full]])</f>
        <v>Commercial Approval Pending</v>
      </c>
    </row>
    <row r="270" spans="1:57" x14ac:dyDescent="0.35">
      <c r="I270">
        <v>266</v>
      </c>
    </row>
    <row r="271" spans="1:57" x14ac:dyDescent="0.35">
      <c r="I271">
        <v>267</v>
      </c>
    </row>
    <row r="272" spans="1:57" x14ac:dyDescent="0.35">
      <c r="I272">
        <v>268</v>
      </c>
    </row>
    <row r="273" spans="9:9" x14ac:dyDescent="0.35">
      <c r="I273">
        <v>269</v>
      </c>
    </row>
    <row r="274" spans="9:9" x14ac:dyDescent="0.35">
      <c r="I274">
        <v>270</v>
      </c>
    </row>
    <row r="275" spans="9:9" x14ac:dyDescent="0.35">
      <c r="I275">
        <v>271</v>
      </c>
    </row>
    <row r="276" spans="9:9" x14ac:dyDescent="0.35">
      <c r="I276">
        <v>272</v>
      </c>
    </row>
    <row r="277" spans="9:9" x14ac:dyDescent="0.35">
      <c r="I277">
        <v>273</v>
      </c>
    </row>
  </sheetData>
  <conditionalFormatting sqref="B269:B1048576 I1:I268">
    <cfRule type="duplicateValues" dxfId="63" priority="2"/>
  </conditionalFormatting>
  <conditionalFormatting sqref="A1:A1048576">
    <cfRule type="duplicateValues" dxfId="62" priority="1"/>
  </conditionalFormatting>
  <pageMargins left="0.7" right="0.7" top="0.75" bottom="0.75" header="0.3" footer="0.3"/>
  <pageSetup paperSize="9"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BBA84-6B2D-4151-9B75-1542446EB72A}">
  <sheetPr codeName="Sheet4">
    <tabColor theme="9"/>
  </sheetPr>
  <dimension ref="A1:O47"/>
  <sheetViews>
    <sheetView workbookViewId="0">
      <selection activeCell="A13" sqref="A13"/>
    </sheetView>
  </sheetViews>
  <sheetFormatPr defaultRowHeight="14.5" x14ac:dyDescent="0.35"/>
  <cols>
    <col min="1" max="1" width="18.453125" bestFit="1" customWidth="1"/>
    <col min="2" max="2" width="8" bestFit="1" customWidth="1"/>
    <col min="3" max="3" width="18.26953125" bestFit="1" customWidth="1"/>
    <col min="4" max="4" width="16.26953125" bestFit="1" customWidth="1"/>
    <col min="5" max="5" width="20" bestFit="1" customWidth="1"/>
    <col min="6" max="6" width="10.7265625" bestFit="1" customWidth="1"/>
    <col min="7" max="7" width="20.26953125" bestFit="1" customWidth="1"/>
    <col min="8" max="8" width="11" bestFit="1" customWidth="1"/>
    <col min="9" max="9" width="15.7265625" bestFit="1" customWidth="1"/>
    <col min="10" max="10" width="12.26953125" bestFit="1" customWidth="1"/>
    <col min="11" max="11" width="11.453125" bestFit="1" customWidth="1"/>
    <col min="12" max="12" width="17.453125" bestFit="1" customWidth="1"/>
    <col min="13" max="13" width="14" bestFit="1" customWidth="1"/>
    <col min="14" max="14" width="13.1796875" bestFit="1" customWidth="1"/>
    <col min="15" max="15" width="35.7265625" bestFit="1" customWidth="1"/>
  </cols>
  <sheetData>
    <row r="1" spans="1:15" x14ac:dyDescent="0.35">
      <c r="A1" t="s">
        <v>544</v>
      </c>
      <c r="B1" t="s">
        <v>8</v>
      </c>
      <c r="C1" t="s">
        <v>545</v>
      </c>
      <c r="D1" t="s">
        <v>546</v>
      </c>
      <c r="E1" t="s">
        <v>547</v>
      </c>
      <c r="F1" t="s">
        <v>548</v>
      </c>
      <c r="G1" t="s">
        <v>549</v>
      </c>
      <c r="H1" t="s">
        <v>550</v>
      </c>
      <c r="I1" t="s">
        <v>551</v>
      </c>
      <c r="J1" t="s">
        <v>552</v>
      </c>
      <c r="K1" t="s">
        <v>553</v>
      </c>
      <c r="L1" t="s">
        <v>554</v>
      </c>
      <c r="M1" t="s">
        <v>555</v>
      </c>
      <c r="N1" t="s">
        <v>556</v>
      </c>
      <c r="O1" t="s">
        <v>557</v>
      </c>
    </row>
    <row r="2" spans="1:15" x14ac:dyDescent="0.35">
      <c r="A2">
        <v>1</v>
      </c>
      <c r="B2">
        <v>9</v>
      </c>
      <c r="C2" s="40" t="s">
        <v>558</v>
      </c>
      <c r="D2" s="40"/>
      <c r="E2" s="40" t="s">
        <v>559</v>
      </c>
      <c r="F2" s="1">
        <v>43181</v>
      </c>
      <c r="G2" s="40"/>
      <c r="H2" s="1"/>
      <c r="I2" s="1"/>
      <c r="J2" s="1"/>
      <c r="K2" s="1"/>
      <c r="L2" s="1"/>
      <c r="M2" s="1">
        <v>43185</v>
      </c>
      <c r="N2" s="1">
        <v>43185</v>
      </c>
      <c r="O2" s="40"/>
    </row>
    <row r="3" spans="1:15" x14ac:dyDescent="0.35">
      <c r="A3">
        <v>2</v>
      </c>
      <c r="B3">
        <v>21</v>
      </c>
      <c r="C3" s="40" t="s">
        <v>558</v>
      </c>
      <c r="D3" s="40"/>
      <c r="E3" s="40"/>
      <c r="F3" s="1"/>
      <c r="G3" s="40"/>
      <c r="H3" s="1"/>
      <c r="I3" s="1"/>
      <c r="J3" s="1"/>
      <c r="K3" s="1"/>
      <c r="L3" s="1"/>
      <c r="M3" s="1"/>
      <c r="N3" s="1">
        <v>43201</v>
      </c>
      <c r="O3" s="40"/>
    </row>
    <row r="4" spans="1:15" x14ac:dyDescent="0.35">
      <c r="A4">
        <v>3</v>
      </c>
      <c r="B4">
        <v>22</v>
      </c>
      <c r="C4" s="40" t="s">
        <v>558</v>
      </c>
      <c r="D4" s="40"/>
      <c r="E4" s="40" t="s">
        <v>560</v>
      </c>
      <c r="F4" s="1">
        <v>43181</v>
      </c>
      <c r="G4" s="40"/>
      <c r="H4" s="1"/>
      <c r="I4" s="1"/>
      <c r="J4" s="1">
        <v>43213</v>
      </c>
      <c r="K4" s="1"/>
      <c r="L4" s="1"/>
      <c r="M4" s="1"/>
      <c r="N4" s="1">
        <v>43194</v>
      </c>
      <c r="O4" s="40"/>
    </row>
    <row r="5" spans="1:15" x14ac:dyDescent="0.35">
      <c r="A5">
        <v>4</v>
      </c>
      <c r="B5">
        <v>23</v>
      </c>
      <c r="C5" s="40" t="s">
        <v>558</v>
      </c>
      <c r="D5" s="40"/>
      <c r="E5" s="40" t="s">
        <v>561</v>
      </c>
      <c r="F5" s="1">
        <v>43167</v>
      </c>
      <c r="G5" s="40" t="s">
        <v>562</v>
      </c>
      <c r="H5" s="1">
        <v>43174</v>
      </c>
      <c r="I5" s="1"/>
      <c r="J5" s="1">
        <v>43173</v>
      </c>
      <c r="K5" s="1"/>
      <c r="L5" s="1"/>
      <c r="M5" s="1"/>
      <c r="N5" s="1">
        <v>43160</v>
      </c>
      <c r="O5" s="40"/>
    </row>
    <row r="6" spans="1:15" x14ac:dyDescent="0.35">
      <c r="A6">
        <v>5</v>
      </c>
      <c r="B6">
        <v>24</v>
      </c>
      <c r="C6" s="40" t="s">
        <v>558</v>
      </c>
      <c r="D6" s="40"/>
      <c r="E6" s="40"/>
      <c r="F6" s="1"/>
      <c r="G6" s="40"/>
      <c r="H6" s="1"/>
      <c r="I6" s="1"/>
      <c r="J6" s="1"/>
      <c r="K6" s="1"/>
      <c r="L6" s="1"/>
      <c r="M6" s="1"/>
      <c r="N6" s="1">
        <v>43223</v>
      </c>
      <c r="O6" s="40"/>
    </row>
    <row r="7" spans="1:15" x14ac:dyDescent="0.35">
      <c r="A7">
        <v>6</v>
      </c>
      <c r="B7">
        <v>25</v>
      </c>
      <c r="C7" s="40" t="s">
        <v>558</v>
      </c>
      <c r="D7" s="40"/>
      <c r="E7" s="40"/>
      <c r="F7" s="1"/>
      <c r="G7" s="40"/>
      <c r="H7" s="1"/>
      <c r="I7" s="1"/>
      <c r="J7" s="1"/>
      <c r="K7" s="1"/>
      <c r="L7" s="1"/>
      <c r="M7" s="1"/>
      <c r="N7" s="1">
        <v>43224</v>
      </c>
      <c r="O7" s="40"/>
    </row>
    <row r="8" spans="1:15" x14ac:dyDescent="0.35">
      <c r="A8">
        <v>7</v>
      </c>
      <c r="B8">
        <v>26</v>
      </c>
      <c r="C8" s="40" t="s">
        <v>558</v>
      </c>
      <c r="D8" s="40"/>
      <c r="E8" s="40"/>
      <c r="F8" s="1"/>
      <c r="G8" s="40"/>
      <c r="H8" s="1"/>
      <c r="I8" s="1"/>
      <c r="J8" s="1"/>
      <c r="K8" s="1"/>
      <c r="L8" s="1"/>
      <c r="M8" s="1"/>
      <c r="N8" s="1">
        <v>43223</v>
      </c>
      <c r="O8" s="40"/>
    </row>
    <row r="9" spans="1:15" x14ac:dyDescent="0.35">
      <c r="A9">
        <v>8</v>
      </c>
      <c r="B9">
        <v>27</v>
      </c>
      <c r="C9" s="40" t="s">
        <v>558</v>
      </c>
      <c r="D9" s="40"/>
      <c r="E9" s="40"/>
      <c r="F9" s="1"/>
      <c r="G9" s="40"/>
      <c r="H9" s="1"/>
      <c r="I9" s="1"/>
      <c r="J9" s="1">
        <v>43187</v>
      </c>
      <c r="K9" s="1">
        <v>43187</v>
      </c>
      <c r="L9" s="1"/>
      <c r="M9" s="1">
        <v>43186</v>
      </c>
      <c r="N9" s="1">
        <v>43186</v>
      </c>
      <c r="O9" s="40"/>
    </row>
    <row r="10" spans="1:15" x14ac:dyDescent="0.35">
      <c r="A10">
        <v>9</v>
      </c>
      <c r="B10">
        <v>28</v>
      </c>
      <c r="C10" s="40" t="s">
        <v>558</v>
      </c>
      <c r="D10" s="40"/>
      <c r="E10" s="40"/>
      <c r="F10" s="1"/>
      <c r="G10" s="40"/>
      <c r="H10" s="1"/>
      <c r="I10" s="1"/>
      <c r="J10" s="1">
        <v>43188</v>
      </c>
      <c r="K10" s="1">
        <v>43188</v>
      </c>
      <c r="L10" s="1"/>
      <c r="M10" s="1">
        <v>43186</v>
      </c>
      <c r="N10" s="1">
        <v>43186</v>
      </c>
      <c r="O10" s="40"/>
    </row>
    <row r="11" spans="1:15" x14ac:dyDescent="0.35">
      <c r="A11">
        <v>10</v>
      </c>
      <c r="B11">
        <v>32</v>
      </c>
      <c r="C11" s="40" t="s">
        <v>558</v>
      </c>
      <c r="D11" s="40"/>
      <c r="E11" s="40"/>
      <c r="F11" s="1"/>
      <c r="G11" s="40"/>
      <c r="H11" s="1"/>
      <c r="I11" s="1"/>
      <c r="J11" s="1">
        <v>43194</v>
      </c>
      <c r="K11" s="1">
        <v>43195</v>
      </c>
      <c r="L11" s="1"/>
      <c r="M11" s="1">
        <v>43218</v>
      </c>
      <c r="N11" s="1">
        <v>43187</v>
      </c>
      <c r="O11" s="40"/>
    </row>
    <row r="12" spans="1:15" x14ac:dyDescent="0.35">
      <c r="A12">
        <v>11</v>
      </c>
      <c r="B12">
        <v>34</v>
      </c>
      <c r="C12" s="40" t="s">
        <v>558</v>
      </c>
      <c r="D12" s="40"/>
      <c r="E12" s="40"/>
      <c r="F12" s="1"/>
      <c r="G12" s="40"/>
      <c r="H12" s="1"/>
      <c r="I12" s="1"/>
      <c r="J12" s="1"/>
      <c r="K12" s="1"/>
      <c r="L12" s="1"/>
      <c r="M12" s="1"/>
      <c r="N12" s="1">
        <v>43222</v>
      </c>
      <c r="O12" s="40"/>
    </row>
    <row r="13" spans="1:15" x14ac:dyDescent="0.35">
      <c r="A13">
        <v>12</v>
      </c>
      <c r="B13">
        <v>35</v>
      </c>
      <c r="C13" s="40" t="s">
        <v>558</v>
      </c>
      <c r="D13" s="40"/>
      <c r="E13" s="40"/>
      <c r="F13" s="1"/>
      <c r="G13" s="40"/>
      <c r="H13" s="1"/>
      <c r="I13" s="1"/>
      <c r="J13" s="1"/>
      <c r="K13" s="1"/>
      <c r="L13" s="1"/>
      <c r="M13" s="1"/>
      <c r="N13" s="1">
        <v>43224</v>
      </c>
      <c r="O13" s="40"/>
    </row>
    <row r="14" spans="1:15" x14ac:dyDescent="0.35">
      <c r="A14">
        <v>13</v>
      </c>
      <c r="B14">
        <v>43</v>
      </c>
      <c r="C14" s="40" t="s">
        <v>558</v>
      </c>
      <c r="D14" s="40"/>
      <c r="E14" s="40"/>
      <c r="F14" s="1"/>
      <c r="G14" s="40"/>
      <c r="H14" s="1"/>
      <c r="I14" s="1"/>
      <c r="J14" s="1"/>
      <c r="K14" s="1"/>
      <c r="L14" s="1"/>
      <c r="M14" s="1"/>
      <c r="N14" s="1">
        <v>43243</v>
      </c>
      <c r="O14" s="40"/>
    </row>
    <row r="15" spans="1:15" x14ac:dyDescent="0.35">
      <c r="A15">
        <v>14</v>
      </c>
      <c r="B15">
        <v>44</v>
      </c>
      <c r="C15" s="40" t="s">
        <v>558</v>
      </c>
      <c r="D15" s="40"/>
      <c r="E15" s="40"/>
      <c r="F15" s="1"/>
      <c r="G15" s="40"/>
      <c r="H15" s="1"/>
      <c r="I15" s="1"/>
      <c r="J15" s="1"/>
      <c r="K15" s="1"/>
      <c r="L15" s="1"/>
      <c r="M15" s="1"/>
      <c r="N15" s="1">
        <v>43243</v>
      </c>
      <c r="O15" s="40"/>
    </row>
    <row r="16" spans="1:15" x14ac:dyDescent="0.35">
      <c r="A16">
        <v>15</v>
      </c>
      <c r="B16">
        <v>45</v>
      </c>
      <c r="C16" s="40" t="s">
        <v>558</v>
      </c>
      <c r="D16" s="40"/>
      <c r="E16" s="40"/>
      <c r="F16" s="1"/>
      <c r="G16" s="40"/>
      <c r="H16" s="1"/>
      <c r="I16" s="1"/>
      <c r="J16" s="1"/>
      <c r="K16" s="1"/>
      <c r="L16" s="1"/>
      <c r="M16" s="1"/>
      <c r="N16" s="1">
        <v>43243</v>
      </c>
      <c r="O16" s="40"/>
    </row>
    <row r="17" spans="1:15" x14ac:dyDescent="0.35">
      <c r="A17">
        <v>16</v>
      </c>
      <c r="B17">
        <v>47</v>
      </c>
      <c r="C17" s="40" t="s">
        <v>558</v>
      </c>
      <c r="D17" s="40"/>
      <c r="E17" s="40"/>
      <c r="F17" s="1"/>
      <c r="G17" s="40"/>
      <c r="H17" s="1"/>
      <c r="I17" s="1"/>
      <c r="J17" s="1"/>
      <c r="K17" s="1"/>
      <c r="L17" s="1"/>
      <c r="M17" s="1"/>
      <c r="N17" s="1">
        <v>43245</v>
      </c>
      <c r="O17" s="40"/>
    </row>
    <row r="18" spans="1:15" x14ac:dyDescent="0.35">
      <c r="A18">
        <v>17</v>
      </c>
      <c r="B18">
        <v>48</v>
      </c>
      <c r="C18" s="40" t="s">
        <v>558</v>
      </c>
      <c r="D18" s="40"/>
      <c r="E18" s="40"/>
      <c r="F18" s="1"/>
      <c r="G18" s="40"/>
      <c r="H18" s="1"/>
      <c r="I18" s="1"/>
      <c r="J18" s="1"/>
      <c r="K18" s="1"/>
      <c r="L18" s="1"/>
      <c r="M18" s="1"/>
      <c r="N18" s="1">
        <v>43243</v>
      </c>
      <c r="O18" s="40"/>
    </row>
    <row r="19" spans="1:15" x14ac:dyDescent="0.35">
      <c r="A19">
        <v>18</v>
      </c>
      <c r="B19">
        <v>22</v>
      </c>
      <c r="C19" s="40" t="s">
        <v>563</v>
      </c>
      <c r="D19" s="40"/>
      <c r="E19" s="40"/>
      <c r="F19" s="1"/>
      <c r="G19" s="40"/>
      <c r="H19" s="1"/>
      <c r="I19" s="1"/>
      <c r="J19" s="1"/>
      <c r="K19" s="1"/>
      <c r="L19" s="1"/>
      <c r="M19" s="1"/>
      <c r="N19" s="1">
        <v>43190</v>
      </c>
      <c r="O19" s="40"/>
    </row>
    <row r="20" spans="1:15" x14ac:dyDescent="0.35">
      <c r="A20">
        <v>19</v>
      </c>
      <c r="B20">
        <v>24</v>
      </c>
      <c r="C20" s="40" t="s">
        <v>563</v>
      </c>
      <c r="D20" s="40"/>
      <c r="E20" s="40"/>
      <c r="F20" s="1"/>
      <c r="G20" s="40"/>
      <c r="H20" s="1"/>
      <c r="I20" s="1"/>
      <c r="J20" s="1"/>
      <c r="K20" s="1"/>
      <c r="L20" s="1"/>
      <c r="M20" s="1">
        <v>43182</v>
      </c>
      <c r="N20" s="1">
        <v>43182</v>
      </c>
      <c r="O20" s="40"/>
    </row>
    <row r="21" spans="1:15" x14ac:dyDescent="0.35">
      <c r="A21">
        <v>20</v>
      </c>
      <c r="B21">
        <v>27</v>
      </c>
      <c r="C21" s="40" t="s">
        <v>563</v>
      </c>
      <c r="D21" s="40"/>
      <c r="E21" s="40"/>
      <c r="F21" s="1"/>
      <c r="G21" s="40"/>
      <c r="H21" s="1"/>
      <c r="I21" s="1"/>
      <c r="J21" s="1"/>
      <c r="K21" s="1"/>
      <c r="L21" s="1"/>
      <c r="M21" s="1"/>
      <c r="N21" s="1">
        <v>43194</v>
      </c>
      <c r="O21" s="40"/>
    </row>
    <row r="22" spans="1:15" x14ac:dyDescent="0.35">
      <c r="A22">
        <v>21</v>
      </c>
      <c r="B22">
        <v>28</v>
      </c>
      <c r="C22" s="40" t="s">
        <v>563</v>
      </c>
      <c r="D22" s="40"/>
      <c r="E22" s="40"/>
      <c r="F22" s="1"/>
      <c r="G22" s="40"/>
      <c r="H22" s="1"/>
      <c r="I22" s="1"/>
      <c r="J22" s="1"/>
      <c r="K22" s="1"/>
      <c r="L22" s="1"/>
      <c r="M22" s="1"/>
      <c r="N22" s="1">
        <v>43187</v>
      </c>
      <c r="O22" s="40"/>
    </row>
    <row r="23" spans="1:15" x14ac:dyDescent="0.35">
      <c r="A23">
        <v>22</v>
      </c>
      <c r="B23">
        <v>32</v>
      </c>
      <c r="C23" s="40" t="s">
        <v>563</v>
      </c>
      <c r="D23" s="40"/>
      <c r="E23" s="40"/>
      <c r="F23" s="1"/>
      <c r="G23" s="40"/>
      <c r="H23" s="1"/>
      <c r="I23" s="1"/>
      <c r="J23" s="1"/>
      <c r="K23" s="1"/>
      <c r="L23" s="1"/>
      <c r="M23" s="1">
        <v>43249</v>
      </c>
      <c r="N23" s="1">
        <v>43249</v>
      </c>
      <c r="O23" s="40"/>
    </row>
    <row r="24" spans="1:15" x14ac:dyDescent="0.35">
      <c r="A24">
        <v>23</v>
      </c>
      <c r="B24">
        <v>33</v>
      </c>
      <c r="C24" s="40" t="s">
        <v>563</v>
      </c>
      <c r="D24" s="40"/>
      <c r="E24" s="40"/>
      <c r="F24" s="1"/>
      <c r="G24" s="40"/>
      <c r="H24" s="1"/>
      <c r="I24" s="1"/>
      <c r="J24" s="1"/>
      <c r="K24" s="1"/>
      <c r="L24" s="1"/>
      <c r="M24" s="1"/>
      <c r="N24" s="1">
        <v>43217</v>
      </c>
      <c r="O24" s="40"/>
    </row>
    <row r="25" spans="1:15" x14ac:dyDescent="0.35">
      <c r="A25">
        <v>24</v>
      </c>
      <c r="B25">
        <v>34</v>
      </c>
      <c r="C25" s="40" t="s">
        <v>563</v>
      </c>
      <c r="D25" s="40"/>
      <c r="E25" s="40"/>
      <c r="F25" s="1"/>
      <c r="G25" s="40"/>
      <c r="H25" s="1"/>
      <c r="I25" s="1"/>
      <c r="J25" s="1"/>
      <c r="K25" s="1"/>
      <c r="L25" s="1"/>
      <c r="M25" s="1">
        <v>43222</v>
      </c>
      <c r="N25" s="1">
        <v>43222</v>
      </c>
      <c r="O25" s="40"/>
    </row>
    <row r="26" spans="1:15" x14ac:dyDescent="0.35">
      <c r="A26">
        <v>25</v>
      </c>
      <c r="B26">
        <v>35</v>
      </c>
      <c r="C26" s="40" t="s">
        <v>563</v>
      </c>
      <c r="D26" s="40"/>
      <c r="E26" s="40"/>
      <c r="F26" s="1"/>
      <c r="G26" s="40"/>
      <c r="H26" s="1"/>
      <c r="I26" s="1"/>
      <c r="J26" s="1"/>
      <c r="K26" s="1"/>
      <c r="L26" s="1"/>
      <c r="M26" s="1"/>
      <c r="N26" s="1">
        <v>43223</v>
      </c>
      <c r="O26" s="40"/>
    </row>
    <row r="27" spans="1:15" x14ac:dyDescent="0.35">
      <c r="A27">
        <v>26</v>
      </c>
      <c r="B27">
        <v>43</v>
      </c>
      <c r="C27" s="40" t="s">
        <v>563</v>
      </c>
      <c r="D27" s="40"/>
      <c r="E27" s="40"/>
      <c r="F27" s="1"/>
      <c r="G27" s="40"/>
      <c r="H27" s="1"/>
      <c r="I27" s="1"/>
      <c r="J27" s="1"/>
      <c r="K27" s="1"/>
      <c r="L27" s="1"/>
      <c r="M27" s="1"/>
      <c r="N27" s="1">
        <v>43243</v>
      </c>
      <c r="O27" s="40"/>
    </row>
    <row r="28" spans="1:15" x14ac:dyDescent="0.35">
      <c r="A28">
        <v>27</v>
      </c>
      <c r="B28">
        <v>44</v>
      </c>
      <c r="C28" s="40" t="s">
        <v>563</v>
      </c>
      <c r="D28" s="40"/>
      <c r="E28" s="40"/>
      <c r="F28" s="1"/>
      <c r="G28" s="40"/>
      <c r="H28" s="1"/>
      <c r="I28" s="1"/>
      <c r="J28" s="1"/>
      <c r="K28" s="1"/>
      <c r="L28" s="1"/>
      <c r="M28" s="1"/>
      <c r="N28" s="1">
        <v>43243</v>
      </c>
      <c r="O28" s="40"/>
    </row>
    <row r="29" spans="1:15" x14ac:dyDescent="0.35">
      <c r="A29">
        <v>28</v>
      </c>
      <c r="B29">
        <v>45</v>
      </c>
      <c r="C29" s="40" t="s">
        <v>563</v>
      </c>
      <c r="D29" s="40"/>
      <c r="E29" s="40"/>
      <c r="F29" s="1"/>
      <c r="G29" s="40"/>
      <c r="H29" s="1"/>
      <c r="I29" s="1"/>
      <c r="J29" s="1"/>
      <c r="K29" s="1"/>
      <c r="L29" s="1"/>
      <c r="M29" s="1"/>
      <c r="N29" s="1">
        <v>43243</v>
      </c>
      <c r="O29" s="40"/>
    </row>
    <row r="30" spans="1:15" x14ac:dyDescent="0.35">
      <c r="A30">
        <v>29</v>
      </c>
      <c r="B30">
        <v>48</v>
      </c>
      <c r="C30" s="40" t="s">
        <v>563</v>
      </c>
      <c r="D30" s="40"/>
      <c r="E30" s="40"/>
      <c r="F30" s="1"/>
      <c r="G30" s="40"/>
      <c r="H30" s="1"/>
      <c r="I30" s="1"/>
      <c r="J30" s="1"/>
      <c r="K30" s="1"/>
      <c r="L30" s="1"/>
      <c r="M30" s="1"/>
      <c r="N30" s="1">
        <v>43243</v>
      </c>
      <c r="O30" s="40"/>
    </row>
    <row r="31" spans="1:15" x14ac:dyDescent="0.35">
      <c r="A31">
        <v>31</v>
      </c>
      <c r="B31">
        <v>128</v>
      </c>
      <c r="C31" s="40" t="s">
        <v>563</v>
      </c>
      <c r="D31" s="40"/>
      <c r="E31" s="40"/>
      <c r="F31" s="1"/>
      <c r="G31" s="40"/>
      <c r="H31" s="1"/>
      <c r="I31" s="1"/>
      <c r="J31" s="1"/>
      <c r="K31" s="1"/>
      <c r="L31" s="1"/>
      <c r="M31" s="1"/>
      <c r="N31" s="1"/>
      <c r="O31" s="40"/>
    </row>
    <row r="32" spans="1:15" x14ac:dyDescent="0.35">
      <c r="A32">
        <v>32</v>
      </c>
      <c r="B32">
        <v>128</v>
      </c>
      <c r="C32" s="40" t="s">
        <v>558</v>
      </c>
      <c r="D32" s="40" t="s">
        <v>652</v>
      </c>
      <c r="E32" s="40"/>
      <c r="F32" s="1"/>
      <c r="G32" s="40"/>
      <c r="H32" s="1"/>
      <c r="I32" s="1">
        <v>43331</v>
      </c>
      <c r="J32" s="1">
        <v>43331</v>
      </c>
      <c r="K32" s="1"/>
      <c r="L32" s="1"/>
      <c r="M32" s="1">
        <v>43332</v>
      </c>
      <c r="N32" s="1">
        <v>43333</v>
      </c>
      <c r="O32" s="40"/>
    </row>
    <row r="33" spans="1:15" x14ac:dyDescent="0.35">
      <c r="A33">
        <v>33</v>
      </c>
      <c r="B33">
        <v>125</v>
      </c>
      <c r="C33" s="40" t="s">
        <v>558</v>
      </c>
      <c r="D33" s="40" t="s">
        <v>652</v>
      </c>
      <c r="E33" s="40"/>
      <c r="F33" s="1"/>
      <c r="G33" s="40"/>
      <c r="H33" s="1"/>
      <c r="I33" s="1">
        <v>43332</v>
      </c>
      <c r="J33" s="1">
        <v>43332</v>
      </c>
      <c r="K33" s="1"/>
      <c r="L33" s="1"/>
      <c r="M33" s="1">
        <v>43332</v>
      </c>
      <c r="N33" s="1">
        <v>43332</v>
      </c>
      <c r="O33" s="40"/>
    </row>
    <row r="34" spans="1:15" x14ac:dyDescent="0.35">
      <c r="A34">
        <v>34</v>
      </c>
      <c r="B34">
        <v>246</v>
      </c>
      <c r="C34" s="40" t="s">
        <v>558</v>
      </c>
      <c r="D34" s="40" t="s">
        <v>652</v>
      </c>
      <c r="E34" s="40"/>
      <c r="F34" s="1"/>
      <c r="G34" s="40"/>
      <c r="H34" s="1"/>
      <c r="I34" s="1">
        <v>43335</v>
      </c>
      <c r="J34" s="1">
        <v>43335</v>
      </c>
      <c r="K34" s="1"/>
      <c r="L34" s="1"/>
      <c r="M34" s="1">
        <v>43336</v>
      </c>
      <c r="N34" s="1">
        <v>43334</v>
      </c>
      <c r="O34" s="40"/>
    </row>
    <row r="35" spans="1:15" x14ac:dyDescent="0.35">
      <c r="A35">
        <v>35</v>
      </c>
      <c r="B35">
        <v>120</v>
      </c>
      <c r="C35" s="40" t="s">
        <v>558</v>
      </c>
      <c r="D35" s="40" t="s">
        <v>652</v>
      </c>
      <c r="E35" s="40"/>
      <c r="F35" s="1"/>
      <c r="G35" s="40"/>
      <c r="H35" s="1"/>
      <c r="I35" s="1">
        <v>43328</v>
      </c>
      <c r="J35" s="1">
        <v>43328</v>
      </c>
      <c r="K35" s="1"/>
      <c r="L35" s="1"/>
      <c r="M35" s="1">
        <v>43329</v>
      </c>
      <c r="N35" s="1">
        <v>43332</v>
      </c>
      <c r="O35" s="40"/>
    </row>
    <row r="36" spans="1:15" x14ac:dyDescent="0.35">
      <c r="A36">
        <v>36</v>
      </c>
      <c r="B36">
        <v>126</v>
      </c>
      <c r="C36" s="40" t="s">
        <v>558</v>
      </c>
      <c r="D36" s="40" t="s">
        <v>652</v>
      </c>
      <c r="E36" s="40"/>
      <c r="F36" s="1"/>
      <c r="G36" s="40"/>
      <c r="H36" s="1"/>
      <c r="I36" s="1">
        <v>43329</v>
      </c>
      <c r="J36" s="1">
        <v>43329</v>
      </c>
      <c r="K36" s="1"/>
      <c r="L36" s="1"/>
      <c r="M36" s="1">
        <v>43330</v>
      </c>
      <c r="N36" s="1">
        <v>43330</v>
      </c>
      <c r="O36" s="40"/>
    </row>
    <row r="37" spans="1:15" x14ac:dyDescent="0.35">
      <c r="A37">
        <v>37</v>
      </c>
      <c r="B37">
        <v>107</v>
      </c>
      <c r="C37" s="40" t="s">
        <v>558</v>
      </c>
      <c r="D37" s="40" t="s">
        <v>652</v>
      </c>
      <c r="E37" s="40"/>
      <c r="F37" s="1"/>
      <c r="G37" s="40"/>
      <c r="H37" s="1"/>
      <c r="I37" s="1">
        <v>43330</v>
      </c>
      <c r="J37" s="1">
        <v>43330</v>
      </c>
      <c r="K37" s="1"/>
      <c r="L37" s="1"/>
      <c r="M37" s="1">
        <v>43331</v>
      </c>
      <c r="N37" s="1">
        <v>43331</v>
      </c>
      <c r="O37" s="40"/>
    </row>
    <row r="38" spans="1:15" x14ac:dyDescent="0.35">
      <c r="A38">
        <v>38</v>
      </c>
      <c r="B38">
        <v>202</v>
      </c>
      <c r="C38" s="40" t="s">
        <v>558</v>
      </c>
      <c r="D38" s="40" t="s">
        <v>652</v>
      </c>
      <c r="E38" s="40"/>
      <c r="F38" s="1"/>
      <c r="G38" s="40"/>
      <c r="H38" s="1"/>
      <c r="I38" s="1">
        <v>43332</v>
      </c>
      <c r="J38" s="1">
        <v>43332</v>
      </c>
      <c r="K38" s="1"/>
      <c r="L38" s="1"/>
      <c r="M38" s="1">
        <v>43334</v>
      </c>
      <c r="N38" s="1">
        <v>43333</v>
      </c>
      <c r="O38" s="40" t="s">
        <v>653</v>
      </c>
    </row>
    <row r="39" spans="1:15" x14ac:dyDescent="0.35">
      <c r="A39">
        <v>39</v>
      </c>
      <c r="B39">
        <v>237</v>
      </c>
      <c r="C39" s="40" t="s">
        <v>558</v>
      </c>
      <c r="D39" s="40" t="s">
        <v>652</v>
      </c>
      <c r="E39" s="40"/>
      <c r="F39" s="1"/>
      <c r="G39" s="40"/>
      <c r="H39" s="1"/>
      <c r="I39" s="1">
        <v>43329</v>
      </c>
      <c r="J39" s="1">
        <v>43329</v>
      </c>
      <c r="K39" s="1"/>
      <c r="L39" s="1"/>
      <c r="M39" s="1">
        <v>43330</v>
      </c>
      <c r="N39" s="1">
        <v>43329</v>
      </c>
      <c r="O39" s="40"/>
    </row>
    <row r="40" spans="1:15" x14ac:dyDescent="0.35">
      <c r="A40">
        <v>40</v>
      </c>
      <c r="B40">
        <v>234</v>
      </c>
      <c r="C40" s="40" t="s">
        <v>558</v>
      </c>
      <c r="D40" s="40" t="s">
        <v>652</v>
      </c>
      <c r="E40" s="40"/>
      <c r="F40" s="1"/>
      <c r="G40" s="40"/>
      <c r="H40" s="1"/>
      <c r="I40" s="1">
        <v>43328</v>
      </c>
      <c r="J40" s="1">
        <v>43328</v>
      </c>
      <c r="K40" s="1"/>
      <c r="L40" s="1"/>
      <c r="M40" s="1">
        <v>43329</v>
      </c>
      <c r="N40" s="1">
        <v>43330</v>
      </c>
      <c r="O40" s="40"/>
    </row>
    <row r="41" spans="1:15" x14ac:dyDescent="0.35">
      <c r="A41">
        <v>41</v>
      </c>
      <c r="B41">
        <v>130</v>
      </c>
      <c r="C41" s="40" t="s">
        <v>558</v>
      </c>
      <c r="D41" s="40" t="s">
        <v>654</v>
      </c>
      <c r="E41" s="40"/>
      <c r="F41" s="1"/>
      <c r="G41" s="40"/>
      <c r="H41" s="1"/>
      <c r="I41" s="1">
        <v>43329</v>
      </c>
      <c r="J41" s="1">
        <v>43329</v>
      </c>
      <c r="K41" s="1"/>
      <c r="L41" s="1"/>
      <c r="M41" s="1">
        <v>43330</v>
      </c>
      <c r="N41" s="1">
        <v>43329</v>
      </c>
      <c r="O41" s="40"/>
    </row>
    <row r="42" spans="1:15" x14ac:dyDescent="0.35">
      <c r="A42">
        <v>42</v>
      </c>
      <c r="B42">
        <v>134</v>
      </c>
      <c r="C42" s="40" t="s">
        <v>558</v>
      </c>
      <c r="D42" s="40" t="s">
        <v>654</v>
      </c>
      <c r="E42" s="40"/>
      <c r="F42" s="1"/>
      <c r="G42" s="40"/>
      <c r="H42" s="1"/>
      <c r="I42" s="1">
        <v>43330</v>
      </c>
      <c r="J42" s="1">
        <v>43330</v>
      </c>
      <c r="K42" s="1"/>
      <c r="L42" s="1"/>
      <c r="M42" s="1">
        <v>43331</v>
      </c>
      <c r="N42" s="1">
        <v>43331</v>
      </c>
      <c r="O42" s="40"/>
    </row>
    <row r="43" spans="1:15" x14ac:dyDescent="0.35">
      <c r="A43">
        <v>43</v>
      </c>
      <c r="B43">
        <v>90</v>
      </c>
      <c r="C43" s="40" t="s">
        <v>558</v>
      </c>
      <c r="D43" s="40" t="s">
        <v>654</v>
      </c>
      <c r="E43" s="40"/>
      <c r="F43" s="1"/>
      <c r="G43" s="40"/>
      <c r="H43" s="1"/>
      <c r="I43" s="1">
        <v>43331</v>
      </c>
      <c r="J43" s="1">
        <v>43331</v>
      </c>
      <c r="K43" s="1"/>
      <c r="L43" s="1"/>
      <c r="M43" s="1">
        <v>43332</v>
      </c>
      <c r="N43" s="1">
        <v>43332</v>
      </c>
      <c r="O43" s="40"/>
    </row>
    <row r="44" spans="1:15" x14ac:dyDescent="0.35">
      <c r="A44">
        <v>44</v>
      </c>
      <c r="B44">
        <v>108</v>
      </c>
      <c r="C44" s="40" t="s">
        <v>558</v>
      </c>
      <c r="D44" s="40" t="s">
        <v>654</v>
      </c>
      <c r="E44" s="40"/>
      <c r="F44" s="1"/>
      <c r="G44" s="40"/>
      <c r="H44" s="1"/>
      <c r="I44" s="1">
        <v>43329</v>
      </c>
      <c r="J44" s="1">
        <v>43329</v>
      </c>
      <c r="K44" s="1"/>
      <c r="L44" s="1"/>
      <c r="M44" s="1">
        <v>43330</v>
      </c>
      <c r="N44" s="1">
        <v>43329</v>
      </c>
      <c r="O44" s="40"/>
    </row>
    <row r="45" spans="1:15" x14ac:dyDescent="0.35">
      <c r="A45">
        <v>45</v>
      </c>
      <c r="B45">
        <v>199</v>
      </c>
      <c r="C45" s="40" t="s">
        <v>558</v>
      </c>
      <c r="D45" s="40" t="s">
        <v>654</v>
      </c>
      <c r="E45" s="40"/>
      <c r="F45" s="1"/>
      <c r="G45" s="40"/>
      <c r="H45" s="1"/>
      <c r="I45" s="1">
        <v>43332</v>
      </c>
      <c r="J45" s="1">
        <v>43332</v>
      </c>
      <c r="K45" s="1"/>
      <c r="L45" s="1"/>
      <c r="M45" s="1">
        <v>43334</v>
      </c>
      <c r="N45" s="1"/>
      <c r="O45" s="40"/>
    </row>
    <row r="46" spans="1:15" x14ac:dyDescent="0.35">
      <c r="A46">
        <v>46</v>
      </c>
      <c r="B46">
        <v>198</v>
      </c>
      <c r="C46" s="40" t="s">
        <v>558</v>
      </c>
      <c r="D46" s="40" t="s">
        <v>654</v>
      </c>
      <c r="E46" s="40"/>
      <c r="F46" s="1"/>
      <c r="G46" s="40"/>
      <c r="H46" s="1"/>
      <c r="I46" s="1">
        <v>43336</v>
      </c>
      <c r="J46" s="1">
        <v>43336</v>
      </c>
      <c r="K46" s="1"/>
      <c r="L46" s="1"/>
      <c r="M46" s="1">
        <v>43337</v>
      </c>
      <c r="N46" s="1"/>
      <c r="O46" s="40"/>
    </row>
    <row r="47" spans="1:15" x14ac:dyDescent="0.35">
      <c r="A47">
        <v>47</v>
      </c>
      <c r="B47">
        <v>229</v>
      </c>
      <c r="C47" s="40" t="s">
        <v>558</v>
      </c>
      <c r="D47" s="40" t="s">
        <v>652</v>
      </c>
      <c r="E47" s="40"/>
      <c r="F47" s="1"/>
      <c r="G47" s="40"/>
      <c r="H47" s="1"/>
      <c r="I47" s="1">
        <v>43301</v>
      </c>
      <c r="J47" s="1">
        <v>43301</v>
      </c>
      <c r="K47" s="1"/>
      <c r="L47" s="1"/>
      <c r="M47" s="1">
        <v>43302</v>
      </c>
      <c r="N47" s="1">
        <v>43302</v>
      </c>
      <c r="O47" s="40" t="s">
        <v>655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Q48"/>
  <sheetViews>
    <sheetView zoomScale="85" zoomScaleNormal="85" workbookViewId="0">
      <selection activeCell="J15" sqref="J15"/>
    </sheetView>
  </sheetViews>
  <sheetFormatPr defaultRowHeight="14.5" x14ac:dyDescent="0.35"/>
  <cols>
    <col min="2" max="2" width="31.54296875" customWidth="1"/>
    <col min="3" max="3" width="21.54296875" bestFit="1" customWidth="1"/>
    <col min="4" max="4" width="15.54296875" bestFit="1" customWidth="1"/>
    <col min="6" max="6" width="20.7265625" bestFit="1" customWidth="1"/>
    <col min="8" max="8" width="11.26953125" bestFit="1" customWidth="1"/>
    <col min="9" max="9" width="23.26953125" bestFit="1" customWidth="1"/>
    <col min="10" max="11" width="23" customWidth="1"/>
  </cols>
  <sheetData>
    <row r="1" spans="2:17" x14ac:dyDescent="0.35">
      <c r="D1" s="2"/>
      <c r="J1" t="str">
        <f ca="1">CELL("filename",J1)</f>
        <v>D:\OneDrive - apollo-towers.com\Apollo Towers\00-Process &amp; Database\Colo Prevalidation\Read Only\[Dashboard 2019-01-07.xlsm]Graph Infos</v>
      </c>
    </row>
    <row r="2" spans="2:17" x14ac:dyDescent="0.35">
      <c r="C2" t="s">
        <v>513</v>
      </c>
      <c r="F2" t="s">
        <v>514</v>
      </c>
      <c r="J2">
        <f ca="1">FIND("@",SUBSTITUTE(J1,"\","@",(LEN(J1)-LEN(SUBSTITUTE(J1,"\","")))/LEN("\")))</f>
        <v>97</v>
      </c>
    </row>
    <row r="3" spans="2:17" x14ac:dyDescent="0.35">
      <c r="C3" s="3"/>
      <c r="D3" s="4">
        <f>COUNTIF(_01towers[Count Ok],6)</f>
        <v>0</v>
      </c>
      <c r="F3" s="3"/>
      <c r="G3" s="4"/>
      <c r="J3" t="str">
        <f ca="1">LEFT(J1,J2)</f>
        <v>D:\OneDrive - apollo-towers.com\Apollo Towers\00-Process &amp; Database\Colo Prevalidation\Read Only\</v>
      </c>
    </row>
    <row r="4" spans="2:17" x14ac:dyDescent="0.35">
      <c r="C4" s="3" t="s">
        <v>64</v>
      </c>
      <c r="D4" s="8">
        <f>COUNTIF(_01towers[Active Prevalidation Status],C4)</f>
        <v>133</v>
      </c>
      <c r="F4" s="3" t="s">
        <v>59</v>
      </c>
      <c r="G4" s="8">
        <f>COUNTIF(_01towers[Active TSS Result],F4)</f>
        <v>68</v>
      </c>
    </row>
    <row r="5" spans="2:17" x14ac:dyDescent="0.35">
      <c r="B5" t="s">
        <v>145</v>
      </c>
      <c r="C5" s="3" t="s">
        <v>74</v>
      </c>
      <c r="D5" s="8">
        <f>COUNTIF(_01towers[Active Prevalidation Status],C5)</f>
        <v>69</v>
      </c>
      <c r="F5" s="3" t="s">
        <v>75</v>
      </c>
      <c r="G5" s="8">
        <f>COUNTIF(_01towers[Active TSS Result],F5)</f>
        <v>0</v>
      </c>
    </row>
    <row r="6" spans="2:17" x14ac:dyDescent="0.35">
      <c r="C6" s="3" t="s">
        <v>148</v>
      </c>
      <c r="D6" s="8">
        <f>COUNTIF(_01towers[Active Prevalidation Status],C6)</f>
        <v>8</v>
      </c>
      <c r="F6" s="3" t="s">
        <v>515</v>
      </c>
      <c r="G6" s="5">
        <f>G8-SUM(G4:G5)</f>
        <v>69</v>
      </c>
      <c r="I6" t="s">
        <v>516</v>
      </c>
    </row>
    <row r="7" spans="2:17" x14ac:dyDescent="0.35">
      <c r="C7" t="s">
        <v>145</v>
      </c>
      <c r="D7" s="8">
        <f>COUNTIF(_01towers[Active Prevalidation Status],C7)</f>
        <v>4</v>
      </c>
      <c r="F7" s="3"/>
      <c r="G7" s="5"/>
    </row>
    <row r="8" spans="2:17" x14ac:dyDescent="0.35">
      <c r="C8" s="3" t="s">
        <v>517</v>
      </c>
      <c r="D8" s="5">
        <f>SUM(D4:D7)</f>
        <v>214</v>
      </c>
      <c r="F8" s="3" t="s">
        <v>517</v>
      </c>
      <c r="G8" s="5">
        <f>D4+D7</f>
        <v>137</v>
      </c>
    </row>
    <row r="10" spans="2:17" x14ac:dyDescent="0.35">
      <c r="F10" t="s">
        <v>518</v>
      </c>
      <c r="G10" t="e">
        <f ca="1">COUNTIF(#REF!,TRUNC(NOW(),0))</f>
        <v>#REF!</v>
      </c>
    </row>
    <row r="11" spans="2:17" x14ac:dyDescent="0.35">
      <c r="E11" t="s">
        <v>519</v>
      </c>
      <c r="F11">
        <f ca="1">_xlfn.ISOWEEKNUM(NOW())</f>
        <v>2</v>
      </c>
      <c r="G11" t="e">
        <f ca="1">COUNTIF(#REF!,"&gt;"&amp;I11)</f>
        <v>#REF!</v>
      </c>
      <c r="H11">
        <f ca="1">WEEKDAY(NOW())</f>
        <v>3</v>
      </c>
      <c r="I11" s="2">
        <f ca="1">NOW()-H11</f>
        <v>43470.436218287039</v>
      </c>
    </row>
    <row r="13" spans="2:17" x14ac:dyDescent="0.35">
      <c r="K13" s="18" t="s">
        <v>667</v>
      </c>
      <c r="L13" s="3" t="s">
        <v>520</v>
      </c>
      <c r="M13" s="3" t="s">
        <v>521</v>
      </c>
      <c r="N13" s="3" t="s">
        <v>522</v>
      </c>
      <c r="O13" s="3" t="s">
        <v>523</v>
      </c>
      <c r="P13" s="3" t="s">
        <v>524</v>
      </c>
      <c r="Q13" s="3" t="s">
        <v>525</v>
      </c>
    </row>
    <row r="14" spans="2:17" x14ac:dyDescent="0.35">
      <c r="C14" s="3" t="s">
        <v>520</v>
      </c>
      <c r="D14" s="3" t="s">
        <v>521</v>
      </c>
      <c r="E14" s="3" t="s">
        <v>522</v>
      </c>
      <c r="F14" s="3" t="s">
        <v>523</v>
      </c>
      <c r="G14" s="3" t="s">
        <v>524</v>
      </c>
      <c r="H14" s="3" t="s">
        <v>525</v>
      </c>
      <c r="J14" t="s">
        <v>145</v>
      </c>
      <c r="K14">
        <f>MAX(C17:H17)</f>
        <v>2</v>
      </c>
      <c r="L14">
        <f>C17/$K14*10</f>
        <v>0</v>
      </c>
      <c r="M14">
        <f t="shared" ref="M14:Q14" si="0">D17/$K14*10</f>
        <v>0</v>
      </c>
      <c r="N14">
        <f t="shared" si="0"/>
        <v>10</v>
      </c>
      <c r="O14">
        <f t="shared" si="0"/>
        <v>10</v>
      </c>
      <c r="P14">
        <f t="shared" si="0"/>
        <v>5</v>
      </c>
      <c r="Q14">
        <f t="shared" si="0"/>
        <v>5</v>
      </c>
    </row>
    <row r="15" spans="2:17" x14ac:dyDescent="0.35">
      <c r="B15" s="3" t="s">
        <v>161</v>
      </c>
      <c r="C15" s="3">
        <f>COUNTIF(MySQL!AP:AP,'Graph Infos'!$B15)</f>
        <v>4</v>
      </c>
      <c r="D15" s="3">
        <f>COUNTIF(MySQL!AQ:AQ,'Graph Infos'!$B15)</f>
        <v>4</v>
      </c>
      <c r="E15" s="3">
        <f>COUNTIF(MySQL!AR:AR,'Graph Infos'!$B15)</f>
        <v>2</v>
      </c>
      <c r="F15" s="3">
        <f>COUNTIF(MySQL!AS:AS,'Graph Infos'!$B15)</f>
        <v>2</v>
      </c>
      <c r="G15" s="3">
        <f>COUNTIF(MySQL!AT:AT,'Graph Infos'!$B15)</f>
        <v>3</v>
      </c>
      <c r="H15" s="3">
        <f>COUNTIF(MySQL!AU:AU,'Graph Infos'!$B15)</f>
        <v>3</v>
      </c>
      <c r="J15" t="s">
        <v>666</v>
      </c>
      <c r="K15">
        <f>MAX(C18:H18)</f>
        <v>40</v>
      </c>
      <c r="L15">
        <f>C18/$K15*10</f>
        <v>0</v>
      </c>
      <c r="M15">
        <f t="shared" ref="M15" si="1">D18/$K15*10</f>
        <v>0</v>
      </c>
      <c r="N15">
        <f t="shared" ref="N15" si="2">E18/$K15*10</f>
        <v>5.75</v>
      </c>
      <c r="O15">
        <f t="shared" ref="O15" si="3">F18/$K15*10</f>
        <v>10</v>
      </c>
      <c r="P15">
        <f t="shared" ref="P15" si="4">G18/$K15*10</f>
        <v>0</v>
      </c>
      <c r="Q15">
        <f t="shared" ref="Q15" si="5">H18/$K15*10</f>
        <v>1.75</v>
      </c>
    </row>
    <row r="16" spans="2:17" x14ac:dyDescent="0.35">
      <c r="B16" s="3" t="s">
        <v>75</v>
      </c>
      <c r="C16" s="3">
        <f>COUNTIF(MySQL!AP:AP,'Graph Infos'!$B16)</f>
        <v>0</v>
      </c>
      <c r="D16" s="3">
        <f>COUNTIF(MySQL!AQ:AQ,'Graph Infos'!$B16)</f>
        <v>0</v>
      </c>
      <c r="E16" s="3">
        <f>COUNTIF(MySQL!AR:AR,'Graph Infos'!$B16)</f>
        <v>0</v>
      </c>
      <c r="F16" s="3">
        <f>COUNTIF(MySQL!AS:AS,'Graph Infos'!$B16)</f>
        <v>0</v>
      </c>
      <c r="G16" s="3">
        <f>COUNTIF(MySQL!AT:AT,'Graph Infos'!$B16)</f>
        <v>0</v>
      </c>
      <c r="H16" s="3">
        <f>COUNTIF(MySQL!AU:AU,'Graph Infos'!$B16)</f>
        <v>0</v>
      </c>
    </row>
    <row r="17" spans="2:8" x14ac:dyDescent="0.35">
      <c r="B17" s="3" t="s">
        <v>526</v>
      </c>
      <c r="C17" s="3">
        <f t="shared" ref="C17:H17" si="6">$D$7-SUM(C15:C16)</f>
        <v>0</v>
      </c>
      <c r="D17" s="3">
        <f t="shared" si="6"/>
        <v>0</v>
      </c>
      <c r="E17" s="3">
        <f t="shared" si="6"/>
        <v>2</v>
      </c>
      <c r="F17" s="3">
        <f t="shared" si="6"/>
        <v>2</v>
      </c>
      <c r="G17" s="3">
        <f t="shared" si="6"/>
        <v>1</v>
      </c>
      <c r="H17" s="3">
        <f t="shared" si="6"/>
        <v>1</v>
      </c>
    </row>
    <row r="18" spans="2:8" x14ac:dyDescent="0.35">
      <c r="B18" s="74" t="s">
        <v>666</v>
      </c>
      <c r="C18" s="73">
        <f>COUNTIFS(MySQL!M:M,"Review",MySQL!$L:$L,"Commercial Approval Requested")</f>
        <v>0</v>
      </c>
      <c r="D18" s="73">
        <f>COUNTIFS(MySQL!N:N,"Review",MySQL!$L:$L,"Commercial Approval Requested")</f>
        <v>0</v>
      </c>
      <c r="E18" s="73">
        <f>COUNTIFS(MySQL!O:O,"Review",MySQL!$L:$L,"Commercial Approval Requested")</f>
        <v>23</v>
      </c>
      <c r="F18" s="73">
        <f>COUNTIFS(MySQL!P:P,"Review",MySQL!$L:$L,"Commercial Approval Requested")</f>
        <v>40</v>
      </c>
      <c r="G18" s="73">
        <f>COUNTIFS(MySQL!Q:Q,"Review",MySQL!$L:$L,"Commercial Approval Requested")</f>
        <v>0</v>
      </c>
      <c r="H18" s="73">
        <f>COUNTIFS(MySQL!R:R,"Review",MySQL!$L:$L,"Commercial Approval Requested")</f>
        <v>7</v>
      </c>
    </row>
    <row r="21" spans="2:8" x14ac:dyDescent="0.35">
      <c r="C21" s="11" t="s">
        <v>527</v>
      </c>
      <c r="D21" s="11"/>
    </row>
    <row r="22" spans="2:8" x14ac:dyDescent="0.35">
      <c r="C22" s="3" t="s">
        <v>59</v>
      </c>
      <c r="D22" s="3">
        <f>COUNTIF(_01towers[Active Colo Application Result],C22)</f>
        <v>30</v>
      </c>
    </row>
    <row r="23" spans="2:8" x14ac:dyDescent="0.35">
      <c r="C23" s="3" t="s">
        <v>75</v>
      </c>
      <c r="D23" s="3">
        <f>COUNTIF(_01towers[Active Colo Application Result],C23)</f>
        <v>0</v>
      </c>
    </row>
    <row r="24" spans="2:8" x14ac:dyDescent="0.35">
      <c r="C24" s="3" t="s">
        <v>515</v>
      </c>
      <c r="D24" s="3">
        <f>D26-SUM(D22:D23)</f>
        <v>36</v>
      </c>
    </row>
    <row r="25" spans="2:8" x14ac:dyDescent="0.35">
      <c r="C25" s="3"/>
      <c r="D25" s="3"/>
    </row>
    <row r="26" spans="2:8" x14ac:dyDescent="0.35">
      <c r="C26" s="3" t="s">
        <v>517</v>
      </c>
      <c r="D26" s="3">
        <f>COUNTIF(_01towers[Active Colo in Process],"In Process")</f>
        <v>66</v>
      </c>
    </row>
    <row r="28" spans="2:8" x14ac:dyDescent="0.35">
      <c r="C28" s="3" t="s">
        <v>121</v>
      </c>
      <c r="D28" s="3" t="s">
        <v>124</v>
      </c>
      <c r="E28" s="3" t="s">
        <v>136</v>
      </c>
      <c r="F28" s="3" t="s">
        <v>55</v>
      </c>
      <c r="G28" s="3" t="s">
        <v>528</v>
      </c>
    </row>
    <row r="29" spans="2:8" x14ac:dyDescent="0.35">
      <c r="B29" s="3" t="s">
        <v>64</v>
      </c>
      <c r="C29" s="3">
        <f>COUNTIFS(_01towers[Active Prevalidation Status],$B29,_01towers[Operator],C$28)</f>
        <v>9</v>
      </c>
      <c r="D29" s="3">
        <f>COUNTIFS(_01towers[Active Prevalidation Status],$B29,_01towers[Operator],D$28)</f>
        <v>7</v>
      </c>
      <c r="E29" s="3">
        <f>COUNTIFS(_01towers[Active Prevalidation Status],$B29,_01towers[Operator],E$28)</f>
        <v>84</v>
      </c>
      <c r="F29" s="3">
        <f>COUNTIFS(_01towers[Active Prevalidation Status],$B29,_01towers[Operator],F$28)</f>
        <v>33</v>
      </c>
      <c r="G29" s="3">
        <f>COUNTIFS(_01towers[Active Prevalidation Status],$B29,_01towers[Operator],G$28)</f>
        <v>0</v>
      </c>
    </row>
    <row r="30" spans="2:8" x14ac:dyDescent="0.35">
      <c r="B30" s="3" t="s">
        <v>145</v>
      </c>
      <c r="C30" s="3">
        <f>COUNTIFS(_01towers[Active Prevalidation Status],$B30,_01towers[Operator],C$28)</f>
        <v>1</v>
      </c>
      <c r="D30" s="3">
        <f>COUNTIFS(_01towers[Active Prevalidation Status],$B30,_01towers[Operator],D$28)</f>
        <v>0</v>
      </c>
      <c r="E30" s="3">
        <f>COUNTIFS(_01towers[Active Prevalidation Status],$B30,_01towers[Operator],E$28)</f>
        <v>3</v>
      </c>
      <c r="F30" s="3">
        <f>COUNTIFS(_01towers[Active Prevalidation Status],$B30,_01towers[Operator],F$28)</f>
        <v>0</v>
      </c>
      <c r="G30" s="3">
        <f>COUNTIFS(_01towers[Active Prevalidation Status],$B30,_01towers[Operator],G$28)</f>
        <v>0</v>
      </c>
    </row>
    <row r="31" spans="2:8" x14ac:dyDescent="0.35">
      <c r="B31" s="3" t="s">
        <v>74</v>
      </c>
      <c r="C31" s="3">
        <f>COUNTIFS(_01towers[Active Prevalidation Status],$B31,_01towers[Operator],C$28)</f>
        <v>3</v>
      </c>
      <c r="D31" s="3">
        <f>COUNTIFS(_01towers[Active Prevalidation Status],$B31,_01towers[Operator],D$28)</f>
        <v>0</v>
      </c>
      <c r="E31" s="3">
        <f>COUNTIFS(_01towers[Active Prevalidation Status],$B31,_01towers[Operator],E$28)</f>
        <v>51</v>
      </c>
      <c r="F31" s="3">
        <f>COUNTIFS(_01towers[Active Prevalidation Status],$B31,_01towers[Operator],F$28)</f>
        <v>15</v>
      </c>
      <c r="G31" s="3">
        <f>COUNTIFS(_01towers[Active Prevalidation Status],$B31,_01towers[Operator],G$28)</f>
        <v>0</v>
      </c>
    </row>
    <row r="32" spans="2:8" x14ac:dyDescent="0.35">
      <c r="B32" s="3" t="s">
        <v>148</v>
      </c>
      <c r="C32" s="3">
        <f>COUNTIFS(_01towers[Active Prevalidation Status],$B32,_01towers[Operator],C$28)</f>
        <v>0</v>
      </c>
      <c r="D32" s="3">
        <f>COUNTIFS(_01towers[Active Prevalidation Status],$B32,_01towers[Operator],D$28)</f>
        <v>0</v>
      </c>
      <c r="E32" s="3">
        <f>COUNTIFS(_01towers[Active Prevalidation Status],$B32,_01towers[Operator],E$28)</f>
        <v>2</v>
      </c>
      <c r="F32" s="3">
        <f>COUNTIFS(_01towers[Active Prevalidation Status],$B32,_01towers[Operator],F$28)</f>
        <v>6</v>
      </c>
      <c r="G32" s="3">
        <f>COUNTIFS(_01towers[Active Prevalidation Status],$B32,_01towers[Operator],G$28)</f>
        <v>0</v>
      </c>
    </row>
    <row r="34" spans="2:9" x14ac:dyDescent="0.35">
      <c r="C34" t="s">
        <v>529</v>
      </c>
    </row>
    <row r="35" spans="2:9" x14ac:dyDescent="0.35">
      <c r="B35" s="3"/>
      <c r="C35" s="29" t="s">
        <v>517</v>
      </c>
      <c r="D35" s="28" t="s">
        <v>121</v>
      </c>
      <c r="E35" s="28" t="s">
        <v>124</v>
      </c>
      <c r="F35" s="28" t="s">
        <v>136</v>
      </c>
      <c r="G35" s="28" t="s">
        <v>55</v>
      </c>
      <c r="H35" s="28" t="s">
        <v>528</v>
      </c>
      <c r="I35" s="29" t="s">
        <v>530</v>
      </c>
    </row>
    <row r="36" spans="2:9" x14ac:dyDescent="0.35">
      <c r="B36" s="3" t="s">
        <v>567</v>
      </c>
      <c r="C36" s="41">
        <f>COUNTIFS(_01towers[Final Colo Status Summarized],'Graph Infos'!$B36)</f>
        <v>1</v>
      </c>
      <c r="D36" s="3">
        <f>COUNTIFS(_01towers[Final Colo Status Summarized],'Graph Infos'!$B36,_01towers[Operator],'Graph Infos'!D$35)</f>
        <v>0</v>
      </c>
      <c r="E36" s="3">
        <f>COUNTIFS(_01towers[Final Colo Status Summarized],'Graph Infos'!$B36,_01towers[Operator],'Graph Infos'!E$35)</f>
        <v>0</v>
      </c>
      <c r="F36" s="3">
        <f>COUNTIFS(_01towers[Final Colo Status Summarized],'Graph Infos'!$B36,_01towers[Operator],'Graph Infos'!F$35)</f>
        <v>1</v>
      </c>
      <c r="G36" s="3">
        <f>COUNTIFS(_01towers[Final Colo Status Summarized],'Graph Infos'!$B36,_01towers[Operator],'Graph Infos'!G$35)</f>
        <v>0</v>
      </c>
      <c r="H36" s="3">
        <f>COUNTIFS(_01towers[Actual Tower Height],'Graph Infos'!$B35,_01towers[Structural_Result],'Graph Infos'!H$35)</f>
        <v>0</v>
      </c>
      <c r="I36" s="3">
        <f t="shared" ref="I36:I38" si="7">SUM(D36:H36)</f>
        <v>1</v>
      </c>
    </row>
    <row r="37" spans="2:9" x14ac:dyDescent="0.35">
      <c r="B37" s="3" t="s">
        <v>568</v>
      </c>
      <c r="C37" s="41">
        <f>COUNTIFS(_01towers[Final Colo Status Summarized],'Graph Infos'!$B37)</f>
        <v>21</v>
      </c>
      <c r="D37" s="3">
        <f>COUNTIFS(_01towers[Final Colo Status Summarized],'Graph Infos'!$B37,_01towers[Operator],'Graph Infos'!D$35)</f>
        <v>0</v>
      </c>
      <c r="E37" s="3">
        <f>COUNTIFS(_01towers[Final Colo Status Summarized],'Graph Infos'!$B37,_01towers[Operator],'Graph Infos'!E$35)</f>
        <v>6</v>
      </c>
      <c r="F37" s="3">
        <f>COUNTIFS(_01towers[Final Colo Status Summarized],'Graph Infos'!$B37,_01towers[Operator],'Graph Infos'!F$35)</f>
        <v>9</v>
      </c>
      <c r="G37" s="3">
        <f>COUNTIFS(_01towers[Final Colo Status Summarized],'Graph Infos'!$B37,_01towers[Operator],'Graph Infos'!G$35)</f>
        <v>6</v>
      </c>
      <c r="H37" s="3">
        <f>COUNTIFS(_01towers[Actual Tower Height],'Graph Infos'!$B36,_01towers[Structural_Result],'Graph Infos'!H$35)</f>
        <v>0</v>
      </c>
      <c r="I37" s="3">
        <f t="shared" si="7"/>
        <v>21</v>
      </c>
    </row>
    <row r="38" spans="2:9" x14ac:dyDescent="0.35">
      <c r="B38" s="3" t="s">
        <v>569</v>
      </c>
      <c r="C38" s="41">
        <f>COUNTIFS(_01towers[Final Colo Status Summarized],'Graph Infos'!$B38)</f>
        <v>1</v>
      </c>
      <c r="D38" s="3">
        <f>COUNTIFS(_01towers[Final Colo Status Summarized],'Graph Infos'!$B38,_01towers[Operator],'Graph Infos'!D$35)</f>
        <v>0</v>
      </c>
      <c r="E38" s="3">
        <f>COUNTIFS(_01towers[Final Colo Status Summarized],'Graph Infos'!$B38,_01towers[Operator],'Graph Infos'!E$35)</f>
        <v>0</v>
      </c>
      <c r="F38" s="3">
        <f>COUNTIFS(_01towers[Final Colo Status Summarized],'Graph Infos'!$B38,_01towers[Operator],'Graph Infos'!F$35)</f>
        <v>1</v>
      </c>
      <c r="G38" s="3">
        <f>COUNTIFS(_01towers[Final Colo Status Summarized],'Graph Infos'!$B38,_01towers[Operator],'Graph Infos'!G$35)</f>
        <v>0</v>
      </c>
      <c r="H38" s="3">
        <f>COUNTIFS(_01towers[Actual Tower Height],'Graph Infos'!$B37,_01towers[Structural_Result],'Graph Infos'!H$35)</f>
        <v>0</v>
      </c>
      <c r="I38" s="3">
        <f t="shared" si="7"/>
        <v>1</v>
      </c>
    </row>
    <row r="39" spans="2:9" x14ac:dyDescent="0.35">
      <c r="B39" s="3" t="s">
        <v>531</v>
      </c>
      <c r="C39" s="41">
        <f>COUNTIFS(_01towers[Final Colo Status Summarized],'Graph Infos'!$B39)</f>
        <v>18</v>
      </c>
      <c r="D39" s="3">
        <f>COUNTIFS(_01towers[Final Colo Status Summarized],'Graph Infos'!$B39,_01towers[Operator],'Graph Infos'!D$35)</f>
        <v>0</v>
      </c>
      <c r="E39" s="3">
        <f>COUNTIFS(_01towers[Final Colo Status Summarized],'Graph Infos'!$B39,_01towers[Operator],'Graph Infos'!E$35)</f>
        <v>0</v>
      </c>
      <c r="F39" s="3">
        <f>COUNTIFS(_01towers[Final Colo Status Summarized],'Graph Infos'!$B39,_01towers[Operator],'Graph Infos'!F$35)</f>
        <v>0</v>
      </c>
      <c r="G39" s="3">
        <f>COUNTIFS(_01towers[Final Colo Status Summarized],'Graph Infos'!$B39,_01towers[Operator],'Graph Infos'!G$35)</f>
        <v>18</v>
      </c>
      <c r="H39" s="3">
        <f>COUNTIFS(_01towers[Actual Tower Height],'Graph Infos'!$B38,_01towers[Structural_Result],'Graph Infos'!H$35)</f>
        <v>0</v>
      </c>
      <c r="I39" s="3">
        <f t="shared" ref="I39:I45" si="8">SUM(D39:H39)</f>
        <v>18</v>
      </c>
    </row>
    <row r="40" spans="2:9" x14ac:dyDescent="0.35">
      <c r="B40" s="3" t="s">
        <v>570</v>
      </c>
      <c r="C40" s="41">
        <f>COUNTIFS(_01towers[Final Colo Status Summarized],'Graph Infos'!$B40)</f>
        <v>13</v>
      </c>
      <c r="D40" s="3">
        <f>COUNTIFS(_01towers[Final Colo Status Summarized],'Graph Infos'!$B40,_01towers[Operator],'Graph Infos'!D$35)</f>
        <v>0</v>
      </c>
      <c r="E40" s="3">
        <f>COUNTIFS(_01towers[Final Colo Status Summarized],'Graph Infos'!$B40,_01towers[Operator],'Graph Infos'!E$35)</f>
        <v>0</v>
      </c>
      <c r="F40" s="3">
        <f>COUNTIFS(_01towers[Final Colo Status Summarized],'Graph Infos'!$B40,_01towers[Operator],'Graph Infos'!F$35)</f>
        <v>13</v>
      </c>
      <c r="G40" s="3">
        <f>COUNTIFS(_01towers[Final Colo Status Summarized],'Graph Infos'!$B40,_01towers[Operator],'Graph Infos'!G$35)</f>
        <v>0</v>
      </c>
      <c r="H40" s="3">
        <f>COUNTIFS(_01towers[Actual Tower Height],'Graph Infos'!$B39,_01towers[Structural_Result],'Graph Infos'!H$35)</f>
        <v>0</v>
      </c>
      <c r="I40" s="3">
        <f t="shared" si="8"/>
        <v>13</v>
      </c>
    </row>
    <row r="41" spans="2:9" x14ac:dyDescent="0.35">
      <c r="B41" s="3" t="s">
        <v>532</v>
      </c>
      <c r="C41" s="41">
        <f>COUNTIFS(_01towers[Final Colo Status Summarized],'Graph Infos'!$B41)</f>
        <v>13</v>
      </c>
      <c r="D41" s="3">
        <f>COUNTIFS(_01towers[Final Colo Status Summarized],'Graph Infos'!$B41,_01towers[Operator],'Graph Infos'!D$35)</f>
        <v>4</v>
      </c>
      <c r="E41" s="3">
        <f>COUNTIFS(_01towers[Final Colo Status Summarized],'Graph Infos'!$B41,_01towers[Operator],'Graph Infos'!E$35)</f>
        <v>0</v>
      </c>
      <c r="F41" s="3">
        <f>COUNTIFS(_01towers[Final Colo Status Summarized],'Graph Infos'!$B41,_01towers[Operator],'Graph Infos'!F$35)</f>
        <v>4</v>
      </c>
      <c r="G41" s="3">
        <f>COUNTIFS(_01towers[Final Colo Status Summarized],'Graph Infos'!$B41,_01towers[Operator],'Graph Infos'!G$35)</f>
        <v>5</v>
      </c>
      <c r="H41" s="3">
        <f>COUNTIFS(_01towers[Actual Tower Height],'Graph Infos'!$B39,_01towers[Structural_Result],'Graph Infos'!H$35)</f>
        <v>0</v>
      </c>
      <c r="I41" s="3">
        <f t="shared" si="8"/>
        <v>13</v>
      </c>
    </row>
    <row r="42" spans="2:9" x14ac:dyDescent="0.35">
      <c r="B42" s="3" t="s">
        <v>533</v>
      </c>
      <c r="C42" s="41">
        <f>COUNTIFS(_01towers[Final Colo Status Summarized],'Graph Infos'!$B42)</f>
        <v>66</v>
      </c>
      <c r="D42" s="3">
        <f>COUNTIFS(_01towers[Final Colo Status Summarized],'Graph Infos'!$B42,_01towers[Operator],'Graph Infos'!D$35)</f>
        <v>5</v>
      </c>
      <c r="E42" s="3">
        <f>COUNTIFS(_01towers[Final Colo Status Summarized],'Graph Infos'!$B42,_01towers[Operator],'Graph Infos'!E$35)</f>
        <v>1</v>
      </c>
      <c r="F42" s="3">
        <f>COUNTIFS(_01towers[Final Colo Status Summarized],'Graph Infos'!$B42,_01towers[Operator],'Graph Infos'!F$35)</f>
        <v>56</v>
      </c>
      <c r="G42" s="3">
        <f>COUNTIFS(_01towers[Final Colo Status Summarized],'Graph Infos'!$B42,_01towers[Operator],'Graph Infos'!G$35)</f>
        <v>4</v>
      </c>
      <c r="H42" s="3">
        <f>COUNTIFS(_01towers[Actual Tower Height],'Graph Infos'!$B41,_01towers[Structural_Result],'Graph Infos'!H$35)</f>
        <v>0</v>
      </c>
      <c r="I42" s="3">
        <f t="shared" si="8"/>
        <v>66</v>
      </c>
    </row>
    <row r="43" spans="2:9" x14ac:dyDescent="0.35">
      <c r="B43" s="3" t="s">
        <v>74</v>
      </c>
      <c r="C43" s="41">
        <f>COUNTIFS(_01towers[Final Colo Status Summarized],'Graph Infos'!$B43)</f>
        <v>69</v>
      </c>
      <c r="D43" s="3">
        <f>COUNTIFS(_01towers[Final Colo Status Summarized],'Graph Infos'!$B43,_01towers[Operator],'Graph Infos'!D$35)</f>
        <v>3</v>
      </c>
      <c r="E43" s="3">
        <f>COUNTIFS(_01towers[Final Colo Status Summarized],'Graph Infos'!$B43,_01towers[Operator],'Graph Infos'!E$35)</f>
        <v>0</v>
      </c>
      <c r="F43" s="3">
        <f>COUNTIFS(_01towers[Final Colo Status Summarized],'Graph Infos'!$B43,_01towers[Operator],'Graph Infos'!F$35)</f>
        <v>51</v>
      </c>
      <c r="G43" s="3">
        <f>COUNTIFS(_01towers[Final Colo Status Summarized],'Graph Infos'!$B43,_01towers[Operator],'Graph Infos'!G$35)</f>
        <v>15</v>
      </c>
      <c r="H43" s="3">
        <f>COUNTIFS(_01towers[Actual Tower Height],'Graph Infos'!$B42,_01towers[Structural_Result],'Graph Infos'!H$35)</f>
        <v>0</v>
      </c>
      <c r="I43" s="3">
        <f t="shared" si="8"/>
        <v>69</v>
      </c>
    </row>
    <row r="44" spans="2:9" x14ac:dyDescent="0.35">
      <c r="B44" s="3" t="s">
        <v>148</v>
      </c>
      <c r="C44" s="41">
        <f>COUNTIFS(_01towers[Final Colo Status Summarized],'Graph Infos'!$B44)</f>
        <v>8</v>
      </c>
      <c r="D44" s="3">
        <f>COUNTIFS(_01towers[Final Colo Status Summarized],'Graph Infos'!$B44,_01towers[Operator],'Graph Infos'!D$35)</f>
        <v>0</v>
      </c>
      <c r="E44" s="3">
        <f>COUNTIFS(_01towers[Final Colo Status Summarized],'Graph Infos'!$B44,_01towers[Operator],'Graph Infos'!E$35)</f>
        <v>0</v>
      </c>
      <c r="F44" s="3">
        <f>COUNTIFS(_01towers[Final Colo Status Summarized],'Graph Infos'!$B44,_01towers[Operator],'Graph Infos'!F$35)</f>
        <v>2</v>
      </c>
      <c r="G44" s="3">
        <f>COUNTIFS(_01towers[Final Colo Status Summarized],'Graph Infos'!$B44,_01towers[Operator],'Graph Infos'!G$35)</f>
        <v>6</v>
      </c>
      <c r="H44" s="3">
        <f>COUNTIFS(_01towers[Actual Tower Height],'Graph Infos'!$B43,_01towers[Structural_Result],'Graph Infos'!H$35)</f>
        <v>0</v>
      </c>
      <c r="I44" s="3">
        <f t="shared" si="8"/>
        <v>8</v>
      </c>
    </row>
    <row r="45" spans="2:9" x14ac:dyDescent="0.35">
      <c r="B45" s="3" t="s">
        <v>145</v>
      </c>
      <c r="C45" s="41">
        <f>COUNTIFS(_01towers[Final Colo Status Summarized],'Graph Infos'!$B45)</f>
        <v>50</v>
      </c>
      <c r="D45" s="3">
        <f>COUNTIFS(_01towers[Final Colo Status Summarized],'Graph Infos'!$B45,_01towers[Operator],'Graph Infos'!D$35)</f>
        <v>1</v>
      </c>
      <c r="E45" s="3">
        <f>COUNTIFS(_01towers[Final Colo Status Summarized],'Graph Infos'!$B45,_01towers[Operator],'Graph Infos'!E$35)</f>
        <v>0</v>
      </c>
      <c r="F45" s="3">
        <f>COUNTIFS(_01towers[Final Colo Status Summarized],'Graph Infos'!$B45,_01towers[Operator],'Graph Infos'!F$35)</f>
        <v>49</v>
      </c>
      <c r="G45" s="3">
        <f>COUNTIFS(_01towers[Final Colo Status Summarized],'Graph Infos'!$B45,_01towers[Operator],'Graph Infos'!G$35)</f>
        <v>0</v>
      </c>
      <c r="H45" s="3">
        <f>COUNTIFS(_01towers[Actual Tower Height],'Graph Infos'!$B44,_01towers[Structural_Result],'Graph Infos'!H$35)</f>
        <v>0</v>
      </c>
      <c r="I45" s="3">
        <f t="shared" si="8"/>
        <v>50</v>
      </c>
    </row>
    <row r="47" spans="2:9" x14ac:dyDescent="0.35">
      <c r="B47" t="s">
        <v>517</v>
      </c>
      <c r="C47">
        <f>SUM(C36:C45)</f>
        <v>260</v>
      </c>
      <c r="D47">
        <f t="shared" ref="D47:H47" si="9">SUM(D36:D45)</f>
        <v>13</v>
      </c>
      <c r="E47">
        <f t="shared" si="9"/>
        <v>7</v>
      </c>
      <c r="F47">
        <f t="shared" si="9"/>
        <v>186</v>
      </c>
      <c r="G47">
        <f t="shared" si="9"/>
        <v>54</v>
      </c>
      <c r="H47">
        <f t="shared" si="9"/>
        <v>0</v>
      </c>
    </row>
    <row r="48" spans="2:9" x14ac:dyDescent="0.35">
      <c r="B48" t="s">
        <v>656</v>
      </c>
      <c r="C48">
        <f>C47-SUM(C43:C44)-C36</f>
        <v>182</v>
      </c>
      <c r="D48">
        <f t="shared" ref="D48:H48" si="10">D47-SUM(D43:D44)</f>
        <v>10</v>
      </c>
      <c r="E48">
        <f t="shared" si="10"/>
        <v>7</v>
      </c>
      <c r="F48">
        <f t="shared" si="10"/>
        <v>133</v>
      </c>
      <c r="G48">
        <f t="shared" si="10"/>
        <v>33</v>
      </c>
      <c r="H48">
        <f t="shared" si="10"/>
        <v>0</v>
      </c>
    </row>
  </sheetData>
  <pageMargins left="0.7" right="0.7" top="0.75" bottom="0.75" header="0.3" footer="0.3"/>
  <pageSetup paperSize="9"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33AAF-6008-4DAA-ABE3-1E4C723CE15B}">
  <sheetPr codeName="Sheet5"/>
  <dimension ref="A2:M19"/>
  <sheetViews>
    <sheetView workbookViewId="0">
      <selection activeCell="E2" sqref="E2"/>
    </sheetView>
  </sheetViews>
  <sheetFormatPr defaultRowHeight="14.5" x14ac:dyDescent="0.35"/>
  <cols>
    <col min="1" max="1" width="25.1796875" bestFit="1" customWidth="1"/>
    <col min="2" max="2" width="23.54296875" bestFit="1" customWidth="1"/>
    <col min="3" max="4" width="35.54296875" customWidth="1"/>
    <col min="5" max="5" width="22.54296875" bestFit="1" customWidth="1"/>
    <col min="6" max="6" width="12.453125" customWidth="1"/>
    <col min="7" max="7" width="30.7265625" bestFit="1" customWidth="1"/>
    <col min="8" max="8" width="6.7265625" bestFit="1" customWidth="1"/>
  </cols>
  <sheetData>
    <row r="2" spans="1:13" x14ac:dyDescent="0.35">
      <c r="D2" s="29" t="s">
        <v>661</v>
      </c>
      <c r="E2" s="3"/>
    </row>
    <row r="3" spans="1:13" x14ac:dyDescent="0.35">
      <c r="A3" t="s">
        <v>599</v>
      </c>
    </row>
    <row r="4" spans="1:13" x14ac:dyDescent="0.35">
      <c r="B4" s="3" t="s">
        <v>664</v>
      </c>
      <c r="C4" s="3" t="s">
        <v>567</v>
      </c>
      <c r="D4" s="3" t="s">
        <v>568</v>
      </c>
      <c r="E4" s="3" t="s">
        <v>569</v>
      </c>
      <c r="F4" t="s">
        <v>660</v>
      </c>
      <c r="H4" s="28" t="s">
        <v>121</v>
      </c>
      <c r="I4" s="28" t="s">
        <v>124</v>
      </c>
      <c r="J4" s="28" t="s">
        <v>136</v>
      </c>
      <c r="K4" s="28" t="s">
        <v>55</v>
      </c>
      <c r="L4" s="86" t="s">
        <v>528</v>
      </c>
      <c r="M4" s="66" t="s">
        <v>517</v>
      </c>
    </row>
    <row r="5" spans="1:13" x14ac:dyDescent="0.35">
      <c r="A5" t="s">
        <v>663</v>
      </c>
      <c r="B5" s="67">
        <f>IF($E$2&lt;&gt;"",SUMIF($H$4:$L$9,$E$2,$H$5:$L$5),$M$5)</f>
        <v>0</v>
      </c>
      <c r="C5" s="67">
        <f>IF($E$2&lt;&gt;"",SUMIF($H$4:$L$9,$E$2,$H$6:$L$6),$M$6)</f>
        <v>1</v>
      </c>
      <c r="D5" s="3"/>
      <c r="E5" s="3"/>
      <c r="G5" s="28" t="s">
        <v>664</v>
      </c>
      <c r="H5" s="3">
        <f>COUNTIFS(_01towers[Final Colo Status full],$G5,_01towers[Operator],'Bar Completion'!H$4)</f>
        <v>0</v>
      </c>
      <c r="I5" s="3">
        <f>COUNTIFS(_01towers[Final Colo Status full],$G5,_01towers[Operator],'Bar Completion'!I$4)</f>
        <v>0</v>
      </c>
      <c r="J5" s="3">
        <f>COUNTIFS(_01towers[Final Colo Status full],$G5,_01towers[Operator],'Bar Completion'!J$4)</f>
        <v>0</v>
      </c>
      <c r="K5" s="3">
        <f>COUNTIFS(_01towers[Final Colo Status full],$G5,_01towers[Operator],'Bar Completion'!K$4)</f>
        <v>0</v>
      </c>
      <c r="L5" s="3">
        <f>COUNTIFS(_01towers[Final Colo Status full],$G5,_01towers[Operator],'Bar Completion'!L$4)</f>
        <v>0</v>
      </c>
      <c r="M5" s="3">
        <f t="shared" ref="M5:M8" si="0">SUM(H5:L5)</f>
        <v>0</v>
      </c>
    </row>
    <row r="6" spans="1:13" ht="15" customHeight="1" x14ac:dyDescent="0.35">
      <c r="B6" s="3" t="s">
        <v>59</v>
      </c>
      <c r="C6" s="3" t="s">
        <v>570</v>
      </c>
      <c r="D6" s="3" t="s">
        <v>515</v>
      </c>
      <c r="E6" s="87" t="s">
        <v>660</v>
      </c>
      <c r="F6" s="153" t="s">
        <v>663</v>
      </c>
      <c r="G6" s="3" t="s">
        <v>567</v>
      </c>
      <c r="H6" s="3">
        <f>COUNTIFS(_01towers[Final Colo Status full],$G6,_01towers[Operator],'Bar Completion'!H$4)</f>
        <v>0</v>
      </c>
      <c r="I6" s="3">
        <f>COUNTIFS(_01towers[Final Colo Status full],$G6,_01towers[Operator],'Bar Completion'!I$4)</f>
        <v>0</v>
      </c>
      <c r="J6" s="3">
        <f>COUNTIFS(_01towers[Final Colo Status full],$G6,_01towers[Operator],'Bar Completion'!J$4)</f>
        <v>1</v>
      </c>
      <c r="K6" s="3">
        <f>COUNTIFS(_01towers[Final Colo Status full],$G6,_01towers[Operator],'Bar Completion'!K$4)</f>
        <v>0</v>
      </c>
      <c r="L6" s="3">
        <f>COUNTIFS(_01towers[Final Colo Status full],$G6,_01towers[Operator],'Bar Completion'!L$4)</f>
        <v>0</v>
      </c>
      <c r="M6" s="3">
        <f t="shared" si="0"/>
        <v>1</v>
      </c>
    </row>
    <row r="7" spans="1:13" x14ac:dyDescent="0.35">
      <c r="A7" t="s">
        <v>527</v>
      </c>
      <c r="B7" s="67">
        <f>IF($E$2&lt;&gt;"",SUMIF($H$4:$L$9,$E$2,$H$9:$L$9),$M$9)</f>
        <v>30</v>
      </c>
      <c r="C7" s="67">
        <f>IF($E$2&lt;&gt;"",SUMIF($H$4:$L$10,$E$2,$H$10:$L$10),$M$10)</f>
        <v>23</v>
      </c>
      <c r="D7" s="68">
        <f>B10-SUM(B7:C7)</f>
        <v>13</v>
      </c>
      <c r="E7" s="88">
        <f>B15-SUM(B7:D7)</f>
        <v>117</v>
      </c>
      <c r="F7" s="153"/>
      <c r="G7" s="3" t="s">
        <v>568</v>
      </c>
      <c r="H7" s="3">
        <f>COUNTIFS(_01towers[Final Colo Status full],$G7,_01towers[Operator],'Bar Completion'!H$4)</f>
        <v>0</v>
      </c>
      <c r="I7" s="3">
        <f>COUNTIFS(_01towers[Final Colo Status full],$G7,_01towers[Operator],'Bar Completion'!I$4)</f>
        <v>6</v>
      </c>
      <c r="J7" s="3">
        <f>COUNTIFS(_01towers[Final Colo Status full],$G7,_01towers[Operator],'Bar Completion'!J$4)</f>
        <v>9</v>
      </c>
      <c r="K7" s="3">
        <f>COUNTIFS(_01towers[Final Colo Status full],$G7,_01towers[Operator],'Bar Completion'!K$4)</f>
        <v>6</v>
      </c>
      <c r="L7" s="3">
        <f>COUNTIFS(_01towers[Final Colo Status full],$G7,_01towers[Operator],'Bar Completion'!L$4)</f>
        <v>0</v>
      </c>
      <c r="M7" s="3">
        <f t="shared" si="0"/>
        <v>21</v>
      </c>
    </row>
    <row r="8" spans="1:13" x14ac:dyDescent="0.35">
      <c r="F8" s="153"/>
      <c r="G8" s="3" t="s">
        <v>569</v>
      </c>
      <c r="H8" s="3">
        <f>COUNTIFS(_01towers[Final Colo Status full],$G8,_01towers[Operator],'Bar Completion'!H$4)</f>
        <v>0</v>
      </c>
      <c r="I8" s="3">
        <f>COUNTIFS(_01towers[Final Colo Status full],$G8,_01towers[Operator],'Bar Completion'!I$4)</f>
        <v>0</v>
      </c>
      <c r="J8" s="3">
        <f>COUNTIFS(_01towers[Final Colo Status full],$G8,_01towers[Operator],'Bar Completion'!J$4)</f>
        <v>1</v>
      </c>
      <c r="K8" s="3">
        <f>COUNTIFS(_01towers[Final Colo Status full],$G8,_01towers[Operator],'Bar Completion'!K$4)</f>
        <v>0</v>
      </c>
      <c r="L8" s="3">
        <f>COUNTIFS(_01towers[Final Colo Status full],$G8,_01towers[Operator],'Bar Completion'!L$4)</f>
        <v>0</v>
      </c>
      <c r="M8" s="3">
        <f t="shared" si="0"/>
        <v>1</v>
      </c>
    </row>
    <row r="9" spans="1:13" x14ac:dyDescent="0.35">
      <c r="B9" s="3" t="s">
        <v>532</v>
      </c>
      <c r="C9" s="3" t="s">
        <v>533</v>
      </c>
      <c r="D9" s="3" t="s">
        <v>657</v>
      </c>
      <c r="E9" s="3" t="s">
        <v>660</v>
      </c>
      <c r="F9" s="149" t="s">
        <v>527</v>
      </c>
      <c r="G9" s="3" t="s">
        <v>59</v>
      </c>
      <c r="H9" s="3">
        <f>COUNTIFS(_01towers[Active Colo Application Result],$G9,_01towers[Operator],'Bar Completion'!H$4)</f>
        <v>0</v>
      </c>
      <c r="I9" s="3">
        <f>COUNTIFS(_01towers[Active Colo Application Result],$G9,_01towers[Operator],'Bar Completion'!I$4)</f>
        <v>6</v>
      </c>
      <c r="J9" s="3">
        <f>COUNTIFS(_01towers[Active Colo Application Result],$G9,_01towers[Operator],'Bar Completion'!J$4)</f>
        <v>0</v>
      </c>
      <c r="K9" s="3">
        <f>COUNTIFS(_01towers[Active Colo Application Result],$G9,_01towers[Operator],'Bar Completion'!K$4)</f>
        <v>24</v>
      </c>
      <c r="L9" s="87">
        <f>COUNTIFS(_01towers[Active Colo Application Result],$G9,_01towers[Operator],'Bar Completion'!L$4)</f>
        <v>0</v>
      </c>
      <c r="M9" s="3">
        <f>SUM(H9:L9)</f>
        <v>30</v>
      </c>
    </row>
    <row r="10" spans="1:13" x14ac:dyDescent="0.35">
      <c r="A10" t="s">
        <v>659</v>
      </c>
      <c r="B10" s="67">
        <f>IF($E$2&lt;&gt;"",SUMIF($H$4:$L$13,$E$2,$H$13:$L$13),$M$13)</f>
        <v>66</v>
      </c>
      <c r="C10" s="67">
        <f>IF($E$2&lt;&gt;"",SUMIF($H$4:$L$18,$E$2,$H$14:$L$14),$M$14)</f>
        <v>67</v>
      </c>
      <c r="D10" s="67">
        <f>IF($E$2&lt;&gt;"",SUMIF($H$4:$L$18,$E$2,$H$15:$L$15),$M$15)</f>
        <v>2</v>
      </c>
      <c r="E10" s="68">
        <f>B15-SUM(B10:D10)</f>
        <v>48</v>
      </c>
      <c r="F10" s="150"/>
      <c r="G10" s="3" t="s">
        <v>570</v>
      </c>
      <c r="H10" s="3">
        <f>COUNTIFS(_01towers[Active Colo Application Result],$G10,_01towers[Operator],'Bar Completion'!H$4)</f>
        <v>0</v>
      </c>
      <c r="I10" s="3">
        <f>COUNTIFS(_01towers[Active Colo Application Result],$G10,_01towers[Operator],'Bar Completion'!I$4)</f>
        <v>0</v>
      </c>
      <c r="J10" s="3">
        <f>COUNTIFS(_01towers[Active Colo Application Result],$G10,_01towers[Operator],'Bar Completion'!J$4)</f>
        <v>23</v>
      </c>
      <c r="K10" s="3">
        <f>COUNTIFS(_01towers[Active Colo Application Result],$G10,_01towers[Operator],'Bar Completion'!K$4)</f>
        <v>0</v>
      </c>
      <c r="L10" s="87">
        <f>COUNTIFS(_01towers[Active Colo Application Result],$G10,_01towers[Operator],'Bar Completion'!L$4)</f>
        <v>0</v>
      </c>
      <c r="M10" s="3">
        <f>SUM(H10:L10)</f>
        <v>23</v>
      </c>
    </row>
    <row r="11" spans="1:13" x14ac:dyDescent="0.35">
      <c r="F11" s="150"/>
      <c r="G11" s="3" t="s">
        <v>515</v>
      </c>
      <c r="H11" s="3">
        <f>COUNTIFS(_01towers[Active Colo Application Result],$G11,_01towers[Operator],'Bar Completion'!H$4)</f>
        <v>0</v>
      </c>
      <c r="I11" s="3">
        <f>COUNTIFS(_01towers[Active Colo Application Result],$G11,_01towers[Operator],'Bar Completion'!I$4)</f>
        <v>0</v>
      </c>
      <c r="J11" s="3">
        <f>COUNTIFS(_01towers[Active Colo Application Result],$G11,_01towers[Operator],'Bar Completion'!J$4)</f>
        <v>0</v>
      </c>
      <c r="K11" s="3">
        <f>COUNTIFS(_01towers[Active Colo Application Result],$G11,_01towers[Operator],'Bar Completion'!K$4)</f>
        <v>0</v>
      </c>
      <c r="L11" s="87">
        <f>COUNTIFS(_01towers[Active Colo Application Result],$G11,_01towers[Operator],'Bar Completion'!L$4)</f>
        <v>0</v>
      </c>
      <c r="M11" s="3">
        <f>SUM(H11:L11)</f>
        <v>0</v>
      </c>
    </row>
    <row r="12" spans="1:13" x14ac:dyDescent="0.35">
      <c r="B12" s="3" t="s">
        <v>64</v>
      </c>
      <c r="C12" s="3" t="s">
        <v>56</v>
      </c>
      <c r="D12" s="3" t="s">
        <v>145</v>
      </c>
      <c r="F12" s="151"/>
      <c r="G12" s="3" t="s">
        <v>660</v>
      </c>
      <c r="H12" s="3"/>
      <c r="I12" s="3"/>
      <c r="J12" s="3"/>
      <c r="K12" s="3"/>
      <c r="L12" s="87"/>
      <c r="M12" s="3">
        <f>B15-SUM(M9:M11)</f>
        <v>130</v>
      </c>
    </row>
    <row r="13" spans="1:13" x14ac:dyDescent="0.35">
      <c r="A13" t="s">
        <v>658</v>
      </c>
      <c r="B13" s="67">
        <f>IF($E$2&lt;&gt;"",SUMIF($H$4:$L$18,$E$2,$H$16:$L$16),$M$16)</f>
        <v>133</v>
      </c>
      <c r="C13" s="67">
        <f>IF($E$2&lt;&gt;"",SUMIF($H$4:$L$18,$E$2,$H$17:$L$17),$M$17)</f>
        <v>46</v>
      </c>
      <c r="D13" s="67">
        <f>IF($E$2&lt;&gt;"",SUMIF($H$4:$L$18,$E$2,$H$18:$L$18),$M$18)</f>
        <v>4</v>
      </c>
      <c r="F13" s="152" t="s">
        <v>514</v>
      </c>
      <c r="G13" s="3" t="s">
        <v>532</v>
      </c>
      <c r="H13" s="3">
        <f>COUNTIFS(_01towers[Active Prevalidation Status],"Prevalidated",_01towers[Active TSS Result],"Approved",_01towers[Operator],'Bar Completion'!H$4)</f>
        <v>4</v>
      </c>
      <c r="I13" s="3">
        <f>COUNTIFS(_01towers[Active Prevalidation Status],"Prevalidated",_01towers[Active TSS Result],"Approved",_01towers[Operator],'Bar Completion'!I$4)</f>
        <v>6</v>
      </c>
      <c r="J13" s="3">
        <f>COUNTIFS(_01towers[Active Prevalidation Status],"Prevalidated",_01towers[Active TSS Result],"Approved",_01towers[Operator],'Bar Completion'!J$4)</f>
        <v>27</v>
      </c>
      <c r="K13" s="3">
        <f>COUNTIFS(_01towers[Active Prevalidation Status],"Prevalidated",_01towers[Active TSS Result],"Approved",_01towers[Operator],'Bar Completion'!K$4)</f>
        <v>29</v>
      </c>
      <c r="L13" s="87">
        <f>COUNTIFS(_01towers[Active Prevalidation Status],"Prevalidated",_01towers[Active TSS Result],"Approved",_01towers[Operator],'Bar Completion'!L$4)</f>
        <v>0</v>
      </c>
      <c r="M13" s="3">
        <f t="shared" ref="M13:M18" si="1">SUM(H13:L13)</f>
        <v>66</v>
      </c>
    </row>
    <row r="14" spans="1:13" x14ac:dyDescent="0.35">
      <c r="B14" s="69" t="s">
        <v>662</v>
      </c>
      <c r="F14" s="152"/>
      <c r="G14" s="3" t="s">
        <v>533</v>
      </c>
      <c r="H14" s="3">
        <f>H16-H13</f>
        <v>5</v>
      </c>
      <c r="I14" s="3">
        <f>I16-I13</f>
        <v>1</v>
      </c>
      <c r="J14" s="3">
        <f>J16-J13</f>
        <v>57</v>
      </c>
      <c r="K14" s="3">
        <f>K16-K13</f>
        <v>4</v>
      </c>
      <c r="L14" s="87">
        <f>L16-L13</f>
        <v>0</v>
      </c>
      <c r="M14" s="3">
        <f t="shared" si="1"/>
        <v>67</v>
      </c>
    </row>
    <row r="15" spans="1:13" x14ac:dyDescent="0.35">
      <c r="B15" s="29">
        <f>SUM(B13:D13)-B5</f>
        <v>183</v>
      </c>
      <c r="F15" s="152"/>
      <c r="G15" s="3" t="s">
        <v>657</v>
      </c>
      <c r="H15" s="3">
        <f>COUNTIFS(_01towers[Active TSS Result],"Approved",_01towers[Operator],'Bar Completion'!H$4)-H13</f>
        <v>0</v>
      </c>
      <c r="I15" s="3">
        <f>COUNTIFS(_01towers[Active TSS Result],"Approved",_01towers[Operator],'Bar Completion'!I$4)-I13</f>
        <v>0</v>
      </c>
      <c r="J15" s="3">
        <f>COUNTIFS(_01towers[Active TSS Result],"Approved",_01towers[Operator],'Bar Completion'!J$4)-J13</f>
        <v>2</v>
      </c>
      <c r="K15" s="3">
        <f>COUNTIFS(_01towers[Active TSS Result],"Approved",_01towers[Operator],'Bar Completion'!K$4)-K13</f>
        <v>0</v>
      </c>
      <c r="L15" s="87">
        <f>COUNTIFS(_01towers[Active TSS Result],"Approved",_01towers[Operator],'Bar Completion'!L$4)-L13</f>
        <v>0</v>
      </c>
      <c r="M15" s="3">
        <f t="shared" si="1"/>
        <v>2</v>
      </c>
    </row>
    <row r="16" spans="1:13" x14ac:dyDescent="0.35">
      <c r="F16" s="152" t="s">
        <v>658</v>
      </c>
      <c r="G16" s="3" t="s">
        <v>64</v>
      </c>
      <c r="H16" s="3">
        <f>COUNTIFS(_01towers[Active Prevalidation Status],$G16,_01towers[Operator],'Bar Completion'!H$4)</f>
        <v>9</v>
      </c>
      <c r="I16" s="3">
        <f>COUNTIFS(_01towers[Active Prevalidation Status],$G16,_01towers[Operator],'Bar Completion'!I$4)</f>
        <v>7</v>
      </c>
      <c r="J16" s="3">
        <f>COUNTIFS(_01towers[Active Prevalidation Status],$G16,_01towers[Operator],'Bar Completion'!J$4)</f>
        <v>84</v>
      </c>
      <c r="K16" s="3">
        <f>COUNTIFS(_01towers[Active Prevalidation Status],$G16,_01towers[Operator],'Bar Completion'!K$4)</f>
        <v>33</v>
      </c>
      <c r="L16" s="87">
        <f>COUNTIFS(_01towers[Active Prevalidation Status],$G16,_01towers[Operator],'Bar Completion'!L$4)</f>
        <v>0</v>
      </c>
      <c r="M16" s="3">
        <f t="shared" si="1"/>
        <v>133</v>
      </c>
    </row>
    <row r="17" spans="6:13" x14ac:dyDescent="0.35">
      <c r="F17" s="152"/>
      <c r="G17" s="3" t="s">
        <v>56</v>
      </c>
      <c r="H17" s="3">
        <f>COUNTIFS(_01towers[Active Prevalidation Status],$G17,_01towers[Operator],'Bar Completion'!H$4)</f>
        <v>0</v>
      </c>
      <c r="I17" s="3">
        <f>COUNTIFS(_01towers[Active Prevalidation Status],$G17,_01towers[Operator],'Bar Completion'!I$4)</f>
        <v>0</v>
      </c>
      <c r="J17" s="3">
        <f>COUNTIFS(_01towers[Active Prevalidation Status],$G17,_01towers[Operator],'Bar Completion'!J$4)</f>
        <v>46</v>
      </c>
      <c r="K17" s="3">
        <f>COUNTIFS(_01towers[Active Prevalidation Status],$G17,_01towers[Operator],'Bar Completion'!K$4)</f>
        <v>0</v>
      </c>
      <c r="L17" s="87">
        <f>COUNTIFS(_01towers[Active Prevalidation Status],$G17,_01towers[Operator],'Bar Completion'!L$4)</f>
        <v>0</v>
      </c>
      <c r="M17" s="3">
        <f t="shared" si="1"/>
        <v>46</v>
      </c>
    </row>
    <row r="18" spans="6:13" x14ac:dyDescent="0.35">
      <c r="F18" s="152"/>
      <c r="G18" s="3" t="s">
        <v>145</v>
      </c>
      <c r="H18" s="3">
        <f>COUNTIFS(_01towers[Active Prevalidation Status],$G18,_01towers[Operator],'Bar Completion'!H$4)</f>
        <v>1</v>
      </c>
      <c r="I18" s="3">
        <f>COUNTIFS(_01towers[Active Prevalidation Status],$G18,_01towers[Operator],'Bar Completion'!I$4)</f>
        <v>0</v>
      </c>
      <c r="J18" s="3">
        <f>COUNTIFS(_01towers[Active Prevalidation Status],$G18,_01towers[Operator],'Bar Completion'!J$4)</f>
        <v>3</v>
      </c>
      <c r="K18" s="3">
        <f>COUNTIFS(_01towers[Active Prevalidation Status],$G18,_01towers[Operator],'Bar Completion'!K$4)</f>
        <v>0</v>
      </c>
      <c r="L18" s="87">
        <f>COUNTIFS(_01towers[Active Prevalidation Status],$G18,_01towers[Operator],'Bar Completion'!L$4)</f>
        <v>0</v>
      </c>
      <c r="M18" s="3">
        <f t="shared" si="1"/>
        <v>4</v>
      </c>
    </row>
    <row r="19" spans="6:13" x14ac:dyDescent="0.35">
      <c r="F19" s="63"/>
    </row>
  </sheetData>
  <mergeCells count="4">
    <mergeCell ref="F9:F12"/>
    <mergeCell ref="F13:F15"/>
    <mergeCell ref="F16:F18"/>
    <mergeCell ref="F6:F8"/>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DED07-0B0A-48DC-9CF7-2CC81B0FEA96}">
  <sheetPr codeName="Sheet15"/>
  <dimension ref="A2:M19"/>
  <sheetViews>
    <sheetView topLeftCell="B1" workbookViewId="0">
      <selection activeCell="H4" sqref="H4:K4"/>
    </sheetView>
  </sheetViews>
  <sheetFormatPr defaultRowHeight="14.5" x14ac:dyDescent="0.35"/>
  <cols>
    <col min="1" max="1" width="25.1796875" bestFit="1" customWidth="1"/>
    <col min="2" max="2" width="23.54296875" bestFit="1" customWidth="1"/>
    <col min="3" max="4" width="35.54296875" customWidth="1"/>
    <col min="5" max="5" width="22.54296875" bestFit="1" customWidth="1"/>
    <col min="6" max="6" width="12.453125" customWidth="1"/>
    <col min="7" max="7" width="30.7265625" bestFit="1" customWidth="1"/>
    <col min="8" max="8" width="6.7265625" bestFit="1" customWidth="1"/>
  </cols>
  <sheetData>
    <row r="2" spans="1:13" x14ac:dyDescent="0.35">
      <c r="D2" s="29" t="s">
        <v>661</v>
      </c>
      <c r="E2" s="3" t="str">
        <f>'D1 (4)'!G28</f>
        <v>Amara</v>
      </c>
    </row>
    <row r="3" spans="1:13" x14ac:dyDescent="0.35">
      <c r="A3" t="s">
        <v>599</v>
      </c>
    </row>
    <row r="4" spans="1:13" x14ac:dyDescent="0.35">
      <c r="B4" s="3" t="s">
        <v>664</v>
      </c>
      <c r="C4" s="3" t="s">
        <v>567</v>
      </c>
      <c r="D4" s="3" t="s">
        <v>568</v>
      </c>
      <c r="E4" s="3" t="s">
        <v>569</v>
      </c>
      <c r="F4" t="s">
        <v>660</v>
      </c>
      <c r="H4" s="28" t="s">
        <v>121</v>
      </c>
      <c r="I4" s="28" t="s">
        <v>124</v>
      </c>
      <c r="J4" s="28" t="s">
        <v>136</v>
      </c>
      <c r="K4" s="28" t="s">
        <v>55</v>
      </c>
      <c r="L4" s="86" t="s">
        <v>528</v>
      </c>
      <c r="M4" s="66" t="s">
        <v>517</v>
      </c>
    </row>
    <row r="5" spans="1:13" x14ac:dyDescent="0.35">
      <c r="A5" t="s">
        <v>663</v>
      </c>
      <c r="B5" s="67">
        <f ca="1">IF($E$2&lt;&gt;"",SUMIF($H$4:$L$9,$E$2,$H$5:$L$5),$M$5)</f>
        <v>0</v>
      </c>
      <c r="C5" s="67">
        <f ca="1">IF($E$2&lt;&gt;"",SUMIF($H$4:$L$9,$E$2,$H$6:$L$6),$M$6)</f>
        <v>0</v>
      </c>
      <c r="D5" s="3"/>
      <c r="E5" s="3"/>
      <c r="G5" s="28" t="s">
        <v>664</v>
      </c>
      <c r="H5" s="3">
        <f>COUNTIFS(_01towers[Final Colo Status full],$G5,_01towers[Operator],'Bar Completion Operator'!H$4)</f>
        <v>0</v>
      </c>
      <c r="I5" s="3">
        <f>COUNTIFS(_01towers[Final Colo Status full],$G5,_01towers[Operator],'Bar Completion Operator'!I$4)</f>
        <v>0</v>
      </c>
      <c r="J5" s="3">
        <f>COUNTIFS(_01towers[Final Colo Status full],$G5,_01towers[Operator],'Bar Completion Operator'!J$4)</f>
        <v>0</v>
      </c>
      <c r="K5" s="3">
        <f>COUNTIFS(_01towers[Final Colo Status full],$G5,_01towers[Operator],'Bar Completion Operator'!K$4)</f>
        <v>0</v>
      </c>
      <c r="L5" s="3">
        <f>COUNTIFS(_01towers[Final Colo Status full],$G5,_01towers[Operator],'Bar Completion Operator'!L$4)</f>
        <v>0</v>
      </c>
      <c r="M5" s="3">
        <f t="shared" ref="M5:M8" si="0">SUM(H5:L5)</f>
        <v>0</v>
      </c>
    </row>
    <row r="6" spans="1:13" ht="15" customHeight="1" x14ac:dyDescent="0.35">
      <c r="B6" s="3" t="s">
        <v>59</v>
      </c>
      <c r="C6" s="3" t="s">
        <v>570</v>
      </c>
      <c r="D6" s="3" t="s">
        <v>515</v>
      </c>
      <c r="E6" s="87" t="s">
        <v>660</v>
      </c>
      <c r="F6" s="153" t="s">
        <v>663</v>
      </c>
      <c r="G6" s="3" t="s">
        <v>567</v>
      </c>
      <c r="H6" s="3">
        <f>COUNTIFS(_01towers[Final Colo Status full],$G6,_01towers[Operator],'Bar Completion Operator'!H$4)</f>
        <v>0</v>
      </c>
      <c r="I6" s="3">
        <f>COUNTIFS(_01towers[Final Colo Status full],$G6,_01towers[Operator],'Bar Completion Operator'!I$4)</f>
        <v>0</v>
      </c>
      <c r="J6" s="3">
        <f>COUNTIFS(_01towers[Final Colo Status full],$G6,_01towers[Operator],'Bar Completion Operator'!J$4)</f>
        <v>1</v>
      </c>
      <c r="K6" s="3">
        <f>COUNTIFS(_01towers[Final Colo Status full],$G6,_01towers[Operator],'Bar Completion Operator'!K$4)</f>
        <v>0</v>
      </c>
      <c r="L6" s="3">
        <f>COUNTIFS(_01towers[Final Colo Status full],$G6,_01towers[Operator],'Bar Completion Operator'!L$4)</f>
        <v>0</v>
      </c>
      <c r="M6" s="3">
        <f t="shared" si="0"/>
        <v>1</v>
      </c>
    </row>
    <row r="7" spans="1:13" x14ac:dyDescent="0.35">
      <c r="A7" t="s">
        <v>527</v>
      </c>
      <c r="B7" s="67">
        <f ca="1">IF($E$2&lt;&gt;"",SUMIF($H$4:$L$9,$E$2,$H$9:$L$9),$M$9)</f>
        <v>0</v>
      </c>
      <c r="C7" s="67">
        <f ca="1">IF($E$2&lt;&gt;"",SUMIF($H$4:$L$10,$E$2,$H$10:$L$10),$M$10)</f>
        <v>0</v>
      </c>
      <c r="D7" s="68">
        <f ca="1">B10-SUM(B7:C7)</f>
        <v>4</v>
      </c>
      <c r="E7" s="88">
        <f ca="1">B15-SUM(B7:D7)</f>
        <v>6</v>
      </c>
      <c r="F7" s="153"/>
      <c r="G7" s="3" t="s">
        <v>568</v>
      </c>
      <c r="H7" s="3">
        <f>COUNTIFS(_01towers[Final Colo Status full],$G7,_01towers[Operator],'Bar Completion Operator'!H$4)</f>
        <v>0</v>
      </c>
      <c r="I7" s="3">
        <f>COUNTIFS(_01towers[Final Colo Status full],$G7,_01towers[Operator],'Bar Completion Operator'!I$4)</f>
        <v>6</v>
      </c>
      <c r="J7" s="3">
        <f>COUNTIFS(_01towers[Final Colo Status full],$G7,_01towers[Operator],'Bar Completion Operator'!J$4)</f>
        <v>9</v>
      </c>
      <c r="K7" s="3">
        <f>COUNTIFS(_01towers[Final Colo Status full],$G7,_01towers[Operator],'Bar Completion Operator'!K$4)</f>
        <v>6</v>
      </c>
      <c r="L7" s="3">
        <f>COUNTIFS(_01towers[Final Colo Status full],$G7,_01towers[Operator],'Bar Completion Operator'!L$4)</f>
        <v>0</v>
      </c>
      <c r="M7" s="3">
        <f t="shared" si="0"/>
        <v>21</v>
      </c>
    </row>
    <row r="8" spans="1:13" x14ac:dyDescent="0.35">
      <c r="F8" s="153"/>
      <c r="G8" s="3" t="s">
        <v>569</v>
      </c>
      <c r="H8" s="3">
        <f>COUNTIFS(_01towers[Final Colo Status full],$G8,_01towers[Operator],'Bar Completion Operator'!H$4)</f>
        <v>0</v>
      </c>
      <c r="I8" s="3">
        <f>COUNTIFS(_01towers[Final Colo Status full],$G8,_01towers[Operator],'Bar Completion Operator'!I$4)</f>
        <v>0</v>
      </c>
      <c r="J8" s="3">
        <f>COUNTIFS(_01towers[Final Colo Status full],$G8,_01towers[Operator],'Bar Completion Operator'!J$4)</f>
        <v>1</v>
      </c>
      <c r="K8" s="3">
        <f>COUNTIFS(_01towers[Final Colo Status full],$G8,_01towers[Operator],'Bar Completion Operator'!K$4)</f>
        <v>0</v>
      </c>
      <c r="L8" s="3">
        <f>COUNTIFS(_01towers[Final Colo Status full],$G8,_01towers[Operator],'Bar Completion Operator'!L$4)</f>
        <v>0</v>
      </c>
      <c r="M8" s="3">
        <f t="shared" si="0"/>
        <v>1</v>
      </c>
    </row>
    <row r="9" spans="1:13" x14ac:dyDescent="0.35">
      <c r="B9" s="3" t="s">
        <v>532</v>
      </c>
      <c r="C9" s="3" t="s">
        <v>533</v>
      </c>
      <c r="D9" s="3" t="s">
        <v>657</v>
      </c>
      <c r="E9" s="3" t="s">
        <v>660</v>
      </c>
      <c r="F9" s="149" t="s">
        <v>527</v>
      </c>
      <c r="G9" s="3" t="s">
        <v>59</v>
      </c>
      <c r="H9" s="3">
        <f>COUNTIFS(_01towers[Active Colo Application Result],$G9,_01towers[Operator],'Bar Completion Operator'!H$4)</f>
        <v>0</v>
      </c>
      <c r="I9" s="3">
        <f>COUNTIFS(_01towers[Active Colo Application Result],$G9,_01towers[Operator],'Bar Completion Operator'!I$4)</f>
        <v>6</v>
      </c>
      <c r="J9" s="3">
        <f>COUNTIFS(_01towers[Active Colo Application Result],$G9,_01towers[Operator],'Bar Completion Operator'!J$4)</f>
        <v>0</v>
      </c>
      <c r="K9" s="3">
        <f>COUNTIFS(_01towers[Active Colo Application Result],$G9,_01towers[Operator],'Bar Completion Operator'!K$4)</f>
        <v>24</v>
      </c>
      <c r="L9" s="87">
        <f>COUNTIFS(_01towers[Active Colo Application Result],$G9,_01towers[Operator],'Bar Completion Operator'!L$4)</f>
        <v>0</v>
      </c>
      <c r="M9" s="3">
        <f>SUM(H9:L9)</f>
        <v>30</v>
      </c>
    </row>
    <row r="10" spans="1:13" x14ac:dyDescent="0.35">
      <c r="A10" t="s">
        <v>659</v>
      </c>
      <c r="B10" s="67">
        <f ca="1">IF($E$2&lt;&gt;"",SUMIF($H$4:$L$13,$E$2,$H$13:$L$13),$M$13)</f>
        <v>4</v>
      </c>
      <c r="C10" s="67">
        <f ca="1">IF($E$2&lt;&gt;"",SUMIF($H$4:$L$18,$E$2,$H$14:$L$14),$M$14)</f>
        <v>5</v>
      </c>
      <c r="D10" s="67">
        <f ca="1">IF($E$2&lt;&gt;"",SUMIF($H$4:$L$18,$E$2,$H$15:$L$15),$M$15)</f>
        <v>0</v>
      </c>
      <c r="E10" s="68">
        <f ca="1">B15-SUM(B10:D10)</f>
        <v>1</v>
      </c>
      <c r="F10" s="150"/>
      <c r="G10" s="3" t="s">
        <v>570</v>
      </c>
      <c r="H10" s="3">
        <f>COUNTIFS(_01towers[Active Colo Application Result],$G10,_01towers[Operator],'Bar Completion Operator'!H$4)</f>
        <v>0</v>
      </c>
      <c r="I10" s="3">
        <f>COUNTIFS(_01towers[Active Colo Application Result],$G10,_01towers[Operator],'Bar Completion Operator'!I$4)</f>
        <v>0</v>
      </c>
      <c r="J10" s="3">
        <f>COUNTIFS(_01towers[Active Colo Application Result],$G10,_01towers[Operator],'Bar Completion Operator'!J$4)</f>
        <v>23</v>
      </c>
      <c r="K10" s="3">
        <f>COUNTIFS(_01towers[Active Colo Application Result],$G10,_01towers[Operator],'Bar Completion Operator'!K$4)</f>
        <v>0</v>
      </c>
      <c r="L10" s="87">
        <f>COUNTIFS(_01towers[Active Colo Application Result],$G10,_01towers[Operator],'Bar Completion Operator'!L$4)</f>
        <v>0</v>
      </c>
      <c r="M10" s="3">
        <f>SUM(H10:L10)</f>
        <v>23</v>
      </c>
    </row>
    <row r="11" spans="1:13" x14ac:dyDescent="0.35">
      <c r="F11" s="150"/>
      <c r="G11" s="3" t="s">
        <v>515</v>
      </c>
      <c r="H11" s="3">
        <f>COUNTIFS(_01towers[Active Colo Application Result],$G11,_01towers[Operator],'Bar Completion Operator'!H$4)</f>
        <v>0</v>
      </c>
      <c r="I11" s="3">
        <f>COUNTIFS(_01towers[Active Colo Application Result],$G11,_01towers[Operator],'Bar Completion Operator'!I$4)</f>
        <v>0</v>
      </c>
      <c r="J11" s="3">
        <f>COUNTIFS(_01towers[Active Colo Application Result],$G11,_01towers[Operator],'Bar Completion Operator'!J$4)</f>
        <v>0</v>
      </c>
      <c r="K11" s="3">
        <f>COUNTIFS(_01towers[Active Colo Application Result],$G11,_01towers[Operator],'Bar Completion Operator'!K$4)</f>
        <v>0</v>
      </c>
      <c r="L11" s="87">
        <f>COUNTIFS(_01towers[Active Colo Application Result],$G11,_01towers[Operator],'Bar Completion Operator'!L$4)</f>
        <v>0</v>
      </c>
      <c r="M11" s="3">
        <f>SUM(H11:L11)</f>
        <v>0</v>
      </c>
    </row>
    <row r="12" spans="1:13" x14ac:dyDescent="0.35">
      <c r="B12" s="3" t="s">
        <v>64</v>
      </c>
      <c r="C12" s="3" t="s">
        <v>56</v>
      </c>
      <c r="D12" s="3" t="s">
        <v>145</v>
      </c>
      <c r="F12" s="151"/>
      <c r="G12" s="3" t="s">
        <v>660</v>
      </c>
      <c r="H12" s="3"/>
      <c r="I12" s="3"/>
      <c r="J12" s="3"/>
      <c r="K12" s="3"/>
      <c r="L12" s="87"/>
      <c r="M12" s="3">
        <f ca="1">B15-SUM(M9:M11)</f>
        <v>-43</v>
      </c>
    </row>
    <row r="13" spans="1:13" x14ac:dyDescent="0.35">
      <c r="A13" t="s">
        <v>658</v>
      </c>
      <c r="B13" s="67">
        <f ca="1">IF($E$2&lt;&gt;"",SUMIF($H$4:$L$18,$E$2,$H$16:$L$16),$M$16)</f>
        <v>9</v>
      </c>
      <c r="C13" s="67">
        <f ca="1">IF($E$2&lt;&gt;"",SUMIF($H$4:$L$18,$E$2,$H$17:$L$17),$M$17)</f>
        <v>0</v>
      </c>
      <c r="D13" s="67">
        <f ca="1">IF($E$2&lt;&gt;"",SUMIF($H$4:$L$18,$E$2,$H$18:$L$18),$M$18)</f>
        <v>1</v>
      </c>
      <c r="F13" s="152" t="s">
        <v>514</v>
      </c>
      <c r="G13" s="3" t="s">
        <v>532</v>
      </c>
      <c r="H13" s="3">
        <f>COUNTIFS(_01towers[Active Prevalidation Status],"Prevalidated",_01towers[Active TSS Result],"Approved",_01towers[Operator],'Bar Completion Operator'!H$4)</f>
        <v>4</v>
      </c>
      <c r="I13" s="3">
        <f>COUNTIFS(_01towers[Active Prevalidation Status],"Prevalidated",_01towers[Active TSS Result],"Approved",_01towers[Operator],'Bar Completion Operator'!I$4)</f>
        <v>6</v>
      </c>
      <c r="J13" s="3">
        <f>COUNTIFS(_01towers[Active Prevalidation Status],"Prevalidated",_01towers[Active TSS Result],"Approved",_01towers[Operator],'Bar Completion Operator'!J$4)</f>
        <v>27</v>
      </c>
      <c r="K13" s="3">
        <f>COUNTIFS(_01towers[Active Prevalidation Status],"Prevalidated",_01towers[Active TSS Result],"Approved",_01towers[Operator],'Bar Completion Operator'!K$4)</f>
        <v>29</v>
      </c>
      <c r="L13" s="87">
        <f>COUNTIFS(_01towers[Active Prevalidation Status],"Prevalidated",_01towers[Active TSS Result],"Approved",_01towers[Operator],'Bar Completion Operator'!L$4)</f>
        <v>0</v>
      </c>
      <c r="M13" s="3">
        <f t="shared" ref="M13:M18" si="1">SUM(H13:L13)</f>
        <v>66</v>
      </c>
    </row>
    <row r="14" spans="1:13" x14ac:dyDescent="0.35">
      <c r="B14" s="69" t="s">
        <v>662</v>
      </c>
      <c r="F14" s="152"/>
      <c r="G14" s="3" t="s">
        <v>533</v>
      </c>
      <c r="H14" s="3">
        <f>H16-H13</f>
        <v>5</v>
      </c>
      <c r="I14" s="3">
        <f>I16-I13</f>
        <v>1</v>
      </c>
      <c r="J14" s="3">
        <f>J16-J13</f>
        <v>57</v>
      </c>
      <c r="K14" s="3">
        <f>K16-K13</f>
        <v>4</v>
      </c>
      <c r="L14" s="87">
        <f>L16-L13</f>
        <v>0</v>
      </c>
      <c r="M14" s="3">
        <f t="shared" si="1"/>
        <v>67</v>
      </c>
    </row>
    <row r="15" spans="1:13" x14ac:dyDescent="0.35">
      <c r="B15" s="29">
        <f ca="1">SUM(B13:D13)-B5</f>
        <v>10</v>
      </c>
      <c r="F15" s="152"/>
      <c r="G15" s="3" t="s">
        <v>657</v>
      </c>
      <c r="H15" s="3">
        <f>COUNTIFS(_01towers[Active TSS Result],"Approved",_01towers[Operator],'Bar Completion Operator'!H$4)-H13</f>
        <v>0</v>
      </c>
      <c r="I15" s="3">
        <f>COUNTIFS(_01towers[Active TSS Result],"Approved",_01towers[Operator],'Bar Completion Operator'!I$4)-I13</f>
        <v>0</v>
      </c>
      <c r="J15" s="3">
        <f>COUNTIFS(_01towers[Active TSS Result],"Approved",_01towers[Operator],'Bar Completion Operator'!J$4)-J13</f>
        <v>2</v>
      </c>
      <c r="K15" s="3">
        <f>COUNTIFS(_01towers[Active TSS Result],"Approved",_01towers[Operator],'Bar Completion Operator'!K$4)-K13</f>
        <v>0</v>
      </c>
      <c r="L15" s="87">
        <f>COUNTIFS(_01towers[Active TSS Result],"Approved",_01towers[Operator],'Bar Completion Operator'!L$4)-L13</f>
        <v>0</v>
      </c>
      <c r="M15" s="3">
        <f t="shared" si="1"/>
        <v>2</v>
      </c>
    </row>
    <row r="16" spans="1:13" x14ac:dyDescent="0.35">
      <c r="F16" s="152" t="s">
        <v>658</v>
      </c>
      <c r="G16" s="3" t="s">
        <v>64</v>
      </c>
      <c r="H16" s="3">
        <f>COUNTIFS(_01towers[Active Prevalidation Status],$G16,_01towers[Operator],'Bar Completion Operator'!H$4)</f>
        <v>9</v>
      </c>
      <c r="I16" s="3">
        <f>COUNTIFS(_01towers[Active Prevalidation Status],$G16,_01towers[Operator],'Bar Completion Operator'!I$4)</f>
        <v>7</v>
      </c>
      <c r="J16" s="3">
        <f>COUNTIFS(_01towers[Active Prevalidation Status],$G16,_01towers[Operator],'Bar Completion Operator'!J$4)</f>
        <v>84</v>
      </c>
      <c r="K16" s="3">
        <f>COUNTIFS(_01towers[Active Prevalidation Status],$G16,_01towers[Operator],'Bar Completion Operator'!K$4)</f>
        <v>33</v>
      </c>
      <c r="L16" s="87">
        <f>COUNTIFS(_01towers[Active Prevalidation Status],$G16,_01towers[Operator],'Bar Completion Operator'!L$4)</f>
        <v>0</v>
      </c>
      <c r="M16" s="3">
        <f t="shared" si="1"/>
        <v>133</v>
      </c>
    </row>
    <row r="17" spans="6:13" x14ac:dyDescent="0.35">
      <c r="F17" s="152"/>
      <c r="G17" s="3" t="s">
        <v>56</v>
      </c>
      <c r="H17" s="3">
        <f>COUNTIFS(_01towers[Active Prevalidation Status],$G17,_01towers[Operator],'Bar Completion Operator'!H$4)</f>
        <v>0</v>
      </c>
      <c r="I17" s="3">
        <f>COUNTIFS(_01towers[Active Prevalidation Status],$G17,_01towers[Operator],'Bar Completion Operator'!I$4)</f>
        <v>0</v>
      </c>
      <c r="J17" s="3">
        <f>COUNTIFS(_01towers[Active Prevalidation Status],$G17,_01towers[Operator],'Bar Completion Operator'!J$4)</f>
        <v>46</v>
      </c>
      <c r="K17" s="3">
        <f>COUNTIFS(_01towers[Active Prevalidation Status],$G17,_01towers[Operator],'Bar Completion Operator'!K$4)</f>
        <v>0</v>
      </c>
      <c r="L17" s="87">
        <f>COUNTIFS(_01towers[Active Prevalidation Status],$G17,_01towers[Operator],'Bar Completion Operator'!L$4)</f>
        <v>0</v>
      </c>
      <c r="M17" s="3">
        <f t="shared" si="1"/>
        <v>46</v>
      </c>
    </row>
    <row r="18" spans="6:13" x14ac:dyDescent="0.35">
      <c r="F18" s="152"/>
      <c r="G18" s="3" t="s">
        <v>145</v>
      </c>
      <c r="H18" s="3">
        <f>COUNTIFS(_01towers[Active Prevalidation Status],$G18,_01towers[Operator],'Bar Completion Operator'!H$4)</f>
        <v>1</v>
      </c>
      <c r="I18" s="3">
        <f>COUNTIFS(_01towers[Active Prevalidation Status],$G18,_01towers[Operator],'Bar Completion Operator'!I$4)</f>
        <v>0</v>
      </c>
      <c r="J18" s="3">
        <f>COUNTIFS(_01towers[Active Prevalidation Status],$G18,_01towers[Operator],'Bar Completion Operator'!J$4)</f>
        <v>3</v>
      </c>
      <c r="K18" s="3">
        <f>COUNTIFS(_01towers[Active Prevalidation Status],$G18,_01towers[Operator],'Bar Completion Operator'!K$4)</f>
        <v>0</v>
      </c>
      <c r="L18" s="87">
        <f>COUNTIFS(_01towers[Active Prevalidation Status],$G18,_01towers[Operator],'Bar Completion Operator'!L$4)</f>
        <v>0</v>
      </c>
      <c r="M18" s="3">
        <f t="shared" si="1"/>
        <v>4</v>
      </c>
    </row>
    <row r="19" spans="6:13" x14ac:dyDescent="0.35">
      <c r="F19" s="63"/>
    </row>
  </sheetData>
  <mergeCells count="4">
    <mergeCell ref="F6:F8"/>
    <mergeCell ref="F9:F12"/>
    <mergeCell ref="F13:F15"/>
    <mergeCell ref="F16:F18"/>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C7D65-1631-44E9-824A-A039C528C66E}">
  <sheetPr codeName="Sheet7">
    <tabColor theme="5"/>
  </sheetPr>
  <dimension ref="A1:B10"/>
  <sheetViews>
    <sheetView workbookViewId="0">
      <selection activeCell="I32" sqref="I32"/>
    </sheetView>
  </sheetViews>
  <sheetFormatPr defaultRowHeight="14.5" x14ac:dyDescent="0.35"/>
  <cols>
    <col min="1" max="1" width="26.54296875" bestFit="1" customWidth="1"/>
    <col min="2" max="2" width="16.90625" bestFit="1" customWidth="1"/>
    <col min="3" max="3" width="11.26953125" bestFit="1" customWidth="1"/>
    <col min="4" max="4" width="30.7265625" bestFit="1" customWidth="1"/>
    <col min="5" max="5" width="25" bestFit="1" customWidth="1"/>
    <col min="6" max="6" width="30.7265625" bestFit="1" customWidth="1"/>
    <col min="7" max="7" width="27.7265625" bestFit="1" customWidth="1"/>
    <col min="8" max="8" width="30.7265625" bestFit="1" customWidth="1"/>
    <col min="9" max="9" width="27.7265625" bestFit="1" customWidth="1"/>
    <col min="10" max="11" width="30.7265625" bestFit="1" customWidth="1"/>
    <col min="12" max="12" width="25.7265625" bestFit="1" customWidth="1"/>
    <col min="13" max="24" width="27.453125" bestFit="1" customWidth="1"/>
    <col min="25" max="25" width="32.453125" bestFit="1" customWidth="1"/>
    <col min="26" max="26" width="24" bestFit="1" customWidth="1"/>
    <col min="27" max="27" width="25" bestFit="1" customWidth="1"/>
    <col min="28" max="28" width="27.7265625" bestFit="1" customWidth="1"/>
    <col min="29" max="29" width="30.7265625" bestFit="1" customWidth="1"/>
    <col min="30" max="30" width="25.7265625" bestFit="1" customWidth="1"/>
    <col min="31" max="31" width="5.453125" bestFit="1" customWidth="1"/>
    <col min="32" max="33" width="8.453125" bestFit="1" customWidth="1"/>
    <col min="34" max="34" width="13.81640625" bestFit="1" customWidth="1"/>
    <col min="35" max="35" width="11.26953125" bestFit="1" customWidth="1"/>
    <col min="36" max="36" width="9.453125" bestFit="1" customWidth="1"/>
    <col min="37" max="37" width="12.453125" bestFit="1" customWidth="1"/>
    <col min="38" max="38" width="6.81640625" bestFit="1" customWidth="1"/>
    <col min="39" max="39" width="8.81640625" bestFit="1" customWidth="1"/>
    <col min="40" max="40" width="6.81640625" bestFit="1" customWidth="1"/>
    <col min="41" max="41" width="5.453125" bestFit="1" customWidth="1"/>
    <col min="42" max="44" width="8.453125" bestFit="1" customWidth="1"/>
    <col min="45" max="45" width="10.7265625" bestFit="1" customWidth="1"/>
    <col min="46" max="47" width="8.453125" bestFit="1" customWidth="1"/>
    <col min="48" max="48" width="13.81640625" bestFit="1" customWidth="1"/>
    <col min="49" max="49" width="8.453125" bestFit="1" customWidth="1"/>
    <col min="50" max="50" width="11.26953125" bestFit="1" customWidth="1"/>
    <col min="51" max="51" width="8.453125" bestFit="1" customWidth="1"/>
    <col min="52" max="52" width="10.7265625" bestFit="1" customWidth="1"/>
    <col min="53" max="53" width="8.453125" bestFit="1" customWidth="1"/>
    <col min="54" max="54" width="6.81640625" bestFit="1" customWidth="1"/>
    <col min="55" max="55" width="8.453125" bestFit="1" customWidth="1"/>
    <col min="56" max="56" width="6.81640625" bestFit="1" customWidth="1"/>
    <col min="57" max="57" width="13.81640625" bestFit="1" customWidth="1"/>
    <col min="58" max="58" width="9.453125" bestFit="1" customWidth="1"/>
    <col min="59" max="59" width="8.453125" bestFit="1" customWidth="1"/>
    <col min="60" max="60" width="9.453125" bestFit="1" customWidth="1"/>
    <col min="61" max="61" width="12.453125" bestFit="1" customWidth="1"/>
    <col min="62" max="62" width="6.81640625" bestFit="1" customWidth="1"/>
    <col min="63" max="63" width="8.453125" bestFit="1" customWidth="1"/>
    <col min="64" max="64" width="6.81640625" bestFit="1" customWidth="1"/>
    <col min="65" max="65" width="5.453125" bestFit="1" customWidth="1"/>
    <col min="66" max="66" width="6.81640625" bestFit="1" customWidth="1"/>
    <col min="67" max="67" width="8.453125" bestFit="1" customWidth="1"/>
    <col min="68" max="68" width="6.81640625" bestFit="1" customWidth="1"/>
    <col min="69" max="69" width="5.453125" bestFit="1" customWidth="1"/>
    <col min="70" max="70" width="8.453125" bestFit="1" customWidth="1"/>
    <col min="71" max="71" width="9.453125" bestFit="1" customWidth="1"/>
    <col min="72" max="72" width="12.453125" bestFit="1" customWidth="1"/>
    <col min="73" max="73" width="6.81640625" bestFit="1" customWidth="1"/>
    <col min="74" max="75" width="8.453125" bestFit="1" customWidth="1"/>
    <col min="76" max="76" width="12.453125" bestFit="1" customWidth="1"/>
    <col min="77" max="77" width="11.26953125" bestFit="1" customWidth="1"/>
  </cols>
  <sheetData>
    <row r="1" spans="1:2" x14ac:dyDescent="0.35">
      <c r="A1" s="36" t="s">
        <v>10</v>
      </c>
      <c r="B1" t="s">
        <v>136</v>
      </c>
    </row>
    <row r="3" spans="1:2" x14ac:dyDescent="0.35">
      <c r="A3" s="36" t="s">
        <v>535</v>
      </c>
      <c r="B3" t="s">
        <v>536</v>
      </c>
    </row>
    <row r="4" spans="1:2" x14ac:dyDescent="0.35">
      <c r="A4" s="35" t="s">
        <v>532</v>
      </c>
      <c r="B4" s="40">
        <v>4</v>
      </c>
    </row>
    <row r="5" spans="1:2" x14ac:dyDescent="0.35">
      <c r="A5" s="35" t="s">
        <v>533</v>
      </c>
      <c r="B5" s="40">
        <v>56</v>
      </c>
    </row>
    <row r="6" spans="1:2" x14ac:dyDescent="0.35">
      <c r="A6" s="35" t="s">
        <v>145</v>
      </c>
      <c r="B6" s="40">
        <v>49</v>
      </c>
    </row>
    <row r="7" spans="1:2" x14ac:dyDescent="0.35">
      <c r="A7" s="35" t="s">
        <v>567</v>
      </c>
      <c r="B7" s="40">
        <v>1</v>
      </c>
    </row>
    <row r="8" spans="1:2" x14ac:dyDescent="0.35">
      <c r="A8" s="35" t="s">
        <v>568</v>
      </c>
      <c r="B8" s="40">
        <v>9</v>
      </c>
    </row>
    <row r="9" spans="1:2" x14ac:dyDescent="0.35">
      <c r="A9" s="35" t="s">
        <v>570</v>
      </c>
      <c r="B9" s="40">
        <v>13</v>
      </c>
    </row>
    <row r="10" spans="1:2" x14ac:dyDescent="0.35">
      <c r="A10" s="35" t="s">
        <v>537</v>
      </c>
      <c r="B10" s="40">
        <v>132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B2BA0-207D-418D-B3E9-73967D149553}">
  <sheetPr codeName="Sheet9">
    <tabColor theme="5"/>
  </sheetPr>
  <dimension ref="A1:D7"/>
  <sheetViews>
    <sheetView workbookViewId="0">
      <selection activeCell="I32" sqref="I32"/>
    </sheetView>
  </sheetViews>
  <sheetFormatPr defaultRowHeight="14.5" x14ac:dyDescent="0.35"/>
  <cols>
    <col min="1" max="1" width="26.26953125" bestFit="1" customWidth="1"/>
    <col min="2" max="2" width="20.453125" bestFit="1" customWidth="1"/>
    <col min="3" max="3" width="7.1796875" bestFit="1" customWidth="1"/>
    <col min="4" max="4" width="10.7265625" bestFit="1" customWidth="1"/>
    <col min="5" max="5" width="11.26953125" bestFit="1" customWidth="1"/>
    <col min="6" max="6" width="19.1796875" bestFit="1" customWidth="1"/>
    <col min="7" max="7" width="12.453125" bestFit="1" customWidth="1"/>
    <col min="8" max="8" width="11.26953125" bestFit="1" customWidth="1"/>
    <col min="9" max="9" width="12.453125" bestFit="1" customWidth="1"/>
    <col min="10" max="10" width="11.26953125" bestFit="1" customWidth="1"/>
    <col min="11" max="11" width="13.81640625" bestFit="1" customWidth="1"/>
    <col min="12" max="12" width="11.26953125" bestFit="1" customWidth="1"/>
    <col min="13" max="24" width="27.453125" bestFit="1" customWidth="1"/>
    <col min="25" max="25" width="32.453125" bestFit="1" customWidth="1"/>
    <col min="26" max="26" width="24" bestFit="1" customWidth="1"/>
    <col min="27" max="27" width="25" bestFit="1" customWidth="1"/>
    <col min="28" max="28" width="27.7265625" bestFit="1" customWidth="1"/>
    <col min="29" max="29" width="30.7265625" bestFit="1" customWidth="1"/>
    <col min="30" max="30" width="25.7265625" bestFit="1" customWidth="1"/>
    <col min="31" max="31" width="5.453125" bestFit="1" customWidth="1"/>
    <col min="32" max="33" width="8.453125" bestFit="1" customWidth="1"/>
    <col min="34" max="34" width="13.81640625" bestFit="1" customWidth="1"/>
    <col min="35" max="35" width="11.26953125" bestFit="1" customWidth="1"/>
    <col min="36" max="36" width="9.453125" bestFit="1" customWidth="1"/>
    <col min="37" max="37" width="12.453125" bestFit="1" customWidth="1"/>
    <col min="38" max="38" width="6.81640625" bestFit="1" customWidth="1"/>
    <col min="39" max="39" width="8.81640625" bestFit="1" customWidth="1"/>
    <col min="40" max="40" width="6.81640625" bestFit="1" customWidth="1"/>
    <col min="41" max="41" width="5.453125" bestFit="1" customWidth="1"/>
    <col min="42" max="44" width="8.453125" bestFit="1" customWidth="1"/>
    <col min="45" max="45" width="10.7265625" bestFit="1" customWidth="1"/>
    <col min="46" max="47" width="8.453125" bestFit="1" customWidth="1"/>
    <col min="48" max="48" width="13.81640625" bestFit="1" customWidth="1"/>
    <col min="49" max="49" width="8.453125" bestFit="1" customWidth="1"/>
    <col min="50" max="50" width="11.26953125" bestFit="1" customWidth="1"/>
    <col min="51" max="51" width="8.453125" bestFit="1" customWidth="1"/>
    <col min="52" max="52" width="10.7265625" bestFit="1" customWidth="1"/>
    <col min="53" max="53" width="8.453125" bestFit="1" customWidth="1"/>
    <col min="54" max="54" width="6.81640625" bestFit="1" customWidth="1"/>
    <col min="55" max="55" width="8.453125" bestFit="1" customWidth="1"/>
    <col min="56" max="56" width="6.81640625" bestFit="1" customWidth="1"/>
    <col min="57" max="57" width="13.81640625" bestFit="1" customWidth="1"/>
    <col min="58" max="58" width="9.453125" bestFit="1" customWidth="1"/>
    <col min="59" max="59" width="8.453125" bestFit="1" customWidth="1"/>
    <col min="60" max="60" width="9.453125" bestFit="1" customWidth="1"/>
    <col min="61" max="61" width="12.453125" bestFit="1" customWidth="1"/>
    <col min="62" max="62" width="6.81640625" bestFit="1" customWidth="1"/>
    <col min="63" max="63" width="8.453125" bestFit="1" customWidth="1"/>
    <col min="64" max="64" width="6.81640625" bestFit="1" customWidth="1"/>
    <col min="65" max="65" width="5.453125" bestFit="1" customWidth="1"/>
    <col min="66" max="66" width="6.81640625" bestFit="1" customWidth="1"/>
    <col min="67" max="67" width="8.453125" bestFit="1" customWidth="1"/>
    <col min="68" max="68" width="6.81640625" bestFit="1" customWidth="1"/>
    <col min="69" max="69" width="5.453125" bestFit="1" customWidth="1"/>
    <col min="70" max="70" width="8.453125" bestFit="1" customWidth="1"/>
    <col min="71" max="71" width="9.453125" bestFit="1" customWidth="1"/>
    <col min="72" max="72" width="12.453125" bestFit="1" customWidth="1"/>
    <col min="73" max="73" width="6.81640625" bestFit="1" customWidth="1"/>
    <col min="74" max="75" width="8.453125" bestFit="1" customWidth="1"/>
    <col min="76" max="76" width="12.453125" bestFit="1" customWidth="1"/>
    <col min="77" max="77" width="11.26953125" bestFit="1" customWidth="1"/>
  </cols>
  <sheetData>
    <row r="1" spans="1:4" x14ac:dyDescent="0.35">
      <c r="A1" s="36" t="s">
        <v>10</v>
      </c>
      <c r="B1" t="s">
        <v>136</v>
      </c>
    </row>
    <row r="2" spans="1:4" x14ac:dyDescent="0.35">
      <c r="A2" s="36" t="s">
        <v>48</v>
      </c>
      <c r="B2" t="s">
        <v>145</v>
      </c>
    </row>
    <row r="3" spans="1:4" x14ac:dyDescent="0.35">
      <c r="A3" s="36" t="s">
        <v>1</v>
      </c>
      <c r="B3" t="s">
        <v>538</v>
      </c>
    </row>
    <row r="5" spans="1:4" x14ac:dyDescent="0.35">
      <c r="B5" s="36" t="s">
        <v>539</v>
      </c>
    </row>
    <row r="6" spans="1:4" x14ac:dyDescent="0.35">
      <c r="B6" t="s">
        <v>57</v>
      </c>
      <c r="C6" t="s">
        <v>58</v>
      </c>
      <c r="D6" t="s">
        <v>537</v>
      </c>
    </row>
    <row r="7" spans="1:4" x14ac:dyDescent="0.35">
      <c r="A7" t="s">
        <v>536</v>
      </c>
      <c r="B7" s="40">
        <v>2</v>
      </c>
      <c r="C7" s="40">
        <v>1</v>
      </c>
      <c r="D7" s="40">
        <v>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5F789-4691-4FD7-884B-776E4897154C}">
  <sheetPr codeName="Sheet10">
    <tabColor theme="5"/>
  </sheetPr>
  <dimension ref="A1:D7"/>
  <sheetViews>
    <sheetView workbookViewId="0">
      <selection activeCell="I32" sqref="I32"/>
    </sheetView>
  </sheetViews>
  <sheetFormatPr defaultRowHeight="14.5" x14ac:dyDescent="0.35"/>
  <cols>
    <col min="1" max="1" width="27.54296875" bestFit="1" customWidth="1"/>
    <col min="2" max="2" width="21.26953125" bestFit="1" customWidth="1"/>
    <col min="3" max="3" width="7.54296875" bestFit="1" customWidth="1"/>
    <col min="4" max="6" width="11.26953125" bestFit="1" customWidth="1"/>
    <col min="7" max="7" width="9.453125" bestFit="1" customWidth="1"/>
    <col min="8" max="8" width="7.54296875" bestFit="1" customWidth="1"/>
    <col min="9" max="9" width="12.453125" bestFit="1" customWidth="1"/>
    <col min="10" max="10" width="11.26953125" bestFit="1" customWidth="1"/>
    <col min="11" max="11" width="13.81640625" bestFit="1" customWidth="1"/>
    <col min="12" max="12" width="11.26953125" bestFit="1" customWidth="1"/>
    <col min="13" max="24" width="27.453125" bestFit="1" customWidth="1"/>
    <col min="25" max="25" width="32.453125" bestFit="1" customWidth="1"/>
    <col min="26" max="26" width="24" bestFit="1" customWidth="1"/>
    <col min="27" max="27" width="25" bestFit="1" customWidth="1"/>
    <col min="28" max="28" width="27.7265625" bestFit="1" customWidth="1"/>
    <col min="29" max="29" width="30.7265625" bestFit="1" customWidth="1"/>
    <col min="30" max="30" width="25.7265625" bestFit="1" customWidth="1"/>
    <col min="31" max="31" width="5.453125" bestFit="1" customWidth="1"/>
    <col min="32" max="33" width="8.453125" bestFit="1" customWidth="1"/>
    <col min="34" max="34" width="13.81640625" bestFit="1" customWidth="1"/>
    <col min="35" max="35" width="11.26953125" bestFit="1" customWidth="1"/>
    <col min="36" max="36" width="9.453125" bestFit="1" customWidth="1"/>
    <col min="37" max="37" width="12.453125" bestFit="1" customWidth="1"/>
    <col min="38" max="38" width="6.81640625" bestFit="1" customWidth="1"/>
    <col min="39" max="39" width="8.81640625" bestFit="1" customWidth="1"/>
    <col min="40" max="40" width="6.81640625" bestFit="1" customWidth="1"/>
    <col min="41" max="41" width="5.453125" bestFit="1" customWidth="1"/>
    <col min="42" max="44" width="8.453125" bestFit="1" customWidth="1"/>
    <col min="45" max="45" width="10.7265625" bestFit="1" customWidth="1"/>
    <col min="46" max="47" width="8.453125" bestFit="1" customWidth="1"/>
    <col min="48" max="48" width="13.81640625" bestFit="1" customWidth="1"/>
    <col min="49" max="49" width="8.453125" bestFit="1" customWidth="1"/>
    <col min="50" max="50" width="11.26953125" bestFit="1" customWidth="1"/>
    <col min="51" max="51" width="8.453125" bestFit="1" customWidth="1"/>
    <col min="52" max="52" width="10.7265625" bestFit="1" customWidth="1"/>
    <col min="53" max="53" width="8.453125" bestFit="1" customWidth="1"/>
    <col min="54" max="54" width="6.81640625" bestFit="1" customWidth="1"/>
    <col min="55" max="55" width="8.453125" bestFit="1" customWidth="1"/>
    <col min="56" max="56" width="6.81640625" bestFit="1" customWidth="1"/>
    <col min="57" max="57" width="13.81640625" bestFit="1" customWidth="1"/>
    <col min="58" max="58" width="9.453125" bestFit="1" customWidth="1"/>
    <col min="59" max="59" width="8.453125" bestFit="1" customWidth="1"/>
    <col min="60" max="60" width="9.453125" bestFit="1" customWidth="1"/>
    <col min="61" max="61" width="12.453125" bestFit="1" customWidth="1"/>
    <col min="62" max="62" width="6.81640625" bestFit="1" customWidth="1"/>
    <col min="63" max="63" width="8.453125" bestFit="1" customWidth="1"/>
    <col min="64" max="64" width="6.81640625" bestFit="1" customWidth="1"/>
    <col min="65" max="65" width="5.453125" bestFit="1" customWidth="1"/>
    <col min="66" max="66" width="6.81640625" bestFit="1" customWidth="1"/>
    <col min="67" max="67" width="8.453125" bestFit="1" customWidth="1"/>
    <col min="68" max="68" width="6.81640625" bestFit="1" customWidth="1"/>
    <col min="69" max="69" width="5.453125" bestFit="1" customWidth="1"/>
    <col min="70" max="70" width="8.453125" bestFit="1" customWidth="1"/>
    <col min="71" max="71" width="9.453125" bestFit="1" customWidth="1"/>
    <col min="72" max="72" width="12.453125" bestFit="1" customWidth="1"/>
    <col min="73" max="73" width="6.81640625" bestFit="1" customWidth="1"/>
    <col min="74" max="75" width="8.453125" bestFit="1" customWidth="1"/>
    <col min="76" max="76" width="12.453125" bestFit="1" customWidth="1"/>
    <col min="77" max="77" width="11.26953125" bestFit="1" customWidth="1"/>
  </cols>
  <sheetData>
    <row r="1" spans="1:4" x14ac:dyDescent="0.35">
      <c r="A1" s="36" t="s">
        <v>10</v>
      </c>
      <c r="B1" t="s">
        <v>538</v>
      </c>
    </row>
    <row r="2" spans="1:4" x14ac:dyDescent="0.35">
      <c r="A2" s="36" t="s">
        <v>48</v>
      </c>
      <c r="B2" t="s">
        <v>145</v>
      </c>
    </row>
    <row r="3" spans="1:4" x14ac:dyDescent="0.35">
      <c r="A3" s="36" t="s">
        <v>1</v>
      </c>
      <c r="B3" t="s">
        <v>538</v>
      </c>
    </row>
    <row r="5" spans="1:4" x14ac:dyDescent="0.35">
      <c r="B5" s="36" t="s">
        <v>539</v>
      </c>
    </row>
    <row r="6" spans="1:4" x14ac:dyDescent="0.35">
      <c r="B6" t="s">
        <v>57</v>
      </c>
      <c r="C6" t="s">
        <v>58</v>
      </c>
      <c r="D6" t="s">
        <v>537</v>
      </c>
    </row>
    <row r="7" spans="1:4" x14ac:dyDescent="0.35">
      <c r="A7" t="s">
        <v>536</v>
      </c>
      <c r="B7" s="40">
        <v>3</v>
      </c>
      <c r="C7" s="40">
        <v>1</v>
      </c>
      <c r="D7" s="40">
        <v>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F74B5-6E24-44AF-80B7-D6F15D810DB5}">
  <sheetPr codeName="Sheet11">
    <tabColor theme="5"/>
  </sheetPr>
  <dimension ref="A1:D7"/>
  <sheetViews>
    <sheetView workbookViewId="0">
      <selection activeCell="I32" sqref="I32"/>
    </sheetView>
  </sheetViews>
  <sheetFormatPr defaultRowHeight="14.5" x14ac:dyDescent="0.35"/>
  <cols>
    <col min="1" max="1" width="27.54296875" bestFit="1" customWidth="1"/>
    <col min="2" max="2" width="21.26953125" bestFit="1" customWidth="1"/>
    <col min="3" max="3" width="7.54296875" bestFit="1" customWidth="1"/>
    <col min="4" max="6" width="11.26953125" bestFit="1" customWidth="1"/>
    <col min="7" max="7" width="9.453125" bestFit="1" customWidth="1"/>
    <col min="8" max="8" width="7.54296875" bestFit="1" customWidth="1"/>
    <col min="9" max="9" width="12.453125" bestFit="1" customWidth="1"/>
    <col min="10" max="10" width="11.26953125" bestFit="1" customWidth="1"/>
    <col min="11" max="11" width="13.81640625" bestFit="1" customWidth="1"/>
    <col min="12" max="12" width="11.26953125" bestFit="1" customWidth="1"/>
    <col min="13" max="24" width="27.453125" bestFit="1" customWidth="1"/>
    <col min="25" max="25" width="32.453125" bestFit="1" customWidth="1"/>
    <col min="26" max="26" width="24" bestFit="1" customWidth="1"/>
    <col min="27" max="27" width="25" bestFit="1" customWidth="1"/>
    <col min="28" max="28" width="27.7265625" bestFit="1" customWidth="1"/>
    <col min="29" max="29" width="30.7265625" bestFit="1" customWidth="1"/>
    <col min="30" max="30" width="25.7265625" bestFit="1" customWidth="1"/>
    <col min="31" max="31" width="5.453125" bestFit="1" customWidth="1"/>
    <col min="32" max="33" width="8.453125" bestFit="1" customWidth="1"/>
    <col min="34" max="34" width="13.81640625" bestFit="1" customWidth="1"/>
    <col min="35" max="35" width="11.26953125" bestFit="1" customWidth="1"/>
    <col min="36" max="36" width="9.453125" bestFit="1" customWidth="1"/>
    <col min="37" max="37" width="12.453125" bestFit="1" customWidth="1"/>
    <col min="38" max="38" width="6.81640625" bestFit="1" customWidth="1"/>
    <col min="39" max="39" width="8.81640625" bestFit="1" customWidth="1"/>
    <col min="40" max="40" width="6.81640625" bestFit="1" customWidth="1"/>
    <col min="41" max="41" width="5.453125" bestFit="1" customWidth="1"/>
    <col min="42" max="44" width="8.453125" bestFit="1" customWidth="1"/>
    <col min="45" max="45" width="10.7265625" bestFit="1" customWidth="1"/>
    <col min="46" max="47" width="8.453125" bestFit="1" customWidth="1"/>
    <col min="48" max="48" width="13.81640625" bestFit="1" customWidth="1"/>
    <col min="49" max="49" width="8.453125" bestFit="1" customWidth="1"/>
    <col min="50" max="50" width="11.26953125" bestFit="1" customWidth="1"/>
    <col min="51" max="51" width="8.453125" bestFit="1" customWidth="1"/>
    <col min="52" max="52" width="10.7265625" bestFit="1" customWidth="1"/>
    <col min="53" max="53" width="8.453125" bestFit="1" customWidth="1"/>
    <col min="54" max="54" width="6.81640625" bestFit="1" customWidth="1"/>
    <col min="55" max="55" width="8.453125" bestFit="1" customWidth="1"/>
    <col min="56" max="56" width="6.81640625" bestFit="1" customWidth="1"/>
    <col min="57" max="57" width="13.81640625" bestFit="1" customWidth="1"/>
    <col min="58" max="58" width="9.453125" bestFit="1" customWidth="1"/>
    <col min="59" max="59" width="8.453125" bestFit="1" customWidth="1"/>
    <col min="60" max="60" width="9.453125" bestFit="1" customWidth="1"/>
    <col min="61" max="61" width="12.453125" bestFit="1" customWidth="1"/>
    <col min="62" max="62" width="6.81640625" bestFit="1" customWidth="1"/>
    <col min="63" max="63" width="8.453125" bestFit="1" customWidth="1"/>
    <col min="64" max="64" width="6.81640625" bestFit="1" customWidth="1"/>
    <col min="65" max="65" width="5.453125" bestFit="1" customWidth="1"/>
    <col min="66" max="66" width="6.81640625" bestFit="1" customWidth="1"/>
    <col min="67" max="67" width="8.453125" bestFit="1" customWidth="1"/>
    <col min="68" max="68" width="6.81640625" bestFit="1" customWidth="1"/>
    <col min="69" max="69" width="5.453125" bestFit="1" customWidth="1"/>
    <col min="70" max="70" width="8.453125" bestFit="1" customWidth="1"/>
    <col min="71" max="71" width="9.453125" bestFit="1" customWidth="1"/>
    <col min="72" max="72" width="12.453125" bestFit="1" customWidth="1"/>
    <col min="73" max="73" width="6.81640625" bestFit="1" customWidth="1"/>
    <col min="74" max="75" width="8.453125" bestFit="1" customWidth="1"/>
    <col min="76" max="76" width="12.453125" bestFit="1" customWidth="1"/>
    <col min="77" max="77" width="11.26953125" bestFit="1" customWidth="1"/>
  </cols>
  <sheetData>
    <row r="1" spans="1:4" x14ac:dyDescent="0.35">
      <c r="A1" s="36" t="s">
        <v>10</v>
      </c>
      <c r="B1" t="s">
        <v>538</v>
      </c>
    </row>
    <row r="2" spans="1:4" x14ac:dyDescent="0.35">
      <c r="A2" s="36" t="s">
        <v>48</v>
      </c>
      <c r="B2" t="s">
        <v>145</v>
      </c>
    </row>
    <row r="3" spans="1:4" x14ac:dyDescent="0.35">
      <c r="A3" s="36" t="s">
        <v>1</v>
      </c>
      <c r="B3" t="s">
        <v>538</v>
      </c>
    </row>
    <row r="5" spans="1:4" x14ac:dyDescent="0.35">
      <c r="B5" s="36" t="s">
        <v>539</v>
      </c>
    </row>
    <row r="6" spans="1:4" x14ac:dyDescent="0.35">
      <c r="B6" t="s">
        <v>57</v>
      </c>
      <c r="C6" t="s">
        <v>58</v>
      </c>
      <c r="D6" t="s">
        <v>537</v>
      </c>
    </row>
    <row r="7" spans="1:4" x14ac:dyDescent="0.35">
      <c r="A7" t="s">
        <v>536</v>
      </c>
      <c r="B7" s="40">
        <v>2</v>
      </c>
      <c r="C7" s="40">
        <v>2</v>
      </c>
      <c r="D7" s="40">
        <v>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0223F-869D-4ED0-9622-0FF05CE79745}">
  <sheetPr codeName="Sheet12">
    <tabColor theme="5"/>
  </sheetPr>
  <dimension ref="A1:D7"/>
  <sheetViews>
    <sheetView workbookViewId="0">
      <selection activeCell="I32" sqref="I32"/>
    </sheetView>
  </sheetViews>
  <sheetFormatPr defaultRowHeight="14.5" x14ac:dyDescent="0.35"/>
  <cols>
    <col min="1" max="1" width="27.54296875" bestFit="1" customWidth="1"/>
    <col min="2" max="2" width="21.26953125" bestFit="1" customWidth="1"/>
    <col min="3" max="3" width="7.54296875" bestFit="1" customWidth="1"/>
    <col min="4" max="6" width="11.26953125" bestFit="1" customWidth="1"/>
    <col min="7" max="7" width="9.453125" bestFit="1" customWidth="1"/>
    <col min="8" max="8" width="7.54296875" bestFit="1" customWidth="1"/>
    <col min="9" max="9" width="12.453125" bestFit="1" customWidth="1"/>
    <col min="10" max="10" width="11.26953125" bestFit="1" customWidth="1"/>
    <col min="11" max="11" width="13.81640625" bestFit="1" customWidth="1"/>
    <col min="12" max="12" width="11.26953125" bestFit="1" customWidth="1"/>
    <col min="13" max="24" width="27.453125" bestFit="1" customWidth="1"/>
    <col min="25" max="25" width="32.453125" bestFit="1" customWidth="1"/>
    <col min="26" max="26" width="24" bestFit="1" customWidth="1"/>
    <col min="27" max="27" width="25" bestFit="1" customWidth="1"/>
    <col min="28" max="28" width="27.7265625" bestFit="1" customWidth="1"/>
    <col min="29" max="29" width="30.7265625" bestFit="1" customWidth="1"/>
    <col min="30" max="30" width="25.7265625" bestFit="1" customWidth="1"/>
    <col min="31" max="31" width="5.453125" bestFit="1" customWidth="1"/>
    <col min="32" max="33" width="8.453125" bestFit="1" customWidth="1"/>
    <col min="34" max="34" width="13.81640625" bestFit="1" customWidth="1"/>
    <col min="35" max="35" width="11.26953125" bestFit="1" customWidth="1"/>
    <col min="36" max="36" width="9.453125" bestFit="1" customWidth="1"/>
    <col min="37" max="37" width="12.453125" bestFit="1" customWidth="1"/>
    <col min="38" max="38" width="6.81640625" bestFit="1" customWidth="1"/>
    <col min="39" max="39" width="8.81640625" bestFit="1" customWidth="1"/>
    <col min="40" max="40" width="6.81640625" bestFit="1" customWidth="1"/>
    <col min="41" max="41" width="5.453125" bestFit="1" customWidth="1"/>
    <col min="42" max="44" width="8.453125" bestFit="1" customWidth="1"/>
    <col min="45" max="45" width="10.7265625" bestFit="1" customWidth="1"/>
    <col min="46" max="47" width="8.453125" bestFit="1" customWidth="1"/>
    <col min="48" max="48" width="13.81640625" bestFit="1" customWidth="1"/>
    <col min="49" max="49" width="8.453125" bestFit="1" customWidth="1"/>
    <col min="50" max="50" width="11.26953125" bestFit="1" customWidth="1"/>
    <col min="51" max="51" width="8.453125" bestFit="1" customWidth="1"/>
    <col min="52" max="52" width="10.7265625" bestFit="1" customWidth="1"/>
    <col min="53" max="53" width="8.453125" bestFit="1" customWidth="1"/>
    <col min="54" max="54" width="6.81640625" bestFit="1" customWidth="1"/>
    <col min="55" max="55" width="8.453125" bestFit="1" customWidth="1"/>
    <col min="56" max="56" width="6.81640625" bestFit="1" customWidth="1"/>
    <col min="57" max="57" width="13.81640625" bestFit="1" customWidth="1"/>
    <col min="58" max="58" width="9.453125" bestFit="1" customWidth="1"/>
    <col min="59" max="59" width="8.453125" bestFit="1" customWidth="1"/>
    <col min="60" max="60" width="9.453125" bestFit="1" customWidth="1"/>
    <col min="61" max="61" width="12.453125" bestFit="1" customWidth="1"/>
    <col min="62" max="62" width="6.81640625" bestFit="1" customWidth="1"/>
    <col min="63" max="63" width="8.453125" bestFit="1" customWidth="1"/>
    <col min="64" max="64" width="6.81640625" bestFit="1" customWidth="1"/>
    <col min="65" max="65" width="5.453125" bestFit="1" customWidth="1"/>
    <col min="66" max="66" width="6.81640625" bestFit="1" customWidth="1"/>
    <col min="67" max="67" width="8.453125" bestFit="1" customWidth="1"/>
    <col min="68" max="68" width="6.81640625" bestFit="1" customWidth="1"/>
    <col min="69" max="69" width="5.453125" bestFit="1" customWidth="1"/>
    <col min="70" max="70" width="8.453125" bestFit="1" customWidth="1"/>
    <col min="71" max="71" width="9.453125" bestFit="1" customWidth="1"/>
    <col min="72" max="72" width="12.453125" bestFit="1" customWidth="1"/>
    <col min="73" max="73" width="6.81640625" bestFit="1" customWidth="1"/>
    <col min="74" max="75" width="8.453125" bestFit="1" customWidth="1"/>
    <col min="76" max="76" width="12.453125" bestFit="1" customWidth="1"/>
    <col min="77" max="77" width="11.26953125" bestFit="1" customWidth="1"/>
  </cols>
  <sheetData>
    <row r="1" spans="1:4" x14ac:dyDescent="0.35">
      <c r="A1" s="36" t="s">
        <v>10</v>
      </c>
      <c r="B1" t="s">
        <v>538</v>
      </c>
    </row>
    <row r="2" spans="1:4" x14ac:dyDescent="0.35">
      <c r="A2" s="36" t="s">
        <v>48</v>
      </c>
      <c r="B2" t="s">
        <v>145</v>
      </c>
    </row>
    <row r="3" spans="1:4" x14ac:dyDescent="0.35">
      <c r="A3" s="36" t="s">
        <v>1</v>
      </c>
      <c r="B3" t="s">
        <v>538</v>
      </c>
    </row>
    <row r="5" spans="1:4" x14ac:dyDescent="0.35">
      <c r="B5" s="36" t="s">
        <v>539</v>
      </c>
    </row>
    <row r="6" spans="1:4" x14ac:dyDescent="0.35">
      <c r="B6" t="s">
        <v>57</v>
      </c>
      <c r="C6" t="s">
        <v>58</v>
      </c>
      <c r="D6" t="s">
        <v>537</v>
      </c>
    </row>
    <row r="7" spans="1:4" x14ac:dyDescent="0.35">
      <c r="A7" t="s">
        <v>536</v>
      </c>
      <c r="B7" s="40">
        <v>2</v>
      </c>
      <c r="C7" s="40">
        <v>2</v>
      </c>
      <c r="D7" s="40">
        <v>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1E863-E773-4359-AE73-8CB2E8AAEAAC}">
  <sheetPr codeName="Sheet13">
    <tabColor theme="5"/>
  </sheetPr>
  <dimension ref="A1:C7"/>
  <sheetViews>
    <sheetView workbookViewId="0">
      <selection activeCell="I32" sqref="I32"/>
    </sheetView>
  </sheetViews>
  <sheetFormatPr defaultRowHeight="14.5" x14ac:dyDescent="0.35"/>
  <cols>
    <col min="1" max="1" width="27.54296875" bestFit="1" customWidth="1"/>
    <col min="2" max="2" width="21.26953125" bestFit="1" customWidth="1"/>
    <col min="3" max="6" width="11.26953125" bestFit="1" customWidth="1"/>
    <col min="7" max="7" width="9.453125" bestFit="1" customWidth="1"/>
    <col min="8" max="8" width="7.54296875" bestFit="1" customWidth="1"/>
    <col min="9" max="9" width="12.453125" bestFit="1" customWidth="1"/>
    <col min="10" max="10" width="11.26953125" bestFit="1" customWidth="1"/>
    <col min="11" max="11" width="13.81640625" bestFit="1" customWidth="1"/>
    <col min="12" max="12" width="11.26953125" bestFit="1" customWidth="1"/>
    <col min="13" max="24" width="27.453125" bestFit="1" customWidth="1"/>
    <col min="25" max="25" width="32.453125" bestFit="1" customWidth="1"/>
    <col min="26" max="26" width="24" bestFit="1" customWidth="1"/>
    <col min="27" max="27" width="25" bestFit="1" customWidth="1"/>
    <col min="28" max="28" width="27.7265625" bestFit="1" customWidth="1"/>
    <col min="29" max="29" width="30.7265625" bestFit="1" customWidth="1"/>
    <col min="30" max="30" width="25.7265625" bestFit="1" customWidth="1"/>
    <col min="31" max="31" width="5.453125" bestFit="1" customWidth="1"/>
    <col min="32" max="33" width="8.453125" bestFit="1" customWidth="1"/>
    <col min="34" max="34" width="13.81640625" bestFit="1" customWidth="1"/>
    <col min="35" max="35" width="11.26953125" bestFit="1" customWidth="1"/>
    <col min="36" max="36" width="9.453125" bestFit="1" customWidth="1"/>
    <col min="37" max="37" width="12.453125" bestFit="1" customWidth="1"/>
    <col min="38" max="38" width="6.81640625" bestFit="1" customWidth="1"/>
    <col min="39" max="39" width="8.81640625" bestFit="1" customWidth="1"/>
    <col min="40" max="40" width="6.81640625" bestFit="1" customWidth="1"/>
    <col min="41" max="41" width="5.453125" bestFit="1" customWidth="1"/>
    <col min="42" max="44" width="8.453125" bestFit="1" customWidth="1"/>
    <col min="45" max="45" width="10.7265625" bestFit="1" customWidth="1"/>
    <col min="46" max="47" width="8.453125" bestFit="1" customWidth="1"/>
    <col min="48" max="48" width="13.81640625" bestFit="1" customWidth="1"/>
    <col min="49" max="49" width="8.453125" bestFit="1" customWidth="1"/>
    <col min="50" max="50" width="11.26953125" bestFit="1" customWidth="1"/>
    <col min="51" max="51" width="8.453125" bestFit="1" customWidth="1"/>
    <col min="52" max="52" width="10.7265625" bestFit="1" customWidth="1"/>
    <col min="53" max="53" width="8.453125" bestFit="1" customWidth="1"/>
    <col min="54" max="54" width="6.81640625" bestFit="1" customWidth="1"/>
    <col min="55" max="55" width="8.453125" bestFit="1" customWidth="1"/>
    <col min="56" max="56" width="6.81640625" bestFit="1" customWidth="1"/>
    <col min="57" max="57" width="13.81640625" bestFit="1" customWidth="1"/>
    <col min="58" max="58" width="9.453125" bestFit="1" customWidth="1"/>
    <col min="59" max="59" width="8.453125" bestFit="1" customWidth="1"/>
    <col min="60" max="60" width="9.453125" bestFit="1" customWidth="1"/>
    <col min="61" max="61" width="12.453125" bestFit="1" customWidth="1"/>
    <col min="62" max="62" width="6.81640625" bestFit="1" customWidth="1"/>
    <col min="63" max="63" width="8.453125" bestFit="1" customWidth="1"/>
    <col min="64" max="64" width="6.81640625" bestFit="1" customWidth="1"/>
    <col min="65" max="65" width="5.453125" bestFit="1" customWidth="1"/>
    <col min="66" max="66" width="6.81640625" bestFit="1" customWidth="1"/>
    <col min="67" max="67" width="8.453125" bestFit="1" customWidth="1"/>
    <col min="68" max="68" width="6.81640625" bestFit="1" customWidth="1"/>
    <col min="69" max="69" width="5.453125" bestFit="1" customWidth="1"/>
    <col min="70" max="70" width="8.453125" bestFit="1" customWidth="1"/>
    <col min="71" max="71" width="9.453125" bestFit="1" customWidth="1"/>
    <col min="72" max="72" width="12.453125" bestFit="1" customWidth="1"/>
    <col min="73" max="73" width="6.81640625" bestFit="1" customWidth="1"/>
    <col min="74" max="75" width="8.453125" bestFit="1" customWidth="1"/>
    <col min="76" max="76" width="12.453125" bestFit="1" customWidth="1"/>
    <col min="77" max="77" width="11.26953125" bestFit="1" customWidth="1"/>
  </cols>
  <sheetData>
    <row r="1" spans="1:3" x14ac:dyDescent="0.35">
      <c r="A1" s="36" t="s">
        <v>10</v>
      </c>
      <c r="B1" t="s">
        <v>538</v>
      </c>
    </row>
    <row r="2" spans="1:3" x14ac:dyDescent="0.35">
      <c r="A2" s="36" t="s">
        <v>48</v>
      </c>
      <c r="B2" t="s">
        <v>145</v>
      </c>
    </row>
    <row r="3" spans="1:3" x14ac:dyDescent="0.35">
      <c r="A3" s="36" t="s">
        <v>1</v>
      </c>
      <c r="B3" t="s">
        <v>538</v>
      </c>
    </row>
    <row r="5" spans="1:3" x14ac:dyDescent="0.35">
      <c r="B5" s="36" t="s">
        <v>539</v>
      </c>
    </row>
    <row r="6" spans="1:3" x14ac:dyDescent="0.35">
      <c r="B6" t="s">
        <v>57</v>
      </c>
      <c r="C6" t="s">
        <v>537</v>
      </c>
    </row>
    <row r="7" spans="1:3" x14ac:dyDescent="0.35">
      <c r="A7" t="s">
        <v>536</v>
      </c>
      <c r="B7" s="40">
        <v>4</v>
      </c>
      <c r="C7" s="40">
        <v>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0AD83-E467-462E-AA9E-30BC5C2275D7}">
  <sheetPr codeName="Sheet14">
    <tabColor theme="5"/>
  </sheetPr>
  <dimension ref="A1:D7"/>
  <sheetViews>
    <sheetView topLeftCell="B1" workbookViewId="0">
      <selection activeCell="I32" sqref="I32"/>
    </sheetView>
  </sheetViews>
  <sheetFormatPr defaultRowHeight="14.5" x14ac:dyDescent="0.35"/>
  <cols>
    <col min="1" max="1" width="27.54296875" bestFit="1" customWidth="1"/>
    <col min="2" max="2" width="21.26953125" bestFit="1" customWidth="1"/>
    <col min="3" max="3" width="3.54296875" bestFit="1" customWidth="1"/>
    <col min="4" max="4" width="11.26953125" bestFit="1" customWidth="1"/>
    <col min="5" max="5" width="7.54296875" bestFit="1" customWidth="1"/>
    <col min="6" max="6" width="11.26953125" bestFit="1" customWidth="1"/>
    <col min="7" max="7" width="9.453125" bestFit="1" customWidth="1"/>
    <col min="8" max="8" width="7.54296875" bestFit="1" customWidth="1"/>
    <col min="9" max="9" width="12.453125" bestFit="1" customWidth="1"/>
    <col min="10" max="10" width="11.26953125" bestFit="1" customWidth="1"/>
    <col min="11" max="11" width="13.81640625" bestFit="1" customWidth="1"/>
    <col min="12" max="12" width="11.26953125" bestFit="1" customWidth="1"/>
    <col min="13" max="24" width="27.453125" bestFit="1" customWidth="1"/>
    <col min="25" max="25" width="32.453125" bestFit="1" customWidth="1"/>
    <col min="26" max="26" width="24" bestFit="1" customWidth="1"/>
    <col min="27" max="27" width="25" bestFit="1" customWidth="1"/>
    <col min="28" max="28" width="27.7265625" bestFit="1" customWidth="1"/>
    <col min="29" max="29" width="30.7265625" bestFit="1" customWidth="1"/>
    <col min="30" max="30" width="25.7265625" bestFit="1" customWidth="1"/>
    <col min="31" max="31" width="5.453125" bestFit="1" customWidth="1"/>
    <col min="32" max="33" width="8.453125" bestFit="1" customWidth="1"/>
    <col min="34" max="34" width="13.81640625" bestFit="1" customWidth="1"/>
    <col min="35" max="35" width="11.26953125" bestFit="1" customWidth="1"/>
    <col min="36" max="36" width="9.453125" bestFit="1" customWidth="1"/>
    <col min="37" max="37" width="12.453125" bestFit="1" customWidth="1"/>
    <col min="38" max="38" width="6.81640625" bestFit="1" customWidth="1"/>
    <col min="39" max="39" width="8.81640625" bestFit="1" customWidth="1"/>
    <col min="40" max="40" width="6.81640625" bestFit="1" customWidth="1"/>
    <col min="41" max="41" width="5.453125" bestFit="1" customWidth="1"/>
    <col min="42" max="44" width="8.453125" bestFit="1" customWidth="1"/>
    <col min="45" max="45" width="10.7265625" bestFit="1" customWidth="1"/>
    <col min="46" max="47" width="8.453125" bestFit="1" customWidth="1"/>
    <col min="48" max="48" width="13.81640625" bestFit="1" customWidth="1"/>
    <col min="49" max="49" width="8.453125" bestFit="1" customWidth="1"/>
    <col min="50" max="50" width="11.26953125" bestFit="1" customWidth="1"/>
    <col min="51" max="51" width="8.453125" bestFit="1" customWidth="1"/>
    <col min="52" max="52" width="10.7265625" bestFit="1" customWidth="1"/>
    <col min="53" max="53" width="8.453125" bestFit="1" customWidth="1"/>
    <col min="54" max="54" width="6.81640625" bestFit="1" customWidth="1"/>
    <col min="55" max="55" width="8.453125" bestFit="1" customWidth="1"/>
    <col min="56" max="56" width="6.81640625" bestFit="1" customWidth="1"/>
    <col min="57" max="57" width="13.81640625" bestFit="1" customWidth="1"/>
    <col min="58" max="58" width="9.453125" bestFit="1" customWidth="1"/>
    <col min="59" max="59" width="8.453125" bestFit="1" customWidth="1"/>
    <col min="60" max="60" width="9.453125" bestFit="1" customWidth="1"/>
    <col min="61" max="61" width="12.453125" bestFit="1" customWidth="1"/>
    <col min="62" max="62" width="6.81640625" bestFit="1" customWidth="1"/>
    <col min="63" max="63" width="8.453125" bestFit="1" customWidth="1"/>
    <col min="64" max="64" width="6.81640625" bestFit="1" customWidth="1"/>
    <col min="65" max="65" width="5.453125" bestFit="1" customWidth="1"/>
    <col min="66" max="66" width="6.81640625" bestFit="1" customWidth="1"/>
    <col min="67" max="67" width="8.453125" bestFit="1" customWidth="1"/>
    <col min="68" max="68" width="6.81640625" bestFit="1" customWidth="1"/>
    <col min="69" max="69" width="5.453125" bestFit="1" customWidth="1"/>
    <col min="70" max="70" width="8.453125" bestFit="1" customWidth="1"/>
    <col min="71" max="71" width="9.453125" bestFit="1" customWidth="1"/>
    <col min="72" max="72" width="12.453125" bestFit="1" customWidth="1"/>
    <col min="73" max="73" width="6.81640625" bestFit="1" customWidth="1"/>
    <col min="74" max="75" width="8.453125" bestFit="1" customWidth="1"/>
    <col min="76" max="76" width="12.453125" bestFit="1" customWidth="1"/>
    <col min="77" max="77" width="11.26953125" bestFit="1" customWidth="1"/>
  </cols>
  <sheetData>
    <row r="1" spans="1:4" x14ac:dyDescent="0.35">
      <c r="A1" s="36" t="s">
        <v>10</v>
      </c>
      <c r="B1" t="s">
        <v>538</v>
      </c>
    </row>
    <row r="2" spans="1:4" x14ac:dyDescent="0.35">
      <c r="A2" s="36" t="s">
        <v>48</v>
      </c>
      <c r="B2" t="s">
        <v>145</v>
      </c>
    </row>
    <row r="3" spans="1:4" x14ac:dyDescent="0.35">
      <c r="A3" s="36" t="s">
        <v>1</v>
      </c>
      <c r="B3" t="s">
        <v>538</v>
      </c>
    </row>
    <row r="5" spans="1:4" x14ac:dyDescent="0.35">
      <c r="B5" s="36" t="s">
        <v>539</v>
      </c>
    </row>
    <row r="6" spans="1:4" x14ac:dyDescent="0.35">
      <c r="C6" t="s">
        <v>57</v>
      </c>
      <c r="D6" t="s">
        <v>537</v>
      </c>
    </row>
    <row r="7" spans="1:4" x14ac:dyDescent="0.35">
      <c r="A7" t="s">
        <v>536</v>
      </c>
      <c r="B7" s="40">
        <v>46</v>
      </c>
      <c r="C7" s="40">
        <v>4</v>
      </c>
      <c r="D7" s="40">
        <v>50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FDB9A781AF8DB541B7E3F84C24A424E8" ma:contentTypeVersion="6" ma:contentTypeDescription="Create a new document." ma:contentTypeScope="" ma:versionID="60e0a995fabcf778179bb17c5f013812">
  <xsd:schema xmlns:xsd="http://www.w3.org/2001/XMLSchema" xmlns:xs="http://www.w3.org/2001/XMLSchema" xmlns:p="http://schemas.microsoft.com/office/2006/metadata/properties" xmlns:ns2="7e60dc0d-d792-4ebe-b401-fb19a5488728" xmlns:ns3="9bdbb2aa-dbd9-48c6-9389-a24490454c3e" targetNamespace="http://schemas.microsoft.com/office/2006/metadata/properties" ma:root="true" ma:fieldsID="9a75032a87e11bdedf6c82e7bf802d62" ns2:_="" ns3:_="">
    <xsd:import namespace="7e60dc0d-d792-4ebe-b401-fb19a5488728"/>
    <xsd:import namespace="9bdbb2aa-dbd9-48c6-9389-a24490454c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e60dc0d-d792-4ebe-b401-fb19a548872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bdbb2aa-dbd9-48c6-9389-a24490454c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Props1.xml><?xml version="1.0" encoding="utf-8"?>
<ds:datastoreItem xmlns:ds="http://schemas.openxmlformats.org/officeDocument/2006/customXml" ds:itemID="{B3509A80-B851-4796-B62F-3FAFC0885F7A}">
  <ds:schemaRefs>
    <ds:schemaRef ds:uri="http://www.w3.org/2001/XMLSchema"/>
  </ds:schemaRefs>
</ds:datastoreItem>
</file>

<file path=customXml/itemProps2.xml><?xml version="1.0" encoding="utf-8"?>
<ds:datastoreItem xmlns:ds="http://schemas.openxmlformats.org/officeDocument/2006/customXml" ds:itemID="{605EB666-6DBF-4CB6-B1B4-0626C4FC5FD9}">
  <ds:schemaRefs>
    <ds:schemaRef ds:uri="7e60dc0d-d792-4ebe-b401-fb19a5488728"/>
    <ds:schemaRef ds:uri="http://www.w3.org/XML/1998/namespace"/>
    <ds:schemaRef ds:uri="9bdbb2aa-dbd9-48c6-9389-a24490454c3e"/>
    <ds:schemaRef ds:uri="http://schemas.microsoft.com/office/2006/metadata/properties"/>
    <ds:schemaRef ds:uri="http://schemas.microsoft.com/office/2006/documentManagement/types"/>
    <ds:schemaRef ds:uri="http://purl.org/dc/dcmitype/"/>
    <ds:schemaRef ds:uri="http://purl.org/dc/elements/1.1/"/>
    <ds:schemaRef ds:uri="http://schemas.microsoft.com/office/infopath/2007/PartnerControls"/>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D315B44A-D7BC-428E-AB8E-51F93ED75BCE}">
  <ds:schemaRefs>
    <ds:schemaRef ds:uri="http://schemas.microsoft.com/sharepoint/v3/contenttype/forms"/>
  </ds:schemaRefs>
</ds:datastoreItem>
</file>

<file path=customXml/itemProps4.xml><?xml version="1.0" encoding="utf-8"?>
<ds:datastoreItem xmlns:ds="http://schemas.openxmlformats.org/officeDocument/2006/customXml" ds:itemID="{166114A3-D8A6-4A53-A016-BBD50366C2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e60dc0d-d792-4ebe-b401-fb19a5488728"/>
    <ds:schemaRef ds:uri="9bdbb2aa-dbd9-48c6-9389-a24490454c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1B34D4A3-F2AC-41EA-98E8-ADD209DE93B6}">
  <ds:schemaRefs>
    <ds:schemaRef ds:uri="http://www.w3.org/2001/XMLSchema"/>
  </ds:schemaRefs>
</ds:datastoreItem>
</file>

<file path=customXml/itemProps6.xml><?xml version="1.0" encoding="utf-8"?>
<ds:datastoreItem xmlns:ds="http://schemas.openxmlformats.org/officeDocument/2006/customXml" ds:itemID="{597E0E02-88FA-4F7C-B7A3-B3DEFBF287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D1 (2)</vt:lpstr>
      <vt:lpstr>D1 (4)</vt:lpstr>
      <vt:lpstr>Personal Dashboard</vt:lpstr>
      <vt:lpstr>MySQL</vt:lpstr>
      <vt:lpstr>MySQL -Work Orders</vt:lpstr>
      <vt:lpstr>Graph Infos</vt:lpstr>
      <vt:lpstr>Bar Completion</vt:lpstr>
      <vt:lpstr>Bar Completion Operator</vt:lpstr>
      <vt:lpstr>Chart Donut</vt:lpstr>
      <vt:lpstr>Community Chart</vt:lpstr>
      <vt:lpstr>CW</vt:lpstr>
      <vt:lpstr>Power</vt:lpstr>
      <vt:lpstr>Structural</vt:lpstr>
      <vt:lpstr>RF</vt:lpstr>
      <vt:lpstr>SAQ</vt:lpstr>
      <vt:lpstr>FolderPath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Charles</dc:creator>
  <cp:keywords/>
  <dc:description/>
  <cp:lastModifiedBy>User</cp:lastModifiedBy>
  <cp:revision/>
  <dcterms:created xsi:type="dcterms:W3CDTF">2018-01-16T11:43:17Z</dcterms:created>
  <dcterms:modified xsi:type="dcterms:W3CDTF">2019-01-08T03:58:09Z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87bfe81f-95c5-41c8-8a7b-1f06983f1698</vt:lpwstr>
  </property>
  <property fmtid="{D5CDD505-2E9C-101B-9397-08002B2CF9AE}" pid="3" name="EditConnectionInfosXmlPartId">
    <vt:lpwstr>{B3509A80-B851-4796-B62F-3FAFC0885F7A}</vt:lpwstr>
  </property>
  <property fmtid="{D5CDD505-2E9C-101B-9397-08002B2CF9AE}" pid="4" name="ConnectionInfosStorage">
    <vt:lpwstr>WorkbookXmlParts</vt:lpwstr>
  </property>
  <property fmtid="{D5CDD505-2E9C-101B-9397-08002B2CF9AE}" pid="5" name="ContentTypeId">
    <vt:lpwstr>0x010100FDB9A781AF8DB541B7E3F84C24A424E8</vt:lpwstr>
  </property>
</Properties>
</file>