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mc:AlternateContent xmlns:mc="http://schemas.openxmlformats.org/markup-compatibility/2006">
    <mc:Choice Requires="x15">
      <x15ac:absPath xmlns:x15ac="http://schemas.microsoft.com/office/spreadsheetml/2010/11/ac" url="https://netorgft2067521-my.sharepoint.com/personal/charles_richeux_apollo-towers_com/Documents/Apollo Towers/00-Process &amp; Database/Colo Prevalidation/Read Only/"/>
    </mc:Choice>
  </mc:AlternateContent>
  <xr:revisionPtr revIDLastSave="0" documentId="8_{E160C56D-DA15-4210-A2EB-33F9DBCEB65F}" xr6:coauthVersionLast="40" xr6:coauthVersionMax="40" xr10:uidLastSave="{00000000-0000-0000-0000-000000000000}"/>
  <bookViews>
    <workbookView xWindow="0" yWindow="0" windowWidth="19200" windowHeight="8100" tabRatio="710" activeTab="1"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Validation!$A$15:$AZ$533</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8"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 r:id="rId10"/>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A16" i="70" l="1"/>
  <c r="BA17" i="70"/>
  <c r="BA18" i="70"/>
  <c r="BA19" i="70"/>
  <c r="BA20" i="70"/>
  <c r="BA21" i="70"/>
  <c r="BA22" i="70"/>
  <c r="BA23" i="70"/>
  <c r="BA24" i="70"/>
  <c r="BA25" i="70"/>
  <c r="BA26" i="70"/>
  <c r="BA27" i="70"/>
  <c r="BA28" i="70"/>
  <c r="BA29" i="70"/>
  <c r="BA30" i="70"/>
  <c r="BA31" i="70"/>
  <c r="BA32" i="70"/>
  <c r="BA33" i="70"/>
  <c r="BA34" i="70"/>
  <c r="BA35" i="70"/>
  <c r="BA36" i="70"/>
  <c r="BA37" i="70"/>
  <c r="BA38" i="70"/>
  <c r="BA39" i="70"/>
  <c r="BA40" i="70"/>
  <c r="BA41" i="70"/>
  <c r="BA42" i="70"/>
  <c r="BA43" i="70"/>
  <c r="BA44" i="70"/>
  <c r="BA45" i="70"/>
  <c r="BA46" i="70"/>
  <c r="BA47" i="70"/>
  <c r="BA48" i="70"/>
  <c r="BA49" i="70"/>
  <c r="BA50" i="70"/>
  <c r="BA51" i="70"/>
  <c r="BA52" i="70"/>
  <c r="BA53" i="70"/>
  <c r="BA54" i="70"/>
  <c r="BA55" i="70"/>
  <c r="BA56" i="70"/>
  <c r="BA57" i="70"/>
  <c r="BA58" i="70"/>
  <c r="BA59" i="70"/>
  <c r="BA60" i="70"/>
  <c r="BA61" i="70"/>
  <c r="BA62" i="70"/>
  <c r="BA63" i="70"/>
  <c r="BA64" i="70"/>
  <c r="BA65" i="70"/>
  <c r="BA66" i="70"/>
  <c r="BA67" i="70"/>
  <c r="BA68" i="70"/>
  <c r="BA69" i="70"/>
  <c r="BA70" i="70"/>
  <c r="BA71" i="70"/>
  <c r="BA72" i="70"/>
  <c r="BA73" i="70"/>
  <c r="BA74" i="70"/>
  <c r="BA75" i="70"/>
  <c r="BA76" i="70"/>
  <c r="BA77" i="70"/>
  <c r="BA78" i="70"/>
  <c r="BA79" i="70"/>
  <c r="BA80" i="70"/>
  <c r="BA81" i="70"/>
  <c r="BA82" i="70"/>
  <c r="BA83" i="70"/>
  <c r="BA84" i="70"/>
  <c r="BA85" i="70"/>
  <c r="BA86" i="70"/>
  <c r="BA87" i="70"/>
  <c r="BA88" i="70"/>
  <c r="BA89" i="70"/>
  <c r="BA90" i="70"/>
  <c r="BA91" i="70"/>
  <c r="BA92" i="70"/>
  <c r="BA93" i="70"/>
  <c r="BA94" i="70"/>
  <c r="BA95" i="70"/>
  <c r="BA96" i="70"/>
  <c r="BA97" i="70"/>
  <c r="BA98" i="70"/>
  <c r="BA99" i="70"/>
  <c r="BA100" i="70"/>
  <c r="BA101" i="70"/>
  <c r="BA102" i="70"/>
  <c r="BA103" i="70"/>
  <c r="BA104" i="70"/>
  <c r="BA105" i="70"/>
  <c r="BA106" i="70"/>
  <c r="BA107" i="70"/>
  <c r="BA108" i="70"/>
  <c r="BA109" i="70"/>
  <c r="BA110" i="70"/>
  <c r="BA111" i="70"/>
  <c r="BA112" i="70"/>
  <c r="BA113" i="70"/>
  <c r="BA114" i="70"/>
  <c r="BA115" i="70"/>
  <c r="BA116" i="70"/>
  <c r="BA117" i="70"/>
  <c r="BA118" i="70"/>
  <c r="BA119" i="70"/>
  <c r="BA120" i="70"/>
  <c r="BA121" i="70"/>
  <c r="BA122" i="70"/>
  <c r="BA123" i="70"/>
  <c r="BA124" i="70"/>
  <c r="BA125" i="70"/>
  <c r="BA126" i="70"/>
  <c r="BA127" i="70"/>
  <c r="BA128" i="70"/>
  <c r="BA129" i="70"/>
  <c r="BA130" i="70"/>
  <c r="BA131" i="70"/>
  <c r="BA132" i="70"/>
  <c r="BA133" i="70"/>
  <c r="BA134" i="70"/>
  <c r="BA135" i="70"/>
  <c r="BA136" i="70"/>
  <c r="BA137" i="70"/>
  <c r="BA138" i="70"/>
  <c r="BA139" i="70"/>
  <c r="BA140" i="70"/>
  <c r="BA141" i="70"/>
  <c r="BA142" i="70"/>
  <c r="BA143" i="70"/>
  <c r="BA144" i="70"/>
  <c r="BA145" i="70"/>
  <c r="BA146" i="70"/>
  <c r="BA147" i="70"/>
  <c r="BA148" i="70"/>
  <c r="BA149" i="70"/>
  <c r="BA150" i="70"/>
  <c r="BA151" i="70"/>
  <c r="BA152" i="70"/>
  <c r="BA153" i="70"/>
  <c r="BA154" i="70"/>
  <c r="BA155" i="70"/>
  <c r="BA156" i="70"/>
  <c r="BA157" i="70"/>
  <c r="BA158" i="70"/>
  <c r="BA159" i="70"/>
  <c r="BA160" i="70"/>
  <c r="BA161" i="70"/>
  <c r="BA162" i="70"/>
  <c r="BA163" i="70"/>
  <c r="BA164" i="70"/>
  <c r="BA165" i="70"/>
  <c r="BA166" i="70"/>
  <c r="BA167" i="70"/>
  <c r="BA168" i="70"/>
  <c r="BA169" i="70"/>
  <c r="BA170" i="70"/>
  <c r="BA171" i="70"/>
  <c r="BA172" i="70"/>
  <c r="BA173" i="70"/>
  <c r="BA174" i="70"/>
  <c r="BA175" i="70"/>
  <c r="BA176" i="70"/>
  <c r="BA177" i="70"/>
  <c r="BA178" i="70"/>
  <c r="BA179" i="70"/>
  <c r="BA180" i="70"/>
  <c r="BA181" i="70"/>
  <c r="BA182" i="70"/>
  <c r="BA183" i="70"/>
  <c r="BA184" i="70"/>
  <c r="BA185" i="70"/>
  <c r="BA186" i="70"/>
  <c r="BA187" i="70"/>
  <c r="BA188" i="70"/>
  <c r="BA189" i="70"/>
  <c r="BA190" i="70"/>
  <c r="BA191" i="70"/>
  <c r="BA192" i="70"/>
  <c r="BA193" i="70"/>
  <c r="BA194" i="70"/>
  <c r="BA195" i="70"/>
  <c r="BA196" i="70"/>
  <c r="BA197" i="70"/>
  <c r="BA198" i="70"/>
  <c r="BA199" i="70"/>
  <c r="BA200" i="70"/>
  <c r="BA201" i="70"/>
  <c r="BA202" i="70"/>
  <c r="BA203" i="70"/>
  <c r="BA204" i="70"/>
  <c r="BA205" i="70"/>
  <c r="BA206" i="70"/>
  <c r="BA207" i="70"/>
  <c r="BA208" i="70"/>
  <c r="BA209" i="70"/>
  <c r="BA210" i="70"/>
  <c r="BA211" i="70"/>
  <c r="BA212" i="70"/>
  <c r="BA213" i="70"/>
  <c r="BA214" i="70"/>
  <c r="BA215" i="70"/>
  <c r="BA216" i="70"/>
  <c r="BA217" i="70"/>
  <c r="BA218" i="70"/>
  <c r="BA219" i="70"/>
  <c r="BA220" i="70"/>
  <c r="BA221" i="70"/>
  <c r="BA222" i="70"/>
  <c r="BA223" i="70"/>
  <c r="BA224" i="70"/>
  <c r="BA225" i="70"/>
  <c r="BA226" i="70"/>
  <c r="BA227" i="70"/>
  <c r="BA228" i="70"/>
  <c r="BA229" i="70"/>
  <c r="BA230" i="70"/>
  <c r="BA231" i="70"/>
  <c r="BA232" i="70"/>
  <c r="BA233" i="70"/>
  <c r="BA234" i="70"/>
  <c r="BA235" i="70"/>
  <c r="BA236" i="70"/>
  <c r="BA237" i="70"/>
  <c r="BA238" i="70"/>
  <c r="BA239" i="70"/>
  <c r="BA240" i="70"/>
  <c r="BA241" i="70"/>
  <c r="BA242" i="70"/>
  <c r="BA243" i="70"/>
  <c r="BA244" i="70"/>
  <c r="BA245" i="70"/>
  <c r="BA246" i="70"/>
  <c r="BA247" i="70"/>
  <c r="BA248" i="70"/>
  <c r="BA249" i="70"/>
  <c r="BA250" i="70"/>
  <c r="BA251" i="70"/>
  <c r="BA252" i="70"/>
  <c r="BA253" i="70"/>
  <c r="BA254" i="70"/>
  <c r="BA255" i="70"/>
  <c r="BA256" i="70"/>
  <c r="BA257" i="70"/>
  <c r="BA258" i="70"/>
  <c r="BA259" i="70"/>
  <c r="BA260" i="70"/>
  <c r="BA261" i="70"/>
  <c r="BA262" i="70"/>
  <c r="BA263" i="70"/>
  <c r="BA264" i="70"/>
  <c r="BA265" i="70"/>
  <c r="BA266" i="70"/>
  <c r="BA267" i="70"/>
  <c r="BA268" i="70"/>
  <c r="BA269" i="70"/>
  <c r="BA270" i="70"/>
  <c r="BA271" i="70"/>
  <c r="BA272" i="70"/>
  <c r="BA273" i="70"/>
  <c r="BA274" i="70"/>
  <c r="BA275" i="70"/>
  <c r="BA276" i="70"/>
  <c r="BA277" i="70"/>
  <c r="BA278" i="70"/>
  <c r="BA279" i="70"/>
  <c r="BA280" i="70"/>
  <c r="BA281" i="70"/>
  <c r="BA282" i="70"/>
  <c r="BA283" i="70"/>
  <c r="BA284" i="70"/>
  <c r="BA285" i="70"/>
  <c r="BA286" i="70"/>
  <c r="BA287" i="70"/>
  <c r="BA288" i="70"/>
  <c r="BA289" i="70"/>
  <c r="BA290" i="70"/>
  <c r="BA291" i="70"/>
  <c r="BA292" i="70"/>
  <c r="BA293" i="70"/>
  <c r="BA294" i="70"/>
  <c r="BA295" i="70"/>
  <c r="BA296" i="70"/>
  <c r="BA297" i="70"/>
  <c r="BA298" i="70"/>
  <c r="BA299" i="70"/>
  <c r="BA300" i="70"/>
  <c r="BA301" i="70"/>
  <c r="BA302" i="70"/>
  <c r="BA303" i="70"/>
  <c r="BA304" i="70"/>
  <c r="BA305" i="70"/>
  <c r="BA306" i="70"/>
  <c r="BA307" i="70"/>
  <c r="BA308" i="70"/>
  <c r="BA309" i="70"/>
  <c r="BA310" i="70"/>
  <c r="BA311" i="70"/>
  <c r="BA312" i="70"/>
  <c r="BA313" i="70"/>
  <c r="BA314" i="70"/>
  <c r="BA315" i="70"/>
  <c r="BA316" i="70"/>
  <c r="BA317" i="70"/>
  <c r="BA318" i="70"/>
  <c r="BA319" i="70"/>
  <c r="BA320" i="70"/>
  <c r="BA321" i="70"/>
  <c r="BA322" i="70"/>
  <c r="BA323" i="70"/>
  <c r="BA324" i="70"/>
  <c r="BA325" i="70"/>
  <c r="BA326" i="70"/>
  <c r="BA327" i="70"/>
  <c r="BA328" i="70"/>
  <c r="BA329" i="70"/>
  <c r="BA330" i="70"/>
  <c r="BA331" i="70"/>
  <c r="BA332" i="70"/>
  <c r="BA333" i="70"/>
  <c r="BA334" i="70"/>
  <c r="BA335" i="70"/>
  <c r="BA336" i="70"/>
  <c r="BA337" i="70"/>
  <c r="BA338" i="70"/>
  <c r="BA339" i="70"/>
  <c r="BA340" i="70"/>
  <c r="BA341" i="70"/>
  <c r="BA342" i="70"/>
  <c r="BA343" i="70"/>
  <c r="BA344" i="70"/>
  <c r="BA345" i="70"/>
  <c r="BA346" i="70"/>
  <c r="BA347" i="70"/>
  <c r="BA348" i="70"/>
  <c r="BA349" i="70"/>
  <c r="BA350" i="70"/>
  <c r="BA351" i="70"/>
  <c r="BA352" i="70"/>
  <c r="BA353" i="70"/>
  <c r="BA354" i="70"/>
  <c r="BA355" i="70"/>
  <c r="BA356" i="70"/>
  <c r="BA357" i="70"/>
  <c r="BA358" i="70"/>
  <c r="BA359" i="70"/>
  <c r="BA360" i="70"/>
  <c r="BA361" i="70"/>
  <c r="BA362" i="70"/>
  <c r="BA363" i="70"/>
  <c r="BA364" i="70"/>
  <c r="BA365" i="70"/>
  <c r="BA366" i="70"/>
  <c r="BA367" i="70"/>
  <c r="BA368" i="70"/>
  <c r="BA369" i="70"/>
  <c r="BA370" i="70"/>
  <c r="BA371" i="70"/>
  <c r="BA372" i="70"/>
  <c r="BA373" i="70"/>
  <c r="BA374" i="70"/>
  <c r="BA375" i="70"/>
  <c r="BA376" i="70"/>
  <c r="BA377" i="70"/>
  <c r="BA378" i="70"/>
  <c r="BA379" i="70"/>
  <c r="BA380" i="70"/>
  <c r="BA381" i="70"/>
  <c r="BA382" i="70"/>
  <c r="BA383" i="70"/>
  <c r="BA384" i="70"/>
  <c r="BA385" i="70"/>
  <c r="BA386" i="70"/>
  <c r="BA387" i="70"/>
  <c r="BA388" i="70"/>
  <c r="BA389" i="70"/>
  <c r="BA390" i="70"/>
  <c r="BA391" i="70"/>
  <c r="BA392" i="70"/>
  <c r="BA393" i="70"/>
  <c r="BA394" i="70"/>
  <c r="BA395" i="70"/>
  <c r="BA396" i="70"/>
  <c r="BA397" i="70"/>
  <c r="BA398" i="70"/>
  <c r="BA399" i="70"/>
  <c r="BA400" i="70"/>
  <c r="BA401" i="70"/>
  <c r="BA402" i="70"/>
  <c r="BA403" i="70"/>
  <c r="BA404" i="70"/>
  <c r="BA405" i="70"/>
  <c r="BA406" i="70"/>
  <c r="BA407" i="70"/>
  <c r="BA408" i="70"/>
  <c r="BA409" i="70"/>
  <c r="BA410" i="70"/>
  <c r="BA411" i="70"/>
  <c r="BA412" i="70"/>
  <c r="BA413" i="70"/>
  <c r="BA414" i="70"/>
  <c r="BA415" i="70"/>
  <c r="BA416" i="70"/>
  <c r="BA417" i="70"/>
  <c r="BA418" i="70"/>
  <c r="BA419" i="70"/>
  <c r="BA420" i="70"/>
  <c r="BA421" i="70"/>
  <c r="BA422" i="70"/>
  <c r="BA423" i="70"/>
  <c r="BA424" i="70"/>
  <c r="BA425" i="70"/>
  <c r="BA426" i="70"/>
  <c r="BA427" i="70"/>
  <c r="BA428" i="70"/>
  <c r="BA429" i="70"/>
  <c r="BA430" i="70"/>
  <c r="BA431" i="70"/>
  <c r="BA432" i="70"/>
  <c r="BA433" i="70"/>
  <c r="BA434" i="70"/>
  <c r="BA435" i="70"/>
  <c r="BA436" i="70"/>
  <c r="BA437" i="70"/>
  <c r="BA438" i="70"/>
  <c r="BA439" i="70"/>
  <c r="BA440" i="70"/>
  <c r="BA441" i="70"/>
  <c r="BA442" i="70"/>
  <c r="BA443" i="70"/>
  <c r="BA444" i="70"/>
  <c r="BA445" i="70"/>
  <c r="BA446" i="70"/>
  <c r="BA447" i="70"/>
  <c r="BA448" i="70"/>
  <c r="BA449" i="70"/>
  <c r="BA450" i="70"/>
  <c r="BA451" i="70"/>
  <c r="BA452" i="70"/>
  <c r="BA453" i="70"/>
  <c r="BA454" i="70"/>
  <c r="BA455" i="70"/>
  <c r="BA456" i="70"/>
  <c r="BA457" i="70"/>
  <c r="BA458" i="70"/>
  <c r="BA459" i="70"/>
  <c r="BA460" i="70"/>
  <c r="BA461" i="70"/>
  <c r="BA462" i="70"/>
  <c r="BA463" i="70"/>
  <c r="BA464" i="70"/>
  <c r="BA465" i="70"/>
  <c r="BA466" i="70"/>
  <c r="BA467" i="70"/>
  <c r="BA468" i="70"/>
  <c r="BA469" i="70"/>
  <c r="BA470" i="70"/>
  <c r="BA471" i="70"/>
  <c r="BA472" i="70"/>
  <c r="BA473" i="70"/>
  <c r="BA474" i="70"/>
  <c r="BA475" i="70"/>
  <c r="BA476" i="70"/>
  <c r="BA477" i="70"/>
  <c r="BA478" i="70"/>
  <c r="BA479" i="70"/>
  <c r="BA480" i="70"/>
  <c r="BA481" i="70"/>
  <c r="BA482" i="70"/>
  <c r="BA483" i="70"/>
  <c r="BA484" i="70"/>
  <c r="BA485" i="70"/>
  <c r="BA486" i="70"/>
  <c r="BA487" i="70"/>
  <c r="BA488" i="70"/>
  <c r="BA489" i="70"/>
  <c r="BA490" i="70"/>
  <c r="BA491" i="70"/>
  <c r="BA492" i="70"/>
  <c r="BA493" i="70"/>
  <c r="BA494" i="70"/>
  <c r="BA495" i="70"/>
  <c r="BA496" i="70"/>
  <c r="BA497" i="70"/>
  <c r="BA498" i="70"/>
  <c r="BA499" i="70"/>
  <c r="BA500" i="70"/>
  <c r="BA501" i="70"/>
  <c r="BA502" i="70"/>
  <c r="BA503" i="70"/>
  <c r="BA504" i="70"/>
  <c r="BA505" i="70"/>
  <c r="BA506" i="70"/>
  <c r="BA507" i="70"/>
  <c r="BA508" i="70"/>
  <c r="BA509" i="70"/>
  <c r="BA510" i="70"/>
  <c r="BA511" i="70"/>
  <c r="BA512" i="70"/>
  <c r="BA513" i="70"/>
  <c r="BA514" i="70"/>
  <c r="BA515" i="70"/>
  <c r="BA516" i="70"/>
  <c r="BA517" i="70"/>
  <c r="BA518" i="70"/>
  <c r="BA519" i="70"/>
  <c r="BA520" i="70"/>
  <c r="BA521" i="70"/>
  <c r="BA522" i="70"/>
  <c r="BA523" i="70"/>
  <c r="BA524" i="70"/>
  <c r="BA525" i="70"/>
  <c r="BA526" i="70"/>
  <c r="BA527" i="70"/>
  <c r="BA528" i="70"/>
  <c r="BA529" i="70"/>
  <c r="BA530" i="70"/>
  <c r="BA531" i="70"/>
  <c r="BA532" i="70"/>
  <c r="BA533"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B469" i="70"/>
  <c r="BB470" i="70"/>
  <c r="BB471" i="70"/>
  <c r="BB472" i="70"/>
  <c r="BB473" i="70"/>
  <c r="BB474" i="70"/>
  <c r="BB475" i="70"/>
  <c r="BB476" i="70"/>
  <c r="BB477" i="70"/>
  <c r="BB478" i="70"/>
  <c r="BB479" i="70"/>
  <c r="BB480" i="70"/>
  <c r="BB481" i="70"/>
  <c r="BB482" i="70"/>
  <c r="BB483" i="70"/>
  <c r="BB484" i="70"/>
  <c r="BB485" i="70"/>
  <c r="BB486" i="70"/>
  <c r="BB487" i="70"/>
  <c r="BB488" i="70"/>
  <c r="BB489" i="70"/>
  <c r="BB490" i="70"/>
  <c r="BB491" i="70"/>
  <c r="BB492" i="70"/>
  <c r="BB493" i="70"/>
  <c r="BB494" i="70"/>
  <c r="BB495" i="70"/>
  <c r="BB496" i="70"/>
  <c r="BB497" i="70"/>
  <c r="BB498" i="70"/>
  <c r="BB499" i="70"/>
  <c r="BB500" i="70"/>
  <c r="BB501" i="70"/>
  <c r="BB502" i="70"/>
  <c r="BB503" i="70"/>
  <c r="BB504" i="70"/>
  <c r="BB505" i="70"/>
  <c r="BB506" i="70"/>
  <c r="BB507" i="70"/>
  <c r="BB508" i="70"/>
  <c r="BB509" i="70"/>
  <c r="BB510" i="70"/>
  <c r="BB511" i="70"/>
  <c r="BB512" i="70"/>
  <c r="BB513" i="70"/>
  <c r="BB514" i="70"/>
  <c r="BB515" i="70"/>
  <c r="BB516" i="70"/>
  <c r="BB517" i="70"/>
  <c r="BB518" i="70"/>
  <c r="BB519" i="70"/>
  <c r="BB520" i="70"/>
  <c r="BB521" i="70"/>
  <c r="BB522" i="70"/>
  <c r="BB523" i="70"/>
  <c r="BB524" i="70"/>
  <c r="BB525" i="70"/>
  <c r="BB526" i="70"/>
  <c r="BB527" i="70"/>
  <c r="BB528" i="70"/>
  <c r="BB529" i="70"/>
  <c r="BB530" i="70"/>
  <c r="BB531" i="70"/>
  <c r="BB532" i="70"/>
  <c r="BB533" i="70"/>
  <c r="BD16" i="70"/>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D526" i="70"/>
  <c r="BD527" i="70"/>
  <c r="BD528" i="70"/>
  <c r="BD529" i="70"/>
  <c r="BD530" i="70"/>
  <c r="BD531" i="70"/>
  <c r="BD532" i="70"/>
  <c r="BD533" i="70"/>
  <c r="BE16" i="70"/>
  <c r="BE17" i="70"/>
  <c r="BE18" i="70"/>
  <c r="BF18" i="70" s="1"/>
  <c r="BG18" i="70" s="1"/>
  <c r="BE19" i="70"/>
  <c r="BF19" i="70" s="1"/>
  <c r="BE20" i="70"/>
  <c r="BF20" i="70" s="1"/>
  <c r="BG20" i="70" s="1"/>
  <c r="BH20" i="70" s="1"/>
  <c r="BI20" i="70" s="1"/>
  <c r="BE21" i="70"/>
  <c r="BF21" i="70" s="1"/>
  <c r="BG21" i="70" s="1"/>
  <c r="BH21" i="70" s="1"/>
  <c r="BI21" i="70" s="1"/>
  <c r="BE22" i="70"/>
  <c r="BE23" i="70"/>
  <c r="BF23" i="70" s="1"/>
  <c r="BE24" i="70"/>
  <c r="BE25" i="70"/>
  <c r="BE26" i="70"/>
  <c r="BF26" i="70" s="1"/>
  <c r="BG26" i="70" s="1"/>
  <c r="BE27" i="70"/>
  <c r="BE28" i="70"/>
  <c r="BE29" i="70"/>
  <c r="BF29" i="70" s="1"/>
  <c r="BG29" i="70" s="1"/>
  <c r="BH29" i="70" s="1"/>
  <c r="BI29" i="70" s="1"/>
  <c r="BE30" i="70"/>
  <c r="BF30" i="70" s="1"/>
  <c r="BG30" i="70" s="1"/>
  <c r="BE31" i="70"/>
  <c r="BF31" i="70" s="1"/>
  <c r="BG31" i="70" s="1"/>
  <c r="BH31" i="70" s="1"/>
  <c r="BE32" i="70"/>
  <c r="BE33" i="70"/>
  <c r="BE34" i="70"/>
  <c r="BF34" i="70" s="1"/>
  <c r="BG34" i="70" s="1"/>
  <c r="BH34" i="70" s="1"/>
  <c r="BE35" i="70"/>
  <c r="BF35" i="70" s="1"/>
  <c r="BE36" i="70"/>
  <c r="BF36" i="70" s="1"/>
  <c r="BG36" i="70" s="1"/>
  <c r="BH36" i="70" s="1"/>
  <c r="BI36" i="70" s="1"/>
  <c r="BE37" i="70"/>
  <c r="BF37" i="70" s="1"/>
  <c r="BG37" i="70" s="1"/>
  <c r="BH37" i="70" s="1"/>
  <c r="BI37" i="70" s="1"/>
  <c r="BE38" i="70"/>
  <c r="BE39" i="70"/>
  <c r="BF39" i="70" s="1"/>
  <c r="BG39" i="70" s="1"/>
  <c r="BE40" i="70"/>
  <c r="BE41" i="70"/>
  <c r="BE42" i="70"/>
  <c r="BF42" i="70" s="1"/>
  <c r="BG42" i="70" s="1"/>
  <c r="BH42" i="70" s="1"/>
  <c r="BI42" i="70" s="1"/>
  <c r="BE43" i="70"/>
  <c r="BE44" i="70"/>
  <c r="BF44" i="70" s="1"/>
  <c r="BG44" i="70" s="1"/>
  <c r="BH44" i="70" s="1"/>
  <c r="BI44" i="70" s="1"/>
  <c r="BE45" i="70"/>
  <c r="BF45" i="70" s="1"/>
  <c r="BG45" i="70" s="1"/>
  <c r="BH45" i="70" s="1"/>
  <c r="BI45" i="70" s="1"/>
  <c r="BE46" i="70"/>
  <c r="BE47" i="70"/>
  <c r="BF47" i="70" s="1"/>
  <c r="BE48" i="70"/>
  <c r="BE49" i="70"/>
  <c r="BE50" i="70"/>
  <c r="BF50" i="70" s="1"/>
  <c r="BG50" i="70" s="1"/>
  <c r="BE51" i="70"/>
  <c r="BF51" i="70" s="1"/>
  <c r="BG51" i="70" s="1"/>
  <c r="BE52" i="70"/>
  <c r="BF52" i="70" s="1"/>
  <c r="BG52" i="70" s="1"/>
  <c r="BH52" i="70" s="1"/>
  <c r="BI52" i="70" s="1"/>
  <c r="BE53" i="70"/>
  <c r="BF53" i="70" s="1"/>
  <c r="BG53" i="70" s="1"/>
  <c r="BH53" i="70" s="1"/>
  <c r="BI53" i="70" s="1"/>
  <c r="BE54" i="70"/>
  <c r="BE55" i="70"/>
  <c r="BF55" i="70" s="1"/>
  <c r="BG55" i="70" s="1"/>
  <c r="BE56" i="70"/>
  <c r="BE57" i="70"/>
  <c r="BE58" i="70"/>
  <c r="BF58" i="70" s="1"/>
  <c r="BG58" i="70" s="1"/>
  <c r="BH58" i="70" s="1"/>
  <c r="BI58" i="70" s="1"/>
  <c r="BE59" i="70"/>
  <c r="BE60" i="70"/>
  <c r="BF60" i="70" s="1"/>
  <c r="BG60" i="70" s="1"/>
  <c r="BH60" i="70" s="1"/>
  <c r="BI60" i="70" s="1"/>
  <c r="BE61" i="70"/>
  <c r="BF61" i="70" s="1"/>
  <c r="BG61" i="70" s="1"/>
  <c r="BH61" i="70" s="1"/>
  <c r="BI61" i="70" s="1"/>
  <c r="BE62" i="70"/>
  <c r="BF62" i="70" s="1"/>
  <c r="BG62" i="70" s="1"/>
  <c r="BH62" i="70" s="1"/>
  <c r="BE63" i="70"/>
  <c r="BF63" i="70" s="1"/>
  <c r="BE64" i="70"/>
  <c r="BE65" i="70"/>
  <c r="BE66" i="70"/>
  <c r="BF66" i="70" s="1"/>
  <c r="BG66" i="70" s="1"/>
  <c r="BH66" i="70" s="1"/>
  <c r="BI66" i="70" s="1"/>
  <c r="BE67" i="70"/>
  <c r="BF67" i="70" s="1"/>
  <c r="BG67" i="70" s="1"/>
  <c r="BE68" i="70"/>
  <c r="BF68" i="70" s="1"/>
  <c r="BG68" i="70" s="1"/>
  <c r="BH68" i="70" s="1"/>
  <c r="BI68" i="70" s="1"/>
  <c r="BE69" i="70"/>
  <c r="BF69" i="70" s="1"/>
  <c r="BG69" i="70" s="1"/>
  <c r="BH69" i="70" s="1"/>
  <c r="BI69" i="70" s="1"/>
  <c r="BE70" i="70"/>
  <c r="BE71" i="70"/>
  <c r="BF71" i="70" s="1"/>
  <c r="BE72" i="70"/>
  <c r="BE73" i="70"/>
  <c r="BE74" i="70"/>
  <c r="BF74" i="70" s="1"/>
  <c r="BG74" i="70" s="1"/>
  <c r="BH74" i="70" s="1"/>
  <c r="BI74" i="70" s="1"/>
  <c r="BE75" i="70"/>
  <c r="BE76" i="70"/>
  <c r="BF76" i="70" s="1"/>
  <c r="BG76" i="70" s="1"/>
  <c r="BH76" i="70" s="1"/>
  <c r="BI76" i="70" s="1"/>
  <c r="BE77" i="70"/>
  <c r="BF77" i="70" s="1"/>
  <c r="BG77" i="70" s="1"/>
  <c r="BH77" i="70" s="1"/>
  <c r="BI77" i="70" s="1"/>
  <c r="BE78" i="70"/>
  <c r="BE79" i="70"/>
  <c r="BF79" i="70" s="1"/>
  <c r="BG79" i="70" s="1"/>
  <c r="BE80" i="70"/>
  <c r="BE81" i="70"/>
  <c r="BE82" i="70"/>
  <c r="BF82" i="70" s="1"/>
  <c r="BG82" i="70" s="1"/>
  <c r="BH82" i="70" s="1"/>
  <c r="BI82" i="70" s="1"/>
  <c r="BE83" i="70"/>
  <c r="BF83" i="70" s="1"/>
  <c r="BG83" i="70" s="1"/>
  <c r="BE84" i="70"/>
  <c r="BF84" i="70" s="1"/>
  <c r="BG84" i="70" s="1"/>
  <c r="BH84" i="70" s="1"/>
  <c r="BI84" i="70" s="1"/>
  <c r="BE85" i="70"/>
  <c r="BF85" i="70" s="1"/>
  <c r="BG85" i="70" s="1"/>
  <c r="BH85" i="70" s="1"/>
  <c r="BI85" i="70" s="1"/>
  <c r="BE86" i="70"/>
  <c r="BE87" i="70"/>
  <c r="BE88" i="70"/>
  <c r="BE89" i="70"/>
  <c r="BE90" i="70"/>
  <c r="BF90" i="70" s="1"/>
  <c r="BG90" i="70" s="1"/>
  <c r="BH90" i="70" s="1"/>
  <c r="BI90" i="70" s="1"/>
  <c r="BE91" i="70"/>
  <c r="BF91" i="70" s="1"/>
  <c r="BG91" i="70" s="1"/>
  <c r="BH91" i="70" s="1"/>
  <c r="BI91" i="70" s="1"/>
  <c r="BE92" i="70"/>
  <c r="BF92" i="70" s="1"/>
  <c r="BG92" i="70" s="1"/>
  <c r="BH92" i="70" s="1"/>
  <c r="BI92" i="70" s="1"/>
  <c r="BE93" i="70"/>
  <c r="BF93" i="70" s="1"/>
  <c r="BG93" i="70" s="1"/>
  <c r="BH93" i="70" s="1"/>
  <c r="BI93" i="70" s="1"/>
  <c r="BE94" i="70"/>
  <c r="BE95" i="70"/>
  <c r="BF95" i="70" s="1"/>
  <c r="BG95" i="70" s="1"/>
  <c r="BE96" i="70"/>
  <c r="BE97" i="70"/>
  <c r="BE98" i="70"/>
  <c r="BF98" i="70" s="1"/>
  <c r="BG98" i="70" s="1"/>
  <c r="BE99" i="70"/>
  <c r="BE100" i="70"/>
  <c r="BF100" i="70" s="1"/>
  <c r="BG100" i="70" s="1"/>
  <c r="BH100" i="70" s="1"/>
  <c r="BI100" i="70" s="1"/>
  <c r="BE101" i="70"/>
  <c r="BF101" i="70" s="1"/>
  <c r="BG101" i="70" s="1"/>
  <c r="BH101" i="70" s="1"/>
  <c r="BI101" i="70" s="1"/>
  <c r="BE102" i="70"/>
  <c r="BF102" i="70" s="1"/>
  <c r="BE103" i="70"/>
  <c r="BF103" i="70" s="1"/>
  <c r="BG103" i="70" s="1"/>
  <c r="BE104" i="70"/>
  <c r="BE105" i="70"/>
  <c r="BE106" i="70"/>
  <c r="BF106" i="70" s="1"/>
  <c r="BG106" i="70" s="1"/>
  <c r="BH106" i="70" s="1"/>
  <c r="BI106" i="70" s="1"/>
  <c r="BE107" i="70"/>
  <c r="BE108" i="70"/>
  <c r="BF108" i="70" s="1"/>
  <c r="BG108" i="70" s="1"/>
  <c r="BH108" i="70" s="1"/>
  <c r="BI108" i="70" s="1"/>
  <c r="BE109" i="70"/>
  <c r="BF109" i="70" s="1"/>
  <c r="BG109" i="70" s="1"/>
  <c r="BH109" i="70" s="1"/>
  <c r="BI109" i="70" s="1"/>
  <c r="BE110" i="70"/>
  <c r="BE111" i="70"/>
  <c r="BF111" i="70" s="1"/>
  <c r="BE112" i="70"/>
  <c r="BE113" i="70"/>
  <c r="BE114" i="70"/>
  <c r="BF114" i="70" s="1"/>
  <c r="BG114" i="70" s="1"/>
  <c r="BE115" i="70"/>
  <c r="BF115" i="70" s="1"/>
  <c r="BE116" i="70"/>
  <c r="BF116" i="70" s="1"/>
  <c r="BG116" i="70" s="1"/>
  <c r="BH116" i="70" s="1"/>
  <c r="BI116" i="70" s="1"/>
  <c r="BE117" i="70"/>
  <c r="BF117" i="70" s="1"/>
  <c r="BG117" i="70" s="1"/>
  <c r="BH117" i="70" s="1"/>
  <c r="BI117" i="70" s="1"/>
  <c r="BE118" i="70"/>
  <c r="BF118" i="70" s="1"/>
  <c r="BG118" i="70" s="1"/>
  <c r="BH118" i="70" s="1"/>
  <c r="BE119" i="70"/>
  <c r="BF119" i="70" s="1"/>
  <c r="BG119" i="70" s="1"/>
  <c r="BE120" i="70"/>
  <c r="BE121" i="70"/>
  <c r="BE122" i="70"/>
  <c r="BF122" i="70" s="1"/>
  <c r="BG122" i="70" s="1"/>
  <c r="BH122" i="70" s="1"/>
  <c r="BI122" i="70" s="1"/>
  <c r="BE123" i="70"/>
  <c r="BF123" i="70" s="1"/>
  <c r="BG123" i="70" s="1"/>
  <c r="BH123" i="70" s="1"/>
  <c r="BI123" i="70" s="1"/>
  <c r="BE124" i="70"/>
  <c r="BF124" i="70" s="1"/>
  <c r="BG124" i="70" s="1"/>
  <c r="BH124" i="70" s="1"/>
  <c r="BI124" i="70" s="1"/>
  <c r="BE125" i="70"/>
  <c r="BF125" i="70" s="1"/>
  <c r="BG125" i="70" s="1"/>
  <c r="BH125" i="70" s="1"/>
  <c r="BI125" i="70" s="1"/>
  <c r="BE126" i="70"/>
  <c r="BE127" i="70"/>
  <c r="BF127" i="70" s="1"/>
  <c r="BG127" i="70" s="1"/>
  <c r="BH127" i="70" s="1"/>
  <c r="BI127" i="70" s="1"/>
  <c r="BE128" i="70"/>
  <c r="BE129" i="70"/>
  <c r="BE130" i="70"/>
  <c r="BF130" i="70" s="1"/>
  <c r="BG130" i="70" s="1"/>
  <c r="BH130" i="70" s="1"/>
  <c r="BI130" i="70" s="1"/>
  <c r="BE131" i="70"/>
  <c r="BE132" i="70"/>
  <c r="BF132" i="70" s="1"/>
  <c r="BG132" i="70" s="1"/>
  <c r="BH132" i="70" s="1"/>
  <c r="BI132" i="70" s="1"/>
  <c r="BE133" i="70"/>
  <c r="BF133" i="70" s="1"/>
  <c r="BG133" i="70" s="1"/>
  <c r="BH133" i="70" s="1"/>
  <c r="BI133" i="70" s="1"/>
  <c r="BE134" i="70"/>
  <c r="BF134" i="70" s="1"/>
  <c r="BE135" i="70"/>
  <c r="BF135" i="70" s="1"/>
  <c r="BE136" i="70"/>
  <c r="BE137" i="70"/>
  <c r="BE138" i="70"/>
  <c r="BF138" i="70" s="1"/>
  <c r="BG138" i="70" s="1"/>
  <c r="BE139" i="70"/>
  <c r="BF139" i="70" s="1"/>
  <c r="BG139" i="70" s="1"/>
  <c r="BH139" i="70" s="1"/>
  <c r="BI139" i="70" s="1"/>
  <c r="BE140" i="70"/>
  <c r="BF140" i="70" s="1"/>
  <c r="BG140" i="70" s="1"/>
  <c r="BH140" i="70" s="1"/>
  <c r="BI140" i="70" s="1"/>
  <c r="BE141" i="70"/>
  <c r="BF141" i="70" s="1"/>
  <c r="BG141" i="70" s="1"/>
  <c r="BH141" i="70" s="1"/>
  <c r="BI141" i="70" s="1"/>
  <c r="BE142" i="70"/>
  <c r="BE143" i="70"/>
  <c r="BF143" i="70" s="1"/>
  <c r="BG143" i="70" s="1"/>
  <c r="BE144" i="70"/>
  <c r="BE145" i="70"/>
  <c r="BE146" i="70"/>
  <c r="BF146" i="70" s="1"/>
  <c r="BG146" i="70" s="1"/>
  <c r="BH146" i="70" s="1"/>
  <c r="BI146" i="70" s="1"/>
  <c r="BE147" i="70"/>
  <c r="BF147" i="70" s="1"/>
  <c r="BE148" i="70"/>
  <c r="BF148" i="70" s="1"/>
  <c r="BG148" i="70" s="1"/>
  <c r="BH148" i="70" s="1"/>
  <c r="BI148" i="70" s="1"/>
  <c r="BE149" i="70"/>
  <c r="BF149" i="70" s="1"/>
  <c r="BG149" i="70" s="1"/>
  <c r="BH149" i="70" s="1"/>
  <c r="BI149" i="70" s="1"/>
  <c r="BE150" i="70"/>
  <c r="BF150" i="70" s="1"/>
  <c r="BG150" i="70" s="1"/>
  <c r="BE151" i="70"/>
  <c r="BF151" i="70" s="1"/>
  <c r="BE152" i="70"/>
  <c r="BE153" i="70"/>
  <c r="BE154" i="70"/>
  <c r="BF154" i="70" s="1"/>
  <c r="BG154" i="70" s="1"/>
  <c r="BH154" i="70" s="1"/>
  <c r="BI154" i="70" s="1"/>
  <c r="BE155" i="70"/>
  <c r="BE156" i="70"/>
  <c r="BF156" i="70" s="1"/>
  <c r="BG156" i="70" s="1"/>
  <c r="BH156" i="70" s="1"/>
  <c r="BI156" i="70" s="1"/>
  <c r="BE157" i="70"/>
  <c r="BF157" i="70" s="1"/>
  <c r="BG157" i="70" s="1"/>
  <c r="BH157" i="70" s="1"/>
  <c r="BI157" i="70" s="1"/>
  <c r="BE158" i="70"/>
  <c r="BE159" i="70"/>
  <c r="BF159" i="70" s="1"/>
  <c r="BG159" i="70" s="1"/>
  <c r="BE160" i="70"/>
  <c r="BE161" i="70"/>
  <c r="BE162" i="70"/>
  <c r="BF162" i="70" s="1"/>
  <c r="BG162" i="70" s="1"/>
  <c r="BH162" i="70" s="1"/>
  <c r="BI162" i="70" s="1"/>
  <c r="BE163" i="70"/>
  <c r="BF163" i="70" s="1"/>
  <c r="BG163" i="70" s="1"/>
  <c r="BH163" i="70" s="1"/>
  <c r="BI163" i="70" s="1"/>
  <c r="BE164" i="70"/>
  <c r="BF164" i="70" s="1"/>
  <c r="BG164" i="70" s="1"/>
  <c r="BH164" i="70" s="1"/>
  <c r="BI164" i="70" s="1"/>
  <c r="BE165" i="70"/>
  <c r="BF165" i="70" s="1"/>
  <c r="BG165" i="70" s="1"/>
  <c r="BH165" i="70" s="1"/>
  <c r="BI165" i="70" s="1"/>
  <c r="BE166" i="70"/>
  <c r="BF166" i="70" s="1"/>
  <c r="BE167" i="70"/>
  <c r="BE168" i="70"/>
  <c r="BE169" i="70"/>
  <c r="BE170" i="70"/>
  <c r="BF170" i="70" s="1"/>
  <c r="BG170" i="70" s="1"/>
  <c r="BH170" i="70" s="1"/>
  <c r="BI170" i="70" s="1"/>
  <c r="BE171" i="70"/>
  <c r="BF171" i="70" s="1"/>
  <c r="BG171" i="70" s="1"/>
  <c r="BH171" i="70" s="1"/>
  <c r="BE172" i="70"/>
  <c r="BF172" i="70" s="1"/>
  <c r="BG172" i="70" s="1"/>
  <c r="BH172" i="70" s="1"/>
  <c r="BI172" i="70" s="1"/>
  <c r="BE173" i="70"/>
  <c r="BF173" i="70" s="1"/>
  <c r="BG173" i="70" s="1"/>
  <c r="BH173" i="70" s="1"/>
  <c r="BI173" i="70" s="1"/>
  <c r="BE174" i="70"/>
  <c r="BE175" i="70"/>
  <c r="BF175" i="70" s="1"/>
  <c r="BG175" i="70" s="1"/>
  <c r="BH175" i="70" s="1"/>
  <c r="BI175" i="70" s="1"/>
  <c r="BE176" i="70"/>
  <c r="BE177" i="70"/>
  <c r="BE178" i="70"/>
  <c r="BF178" i="70" s="1"/>
  <c r="BG178" i="70" s="1"/>
  <c r="BH178" i="70" s="1"/>
  <c r="BI178" i="70" s="1"/>
  <c r="BE179" i="70"/>
  <c r="BE180" i="70"/>
  <c r="BF180" i="70" s="1"/>
  <c r="BG180" i="70" s="1"/>
  <c r="BH180" i="70" s="1"/>
  <c r="BI180" i="70" s="1"/>
  <c r="BE181" i="70"/>
  <c r="BF181" i="70" s="1"/>
  <c r="BG181" i="70" s="1"/>
  <c r="BH181" i="70" s="1"/>
  <c r="BI181" i="70" s="1"/>
  <c r="BE182" i="70"/>
  <c r="BF182" i="70" s="1"/>
  <c r="BG182" i="70" s="1"/>
  <c r="BH182" i="70" s="1"/>
  <c r="BI182" i="70" s="1"/>
  <c r="BE183" i="70"/>
  <c r="BF183" i="70" s="1"/>
  <c r="BG183" i="70" s="1"/>
  <c r="BE184" i="70"/>
  <c r="BE185" i="70"/>
  <c r="BE186" i="70"/>
  <c r="BF186" i="70" s="1"/>
  <c r="BG186" i="70" s="1"/>
  <c r="BH186" i="70" s="1"/>
  <c r="BI186" i="70" s="1"/>
  <c r="BE187" i="70"/>
  <c r="BE188" i="70"/>
  <c r="BF188" i="70" s="1"/>
  <c r="BG188" i="70" s="1"/>
  <c r="BH188" i="70" s="1"/>
  <c r="BI188" i="70" s="1"/>
  <c r="BE189" i="70"/>
  <c r="BF189" i="70" s="1"/>
  <c r="BG189" i="70" s="1"/>
  <c r="BH189" i="70" s="1"/>
  <c r="BI189" i="70" s="1"/>
  <c r="BE190" i="70"/>
  <c r="BF190" i="70" s="1"/>
  <c r="BE191" i="70"/>
  <c r="BF191" i="70" s="1"/>
  <c r="BG191" i="70" s="1"/>
  <c r="BH191" i="70" s="1"/>
  <c r="BI191" i="70" s="1"/>
  <c r="BE192" i="70"/>
  <c r="BE193" i="70"/>
  <c r="BE194" i="70"/>
  <c r="BF194" i="70" s="1"/>
  <c r="BG194" i="70" s="1"/>
  <c r="BE195" i="70"/>
  <c r="BF195" i="70" s="1"/>
  <c r="BG195" i="70" s="1"/>
  <c r="BH195" i="70" s="1"/>
  <c r="BE196" i="70"/>
  <c r="BF196" i="70" s="1"/>
  <c r="BG196" i="70" s="1"/>
  <c r="BH196" i="70" s="1"/>
  <c r="BI196" i="70" s="1"/>
  <c r="BE197" i="70"/>
  <c r="BF197" i="70" s="1"/>
  <c r="BG197" i="70" s="1"/>
  <c r="BH197" i="70" s="1"/>
  <c r="BI197" i="70" s="1"/>
  <c r="BE198" i="70"/>
  <c r="BE199" i="70"/>
  <c r="BF199" i="70" s="1"/>
  <c r="BE200" i="70"/>
  <c r="BE201" i="70"/>
  <c r="BE202" i="70"/>
  <c r="BF202" i="70" s="1"/>
  <c r="BG202" i="70" s="1"/>
  <c r="BH202" i="70" s="1"/>
  <c r="BI202" i="70" s="1"/>
  <c r="BE203" i="70"/>
  <c r="BF203" i="70" s="1"/>
  <c r="BE204" i="70"/>
  <c r="BF204" i="70" s="1"/>
  <c r="BG204" i="70" s="1"/>
  <c r="BH204" i="70" s="1"/>
  <c r="BI204" i="70" s="1"/>
  <c r="BE205" i="70"/>
  <c r="BF205" i="70" s="1"/>
  <c r="BG205" i="70" s="1"/>
  <c r="BH205" i="70" s="1"/>
  <c r="BI205" i="70" s="1"/>
  <c r="BE206" i="70"/>
  <c r="BE207" i="70"/>
  <c r="BF207" i="70" s="1"/>
  <c r="BG207" i="70" s="1"/>
  <c r="BE208" i="70"/>
  <c r="BE209" i="70"/>
  <c r="BE210" i="70"/>
  <c r="BF210" i="70" s="1"/>
  <c r="BG210" i="70" s="1"/>
  <c r="BH210" i="70" s="1"/>
  <c r="BE211" i="70"/>
  <c r="BE212" i="70"/>
  <c r="BF212" i="70" s="1"/>
  <c r="BG212" i="70" s="1"/>
  <c r="BH212" i="70" s="1"/>
  <c r="BI212" i="70" s="1"/>
  <c r="BE213" i="70"/>
  <c r="BF213" i="70" s="1"/>
  <c r="BG213" i="70" s="1"/>
  <c r="BH213" i="70" s="1"/>
  <c r="BI213" i="70" s="1"/>
  <c r="BE214" i="70"/>
  <c r="BF214" i="70" s="1"/>
  <c r="BE215" i="70"/>
  <c r="BF215" i="70" s="1"/>
  <c r="BG215" i="70" s="1"/>
  <c r="BH215" i="70" s="1"/>
  <c r="BI215" i="70" s="1"/>
  <c r="BE216" i="70"/>
  <c r="BE217" i="70"/>
  <c r="BE218" i="70"/>
  <c r="BF218" i="70" s="1"/>
  <c r="BG218" i="70" s="1"/>
  <c r="BH218" i="70" s="1"/>
  <c r="BI218" i="70" s="1"/>
  <c r="BE219" i="70"/>
  <c r="BE220" i="70"/>
  <c r="BF220" i="70" s="1"/>
  <c r="BG220" i="70" s="1"/>
  <c r="BH220" i="70" s="1"/>
  <c r="BI220" i="70" s="1"/>
  <c r="BE221" i="70"/>
  <c r="BF221" i="70" s="1"/>
  <c r="BG221" i="70" s="1"/>
  <c r="BH221" i="70" s="1"/>
  <c r="BI221" i="70" s="1"/>
  <c r="BE222" i="70"/>
  <c r="BE223" i="70"/>
  <c r="BF223" i="70" s="1"/>
  <c r="BG223" i="70" s="1"/>
  <c r="BH223" i="70" s="1"/>
  <c r="BI223" i="70" s="1"/>
  <c r="BE224" i="70"/>
  <c r="BE225" i="70"/>
  <c r="BE226" i="70"/>
  <c r="BF226" i="70" s="1"/>
  <c r="BG226" i="70" s="1"/>
  <c r="BE227" i="70"/>
  <c r="BF227" i="70" s="1"/>
  <c r="BE228" i="70"/>
  <c r="BF228" i="70" s="1"/>
  <c r="BG228" i="70" s="1"/>
  <c r="BH228" i="70" s="1"/>
  <c r="BI228" i="70" s="1"/>
  <c r="BE229" i="70"/>
  <c r="BF229" i="70" s="1"/>
  <c r="BG229" i="70" s="1"/>
  <c r="BH229" i="70" s="1"/>
  <c r="BI229" i="70" s="1"/>
  <c r="BE230" i="70"/>
  <c r="BE231" i="70"/>
  <c r="BF231" i="70" s="1"/>
  <c r="BG231" i="70" s="1"/>
  <c r="BE232" i="70"/>
  <c r="BE233" i="70"/>
  <c r="BE234" i="70"/>
  <c r="BF234" i="70" s="1"/>
  <c r="BG234" i="70" s="1"/>
  <c r="BH234" i="70" s="1"/>
  <c r="BI234" i="70" s="1"/>
  <c r="BE235" i="70"/>
  <c r="BF235" i="70" s="1"/>
  <c r="BG235" i="70" s="1"/>
  <c r="BH235" i="70" s="1"/>
  <c r="BI235" i="70" s="1"/>
  <c r="BE236" i="70"/>
  <c r="BF236" i="70" s="1"/>
  <c r="BG236" i="70" s="1"/>
  <c r="BH236" i="70" s="1"/>
  <c r="BI236" i="70" s="1"/>
  <c r="BE237" i="70"/>
  <c r="BF237" i="70" s="1"/>
  <c r="BG237" i="70" s="1"/>
  <c r="BH237" i="70" s="1"/>
  <c r="BI237" i="70" s="1"/>
  <c r="BE238" i="70"/>
  <c r="BE239" i="70"/>
  <c r="BF239" i="70" s="1"/>
  <c r="BG239" i="70" s="1"/>
  <c r="BH239" i="70" s="1"/>
  <c r="BI239" i="70" s="1"/>
  <c r="BE240" i="70"/>
  <c r="BE241" i="70"/>
  <c r="BE242" i="70"/>
  <c r="BF242" i="70" s="1"/>
  <c r="BG242" i="70" s="1"/>
  <c r="BH242" i="70" s="1"/>
  <c r="BI242" i="70" s="1"/>
  <c r="BE243" i="70"/>
  <c r="BF243" i="70" s="1"/>
  <c r="BG243" i="70" s="1"/>
  <c r="BH243" i="70" s="1"/>
  <c r="BI243" i="70" s="1"/>
  <c r="BE244" i="70"/>
  <c r="BF244" i="70" s="1"/>
  <c r="BG244" i="70" s="1"/>
  <c r="BH244" i="70" s="1"/>
  <c r="BI244" i="70" s="1"/>
  <c r="BE245" i="70"/>
  <c r="BF245" i="70" s="1"/>
  <c r="BG245" i="70" s="1"/>
  <c r="BH245" i="70" s="1"/>
  <c r="BI245" i="70" s="1"/>
  <c r="BE246" i="70"/>
  <c r="BF246" i="70" s="1"/>
  <c r="BE247" i="70"/>
  <c r="BF247" i="70" s="1"/>
  <c r="BG247" i="70" s="1"/>
  <c r="BH247" i="70" s="1"/>
  <c r="BI247" i="70" s="1"/>
  <c r="BE248" i="70"/>
  <c r="BE249" i="70"/>
  <c r="BE250" i="70"/>
  <c r="BF250" i="70" s="1"/>
  <c r="BG250" i="70" s="1"/>
  <c r="BH250" i="70" s="1"/>
  <c r="BI250" i="70" s="1"/>
  <c r="BE251" i="70"/>
  <c r="BE252" i="70"/>
  <c r="BF252" i="70" s="1"/>
  <c r="BG252" i="70" s="1"/>
  <c r="BH252" i="70" s="1"/>
  <c r="BI252" i="70" s="1"/>
  <c r="BE253" i="70"/>
  <c r="BF253" i="70" s="1"/>
  <c r="BG253" i="70" s="1"/>
  <c r="BH253" i="70" s="1"/>
  <c r="BI253" i="70" s="1"/>
  <c r="BE254" i="70"/>
  <c r="BF254" i="70" s="1"/>
  <c r="BE255" i="70"/>
  <c r="BF255" i="70" s="1"/>
  <c r="BE256" i="70"/>
  <c r="BE257" i="70"/>
  <c r="BE258" i="70"/>
  <c r="BF258" i="70" s="1"/>
  <c r="BG258" i="70" s="1"/>
  <c r="BH258" i="70" s="1"/>
  <c r="BI258" i="70" s="1"/>
  <c r="BE259" i="70"/>
  <c r="BF259" i="70" s="1"/>
  <c r="BE260" i="70"/>
  <c r="BF260" i="70" s="1"/>
  <c r="BG260" i="70" s="1"/>
  <c r="BH260" i="70" s="1"/>
  <c r="BI260" i="70" s="1"/>
  <c r="BE261" i="70"/>
  <c r="BF261" i="70" s="1"/>
  <c r="BG261" i="70" s="1"/>
  <c r="BH261" i="70" s="1"/>
  <c r="BI261" i="70" s="1"/>
  <c r="BE262" i="70"/>
  <c r="BE263" i="70"/>
  <c r="BF263" i="70" s="1"/>
  <c r="BE264" i="70"/>
  <c r="BE265" i="70"/>
  <c r="BE266" i="70"/>
  <c r="BF266" i="70" s="1"/>
  <c r="BG266" i="70" s="1"/>
  <c r="BH266" i="70" s="1"/>
  <c r="BI266" i="70" s="1"/>
  <c r="BE267" i="70"/>
  <c r="BF267" i="70" s="1"/>
  <c r="BE268" i="70"/>
  <c r="BE269" i="70"/>
  <c r="BF269" i="70" s="1"/>
  <c r="BG269" i="70" s="1"/>
  <c r="BH269" i="70" s="1"/>
  <c r="BI269" i="70" s="1"/>
  <c r="BE270" i="70"/>
  <c r="BE271" i="70"/>
  <c r="BF271" i="70" s="1"/>
  <c r="BG271" i="70" s="1"/>
  <c r="BE272" i="70"/>
  <c r="BE273" i="70"/>
  <c r="BE274" i="70"/>
  <c r="BF274" i="70" s="1"/>
  <c r="BG274" i="70" s="1"/>
  <c r="BH274" i="70" s="1"/>
  <c r="BI274" i="70" s="1"/>
  <c r="BE275" i="70"/>
  <c r="BF275" i="70" s="1"/>
  <c r="BG275" i="70" s="1"/>
  <c r="BH275" i="70" s="1"/>
  <c r="BI275" i="70" s="1"/>
  <c r="BE276" i="70"/>
  <c r="BF276" i="70" s="1"/>
  <c r="BG276" i="70" s="1"/>
  <c r="BH276" i="70" s="1"/>
  <c r="BI276" i="70" s="1"/>
  <c r="BE277" i="70"/>
  <c r="BF277" i="70" s="1"/>
  <c r="BG277" i="70" s="1"/>
  <c r="BH277" i="70" s="1"/>
  <c r="BI277" i="70" s="1"/>
  <c r="BE278" i="70"/>
  <c r="BF278" i="70" s="1"/>
  <c r="BE279" i="70"/>
  <c r="BF279" i="70" s="1"/>
  <c r="BE280" i="70"/>
  <c r="BE281" i="70"/>
  <c r="BE282" i="70"/>
  <c r="BF282" i="70" s="1"/>
  <c r="BG282" i="70" s="1"/>
  <c r="BE283" i="70"/>
  <c r="BE284" i="70"/>
  <c r="BF284" i="70" s="1"/>
  <c r="BG284" i="70" s="1"/>
  <c r="BH284" i="70" s="1"/>
  <c r="BI284" i="70" s="1"/>
  <c r="BE285" i="70"/>
  <c r="BF285" i="70" s="1"/>
  <c r="BG285" i="70" s="1"/>
  <c r="BH285" i="70" s="1"/>
  <c r="BI285" i="70" s="1"/>
  <c r="BE286" i="70"/>
  <c r="BE287" i="70"/>
  <c r="BF287" i="70" s="1"/>
  <c r="BG287" i="70" s="1"/>
  <c r="BE288" i="70"/>
  <c r="BE289" i="70"/>
  <c r="BE290" i="70"/>
  <c r="BF290" i="70" s="1"/>
  <c r="BG290" i="70" s="1"/>
  <c r="BH290" i="70" s="1"/>
  <c r="BI290" i="70" s="1"/>
  <c r="BE291" i="70"/>
  <c r="BF291" i="70" s="1"/>
  <c r="BE292" i="70"/>
  <c r="BF292" i="70" s="1"/>
  <c r="BG292" i="70" s="1"/>
  <c r="BH292" i="70" s="1"/>
  <c r="BI292" i="70" s="1"/>
  <c r="BE293" i="70"/>
  <c r="BF293" i="70" s="1"/>
  <c r="BG293" i="70" s="1"/>
  <c r="BH293" i="70" s="1"/>
  <c r="BI293" i="70" s="1"/>
  <c r="BE294" i="70"/>
  <c r="BE295" i="70"/>
  <c r="BF295" i="70" s="1"/>
  <c r="BG295" i="70" s="1"/>
  <c r="BH295" i="70" s="1"/>
  <c r="BI295" i="70" s="1"/>
  <c r="BE296" i="70"/>
  <c r="BE297" i="70"/>
  <c r="BE298" i="70"/>
  <c r="BF298" i="70" s="1"/>
  <c r="BG298" i="70" s="1"/>
  <c r="BH298" i="70" s="1"/>
  <c r="BI298" i="70" s="1"/>
  <c r="BE299" i="70"/>
  <c r="BE300" i="70"/>
  <c r="BF300" i="70" s="1"/>
  <c r="BG300" i="70" s="1"/>
  <c r="BH300" i="70" s="1"/>
  <c r="BI300" i="70" s="1"/>
  <c r="BE301" i="70"/>
  <c r="BF301" i="70" s="1"/>
  <c r="BG301" i="70" s="1"/>
  <c r="BH301" i="70" s="1"/>
  <c r="BI301" i="70" s="1"/>
  <c r="BE302" i="70"/>
  <c r="BE303" i="70"/>
  <c r="BF303" i="70" s="1"/>
  <c r="BG303" i="70" s="1"/>
  <c r="BH303" i="70" s="1"/>
  <c r="BI303" i="70" s="1"/>
  <c r="BE304" i="70"/>
  <c r="BE305" i="70"/>
  <c r="BE306" i="70"/>
  <c r="BF306" i="70" s="1"/>
  <c r="BG306" i="70" s="1"/>
  <c r="BH306" i="70" s="1"/>
  <c r="BI306" i="70" s="1"/>
  <c r="BE307" i="70"/>
  <c r="BE308" i="70"/>
  <c r="BF308" i="70" s="1"/>
  <c r="BG308" i="70" s="1"/>
  <c r="BH308" i="70" s="1"/>
  <c r="BI308" i="70" s="1"/>
  <c r="BE309" i="70"/>
  <c r="BF309" i="70" s="1"/>
  <c r="BG309" i="70" s="1"/>
  <c r="BH309" i="70" s="1"/>
  <c r="BI309" i="70" s="1"/>
  <c r="BE310" i="70"/>
  <c r="BF310" i="70" s="1"/>
  <c r="BE311" i="70"/>
  <c r="BF311" i="70" s="1"/>
  <c r="BG311" i="70" s="1"/>
  <c r="BH311" i="70" s="1"/>
  <c r="BI311" i="70" s="1"/>
  <c r="BE312" i="70"/>
  <c r="BE313" i="70"/>
  <c r="BE314" i="70"/>
  <c r="BF314" i="70" s="1"/>
  <c r="BG314" i="70" s="1"/>
  <c r="BH314" i="70" s="1"/>
  <c r="BI314" i="70" s="1"/>
  <c r="BE315" i="70"/>
  <c r="BE316" i="70"/>
  <c r="BF316" i="70" s="1"/>
  <c r="BG316" i="70" s="1"/>
  <c r="BH316" i="70" s="1"/>
  <c r="BI316" i="70" s="1"/>
  <c r="BE317" i="70"/>
  <c r="BF317" i="70" s="1"/>
  <c r="BG317" i="70" s="1"/>
  <c r="BH317" i="70" s="1"/>
  <c r="BI317" i="70" s="1"/>
  <c r="BE318" i="70"/>
  <c r="BF318" i="70" s="1"/>
  <c r="BE319" i="70"/>
  <c r="BF319" i="70" s="1"/>
  <c r="BG319" i="70" s="1"/>
  <c r="BH319" i="70" s="1"/>
  <c r="BI319" i="70" s="1"/>
  <c r="BE320" i="70"/>
  <c r="BE321" i="70"/>
  <c r="BE322" i="70"/>
  <c r="BF322" i="70" s="1"/>
  <c r="BG322" i="70" s="1"/>
  <c r="BH322" i="70" s="1"/>
  <c r="BI322" i="70" s="1"/>
  <c r="BE323" i="70"/>
  <c r="BF323" i="70" s="1"/>
  <c r="BG323" i="70" s="1"/>
  <c r="BH323" i="70" s="1"/>
  <c r="BI323" i="70" s="1"/>
  <c r="BE324" i="70"/>
  <c r="BF324" i="70" s="1"/>
  <c r="BG324" i="70" s="1"/>
  <c r="BH324" i="70" s="1"/>
  <c r="BI324" i="70" s="1"/>
  <c r="BE325" i="70"/>
  <c r="BF325" i="70" s="1"/>
  <c r="BG325" i="70" s="1"/>
  <c r="BH325" i="70" s="1"/>
  <c r="BI325" i="70" s="1"/>
  <c r="BE326" i="70"/>
  <c r="BE327" i="70"/>
  <c r="BF327" i="70" s="1"/>
  <c r="BG327" i="70" s="1"/>
  <c r="BH327" i="70" s="1"/>
  <c r="BI327" i="70" s="1"/>
  <c r="BE328" i="70"/>
  <c r="BE329" i="70"/>
  <c r="BE330" i="70"/>
  <c r="BF330" i="70" s="1"/>
  <c r="BG330" i="70" s="1"/>
  <c r="BH330" i="70" s="1"/>
  <c r="BI330" i="70" s="1"/>
  <c r="BE331" i="70"/>
  <c r="BF331" i="70" s="1"/>
  <c r="BG331" i="70" s="1"/>
  <c r="BH331" i="70" s="1"/>
  <c r="BI331" i="70" s="1"/>
  <c r="BE332" i="70"/>
  <c r="BF332" i="70" s="1"/>
  <c r="BG332" i="70" s="1"/>
  <c r="BH332" i="70" s="1"/>
  <c r="BI332" i="70" s="1"/>
  <c r="BE333" i="70"/>
  <c r="BF333" i="70" s="1"/>
  <c r="BG333" i="70" s="1"/>
  <c r="BH333" i="70" s="1"/>
  <c r="BI333" i="70" s="1"/>
  <c r="BE334" i="70"/>
  <c r="BF334" i="70" s="1"/>
  <c r="BE335" i="70"/>
  <c r="BF335" i="70" s="1"/>
  <c r="BG335" i="70" s="1"/>
  <c r="BH335" i="70" s="1"/>
  <c r="BI335" i="70" s="1"/>
  <c r="BE336" i="70"/>
  <c r="BE337" i="70"/>
  <c r="BE338" i="70"/>
  <c r="BF338" i="70" s="1"/>
  <c r="BG338" i="70" s="1"/>
  <c r="BH338" i="70" s="1"/>
  <c r="BI338" i="70" s="1"/>
  <c r="BE339" i="70"/>
  <c r="BF339" i="70" s="1"/>
  <c r="BG339" i="70" s="1"/>
  <c r="BH339" i="70" s="1"/>
  <c r="BI339" i="70" s="1"/>
  <c r="BE340" i="70"/>
  <c r="BF340" i="70" s="1"/>
  <c r="BG340" i="70" s="1"/>
  <c r="BH340" i="70" s="1"/>
  <c r="BI340" i="70" s="1"/>
  <c r="BE341" i="70"/>
  <c r="BF341" i="70" s="1"/>
  <c r="BG341" i="70" s="1"/>
  <c r="BH341" i="70" s="1"/>
  <c r="BI341" i="70" s="1"/>
  <c r="BE342" i="70"/>
  <c r="BF342" i="70" s="1"/>
  <c r="BE343" i="70"/>
  <c r="BF343" i="70" s="1"/>
  <c r="BG343" i="70" s="1"/>
  <c r="BH343" i="70" s="1"/>
  <c r="BI343" i="70" s="1"/>
  <c r="BE344" i="70"/>
  <c r="BE345" i="70"/>
  <c r="BE346" i="70"/>
  <c r="BF346" i="70" s="1"/>
  <c r="BG346" i="70" s="1"/>
  <c r="BE347" i="70"/>
  <c r="BF347" i="70" s="1"/>
  <c r="BE348" i="70"/>
  <c r="BF348" i="70" s="1"/>
  <c r="BG348" i="70" s="1"/>
  <c r="BH348" i="70" s="1"/>
  <c r="BI348" i="70" s="1"/>
  <c r="BE349" i="70"/>
  <c r="BF349" i="70" s="1"/>
  <c r="BG349" i="70" s="1"/>
  <c r="BH349" i="70" s="1"/>
  <c r="BI349" i="70" s="1"/>
  <c r="BE350" i="70"/>
  <c r="BE351" i="70"/>
  <c r="BF351" i="70" s="1"/>
  <c r="BG351" i="70" s="1"/>
  <c r="BE352" i="70"/>
  <c r="BE353" i="70"/>
  <c r="BE354" i="70"/>
  <c r="BF354" i="70" s="1"/>
  <c r="BG354" i="70" s="1"/>
  <c r="BH354" i="70" s="1"/>
  <c r="BI354" i="70" s="1"/>
  <c r="BE355" i="70"/>
  <c r="BE356" i="70"/>
  <c r="BF356" i="70" s="1"/>
  <c r="BG356" i="70" s="1"/>
  <c r="BH356" i="70" s="1"/>
  <c r="BI356" i="70" s="1"/>
  <c r="BE357" i="70"/>
  <c r="BF357" i="70" s="1"/>
  <c r="BG357" i="70" s="1"/>
  <c r="BH357" i="70" s="1"/>
  <c r="BI357" i="70" s="1"/>
  <c r="BE358" i="70"/>
  <c r="BE359" i="70"/>
  <c r="BF359" i="70" s="1"/>
  <c r="BG359" i="70" s="1"/>
  <c r="BH359" i="70" s="1"/>
  <c r="BI359" i="70" s="1"/>
  <c r="BE360" i="70"/>
  <c r="BE361" i="70"/>
  <c r="BE362" i="70"/>
  <c r="BF362" i="70" s="1"/>
  <c r="BG362" i="70" s="1"/>
  <c r="BE363" i="70"/>
  <c r="BF363" i="70" s="1"/>
  <c r="BE364" i="70"/>
  <c r="BF364" i="70" s="1"/>
  <c r="BG364" i="70" s="1"/>
  <c r="BH364" i="70" s="1"/>
  <c r="BI364" i="70" s="1"/>
  <c r="BE365" i="70"/>
  <c r="BF365" i="70" s="1"/>
  <c r="BG365" i="70" s="1"/>
  <c r="BH365" i="70" s="1"/>
  <c r="BI365" i="70" s="1"/>
  <c r="BE366" i="70"/>
  <c r="BF366" i="70" s="1"/>
  <c r="BE367" i="70"/>
  <c r="BF367" i="70" s="1"/>
  <c r="BG367" i="70" s="1"/>
  <c r="BH367" i="70" s="1"/>
  <c r="BI367" i="70" s="1"/>
  <c r="BE368" i="70"/>
  <c r="BE369" i="70"/>
  <c r="BE370" i="70"/>
  <c r="BF370" i="70" s="1"/>
  <c r="BG370" i="70" s="1"/>
  <c r="BH370" i="70" s="1"/>
  <c r="BI370" i="70" s="1"/>
  <c r="BE371" i="70"/>
  <c r="BF371" i="70" s="1"/>
  <c r="BG371" i="70" s="1"/>
  <c r="BH371" i="70" s="1"/>
  <c r="BI371" i="70" s="1"/>
  <c r="BE372" i="70"/>
  <c r="BF372" i="70" s="1"/>
  <c r="BG372" i="70" s="1"/>
  <c r="BH372" i="70" s="1"/>
  <c r="BI372" i="70" s="1"/>
  <c r="BE373" i="70"/>
  <c r="BF373" i="70" s="1"/>
  <c r="BG373" i="70" s="1"/>
  <c r="BH373" i="70" s="1"/>
  <c r="BI373" i="70" s="1"/>
  <c r="BE374" i="70"/>
  <c r="BE375" i="70"/>
  <c r="BF375" i="70" s="1"/>
  <c r="BG375" i="70" s="1"/>
  <c r="BH375" i="70" s="1"/>
  <c r="BI375" i="70" s="1"/>
  <c r="BE376" i="70"/>
  <c r="BE377" i="70"/>
  <c r="BE378" i="70"/>
  <c r="BF378" i="70" s="1"/>
  <c r="BG378" i="70" s="1"/>
  <c r="BH378" i="70" s="1"/>
  <c r="BI378" i="70" s="1"/>
  <c r="BE379" i="70"/>
  <c r="BF379" i="70" s="1"/>
  <c r="BG379" i="70" s="1"/>
  <c r="BH379" i="70" s="1"/>
  <c r="BI379" i="70" s="1"/>
  <c r="BE380" i="70"/>
  <c r="BF380" i="70" s="1"/>
  <c r="BG380" i="70" s="1"/>
  <c r="BH380" i="70" s="1"/>
  <c r="BI380" i="70" s="1"/>
  <c r="BE381" i="70"/>
  <c r="BF381" i="70" s="1"/>
  <c r="BG381" i="70" s="1"/>
  <c r="BH381" i="70" s="1"/>
  <c r="BI381" i="70" s="1"/>
  <c r="BE382" i="70"/>
  <c r="BF382" i="70" s="1"/>
  <c r="BE383" i="70"/>
  <c r="BF383" i="70" s="1"/>
  <c r="BG383" i="70" s="1"/>
  <c r="BH383" i="70" s="1"/>
  <c r="BI383" i="70" s="1"/>
  <c r="BE384" i="70"/>
  <c r="BE385" i="70"/>
  <c r="BE386" i="70"/>
  <c r="BF386" i="70" s="1"/>
  <c r="BG386" i="70" s="1"/>
  <c r="BH386" i="70" s="1"/>
  <c r="BI386" i="70" s="1"/>
  <c r="BE387" i="70"/>
  <c r="BF387" i="70" s="1"/>
  <c r="BG387" i="70" s="1"/>
  <c r="BH387" i="70" s="1"/>
  <c r="BI387" i="70" s="1"/>
  <c r="BE388" i="70"/>
  <c r="BF388" i="70" s="1"/>
  <c r="BG388" i="70" s="1"/>
  <c r="BH388" i="70" s="1"/>
  <c r="BI388" i="70" s="1"/>
  <c r="BE389" i="70"/>
  <c r="BF389" i="70" s="1"/>
  <c r="BG389" i="70" s="1"/>
  <c r="BH389" i="70" s="1"/>
  <c r="BI389" i="70" s="1"/>
  <c r="BE390" i="70"/>
  <c r="BE391" i="70"/>
  <c r="BF391" i="70" s="1"/>
  <c r="BG391" i="70" s="1"/>
  <c r="BH391" i="70" s="1"/>
  <c r="BI391" i="70" s="1"/>
  <c r="BE392" i="70"/>
  <c r="BE393" i="70"/>
  <c r="BE394" i="70"/>
  <c r="BF394" i="70" s="1"/>
  <c r="BG394" i="70" s="1"/>
  <c r="BH394" i="70" s="1"/>
  <c r="BI394" i="70" s="1"/>
  <c r="BE395" i="70"/>
  <c r="BF395" i="70" s="1"/>
  <c r="BG395" i="70" s="1"/>
  <c r="BH395" i="70" s="1"/>
  <c r="BI395" i="70" s="1"/>
  <c r="BE396" i="70"/>
  <c r="BF396" i="70" s="1"/>
  <c r="BG396" i="70" s="1"/>
  <c r="BH396" i="70" s="1"/>
  <c r="BI396" i="70" s="1"/>
  <c r="BE397" i="70"/>
  <c r="BF397" i="70" s="1"/>
  <c r="BG397" i="70" s="1"/>
  <c r="BH397" i="70" s="1"/>
  <c r="BI397" i="70" s="1"/>
  <c r="BE398" i="70"/>
  <c r="BE399" i="70"/>
  <c r="BF399" i="70" s="1"/>
  <c r="BG399" i="70" s="1"/>
  <c r="BH399" i="70" s="1"/>
  <c r="BI399" i="70" s="1"/>
  <c r="BE400" i="70"/>
  <c r="BE401" i="70"/>
  <c r="BE402" i="70"/>
  <c r="BF402" i="70" s="1"/>
  <c r="BG402" i="70" s="1"/>
  <c r="BH402" i="70" s="1"/>
  <c r="BI402" i="70" s="1"/>
  <c r="BE403" i="70"/>
  <c r="BF403" i="70" s="1"/>
  <c r="BG403" i="70" s="1"/>
  <c r="BH403" i="70" s="1"/>
  <c r="BI403" i="70" s="1"/>
  <c r="BE404" i="70"/>
  <c r="BF404" i="70" s="1"/>
  <c r="BG404" i="70" s="1"/>
  <c r="BH404" i="70" s="1"/>
  <c r="BI404" i="70" s="1"/>
  <c r="BE405" i="70"/>
  <c r="BF405" i="70" s="1"/>
  <c r="BG405" i="70" s="1"/>
  <c r="BH405" i="70" s="1"/>
  <c r="BI405" i="70" s="1"/>
  <c r="BE406" i="70"/>
  <c r="BE407" i="70"/>
  <c r="BF407" i="70" s="1"/>
  <c r="BG407" i="70" s="1"/>
  <c r="BH407" i="70" s="1"/>
  <c r="BI407" i="70" s="1"/>
  <c r="BE408" i="70"/>
  <c r="BE409" i="70"/>
  <c r="BE410" i="70"/>
  <c r="BF410" i="70" s="1"/>
  <c r="BG410" i="70" s="1"/>
  <c r="BH410" i="70" s="1"/>
  <c r="BI410" i="70" s="1"/>
  <c r="BE411" i="70"/>
  <c r="BF411" i="70" s="1"/>
  <c r="BG411" i="70" s="1"/>
  <c r="BH411" i="70" s="1"/>
  <c r="BE412" i="70"/>
  <c r="BF412" i="70" s="1"/>
  <c r="BG412" i="70" s="1"/>
  <c r="BH412" i="70" s="1"/>
  <c r="BI412" i="70" s="1"/>
  <c r="BE413" i="70"/>
  <c r="BF413" i="70" s="1"/>
  <c r="BG413" i="70" s="1"/>
  <c r="BH413" i="70" s="1"/>
  <c r="BI413" i="70" s="1"/>
  <c r="BE414" i="70"/>
  <c r="BE415" i="70"/>
  <c r="BF415" i="70" s="1"/>
  <c r="BG415" i="70" s="1"/>
  <c r="BH415" i="70" s="1"/>
  <c r="BI415" i="70" s="1"/>
  <c r="BE416" i="70"/>
  <c r="BE417" i="70"/>
  <c r="BE418" i="70"/>
  <c r="BF418" i="70" s="1"/>
  <c r="BG418" i="70" s="1"/>
  <c r="BH418" i="70" s="1"/>
  <c r="BI418" i="70" s="1"/>
  <c r="BE419" i="70"/>
  <c r="BF419" i="70" s="1"/>
  <c r="BG419" i="70" s="1"/>
  <c r="BH419" i="70" s="1"/>
  <c r="BI419" i="70" s="1"/>
  <c r="BE420" i="70"/>
  <c r="BF420" i="70" s="1"/>
  <c r="BG420" i="70" s="1"/>
  <c r="BH420" i="70" s="1"/>
  <c r="BI420" i="70" s="1"/>
  <c r="BE421" i="70"/>
  <c r="BF421" i="70" s="1"/>
  <c r="BG421" i="70" s="1"/>
  <c r="BH421" i="70" s="1"/>
  <c r="BI421" i="70" s="1"/>
  <c r="BE422" i="70"/>
  <c r="BE423" i="70"/>
  <c r="BF423" i="70" s="1"/>
  <c r="BG423" i="70" s="1"/>
  <c r="BH423" i="70" s="1"/>
  <c r="BI423" i="70" s="1"/>
  <c r="BE424" i="70"/>
  <c r="BE425" i="70"/>
  <c r="BE426" i="70"/>
  <c r="BF426" i="70" s="1"/>
  <c r="BG426" i="70" s="1"/>
  <c r="BH426" i="70" s="1"/>
  <c r="BI426" i="70" s="1"/>
  <c r="BE427" i="70"/>
  <c r="BF427" i="70" s="1"/>
  <c r="BG427" i="70" s="1"/>
  <c r="BH427" i="70" s="1"/>
  <c r="BI427" i="70" s="1"/>
  <c r="BE428" i="70"/>
  <c r="BF428" i="70" s="1"/>
  <c r="BG428" i="70" s="1"/>
  <c r="BH428" i="70" s="1"/>
  <c r="BI428" i="70" s="1"/>
  <c r="BE429" i="70"/>
  <c r="BF429" i="70" s="1"/>
  <c r="BG429" i="70" s="1"/>
  <c r="BH429" i="70" s="1"/>
  <c r="BI429" i="70" s="1"/>
  <c r="BE430" i="70"/>
  <c r="BF430" i="70" s="1"/>
  <c r="BG430" i="70" s="1"/>
  <c r="BE431" i="70"/>
  <c r="BF431" i="70" s="1"/>
  <c r="BG431" i="70" s="1"/>
  <c r="BH431" i="70" s="1"/>
  <c r="BI431" i="70" s="1"/>
  <c r="BE432" i="70"/>
  <c r="BE433" i="70"/>
  <c r="BE434" i="70"/>
  <c r="BF434" i="70" s="1"/>
  <c r="BG434" i="70" s="1"/>
  <c r="BH434" i="70" s="1"/>
  <c r="BI434" i="70" s="1"/>
  <c r="BE435" i="70"/>
  <c r="BF435" i="70" s="1"/>
  <c r="BG435" i="70" s="1"/>
  <c r="BH435" i="70" s="1"/>
  <c r="BI435" i="70" s="1"/>
  <c r="BE436" i="70"/>
  <c r="BF436" i="70" s="1"/>
  <c r="BG436" i="70" s="1"/>
  <c r="BH436" i="70" s="1"/>
  <c r="BI436" i="70" s="1"/>
  <c r="BE437" i="70"/>
  <c r="BF437" i="70" s="1"/>
  <c r="BG437" i="70" s="1"/>
  <c r="BH437" i="70" s="1"/>
  <c r="BI437" i="70" s="1"/>
  <c r="BE438" i="70"/>
  <c r="BE439" i="70"/>
  <c r="BF439" i="70" s="1"/>
  <c r="BG439" i="70" s="1"/>
  <c r="BH439" i="70" s="1"/>
  <c r="BI439" i="70" s="1"/>
  <c r="BE440" i="70"/>
  <c r="BE441" i="70"/>
  <c r="BE442" i="70"/>
  <c r="BF442" i="70" s="1"/>
  <c r="BG442" i="70" s="1"/>
  <c r="BH442" i="70" s="1"/>
  <c r="BI442" i="70" s="1"/>
  <c r="BE443" i="70"/>
  <c r="BF443" i="70" s="1"/>
  <c r="BG443" i="70" s="1"/>
  <c r="BH443" i="70" s="1"/>
  <c r="BI443" i="70" s="1"/>
  <c r="BE444" i="70"/>
  <c r="BF444" i="70" s="1"/>
  <c r="BG444" i="70" s="1"/>
  <c r="BH444" i="70" s="1"/>
  <c r="BI444" i="70" s="1"/>
  <c r="BE445" i="70"/>
  <c r="BF445" i="70" s="1"/>
  <c r="BG445" i="70" s="1"/>
  <c r="BH445" i="70" s="1"/>
  <c r="BI445" i="70" s="1"/>
  <c r="BE446" i="70"/>
  <c r="BE447" i="70"/>
  <c r="BF447" i="70" s="1"/>
  <c r="BG447" i="70" s="1"/>
  <c r="BH447" i="70" s="1"/>
  <c r="BI447" i="70" s="1"/>
  <c r="BE448" i="70"/>
  <c r="BE449" i="70"/>
  <c r="BE450" i="70"/>
  <c r="BF450" i="70" s="1"/>
  <c r="BG450" i="70" s="1"/>
  <c r="BH450" i="70" s="1"/>
  <c r="BI450" i="70" s="1"/>
  <c r="BE451" i="70"/>
  <c r="BF451" i="70" s="1"/>
  <c r="BG451" i="70" s="1"/>
  <c r="BH451" i="70" s="1"/>
  <c r="BI451" i="70" s="1"/>
  <c r="BE452" i="70"/>
  <c r="BE453" i="70"/>
  <c r="BF453" i="70" s="1"/>
  <c r="BG453" i="70" s="1"/>
  <c r="BH453" i="70" s="1"/>
  <c r="BI453" i="70" s="1"/>
  <c r="BE454" i="70"/>
  <c r="BE455" i="70"/>
  <c r="BF455" i="70" s="1"/>
  <c r="BG455" i="70" s="1"/>
  <c r="BH455" i="70" s="1"/>
  <c r="BE456" i="70"/>
  <c r="BE457" i="70"/>
  <c r="BE458" i="70"/>
  <c r="BF458" i="70" s="1"/>
  <c r="BG458" i="70" s="1"/>
  <c r="BH458" i="70" s="1"/>
  <c r="BI458" i="70" s="1"/>
  <c r="BE459" i="70"/>
  <c r="BF459" i="70" s="1"/>
  <c r="BG459" i="70" s="1"/>
  <c r="BH459" i="70" s="1"/>
  <c r="BI459" i="70" s="1"/>
  <c r="BE460" i="70"/>
  <c r="BF460" i="70" s="1"/>
  <c r="BG460" i="70" s="1"/>
  <c r="BH460" i="70" s="1"/>
  <c r="BI460" i="70" s="1"/>
  <c r="BE461" i="70"/>
  <c r="BF461" i="70" s="1"/>
  <c r="BG461" i="70" s="1"/>
  <c r="BH461" i="70" s="1"/>
  <c r="BI461" i="70" s="1"/>
  <c r="BE462" i="70"/>
  <c r="BE463" i="70"/>
  <c r="BF463" i="70" s="1"/>
  <c r="BG463" i="70" s="1"/>
  <c r="BH463" i="70" s="1"/>
  <c r="BI463" i="70" s="1"/>
  <c r="BE464" i="70"/>
  <c r="BE465" i="70"/>
  <c r="BE466" i="70"/>
  <c r="BF466" i="70" s="1"/>
  <c r="BG466" i="70" s="1"/>
  <c r="BH466" i="70" s="1"/>
  <c r="BI466" i="70" s="1"/>
  <c r="BE467" i="70"/>
  <c r="BF467" i="70" s="1"/>
  <c r="BG467" i="70" s="1"/>
  <c r="BH467" i="70" s="1"/>
  <c r="BI467" i="70" s="1"/>
  <c r="BE468" i="70"/>
  <c r="BF468" i="70" s="1"/>
  <c r="BG468" i="70" s="1"/>
  <c r="BH468" i="70" s="1"/>
  <c r="BI468" i="70" s="1"/>
  <c r="BE469" i="70"/>
  <c r="BF469" i="70" s="1"/>
  <c r="BG469" i="70" s="1"/>
  <c r="BH469" i="70" s="1"/>
  <c r="BI469" i="70" s="1"/>
  <c r="BE470" i="70"/>
  <c r="BF470" i="70" s="1"/>
  <c r="BE471" i="70"/>
  <c r="BF471" i="70" s="1"/>
  <c r="BG471" i="70" s="1"/>
  <c r="BH471" i="70" s="1"/>
  <c r="BI471" i="70" s="1"/>
  <c r="BE472" i="70"/>
  <c r="BE473" i="70"/>
  <c r="BE474" i="70"/>
  <c r="BF474" i="70" s="1"/>
  <c r="BG474" i="70" s="1"/>
  <c r="BH474" i="70" s="1"/>
  <c r="BI474" i="70" s="1"/>
  <c r="BE475" i="70"/>
  <c r="BF475" i="70" s="1"/>
  <c r="BG475" i="70" s="1"/>
  <c r="BH475" i="70" s="1"/>
  <c r="BI475" i="70" s="1"/>
  <c r="BE476" i="70"/>
  <c r="BF476" i="70" s="1"/>
  <c r="BG476" i="70" s="1"/>
  <c r="BH476" i="70" s="1"/>
  <c r="BI476" i="70" s="1"/>
  <c r="BE477" i="70"/>
  <c r="BF477" i="70" s="1"/>
  <c r="BG477" i="70" s="1"/>
  <c r="BH477" i="70" s="1"/>
  <c r="BI477" i="70" s="1"/>
  <c r="BE478" i="70"/>
  <c r="BE479" i="70"/>
  <c r="BF479" i="70" s="1"/>
  <c r="BG479" i="70" s="1"/>
  <c r="BH479" i="70" s="1"/>
  <c r="BI479" i="70" s="1"/>
  <c r="BE480" i="70"/>
  <c r="BE481" i="70"/>
  <c r="BE482" i="70"/>
  <c r="BF482" i="70" s="1"/>
  <c r="BG482" i="70" s="1"/>
  <c r="BH482" i="70" s="1"/>
  <c r="BI482" i="70" s="1"/>
  <c r="BE483" i="70"/>
  <c r="BF483" i="70" s="1"/>
  <c r="BG483" i="70" s="1"/>
  <c r="BH483" i="70" s="1"/>
  <c r="BI483" i="70" s="1"/>
  <c r="BE484" i="70"/>
  <c r="BF484" i="70" s="1"/>
  <c r="BG484" i="70" s="1"/>
  <c r="BH484" i="70" s="1"/>
  <c r="BI484" i="70" s="1"/>
  <c r="BE485" i="70"/>
  <c r="BF485" i="70" s="1"/>
  <c r="BG485" i="70" s="1"/>
  <c r="BH485" i="70" s="1"/>
  <c r="BI485" i="70" s="1"/>
  <c r="BE486" i="70"/>
  <c r="BE487" i="70"/>
  <c r="BF487" i="70" s="1"/>
  <c r="BG487" i="70" s="1"/>
  <c r="BH487" i="70" s="1"/>
  <c r="BI487" i="70" s="1"/>
  <c r="BE488" i="70"/>
  <c r="BE489" i="70"/>
  <c r="BE490" i="70"/>
  <c r="BF490" i="70" s="1"/>
  <c r="BG490" i="70" s="1"/>
  <c r="BH490" i="70" s="1"/>
  <c r="BI490" i="70" s="1"/>
  <c r="BE491" i="70"/>
  <c r="BF491" i="70" s="1"/>
  <c r="BE492" i="70"/>
  <c r="BF492" i="70" s="1"/>
  <c r="BG492" i="70" s="1"/>
  <c r="BH492" i="70" s="1"/>
  <c r="BI492" i="70" s="1"/>
  <c r="BE493" i="70"/>
  <c r="BF493" i="70" s="1"/>
  <c r="BG493" i="70" s="1"/>
  <c r="BH493" i="70" s="1"/>
  <c r="BI493" i="70" s="1"/>
  <c r="BE494" i="70"/>
  <c r="BF494" i="70" s="1"/>
  <c r="BE495" i="70"/>
  <c r="BF495" i="70" s="1"/>
  <c r="BG495" i="70" s="1"/>
  <c r="BH495" i="70" s="1"/>
  <c r="BI495" i="70" s="1"/>
  <c r="BE496" i="70"/>
  <c r="BE497" i="70"/>
  <c r="BE498" i="70"/>
  <c r="BF498" i="70" s="1"/>
  <c r="BG498" i="70" s="1"/>
  <c r="BH498" i="70" s="1"/>
  <c r="BI498" i="70" s="1"/>
  <c r="BE499" i="70"/>
  <c r="BF499" i="70" s="1"/>
  <c r="BG499" i="70" s="1"/>
  <c r="BH499" i="70" s="1"/>
  <c r="BI499" i="70" s="1"/>
  <c r="BE500" i="70"/>
  <c r="BF500" i="70" s="1"/>
  <c r="BG500" i="70" s="1"/>
  <c r="BH500" i="70" s="1"/>
  <c r="BI500" i="70" s="1"/>
  <c r="BE501" i="70"/>
  <c r="BF501" i="70" s="1"/>
  <c r="BG501" i="70" s="1"/>
  <c r="BH501" i="70" s="1"/>
  <c r="BI501" i="70" s="1"/>
  <c r="BE502" i="70"/>
  <c r="BE503" i="70"/>
  <c r="BF503" i="70" s="1"/>
  <c r="BG503" i="70" s="1"/>
  <c r="BH503" i="70" s="1"/>
  <c r="BI503" i="70" s="1"/>
  <c r="BE504" i="70"/>
  <c r="BE505" i="70"/>
  <c r="BE506" i="70"/>
  <c r="BF506" i="70" s="1"/>
  <c r="BG506" i="70" s="1"/>
  <c r="BH506" i="70" s="1"/>
  <c r="BI506" i="70" s="1"/>
  <c r="BE507" i="70"/>
  <c r="BF507" i="70" s="1"/>
  <c r="BG507" i="70" s="1"/>
  <c r="BH507" i="70" s="1"/>
  <c r="BI507" i="70" s="1"/>
  <c r="BE508" i="70"/>
  <c r="BF508" i="70" s="1"/>
  <c r="BG508" i="70" s="1"/>
  <c r="BH508" i="70" s="1"/>
  <c r="BI508" i="70" s="1"/>
  <c r="BE509" i="70"/>
  <c r="BF509" i="70" s="1"/>
  <c r="BG509" i="70" s="1"/>
  <c r="BH509" i="70" s="1"/>
  <c r="BI509" i="70" s="1"/>
  <c r="BE510" i="70"/>
  <c r="BF510" i="70" s="1"/>
  <c r="BG510" i="70" s="1"/>
  <c r="BH510" i="70" s="1"/>
  <c r="BE511" i="70"/>
  <c r="BF511" i="70" s="1"/>
  <c r="BG511" i="70" s="1"/>
  <c r="BH511" i="70" s="1"/>
  <c r="BI511" i="70" s="1"/>
  <c r="BE512" i="70"/>
  <c r="BE513" i="70"/>
  <c r="BE514" i="70"/>
  <c r="BF514" i="70" s="1"/>
  <c r="BG514" i="70" s="1"/>
  <c r="BH514" i="70" s="1"/>
  <c r="BI514" i="70" s="1"/>
  <c r="BE515" i="70"/>
  <c r="BF515" i="70" s="1"/>
  <c r="BG515" i="70" s="1"/>
  <c r="BH515" i="70" s="1"/>
  <c r="BI515" i="70" s="1"/>
  <c r="BE516" i="70"/>
  <c r="BF516" i="70" s="1"/>
  <c r="BG516" i="70" s="1"/>
  <c r="BH516" i="70" s="1"/>
  <c r="BI516" i="70" s="1"/>
  <c r="BE517" i="70"/>
  <c r="BF517" i="70" s="1"/>
  <c r="BG517" i="70" s="1"/>
  <c r="BH517" i="70" s="1"/>
  <c r="BI517" i="70" s="1"/>
  <c r="BE518" i="70"/>
  <c r="BE519" i="70"/>
  <c r="BF519" i="70" s="1"/>
  <c r="BG519" i="70" s="1"/>
  <c r="BH519" i="70" s="1"/>
  <c r="BI519" i="70" s="1"/>
  <c r="BE520" i="70"/>
  <c r="BE521" i="70"/>
  <c r="BF521" i="70" s="1"/>
  <c r="BG521" i="70" s="1"/>
  <c r="BH521" i="70" s="1"/>
  <c r="BI521" i="70" s="1"/>
  <c r="BE522" i="70"/>
  <c r="BF522" i="70" s="1"/>
  <c r="BG522" i="70" s="1"/>
  <c r="BH522" i="70" s="1"/>
  <c r="BI522" i="70" s="1"/>
  <c r="BE523" i="70"/>
  <c r="BF523" i="70" s="1"/>
  <c r="BG523" i="70" s="1"/>
  <c r="BH523" i="70" s="1"/>
  <c r="BI523" i="70" s="1"/>
  <c r="BE524" i="70"/>
  <c r="BF524" i="70" s="1"/>
  <c r="BG524" i="70" s="1"/>
  <c r="BH524" i="70" s="1"/>
  <c r="BI524" i="70" s="1"/>
  <c r="BE525" i="70"/>
  <c r="BF525" i="70" s="1"/>
  <c r="BG525" i="70" s="1"/>
  <c r="BH525" i="70" s="1"/>
  <c r="BI525" i="70" s="1"/>
  <c r="BE526" i="70"/>
  <c r="BE527" i="70"/>
  <c r="BF527" i="70" s="1"/>
  <c r="BG527" i="70" s="1"/>
  <c r="BH527" i="70" s="1"/>
  <c r="BI527" i="70" s="1"/>
  <c r="BE528" i="70"/>
  <c r="BE529" i="70"/>
  <c r="BE530" i="70"/>
  <c r="BF530" i="70" s="1"/>
  <c r="BG530" i="70" s="1"/>
  <c r="BH530" i="70" s="1"/>
  <c r="BI530" i="70" s="1"/>
  <c r="BE531" i="70"/>
  <c r="BF531" i="70" s="1"/>
  <c r="BG531" i="70" s="1"/>
  <c r="BH531" i="70" s="1"/>
  <c r="BI531" i="70" s="1"/>
  <c r="BE532" i="70"/>
  <c r="BF532" i="70" s="1"/>
  <c r="BG532" i="70" s="1"/>
  <c r="BH532" i="70" s="1"/>
  <c r="BI532" i="70" s="1"/>
  <c r="BE533" i="70"/>
  <c r="BF533" i="70" s="1"/>
  <c r="BG533" i="70" s="1"/>
  <c r="BH533" i="70" s="1"/>
  <c r="BI533" i="70" s="1"/>
  <c r="BF16" i="70"/>
  <c r="BF17" i="70"/>
  <c r="BG17" i="70" s="1"/>
  <c r="BH17" i="70" s="1"/>
  <c r="BI17" i="70" s="1"/>
  <c r="BF22" i="70"/>
  <c r="BG22" i="70" s="1"/>
  <c r="BH22" i="70" s="1"/>
  <c r="BI22" i="70" s="1"/>
  <c r="BF24" i="70"/>
  <c r="BG24" i="70" s="1"/>
  <c r="BH24" i="70" s="1"/>
  <c r="BI24" i="70" s="1"/>
  <c r="BF25" i="70"/>
  <c r="BG25" i="70" s="1"/>
  <c r="BH25" i="70" s="1"/>
  <c r="BI25" i="70" s="1"/>
  <c r="BF27" i="70"/>
  <c r="BG27" i="70" s="1"/>
  <c r="BH27" i="70" s="1"/>
  <c r="BI27" i="70" s="1"/>
  <c r="BF28" i="70"/>
  <c r="BG28" i="70" s="1"/>
  <c r="BH28" i="70" s="1"/>
  <c r="BI28" i="70" s="1"/>
  <c r="BF32" i="70"/>
  <c r="BG32" i="70" s="1"/>
  <c r="BH32" i="70" s="1"/>
  <c r="BI32" i="70" s="1"/>
  <c r="BF33" i="70"/>
  <c r="BF38" i="70"/>
  <c r="BG38" i="70" s="1"/>
  <c r="BH38" i="70" s="1"/>
  <c r="BI38" i="70" s="1"/>
  <c r="BF40" i="70"/>
  <c r="BF41" i="70"/>
  <c r="BG41" i="70" s="1"/>
  <c r="BH41" i="70" s="1"/>
  <c r="BI41" i="70" s="1"/>
  <c r="BF43" i="70"/>
  <c r="BG43" i="70" s="1"/>
  <c r="BH43" i="70" s="1"/>
  <c r="BI43" i="70" s="1"/>
  <c r="BF46" i="70"/>
  <c r="BG46" i="70" s="1"/>
  <c r="BF48" i="70"/>
  <c r="BG48" i="70" s="1"/>
  <c r="BH48" i="70" s="1"/>
  <c r="BI48" i="70" s="1"/>
  <c r="BF49" i="70"/>
  <c r="BG49" i="70" s="1"/>
  <c r="BH49" i="70" s="1"/>
  <c r="BI49" i="70" s="1"/>
  <c r="BF54" i="70"/>
  <c r="BF56" i="70"/>
  <c r="BG56" i="70" s="1"/>
  <c r="BH56" i="70" s="1"/>
  <c r="BI56" i="70" s="1"/>
  <c r="BF57" i="70"/>
  <c r="BG57" i="70" s="1"/>
  <c r="BH57" i="70" s="1"/>
  <c r="BI57" i="70" s="1"/>
  <c r="BF59" i="70"/>
  <c r="BF64" i="70"/>
  <c r="BG64" i="70" s="1"/>
  <c r="BH64" i="70" s="1"/>
  <c r="BI64" i="70" s="1"/>
  <c r="BF65" i="70"/>
  <c r="BG65" i="70" s="1"/>
  <c r="BH65" i="70" s="1"/>
  <c r="BI65" i="70" s="1"/>
  <c r="BF70" i="70"/>
  <c r="BG70" i="70" s="1"/>
  <c r="BH70" i="70" s="1"/>
  <c r="BI70" i="70" s="1"/>
  <c r="BF72" i="70"/>
  <c r="BG72" i="70" s="1"/>
  <c r="BH72" i="70" s="1"/>
  <c r="BI72" i="70" s="1"/>
  <c r="BF73" i="70"/>
  <c r="BF75" i="70"/>
  <c r="BG75" i="70" s="1"/>
  <c r="BH75" i="70" s="1"/>
  <c r="BI75" i="70" s="1"/>
  <c r="BF78" i="70"/>
  <c r="BG78" i="70" s="1"/>
  <c r="BH78" i="70" s="1"/>
  <c r="BI78" i="70" s="1"/>
  <c r="BF80" i="70"/>
  <c r="BF81" i="70"/>
  <c r="BG81" i="70" s="1"/>
  <c r="BH81" i="70" s="1"/>
  <c r="BI81" i="70" s="1"/>
  <c r="BF86" i="70"/>
  <c r="BG86" i="70" s="1"/>
  <c r="BH86" i="70" s="1"/>
  <c r="BI86" i="70" s="1"/>
  <c r="BF87" i="70"/>
  <c r="BG87" i="70" s="1"/>
  <c r="BH87" i="70" s="1"/>
  <c r="BI87" i="70" s="1"/>
  <c r="BF88" i="70"/>
  <c r="BG88" i="70" s="1"/>
  <c r="BH88" i="70" s="1"/>
  <c r="BI88" i="70" s="1"/>
  <c r="BF89" i="70"/>
  <c r="BG89" i="70" s="1"/>
  <c r="BH89" i="70" s="1"/>
  <c r="BI89" i="70" s="1"/>
  <c r="BF94" i="70"/>
  <c r="BG94" i="70" s="1"/>
  <c r="BH94" i="70" s="1"/>
  <c r="BI94" i="70" s="1"/>
  <c r="BF96" i="70"/>
  <c r="BF97" i="70"/>
  <c r="BG97" i="70" s="1"/>
  <c r="BH97" i="70" s="1"/>
  <c r="BI97" i="70" s="1"/>
  <c r="BF99" i="70"/>
  <c r="BG99" i="70" s="1"/>
  <c r="BH99" i="70" s="1"/>
  <c r="BI99" i="70" s="1"/>
  <c r="BF104" i="70"/>
  <c r="BG104" i="70" s="1"/>
  <c r="BH104" i="70" s="1"/>
  <c r="BI104" i="70" s="1"/>
  <c r="BF105" i="70"/>
  <c r="BG105" i="70" s="1"/>
  <c r="BH105" i="70" s="1"/>
  <c r="BI105" i="70" s="1"/>
  <c r="BF107" i="70"/>
  <c r="BG107" i="70" s="1"/>
  <c r="BH107" i="70" s="1"/>
  <c r="BI107" i="70" s="1"/>
  <c r="BF110" i="70"/>
  <c r="BG110" i="70" s="1"/>
  <c r="BH110" i="70" s="1"/>
  <c r="BI110" i="70" s="1"/>
  <c r="BF112" i="70"/>
  <c r="BG112" i="70" s="1"/>
  <c r="BH112" i="70" s="1"/>
  <c r="BI112" i="70" s="1"/>
  <c r="BF113" i="70"/>
  <c r="BG113" i="70" s="1"/>
  <c r="BH113" i="70" s="1"/>
  <c r="BI113" i="70" s="1"/>
  <c r="BF120" i="70"/>
  <c r="BG120" i="70" s="1"/>
  <c r="BH120" i="70" s="1"/>
  <c r="BI120" i="70" s="1"/>
  <c r="BF121" i="70"/>
  <c r="BG121" i="70" s="1"/>
  <c r="BH121" i="70" s="1"/>
  <c r="BI121" i="70" s="1"/>
  <c r="BF126" i="70"/>
  <c r="BG126" i="70" s="1"/>
  <c r="BH126" i="70" s="1"/>
  <c r="BI126" i="70" s="1"/>
  <c r="BF128" i="70"/>
  <c r="BG128" i="70" s="1"/>
  <c r="BH128" i="70" s="1"/>
  <c r="BI128" i="70" s="1"/>
  <c r="BF129" i="70"/>
  <c r="BG129" i="70" s="1"/>
  <c r="BH129" i="70" s="1"/>
  <c r="BI129" i="70" s="1"/>
  <c r="BF131" i="70"/>
  <c r="BG131" i="70" s="1"/>
  <c r="BH131" i="70" s="1"/>
  <c r="BI131" i="70" s="1"/>
  <c r="BF136" i="70"/>
  <c r="BF137" i="70"/>
  <c r="BG137" i="70" s="1"/>
  <c r="BH137" i="70" s="1"/>
  <c r="BI137" i="70" s="1"/>
  <c r="BF142" i="70"/>
  <c r="BG142" i="70" s="1"/>
  <c r="BH142" i="70" s="1"/>
  <c r="BI142" i="70" s="1"/>
  <c r="BF144" i="70"/>
  <c r="BG144" i="70" s="1"/>
  <c r="BH144" i="70" s="1"/>
  <c r="BI144" i="70" s="1"/>
  <c r="BF145" i="70"/>
  <c r="BG145" i="70" s="1"/>
  <c r="BH145" i="70" s="1"/>
  <c r="BI145" i="70" s="1"/>
  <c r="BF152" i="70"/>
  <c r="BG152" i="70" s="1"/>
  <c r="BH152" i="70" s="1"/>
  <c r="BI152" i="70" s="1"/>
  <c r="BF153" i="70"/>
  <c r="BG153" i="70" s="1"/>
  <c r="BH153" i="70" s="1"/>
  <c r="BI153" i="70" s="1"/>
  <c r="BF155" i="70"/>
  <c r="BG155" i="70" s="1"/>
  <c r="BH155" i="70" s="1"/>
  <c r="BI155" i="70" s="1"/>
  <c r="BF158" i="70"/>
  <c r="BG158" i="70" s="1"/>
  <c r="BH158" i="70" s="1"/>
  <c r="BI158" i="70" s="1"/>
  <c r="BF160" i="70"/>
  <c r="BG160" i="70" s="1"/>
  <c r="BF161" i="70"/>
  <c r="BG161" i="70" s="1"/>
  <c r="BH161" i="70" s="1"/>
  <c r="BI161" i="70" s="1"/>
  <c r="BF167" i="70"/>
  <c r="BG167" i="70" s="1"/>
  <c r="BH167" i="70" s="1"/>
  <c r="BI167" i="70" s="1"/>
  <c r="BF168" i="70"/>
  <c r="BF169" i="70"/>
  <c r="BG169" i="70" s="1"/>
  <c r="BH169" i="70" s="1"/>
  <c r="BI169" i="70" s="1"/>
  <c r="BF174" i="70"/>
  <c r="BG174" i="70" s="1"/>
  <c r="BH174" i="70" s="1"/>
  <c r="BI174" i="70" s="1"/>
  <c r="BF176" i="70"/>
  <c r="BF177" i="70"/>
  <c r="BG177" i="70" s="1"/>
  <c r="BH177" i="70" s="1"/>
  <c r="BI177" i="70" s="1"/>
  <c r="BF179" i="70"/>
  <c r="BG179" i="70" s="1"/>
  <c r="BH179" i="70" s="1"/>
  <c r="BI179" i="70" s="1"/>
  <c r="BF184" i="70"/>
  <c r="BG184" i="70" s="1"/>
  <c r="BH184" i="70" s="1"/>
  <c r="BI184" i="70" s="1"/>
  <c r="BF185" i="70"/>
  <c r="BG185" i="70" s="1"/>
  <c r="BH185" i="70" s="1"/>
  <c r="BI185" i="70" s="1"/>
  <c r="BF187" i="70"/>
  <c r="BG187" i="70" s="1"/>
  <c r="BH187" i="70" s="1"/>
  <c r="BI187" i="70" s="1"/>
  <c r="BF192" i="70"/>
  <c r="BG192" i="70" s="1"/>
  <c r="BH192" i="70" s="1"/>
  <c r="BI192" i="70" s="1"/>
  <c r="BF193" i="70"/>
  <c r="BG193" i="70" s="1"/>
  <c r="BH193" i="70" s="1"/>
  <c r="BI193" i="70" s="1"/>
  <c r="BF198" i="70"/>
  <c r="BF200" i="70"/>
  <c r="BG200" i="70" s="1"/>
  <c r="BH200" i="70" s="1"/>
  <c r="BI200" i="70" s="1"/>
  <c r="BF201" i="70"/>
  <c r="BF206" i="70"/>
  <c r="BG206" i="70" s="1"/>
  <c r="BH206" i="70" s="1"/>
  <c r="BI206" i="70" s="1"/>
  <c r="BF208" i="70"/>
  <c r="BG208" i="70" s="1"/>
  <c r="BH208" i="70" s="1"/>
  <c r="BI208" i="70" s="1"/>
  <c r="BF209" i="70"/>
  <c r="BG209" i="70" s="1"/>
  <c r="BH209" i="70" s="1"/>
  <c r="BI209" i="70" s="1"/>
  <c r="BF211" i="70"/>
  <c r="BG211" i="70" s="1"/>
  <c r="BH211" i="70" s="1"/>
  <c r="BI211" i="70" s="1"/>
  <c r="BF216" i="70"/>
  <c r="BG216" i="70" s="1"/>
  <c r="BH216" i="70" s="1"/>
  <c r="BI216" i="70" s="1"/>
  <c r="BF217" i="70"/>
  <c r="BG217" i="70" s="1"/>
  <c r="BH217" i="70" s="1"/>
  <c r="BI217" i="70" s="1"/>
  <c r="BF219" i="70"/>
  <c r="BG219" i="70" s="1"/>
  <c r="BH219" i="70" s="1"/>
  <c r="BI219" i="70" s="1"/>
  <c r="BF222" i="70"/>
  <c r="BG222" i="70" s="1"/>
  <c r="BH222" i="70" s="1"/>
  <c r="BI222" i="70" s="1"/>
  <c r="BF224" i="70"/>
  <c r="BG224" i="70" s="1"/>
  <c r="BH224" i="70" s="1"/>
  <c r="BI224" i="70" s="1"/>
  <c r="BF225" i="70"/>
  <c r="BG225" i="70" s="1"/>
  <c r="BH225" i="70" s="1"/>
  <c r="BI225" i="70" s="1"/>
  <c r="BF230" i="70"/>
  <c r="BG230" i="70" s="1"/>
  <c r="BH230" i="70" s="1"/>
  <c r="BI230" i="70" s="1"/>
  <c r="BF232" i="70"/>
  <c r="BG232" i="70" s="1"/>
  <c r="BH232" i="70" s="1"/>
  <c r="BI232" i="70" s="1"/>
  <c r="BF233" i="70"/>
  <c r="BG233" i="70" s="1"/>
  <c r="BH233" i="70" s="1"/>
  <c r="BF238" i="70"/>
  <c r="BF240" i="70"/>
  <c r="BG240" i="70" s="1"/>
  <c r="BH240" i="70" s="1"/>
  <c r="BI240" i="70" s="1"/>
  <c r="BF241" i="70"/>
  <c r="BG241" i="70" s="1"/>
  <c r="BH241" i="70" s="1"/>
  <c r="BI241" i="70" s="1"/>
  <c r="BF248" i="70"/>
  <c r="BG248" i="70" s="1"/>
  <c r="BH248" i="70" s="1"/>
  <c r="BI248" i="70" s="1"/>
  <c r="BF249" i="70"/>
  <c r="BG249" i="70" s="1"/>
  <c r="BH249" i="70" s="1"/>
  <c r="BI249" i="70" s="1"/>
  <c r="BF251" i="70"/>
  <c r="BG251" i="70" s="1"/>
  <c r="BH251" i="70" s="1"/>
  <c r="BI251" i="70" s="1"/>
  <c r="BF256" i="70"/>
  <c r="BG256" i="70" s="1"/>
  <c r="BH256" i="70" s="1"/>
  <c r="BI256" i="70" s="1"/>
  <c r="BF257" i="70"/>
  <c r="BG257" i="70" s="1"/>
  <c r="BH257" i="70" s="1"/>
  <c r="BI257" i="70" s="1"/>
  <c r="BF262" i="70"/>
  <c r="BG262" i="70" s="1"/>
  <c r="BH262" i="70" s="1"/>
  <c r="BI262" i="70" s="1"/>
  <c r="BF264" i="70"/>
  <c r="BG264" i="70" s="1"/>
  <c r="BH264" i="70" s="1"/>
  <c r="BI264" i="70" s="1"/>
  <c r="BF265" i="70"/>
  <c r="BG265" i="70" s="1"/>
  <c r="BH265" i="70" s="1"/>
  <c r="BI265" i="70" s="1"/>
  <c r="BF268" i="70"/>
  <c r="BG268" i="70" s="1"/>
  <c r="BH268" i="70" s="1"/>
  <c r="BI268" i="70" s="1"/>
  <c r="BF270" i="70"/>
  <c r="BG270" i="70" s="1"/>
  <c r="BH270" i="70" s="1"/>
  <c r="BI270" i="70" s="1"/>
  <c r="BF272" i="70"/>
  <c r="BG272" i="70" s="1"/>
  <c r="BH272" i="70" s="1"/>
  <c r="BI272" i="70" s="1"/>
  <c r="BF273" i="70"/>
  <c r="BG273" i="70" s="1"/>
  <c r="BH273" i="70" s="1"/>
  <c r="BI273" i="70" s="1"/>
  <c r="BF280" i="70"/>
  <c r="BF281" i="70"/>
  <c r="BG281" i="70" s="1"/>
  <c r="BH281" i="70" s="1"/>
  <c r="BI281" i="70" s="1"/>
  <c r="BF283" i="70"/>
  <c r="BG283" i="70" s="1"/>
  <c r="BH283" i="70" s="1"/>
  <c r="BI283" i="70" s="1"/>
  <c r="BF286" i="70"/>
  <c r="BG286" i="70" s="1"/>
  <c r="BH286" i="70" s="1"/>
  <c r="BI286" i="70" s="1"/>
  <c r="BF288" i="70"/>
  <c r="BG288" i="70" s="1"/>
  <c r="BH288" i="70" s="1"/>
  <c r="BI288" i="70" s="1"/>
  <c r="BF289" i="70"/>
  <c r="BG289" i="70" s="1"/>
  <c r="BH289" i="70" s="1"/>
  <c r="BI289" i="70" s="1"/>
  <c r="BF294" i="70"/>
  <c r="BG294" i="70" s="1"/>
  <c r="BH294" i="70" s="1"/>
  <c r="BI294" i="70" s="1"/>
  <c r="BF296" i="70"/>
  <c r="BG296" i="70" s="1"/>
  <c r="BH296" i="70" s="1"/>
  <c r="BI296" i="70" s="1"/>
  <c r="BF297" i="70"/>
  <c r="BG297" i="70" s="1"/>
  <c r="BH297" i="70" s="1"/>
  <c r="BI297" i="70" s="1"/>
  <c r="BF299" i="70"/>
  <c r="BG299" i="70" s="1"/>
  <c r="BH299" i="70" s="1"/>
  <c r="BI299" i="70" s="1"/>
  <c r="BF302" i="70"/>
  <c r="BG302" i="70" s="1"/>
  <c r="BH302" i="70" s="1"/>
  <c r="BI302" i="70" s="1"/>
  <c r="BF304" i="70"/>
  <c r="BG304" i="70" s="1"/>
  <c r="BH304" i="70" s="1"/>
  <c r="BI304" i="70" s="1"/>
  <c r="BF305" i="70"/>
  <c r="BG305" i="70" s="1"/>
  <c r="BH305" i="70" s="1"/>
  <c r="BI305" i="70" s="1"/>
  <c r="BF307" i="70"/>
  <c r="BG307" i="70" s="1"/>
  <c r="BH307" i="70" s="1"/>
  <c r="BI307" i="70" s="1"/>
  <c r="BF312" i="70"/>
  <c r="BG312" i="70" s="1"/>
  <c r="BH312" i="70" s="1"/>
  <c r="BI312" i="70" s="1"/>
  <c r="BF313" i="70"/>
  <c r="BG313" i="70" s="1"/>
  <c r="BH313" i="70" s="1"/>
  <c r="BI313" i="70" s="1"/>
  <c r="BF315" i="70"/>
  <c r="BG315" i="70" s="1"/>
  <c r="BH315" i="70" s="1"/>
  <c r="BI315" i="70" s="1"/>
  <c r="BF320" i="70"/>
  <c r="BG320" i="70" s="1"/>
  <c r="BH320" i="70" s="1"/>
  <c r="BI320" i="70" s="1"/>
  <c r="BF321" i="70"/>
  <c r="BF326" i="70"/>
  <c r="BG326" i="70" s="1"/>
  <c r="BH326" i="70" s="1"/>
  <c r="BI326" i="70" s="1"/>
  <c r="BF328" i="70"/>
  <c r="BG328" i="70" s="1"/>
  <c r="BH328" i="70" s="1"/>
  <c r="BI328" i="70" s="1"/>
  <c r="BF329" i="70"/>
  <c r="BF336" i="70"/>
  <c r="BG336" i="70" s="1"/>
  <c r="BH336" i="70" s="1"/>
  <c r="BI336" i="70" s="1"/>
  <c r="BF337" i="70"/>
  <c r="BG337" i="70" s="1"/>
  <c r="BH337" i="70" s="1"/>
  <c r="BI337" i="70" s="1"/>
  <c r="BF344" i="70"/>
  <c r="BG344" i="70" s="1"/>
  <c r="BH344" i="70" s="1"/>
  <c r="BI344" i="70" s="1"/>
  <c r="BF345" i="70"/>
  <c r="BG345" i="70" s="1"/>
  <c r="BH345" i="70" s="1"/>
  <c r="BI345" i="70" s="1"/>
  <c r="BF350" i="70"/>
  <c r="BG350" i="70" s="1"/>
  <c r="BH350" i="70" s="1"/>
  <c r="BI350" i="70" s="1"/>
  <c r="BF352" i="70"/>
  <c r="BG352" i="70" s="1"/>
  <c r="BH352" i="70" s="1"/>
  <c r="BI352" i="70" s="1"/>
  <c r="BF353" i="70"/>
  <c r="BG353" i="70" s="1"/>
  <c r="BH353" i="70" s="1"/>
  <c r="BI353" i="70" s="1"/>
  <c r="BF355" i="70"/>
  <c r="BG355" i="70" s="1"/>
  <c r="BH355" i="70" s="1"/>
  <c r="BI355" i="70" s="1"/>
  <c r="BF358" i="70"/>
  <c r="BG358" i="70" s="1"/>
  <c r="BH358" i="70" s="1"/>
  <c r="BI358" i="70" s="1"/>
  <c r="BF360" i="70"/>
  <c r="BG360" i="70" s="1"/>
  <c r="BH360" i="70" s="1"/>
  <c r="BI360" i="70" s="1"/>
  <c r="BF361" i="70"/>
  <c r="BG361" i="70" s="1"/>
  <c r="BH361" i="70" s="1"/>
  <c r="BI361" i="70" s="1"/>
  <c r="BF368" i="70"/>
  <c r="BG368" i="70" s="1"/>
  <c r="BH368" i="70" s="1"/>
  <c r="BI368" i="70" s="1"/>
  <c r="BF369" i="70"/>
  <c r="BG369" i="70" s="1"/>
  <c r="BH369" i="70" s="1"/>
  <c r="BI369" i="70" s="1"/>
  <c r="BF374" i="70"/>
  <c r="BG374" i="70" s="1"/>
  <c r="BH374" i="70" s="1"/>
  <c r="BI374" i="70" s="1"/>
  <c r="BF376" i="70"/>
  <c r="BF377" i="70"/>
  <c r="BG377" i="70" s="1"/>
  <c r="BH377" i="70" s="1"/>
  <c r="BI377" i="70" s="1"/>
  <c r="BF384" i="70"/>
  <c r="BF385" i="70"/>
  <c r="BG385" i="70" s="1"/>
  <c r="BH385" i="70" s="1"/>
  <c r="BI385" i="70" s="1"/>
  <c r="BF390" i="70"/>
  <c r="BG390" i="70" s="1"/>
  <c r="BH390" i="70" s="1"/>
  <c r="BI390" i="70" s="1"/>
  <c r="BF392" i="70"/>
  <c r="BG392" i="70" s="1"/>
  <c r="BH392" i="70" s="1"/>
  <c r="BI392" i="70" s="1"/>
  <c r="BF393" i="70"/>
  <c r="BG393" i="70" s="1"/>
  <c r="BH393" i="70" s="1"/>
  <c r="BI393" i="70" s="1"/>
  <c r="BF398" i="70"/>
  <c r="BG398" i="70" s="1"/>
  <c r="BH398" i="70" s="1"/>
  <c r="BI398" i="70" s="1"/>
  <c r="BF400" i="70"/>
  <c r="BF401" i="70"/>
  <c r="BG401" i="70" s="1"/>
  <c r="BH401" i="70" s="1"/>
  <c r="BI401" i="70" s="1"/>
  <c r="BF406" i="70"/>
  <c r="BG406" i="70" s="1"/>
  <c r="BH406" i="70" s="1"/>
  <c r="BI406" i="70" s="1"/>
  <c r="BF408" i="70"/>
  <c r="BG408" i="70" s="1"/>
  <c r="BH408" i="70" s="1"/>
  <c r="BI408" i="70" s="1"/>
  <c r="BF409" i="70"/>
  <c r="BG409" i="70" s="1"/>
  <c r="BH409" i="70" s="1"/>
  <c r="BI409" i="70" s="1"/>
  <c r="BF414" i="70"/>
  <c r="BF416" i="70"/>
  <c r="BG416" i="70" s="1"/>
  <c r="BH416" i="70" s="1"/>
  <c r="BI416" i="70" s="1"/>
  <c r="BF417" i="70"/>
  <c r="BG417" i="70" s="1"/>
  <c r="BH417" i="70" s="1"/>
  <c r="BI417" i="70" s="1"/>
  <c r="BF422" i="70"/>
  <c r="BG422" i="70" s="1"/>
  <c r="BH422" i="70" s="1"/>
  <c r="BI422" i="70" s="1"/>
  <c r="BF424" i="70"/>
  <c r="BG424" i="70" s="1"/>
  <c r="BH424" i="70" s="1"/>
  <c r="BI424" i="70" s="1"/>
  <c r="BF425" i="70"/>
  <c r="BG425" i="70" s="1"/>
  <c r="BH425" i="70" s="1"/>
  <c r="BI425" i="70" s="1"/>
  <c r="BF432" i="70"/>
  <c r="BG432" i="70" s="1"/>
  <c r="BH432" i="70" s="1"/>
  <c r="BI432" i="70" s="1"/>
  <c r="BF433" i="70"/>
  <c r="BG433" i="70" s="1"/>
  <c r="BH433" i="70" s="1"/>
  <c r="BI433" i="70" s="1"/>
  <c r="BF438" i="70"/>
  <c r="BG438" i="70" s="1"/>
  <c r="BH438" i="70" s="1"/>
  <c r="BI438" i="70" s="1"/>
  <c r="BF440" i="70"/>
  <c r="BG440" i="70" s="1"/>
  <c r="BH440" i="70" s="1"/>
  <c r="BI440" i="70" s="1"/>
  <c r="BF441" i="70"/>
  <c r="BF446" i="70"/>
  <c r="BG446" i="70" s="1"/>
  <c r="BH446" i="70" s="1"/>
  <c r="BI446" i="70" s="1"/>
  <c r="BF448" i="70"/>
  <c r="BG448" i="70" s="1"/>
  <c r="BH448" i="70" s="1"/>
  <c r="BI448" i="70" s="1"/>
  <c r="BF449" i="70"/>
  <c r="BG449" i="70" s="1"/>
  <c r="BH449" i="70" s="1"/>
  <c r="BI449" i="70" s="1"/>
  <c r="BF452" i="70"/>
  <c r="BG452" i="70" s="1"/>
  <c r="BH452" i="70" s="1"/>
  <c r="BI452" i="70" s="1"/>
  <c r="BF454" i="70"/>
  <c r="BG454" i="70" s="1"/>
  <c r="BH454" i="70" s="1"/>
  <c r="BI454" i="70" s="1"/>
  <c r="BF456" i="70"/>
  <c r="BG456" i="70" s="1"/>
  <c r="BH456" i="70" s="1"/>
  <c r="BI456" i="70" s="1"/>
  <c r="BF457" i="70"/>
  <c r="BG457" i="70" s="1"/>
  <c r="BH457" i="70" s="1"/>
  <c r="BI457" i="70" s="1"/>
  <c r="BF462" i="70"/>
  <c r="BG462" i="70" s="1"/>
  <c r="BH462" i="70" s="1"/>
  <c r="BI462" i="70" s="1"/>
  <c r="BF464" i="70"/>
  <c r="BG464" i="70" s="1"/>
  <c r="BH464" i="70" s="1"/>
  <c r="BI464" i="70" s="1"/>
  <c r="BF465" i="70"/>
  <c r="BG465" i="70" s="1"/>
  <c r="BH465" i="70" s="1"/>
  <c r="BI465" i="70" s="1"/>
  <c r="BF472" i="70"/>
  <c r="BG472" i="70" s="1"/>
  <c r="BH472" i="70" s="1"/>
  <c r="BI472" i="70" s="1"/>
  <c r="BF473" i="70"/>
  <c r="BG473" i="70" s="1"/>
  <c r="BH473" i="70" s="1"/>
  <c r="BI473" i="70" s="1"/>
  <c r="BF478" i="70"/>
  <c r="BG478" i="70" s="1"/>
  <c r="BH478" i="70" s="1"/>
  <c r="BI478" i="70" s="1"/>
  <c r="BF480" i="70"/>
  <c r="BG480" i="70" s="1"/>
  <c r="BH480" i="70" s="1"/>
  <c r="BI480" i="70" s="1"/>
  <c r="BF481" i="70"/>
  <c r="BG481" i="70" s="1"/>
  <c r="BH481" i="70" s="1"/>
  <c r="BI481" i="70" s="1"/>
  <c r="BF486" i="70"/>
  <c r="BG486" i="70" s="1"/>
  <c r="BH486" i="70" s="1"/>
  <c r="BF488" i="70"/>
  <c r="BG488" i="70" s="1"/>
  <c r="BH488" i="70" s="1"/>
  <c r="BI488" i="70" s="1"/>
  <c r="BF489" i="70"/>
  <c r="BF496" i="70"/>
  <c r="BG496" i="70" s="1"/>
  <c r="BH496" i="70" s="1"/>
  <c r="BI496" i="70" s="1"/>
  <c r="BF497" i="70"/>
  <c r="BG497" i="70" s="1"/>
  <c r="BH497" i="70" s="1"/>
  <c r="BI497" i="70" s="1"/>
  <c r="BF502" i="70"/>
  <c r="BG502" i="70" s="1"/>
  <c r="BH502" i="70" s="1"/>
  <c r="BI502" i="70" s="1"/>
  <c r="BF504" i="70"/>
  <c r="BG504" i="70" s="1"/>
  <c r="BH504" i="70" s="1"/>
  <c r="BI504" i="70" s="1"/>
  <c r="BF505" i="70"/>
  <c r="BG505" i="70" s="1"/>
  <c r="BF512" i="70"/>
  <c r="BG512" i="70" s="1"/>
  <c r="BH512" i="70" s="1"/>
  <c r="BI512" i="70" s="1"/>
  <c r="BF513" i="70"/>
  <c r="BG513" i="70" s="1"/>
  <c r="BH513" i="70" s="1"/>
  <c r="BI513" i="70" s="1"/>
  <c r="BF518" i="70"/>
  <c r="BG518" i="70" s="1"/>
  <c r="BH518" i="70" s="1"/>
  <c r="BI518" i="70" s="1"/>
  <c r="BF520" i="70"/>
  <c r="BG520" i="70" s="1"/>
  <c r="BH520" i="70" s="1"/>
  <c r="BI520" i="70" s="1"/>
  <c r="BF526" i="70"/>
  <c r="BG526" i="70" s="1"/>
  <c r="BH526" i="70" s="1"/>
  <c r="BI526" i="70" s="1"/>
  <c r="BF528" i="70"/>
  <c r="BG528" i="70" s="1"/>
  <c r="BH528" i="70" s="1"/>
  <c r="BI528" i="70" s="1"/>
  <c r="BF529" i="70"/>
  <c r="BG529" i="70" s="1"/>
  <c r="BH529" i="70" s="1"/>
  <c r="BI529" i="70" s="1"/>
  <c r="BG16" i="70"/>
  <c r="BH16" i="70" s="1"/>
  <c r="BI16" i="70" s="1"/>
  <c r="BG19" i="70"/>
  <c r="BH19" i="70" s="1"/>
  <c r="BI19" i="70" s="1"/>
  <c r="BG23" i="70"/>
  <c r="BH23" i="70" s="1"/>
  <c r="BI23" i="70" s="1"/>
  <c r="BG33" i="70"/>
  <c r="BH33" i="70" s="1"/>
  <c r="BI33" i="70" s="1"/>
  <c r="BG35" i="70"/>
  <c r="BH35" i="70" s="1"/>
  <c r="BI35" i="70" s="1"/>
  <c r="BG40" i="70"/>
  <c r="BH40" i="70" s="1"/>
  <c r="BI40" i="70" s="1"/>
  <c r="BG47" i="70"/>
  <c r="BH47" i="70" s="1"/>
  <c r="BI47" i="70" s="1"/>
  <c r="BG54" i="70"/>
  <c r="BH54" i="70" s="1"/>
  <c r="BI54" i="70" s="1"/>
  <c r="BG59" i="70"/>
  <c r="BH59" i="70" s="1"/>
  <c r="BI59" i="70" s="1"/>
  <c r="BG63" i="70"/>
  <c r="BH63" i="70" s="1"/>
  <c r="BI63" i="70" s="1"/>
  <c r="BG71" i="70"/>
  <c r="BH71" i="70" s="1"/>
  <c r="BI71" i="70" s="1"/>
  <c r="BG73" i="70"/>
  <c r="BH73" i="70" s="1"/>
  <c r="BI73" i="70" s="1"/>
  <c r="BG80" i="70"/>
  <c r="BH80" i="70" s="1"/>
  <c r="BI80" i="70" s="1"/>
  <c r="BG96" i="70"/>
  <c r="BH96" i="70" s="1"/>
  <c r="BI96" i="70" s="1"/>
  <c r="BG102" i="70"/>
  <c r="BH102" i="70" s="1"/>
  <c r="BI102" i="70" s="1"/>
  <c r="BG111" i="70"/>
  <c r="BH111" i="70" s="1"/>
  <c r="BI111" i="70" s="1"/>
  <c r="BG115" i="70"/>
  <c r="BH115" i="70" s="1"/>
  <c r="BI115" i="70" s="1"/>
  <c r="BG134" i="70"/>
  <c r="BH134" i="70" s="1"/>
  <c r="BI134" i="70" s="1"/>
  <c r="BG135" i="70"/>
  <c r="BH135" i="70" s="1"/>
  <c r="BI135" i="70" s="1"/>
  <c r="BG136" i="70"/>
  <c r="BH136" i="70" s="1"/>
  <c r="BI136" i="70" s="1"/>
  <c r="BG147" i="70"/>
  <c r="BH147" i="70" s="1"/>
  <c r="BI147" i="70" s="1"/>
  <c r="BG151" i="70"/>
  <c r="BH151" i="70" s="1"/>
  <c r="BI151" i="70" s="1"/>
  <c r="BG166" i="70"/>
  <c r="BH166" i="70" s="1"/>
  <c r="BI166" i="70" s="1"/>
  <c r="BG168" i="70"/>
  <c r="BH168" i="70" s="1"/>
  <c r="BI168" i="70" s="1"/>
  <c r="BG176" i="70"/>
  <c r="BH176" i="70" s="1"/>
  <c r="BI176" i="70" s="1"/>
  <c r="BG190" i="70"/>
  <c r="BH190" i="70" s="1"/>
  <c r="BI190" i="70" s="1"/>
  <c r="BG198" i="70"/>
  <c r="BH198" i="70" s="1"/>
  <c r="BI198" i="70" s="1"/>
  <c r="BG199" i="70"/>
  <c r="BH199" i="70" s="1"/>
  <c r="BI199" i="70" s="1"/>
  <c r="BG201" i="70"/>
  <c r="BH201" i="70" s="1"/>
  <c r="BI201" i="70" s="1"/>
  <c r="BG203" i="70"/>
  <c r="BH203" i="70" s="1"/>
  <c r="BI203" i="70" s="1"/>
  <c r="BG214" i="70"/>
  <c r="BH214" i="70" s="1"/>
  <c r="BI214" i="70" s="1"/>
  <c r="BG227" i="70"/>
  <c r="BH227" i="70" s="1"/>
  <c r="BG238" i="70"/>
  <c r="BH238" i="70" s="1"/>
  <c r="BI238" i="70" s="1"/>
  <c r="BG246" i="70"/>
  <c r="BH246" i="70" s="1"/>
  <c r="BI246" i="70" s="1"/>
  <c r="BG254" i="70"/>
  <c r="BH254" i="70" s="1"/>
  <c r="BI254" i="70" s="1"/>
  <c r="BG255" i="70"/>
  <c r="BH255" i="70" s="1"/>
  <c r="BI255" i="70" s="1"/>
  <c r="BG259" i="70"/>
  <c r="BH259" i="70" s="1"/>
  <c r="BI259" i="70" s="1"/>
  <c r="BG263" i="70"/>
  <c r="BH263" i="70" s="1"/>
  <c r="BI263" i="70" s="1"/>
  <c r="BG267" i="70"/>
  <c r="BH267" i="70" s="1"/>
  <c r="BI267" i="70" s="1"/>
  <c r="BG278" i="70"/>
  <c r="BH278" i="70" s="1"/>
  <c r="BI278" i="70" s="1"/>
  <c r="BG279" i="70"/>
  <c r="BH279" i="70" s="1"/>
  <c r="BI279" i="70" s="1"/>
  <c r="BG280" i="70"/>
  <c r="BH280" i="70" s="1"/>
  <c r="BI280" i="70" s="1"/>
  <c r="BG291" i="70"/>
  <c r="BH291" i="70" s="1"/>
  <c r="BI291" i="70" s="1"/>
  <c r="BG310" i="70"/>
  <c r="BH310" i="70" s="1"/>
  <c r="BI310" i="70" s="1"/>
  <c r="BG318" i="70"/>
  <c r="BH318" i="70" s="1"/>
  <c r="BI318" i="70" s="1"/>
  <c r="BG321" i="70"/>
  <c r="BH321" i="70" s="1"/>
  <c r="BI321" i="70" s="1"/>
  <c r="BG329" i="70"/>
  <c r="BH329" i="70" s="1"/>
  <c r="BI329" i="70" s="1"/>
  <c r="BG334" i="70"/>
  <c r="BH334" i="70" s="1"/>
  <c r="BI334" i="70" s="1"/>
  <c r="BG342" i="70"/>
  <c r="BH342" i="70" s="1"/>
  <c r="BI342" i="70" s="1"/>
  <c r="BG347" i="70"/>
  <c r="BH347" i="70" s="1"/>
  <c r="BI347" i="70" s="1"/>
  <c r="BG363" i="70"/>
  <c r="BH363" i="70" s="1"/>
  <c r="BI363" i="70" s="1"/>
  <c r="BG366" i="70"/>
  <c r="BH366" i="70" s="1"/>
  <c r="BI366" i="70" s="1"/>
  <c r="BG376" i="70"/>
  <c r="BH376" i="70" s="1"/>
  <c r="BI376" i="70" s="1"/>
  <c r="BG382" i="70"/>
  <c r="BH382" i="70" s="1"/>
  <c r="BI382" i="70" s="1"/>
  <c r="BG384" i="70"/>
  <c r="BH384" i="70" s="1"/>
  <c r="BI384" i="70" s="1"/>
  <c r="BG400" i="70"/>
  <c r="BH400" i="70" s="1"/>
  <c r="BI400" i="70" s="1"/>
  <c r="BG414" i="70"/>
  <c r="BH414" i="70" s="1"/>
  <c r="BI414" i="70" s="1"/>
  <c r="BG441" i="70"/>
  <c r="BH441" i="70" s="1"/>
  <c r="BI441" i="70" s="1"/>
  <c r="BG470" i="70"/>
  <c r="BH470" i="70" s="1"/>
  <c r="BI470" i="70" s="1"/>
  <c r="BG489" i="70"/>
  <c r="BH489" i="70" s="1"/>
  <c r="BI489" i="70" s="1"/>
  <c r="BG491" i="70"/>
  <c r="BH491" i="70" s="1"/>
  <c r="BI491" i="70" s="1"/>
  <c r="BG494" i="70"/>
  <c r="BH494" i="70" s="1"/>
  <c r="BI494" i="70" s="1"/>
  <c r="BH18" i="70"/>
  <c r="BI18" i="70" s="1"/>
  <c r="BH26" i="70"/>
  <c r="BI26" i="70" s="1"/>
  <c r="BH30" i="70"/>
  <c r="BI30" i="70" s="1"/>
  <c r="BH39" i="70"/>
  <c r="BI39" i="70" s="1"/>
  <c r="BH46" i="70"/>
  <c r="BI46" i="70" s="1"/>
  <c r="BH50" i="70"/>
  <c r="BI50" i="70" s="1"/>
  <c r="BH51" i="70"/>
  <c r="BI51" i="70" s="1"/>
  <c r="BH55" i="70"/>
  <c r="BI55" i="70" s="1"/>
  <c r="BH67" i="70"/>
  <c r="BI67" i="70" s="1"/>
  <c r="BH79" i="70"/>
  <c r="BI79" i="70" s="1"/>
  <c r="BH83" i="70"/>
  <c r="BI83" i="70" s="1"/>
  <c r="BH95" i="70"/>
  <c r="BI95" i="70" s="1"/>
  <c r="BH98" i="70"/>
  <c r="BI98" i="70" s="1"/>
  <c r="BH103" i="70"/>
  <c r="BI103" i="70" s="1"/>
  <c r="BH114" i="70"/>
  <c r="BI114" i="70" s="1"/>
  <c r="BH119" i="70"/>
  <c r="BI119" i="70" s="1"/>
  <c r="BH138" i="70"/>
  <c r="BI138" i="70" s="1"/>
  <c r="BH143" i="70"/>
  <c r="BI143" i="70" s="1"/>
  <c r="BH150" i="70"/>
  <c r="BI150" i="70" s="1"/>
  <c r="BH159" i="70"/>
  <c r="BI159" i="70" s="1"/>
  <c r="BH160" i="70"/>
  <c r="BI160" i="70" s="1"/>
  <c r="BH183" i="70"/>
  <c r="BI183" i="70" s="1"/>
  <c r="BH194" i="70"/>
  <c r="BI194" i="70" s="1"/>
  <c r="BH207" i="70"/>
  <c r="BI207" i="70" s="1"/>
  <c r="BH226" i="70"/>
  <c r="BI226" i="70" s="1"/>
  <c r="BH231" i="70"/>
  <c r="BI231" i="70" s="1"/>
  <c r="BH271" i="70"/>
  <c r="BI271" i="70" s="1"/>
  <c r="BH282" i="70"/>
  <c r="BI282" i="70" s="1"/>
  <c r="BH287" i="70"/>
  <c r="BI287" i="70" s="1"/>
  <c r="BH346" i="70"/>
  <c r="BI346" i="70" s="1"/>
  <c r="BH351" i="70"/>
  <c r="BI351" i="70" s="1"/>
  <c r="BH362" i="70"/>
  <c r="BI362" i="70" s="1"/>
  <c r="BH430" i="70"/>
  <c r="BI430" i="70" s="1"/>
  <c r="BH505" i="70"/>
  <c r="BI31" i="70"/>
  <c r="BI34" i="70"/>
  <c r="BI62" i="70"/>
  <c r="BI118" i="70"/>
  <c r="BI171" i="70"/>
  <c r="BI195" i="70"/>
  <c r="BI210" i="70"/>
  <c r="BI227" i="70"/>
  <c r="BI411" i="70"/>
  <c r="BI455" i="70"/>
  <c r="BI486" i="70"/>
  <c r="BI505" i="70"/>
  <c r="BI510" i="70"/>
  <c r="BC20" i="70"/>
  <c r="BC28" i="70"/>
  <c r="BC36" i="70"/>
  <c r="BC44" i="70"/>
  <c r="BC52" i="70"/>
  <c r="BC60" i="70"/>
  <c r="BC68" i="70"/>
  <c r="BC76" i="70"/>
  <c r="BC84" i="70"/>
  <c r="BC92" i="70"/>
  <c r="BC100" i="70"/>
  <c r="BC108" i="70"/>
  <c r="BC116" i="70"/>
  <c r="BC124" i="70"/>
  <c r="BC132" i="70"/>
  <c r="BC140" i="70"/>
  <c r="BC148" i="70"/>
  <c r="BC156" i="70"/>
  <c r="BC164" i="70"/>
  <c r="BC172" i="70"/>
  <c r="BC180" i="70"/>
  <c r="BC188" i="70"/>
  <c r="BC196" i="70"/>
  <c r="BC204" i="70"/>
  <c r="BC212" i="70"/>
  <c r="BC220" i="70"/>
  <c r="BC228" i="70"/>
  <c r="BC236" i="70"/>
  <c r="BC244" i="70"/>
  <c r="BC252" i="70"/>
  <c r="BC260" i="70"/>
  <c r="BC268" i="70"/>
  <c r="BC276" i="70"/>
  <c r="BC284" i="70"/>
  <c r="BC292" i="70"/>
  <c r="BC300" i="70"/>
  <c r="BC308" i="70"/>
  <c r="BC316" i="70"/>
  <c r="BC324" i="70"/>
  <c r="BC332" i="70"/>
  <c r="BC340" i="70"/>
  <c r="BC348" i="70"/>
  <c r="BC356" i="70"/>
  <c r="BC364" i="70"/>
  <c r="BC372" i="70"/>
  <c r="BC380" i="70"/>
  <c r="BC388" i="70"/>
  <c r="BC396" i="70"/>
  <c r="BC404" i="70"/>
  <c r="BC412" i="70"/>
  <c r="BC420" i="70"/>
  <c r="BC428" i="70"/>
  <c r="BC436" i="70"/>
  <c r="BC444" i="70"/>
  <c r="BC452" i="70"/>
  <c r="BC460" i="70"/>
  <c r="BC468" i="70"/>
  <c r="BC476" i="70"/>
  <c r="BC484" i="70"/>
  <c r="BC492" i="70"/>
  <c r="BC500" i="70"/>
  <c r="BC508" i="70"/>
  <c r="BC516" i="70"/>
  <c r="BC524" i="70"/>
  <c r="BC532" i="70"/>
  <c r="BC21" i="70"/>
  <c r="BC29" i="70"/>
  <c r="BC37" i="70"/>
  <c r="BC45" i="70"/>
  <c r="BC53" i="70"/>
  <c r="BC61" i="70"/>
  <c r="BC69" i="70"/>
  <c r="BC77" i="70"/>
  <c r="BC85" i="70"/>
  <c r="BC93" i="70"/>
  <c r="BC101" i="70"/>
  <c r="BC109" i="70"/>
  <c r="BC117" i="70"/>
  <c r="BC125" i="70"/>
  <c r="BC133" i="70"/>
  <c r="BC141" i="70"/>
  <c r="BC149" i="70"/>
  <c r="BC157" i="70"/>
  <c r="BC165" i="70"/>
  <c r="BC173" i="70"/>
  <c r="BC181" i="70"/>
  <c r="BC189" i="70"/>
  <c r="BC197" i="70"/>
  <c r="BC205" i="70"/>
  <c r="BC213" i="70"/>
  <c r="BC221" i="70"/>
  <c r="BC229" i="70"/>
  <c r="BC237" i="70"/>
  <c r="BC245" i="70"/>
  <c r="BC253" i="70"/>
  <c r="BC261" i="70"/>
  <c r="BC269" i="70"/>
  <c r="BC277" i="70"/>
  <c r="BC285" i="70"/>
  <c r="BC293" i="70"/>
  <c r="BC301" i="70"/>
  <c r="BC309" i="70"/>
  <c r="BC317" i="70"/>
  <c r="BC325" i="70"/>
  <c r="BC333" i="70"/>
  <c r="BC341" i="70"/>
  <c r="BC349" i="70"/>
  <c r="BC357" i="70"/>
  <c r="BC365" i="70"/>
  <c r="BC373" i="70"/>
  <c r="BC381" i="70"/>
  <c r="BC389" i="70"/>
  <c r="BC397" i="70"/>
  <c r="BC405" i="70"/>
  <c r="BC413" i="70"/>
  <c r="BC421" i="70"/>
  <c r="BC429" i="70"/>
  <c r="BC437" i="70"/>
  <c r="BC445" i="70"/>
  <c r="BC453" i="70"/>
  <c r="BC461" i="70"/>
  <c r="BC469" i="70"/>
  <c r="BC477" i="70"/>
  <c r="BC485" i="70"/>
  <c r="BC493" i="70"/>
  <c r="BC501" i="70"/>
  <c r="BC509" i="70"/>
  <c r="BC517" i="70"/>
  <c r="BC525" i="70"/>
  <c r="BC533" i="70"/>
  <c r="BC23" i="70"/>
  <c r="BC31" i="70"/>
  <c r="BC39" i="70"/>
  <c r="BC47" i="70"/>
  <c r="BC55" i="70"/>
  <c r="BC63" i="70"/>
  <c r="BC71" i="70"/>
  <c r="BC79" i="70"/>
  <c r="BC87" i="70"/>
  <c r="BC95" i="70"/>
  <c r="BC103" i="70"/>
  <c r="BC111" i="70"/>
  <c r="BC119" i="70"/>
  <c r="BC127" i="70"/>
  <c r="BC135" i="70"/>
  <c r="BC143" i="70"/>
  <c r="BC151" i="70"/>
  <c r="BC159" i="70"/>
  <c r="BC167" i="70"/>
  <c r="BC175" i="70"/>
  <c r="BC183" i="70"/>
  <c r="BC191" i="70"/>
  <c r="BC199" i="70"/>
  <c r="BC207" i="70"/>
  <c r="BC215" i="70"/>
  <c r="BC223" i="70"/>
  <c r="BC231" i="70"/>
  <c r="BC239" i="70"/>
  <c r="BC247" i="70"/>
  <c r="BC255" i="70"/>
  <c r="BC263" i="70"/>
  <c r="BC271" i="70"/>
  <c r="BC279" i="70"/>
  <c r="BC287" i="70"/>
  <c r="BC295" i="70"/>
  <c r="BC303" i="70"/>
  <c r="BC311" i="70"/>
  <c r="BC319" i="70"/>
  <c r="BC327" i="70"/>
  <c r="BC335" i="70"/>
  <c r="BC343" i="70"/>
  <c r="BC351" i="70"/>
  <c r="BC359" i="70"/>
  <c r="BC367" i="70"/>
  <c r="BC375" i="70"/>
  <c r="BC383" i="70"/>
  <c r="BC391" i="70"/>
  <c r="BC399" i="70"/>
  <c r="BC407" i="70"/>
  <c r="BC415" i="70"/>
  <c r="BC423" i="70"/>
  <c r="BC431" i="70"/>
  <c r="BC439" i="70"/>
  <c r="BC447" i="70"/>
  <c r="BC455" i="70"/>
  <c r="BC463" i="70"/>
  <c r="BC471" i="70"/>
  <c r="BC479" i="70"/>
  <c r="BC487" i="70"/>
  <c r="BC495" i="70"/>
  <c r="BC503" i="70"/>
  <c r="BC511" i="70"/>
  <c r="BC519" i="70"/>
  <c r="BC527" i="70"/>
  <c r="BC16" i="70"/>
  <c r="BC24" i="70"/>
  <c r="BC32" i="70"/>
  <c r="BC40" i="70"/>
  <c r="BC48" i="70"/>
  <c r="BC56" i="70"/>
  <c r="BC64" i="70"/>
  <c r="BC72" i="70"/>
  <c r="BC80" i="70"/>
  <c r="BC88" i="70"/>
  <c r="BC96" i="70"/>
  <c r="BC104" i="70"/>
  <c r="BC112" i="70"/>
  <c r="BC120" i="70"/>
  <c r="BC128" i="70"/>
  <c r="BC136" i="70"/>
  <c r="BC144" i="70"/>
  <c r="BC152" i="70"/>
  <c r="BC160" i="70"/>
  <c r="BC168" i="70"/>
  <c r="BC176" i="70"/>
  <c r="BC184" i="70"/>
  <c r="BC192" i="70"/>
  <c r="BC200" i="70"/>
  <c r="BC208" i="70"/>
  <c r="BC216" i="70"/>
  <c r="BC224" i="70"/>
  <c r="BC232" i="70"/>
  <c r="BC240" i="70"/>
  <c r="BC248" i="70"/>
  <c r="BC256" i="70"/>
  <c r="BC264" i="70"/>
  <c r="BC272" i="70"/>
  <c r="BC280" i="70"/>
  <c r="BC288" i="70"/>
  <c r="BC296" i="70"/>
  <c r="BC304" i="70"/>
  <c r="BC312" i="70"/>
  <c r="BC320" i="70"/>
  <c r="BC328" i="70"/>
  <c r="BC336" i="70"/>
  <c r="BC344" i="70"/>
  <c r="BC352" i="70"/>
  <c r="BC360" i="70"/>
  <c r="BC368" i="70"/>
  <c r="BC376" i="70"/>
  <c r="BC384" i="70"/>
  <c r="BC392" i="70"/>
  <c r="BC400" i="70"/>
  <c r="BC408" i="70"/>
  <c r="BC416" i="70"/>
  <c r="BC424" i="70"/>
  <c r="BC432" i="70"/>
  <c r="BC440" i="70"/>
  <c r="BC448" i="70"/>
  <c r="BC456" i="70"/>
  <c r="BC464" i="70"/>
  <c r="BC472" i="70"/>
  <c r="BC480" i="70"/>
  <c r="BC488" i="70"/>
  <c r="BC496" i="70"/>
  <c r="BC504" i="70"/>
  <c r="BC512" i="70"/>
  <c r="BC520" i="70"/>
  <c r="BC528" i="70"/>
  <c r="BC17" i="70"/>
  <c r="BC25" i="70"/>
  <c r="BC33" i="70"/>
  <c r="BC41" i="70"/>
  <c r="BC49" i="70"/>
  <c r="BC57" i="70"/>
  <c r="BC65" i="70"/>
  <c r="BC73" i="70"/>
  <c r="BC81" i="70"/>
  <c r="BC89" i="70"/>
  <c r="BC97" i="70"/>
  <c r="BC105" i="70"/>
  <c r="BC113" i="70"/>
  <c r="BC121" i="70"/>
  <c r="BC129" i="70"/>
  <c r="BC137" i="70"/>
  <c r="BC145" i="70"/>
  <c r="BC153" i="70"/>
  <c r="BC161" i="70"/>
  <c r="BC169" i="70"/>
  <c r="BC177" i="70"/>
  <c r="BC185" i="70"/>
  <c r="BC193" i="70"/>
  <c r="BC201" i="70"/>
  <c r="BC209" i="70"/>
  <c r="BC217" i="70"/>
  <c r="BC225" i="70"/>
  <c r="BC241" i="70"/>
  <c r="BC249" i="70"/>
  <c r="BC257" i="70"/>
  <c r="BC265" i="70"/>
  <c r="BC273" i="70"/>
  <c r="BC281" i="70"/>
  <c r="BC289" i="70"/>
  <c r="BC297" i="70"/>
  <c r="BC305" i="70"/>
  <c r="BC313" i="70"/>
  <c r="BC321" i="70"/>
  <c r="BC329" i="70"/>
  <c r="BC337" i="70"/>
  <c r="BC345" i="70"/>
  <c r="BC353" i="70"/>
  <c r="BC361" i="70"/>
  <c r="BC369" i="70"/>
  <c r="BC377" i="70"/>
  <c r="BC385" i="70"/>
  <c r="BC393" i="70"/>
  <c r="BC401" i="70"/>
  <c r="BC409" i="70"/>
  <c r="BC417" i="70"/>
  <c r="BC425" i="70"/>
  <c r="BC433" i="70"/>
  <c r="BC441" i="70"/>
  <c r="BC449" i="70"/>
  <c r="BC457" i="70"/>
  <c r="BC465" i="70"/>
  <c r="BC473" i="70"/>
  <c r="BC481" i="70"/>
  <c r="BC489" i="70"/>
  <c r="BC497" i="70"/>
  <c r="BC505" i="70"/>
  <c r="BC513" i="70"/>
  <c r="BC521" i="70"/>
  <c r="BC529" i="70"/>
  <c r="BC18" i="70"/>
  <c r="BC26" i="70"/>
  <c r="BC34" i="70"/>
  <c r="BC42" i="70"/>
  <c r="BC50" i="70"/>
  <c r="BC58" i="70"/>
  <c r="BC66" i="70"/>
  <c r="BC74" i="70"/>
  <c r="BC82" i="70"/>
  <c r="BC90" i="70"/>
  <c r="BC98" i="70"/>
  <c r="BC106" i="70"/>
  <c r="BC114" i="70"/>
  <c r="BC122" i="70"/>
  <c r="BC130" i="70"/>
  <c r="BC138" i="70"/>
  <c r="BC146" i="70"/>
  <c r="BC154" i="70"/>
  <c r="BC162" i="70"/>
  <c r="BC170" i="70"/>
  <c r="BC178" i="70"/>
  <c r="BC186" i="70"/>
  <c r="BC194" i="70"/>
  <c r="BC202" i="70"/>
  <c r="BC210" i="70"/>
  <c r="BC218" i="70"/>
  <c r="BC226" i="70"/>
  <c r="BC234" i="70"/>
  <c r="BC242" i="70"/>
  <c r="BC250" i="70"/>
  <c r="BC258" i="70"/>
  <c r="BC266" i="70"/>
  <c r="BC274" i="70"/>
  <c r="BC282" i="70"/>
  <c r="BC290" i="70"/>
  <c r="BC298" i="70"/>
  <c r="BC306" i="70"/>
  <c r="BC314" i="70"/>
  <c r="BC322" i="70"/>
  <c r="BC330" i="70"/>
  <c r="BC338" i="70"/>
  <c r="BC346" i="70"/>
  <c r="BC354" i="70"/>
  <c r="BC362" i="70"/>
  <c r="BC370" i="70"/>
  <c r="BC378" i="70"/>
  <c r="BC386" i="70"/>
  <c r="BC394" i="70"/>
  <c r="BC402" i="70"/>
  <c r="BC410" i="70"/>
  <c r="BC418" i="70"/>
  <c r="BC426" i="70"/>
  <c r="BC434" i="70"/>
  <c r="BC442" i="70"/>
  <c r="BC450" i="70"/>
  <c r="BC458" i="70"/>
  <c r="BC466" i="70"/>
  <c r="BC474" i="70"/>
  <c r="BC482" i="70"/>
  <c r="BC490" i="70"/>
  <c r="BC498" i="70"/>
  <c r="BC506" i="70"/>
  <c r="BC514" i="70"/>
  <c r="BC522" i="70"/>
  <c r="BC530" i="70"/>
  <c r="BC35" i="70"/>
  <c r="BC67" i="70"/>
  <c r="BC99" i="70"/>
  <c r="BC131" i="70"/>
  <c r="BC163" i="70"/>
  <c r="BC195" i="70"/>
  <c r="BC227" i="70"/>
  <c r="BC259" i="70"/>
  <c r="BC291" i="70"/>
  <c r="BC323" i="70"/>
  <c r="BC355" i="70"/>
  <c r="BC387" i="70"/>
  <c r="BC419" i="70"/>
  <c r="BC451" i="70"/>
  <c r="BC483" i="70"/>
  <c r="BC515" i="70"/>
  <c r="BC38" i="70"/>
  <c r="BC70" i="70"/>
  <c r="BC102" i="70"/>
  <c r="BC134" i="70"/>
  <c r="BC166" i="70"/>
  <c r="BC198" i="70"/>
  <c r="BC230" i="70"/>
  <c r="BC262" i="70"/>
  <c r="BC294" i="70"/>
  <c r="BC326" i="70"/>
  <c r="BC358" i="70"/>
  <c r="BC390" i="70"/>
  <c r="BC422" i="70"/>
  <c r="BC454" i="70"/>
  <c r="BC486" i="70"/>
  <c r="BC518" i="70"/>
  <c r="BC46" i="70"/>
  <c r="BC78" i="70"/>
  <c r="BC110" i="70"/>
  <c r="BC142" i="70"/>
  <c r="BC174" i="70"/>
  <c r="BC206" i="70"/>
  <c r="BC238" i="70"/>
  <c r="BC270" i="70"/>
  <c r="BC302" i="70"/>
  <c r="BC334" i="70"/>
  <c r="BC366" i="70"/>
  <c r="BC398" i="70"/>
  <c r="BC430" i="70"/>
  <c r="BC462" i="70"/>
  <c r="BC494" i="70"/>
  <c r="BC526" i="70"/>
  <c r="BC19" i="70"/>
  <c r="BC51" i="70"/>
  <c r="BC83" i="70"/>
  <c r="BC115" i="70"/>
  <c r="BC147" i="70"/>
  <c r="BC179" i="70"/>
  <c r="BC211" i="70"/>
  <c r="BC243" i="70"/>
  <c r="BC275" i="70"/>
  <c r="BC307" i="70"/>
  <c r="BC339" i="70"/>
  <c r="BC371" i="70"/>
  <c r="BC403" i="70"/>
  <c r="BC435" i="70"/>
  <c r="BC467" i="70"/>
  <c r="BC499" i="70"/>
  <c r="BC531" i="70"/>
  <c r="BC22" i="70"/>
  <c r="BC54" i="70"/>
  <c r="BC86" i="70"/>
  <c r="BC118" i="70"/>
  <c r="BC150" i="70"/>
  <c r="BC182" i="70"/>
  <c r="BC214" i="70"/>
  <c r="BC246" i="70"/>
  <c r="BC278" i="70"/>
  <c r="BC310" i="70"/>
  <c r="BC342" i="70"/>
  <c r="BC374" i="70"/>
  <c r="BC406" i="70"/>
  <c r="BC438" i="70"/>
  <c r="BC470" i="70"/>
  <c r="BC502" i="70"/>
  <c r="BC27" i="70"/>
  <c r="BC59" i="70"/>
  <c r="BC91" i="70"/>
  <c r="BC123" i="70"/>
  <c r="BC155" i="70"/>
  <c r="BC187" i="70"/>
  <c r="BC219" i="70"/>
  <c r="BC251" i="70"/>
  <c r="BC283" i="70"/>
  <c r="BC315" i="70"/>
  <c r="BC347" i="70"/>
  <c r="BC379" i="70"/>
  <c r="BC411" i="70"/>
  <c r="BC443" i="70"/>
  <c r="BC475" i="70"/>
  <c r="BC507" i="70"/>
  <c r="BC94" i="70"/>
  <c r="BC222" i="70"/>
  <c r="BC350" i="70"/>
  <c r="BC478" i="70"/>
  <c r="BC107" i="70"/>
  <c r="BC235" i="70"/>
  <c r="BC363" i="70"/>
  <c r="BC491" i="70"/>
  <c r="BC139" i="70"/>
  <c r="BC267" i="70"/>
  <c r="BC395" i="70"/>
  <c r="BC523" i="70"/>
  <c r="BC30" i="70"/>
  <c r="BC158" i="70"/>
  <c r="BC286" i="70"/>
  <c r="BC414" i="70"/>
  <c r="BC43" i="70"/>
  <c r="BC171" i="70"/>
  <c r="BC299" i="70"/>
  <c r="BC427" i="70"/>
  <c r="BC62" i="70"/>
  <c r="BC190" i="70"/>
  <c r="BC318" i="70"/>
  <c r="BC446" i="70"/>
  <c r="BC331" i="70"/>
  <c r="BC382" i="70"/>
  <c r="BC510" i="70"/>
  <c r="BC75" i="70"/>
  <c r="BC126" i="70"/>
  <c r="BC203" i="70"/>
  <c r="BC459" i="70"/>
  <c r="BC254" i="70"/>
  <c r="BI233" i="70" l="1"/>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C233"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<sst xmlns="http://schemas.openxmlformats.org/spreadsheetml/2006/main" count="11928" uniqueCount="2170">
  <si>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</si>
  <si>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</si>
  <si>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</si>
  <si>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</si>
  <si>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</si>
  <si>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</si>
  <si>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</si>
  <si>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</si>
  <si>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</si>
  <si>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</si>
  <si>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</si>
  <si>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</si>
  <si>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</si>
  <si>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</si>
  <si>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</si>
  <si>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</si>
  <si>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</si>
  <si>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</si>
  <si>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</si>
  <si>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</si>
  <si>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</si>
  <si>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</si>
  <si>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</si>
  <si>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</si>
  <si>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</si>
  <si>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</si>
  <si>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</si>
  <si>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</si>
  <si>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</si>
  <si>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</si>
  <si>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</si>
  <si>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</si>
  <si>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</si>
  <si>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</si>
  <si>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</si>
  <si>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</si>
  <si>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</si>
  <si>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</si>
  <si>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</si>
  <si>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</si>
  <si>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</si>
  <si>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</si>
  <si>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</si>
  <si>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</si>
  <si>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</si>
  <si>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</si>
  <si>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</si>
  <si>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</si>
  <si>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</si>
  <si>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</si>
  <si>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</si>
  <si>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</si>
  <si>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</si>
  <si>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</si>
  <si>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</si>
  <si>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</si>
  <si>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</si>
  <si>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</si>
  <si>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</si>
  <si>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</si>
  <si>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</si>
  <si>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</si>
  <si>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</si>
  <si>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</si>
  <si>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</si>
  <si>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</si>
  <si>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</si>
  <si>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</si>
  <si>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</si>
  <si>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</si>
  <si>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</si>
  <si>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</si>
  <si>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</si>
  <si>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</si>
  <si>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</si>
  <si>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</si>
  <si>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</si>
  <si>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</si>
  <si>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</si>
  <si>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</si>
  <si>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</si>
  <si>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</si>
  <si>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</si>
  <si>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</si>
  <si>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</si>
  <si>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</si>
  <si>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</si>
  <si>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</si>
  <si>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</si>
  <si>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</si>
  <si>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</si>
  <si>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</si>
  <si>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</si>
  <si>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</si>
  <si>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</si>
  <si>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</si>
  <si>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</si>
  <si>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</si>
  <si>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</si>
  <si>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</si>
  <si>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</si>
  <si>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</si>
  <si>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</si>
  <si>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</si>
  <si>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</si>
  <si>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</si>
  <si>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</si>
  <si>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</si>
  <si>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</si>
  <si>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</si>
  <si>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</si>
  <si>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</si>
  <si>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</si>
  <si>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</si>
  <si>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</si>
  <si>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</si>
  <si>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</si>
  <si>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</si>
  <si>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</si>
  <si>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</si>
  <si>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</si>
  <si>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</si>
  <si>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</si>
  <si>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</si>
  <si>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</si>
  <si>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</si>
  <si>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</si>
  <si>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</si>
  <si>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</si>
  <si>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</si>
  <si>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</si>
  <si>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</si>
  <si>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</si>
  <si>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</si>
  <si>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</si>
  <si>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</si>
  <si>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</si>
  <si>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</si>
  <si>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</si>
  <si>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</si>
  <si>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</si>
  <si>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</si>
  <si>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</si>
  <si>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</si>
  <si>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</si>
  <si>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</si>
  <si>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</si>
  <si>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</si>
  <si>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</si>
  <si>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</si>
  <si>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</si>
  <si>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</si>
  <si>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</si>
  <si>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</si>
  <si>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</si>
  <si>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</si>
  <si>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</si>
  <si>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</si>
  <si>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</si>
  <si>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</si>
  <si>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</si>
  <si>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</si>
  <si>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</si>
  <si>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</si>
  <si>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</si>
  <si>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</si>
  <si>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</si>
  <si>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</si>
  <si>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</si>
  <si>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</si>
  <si>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</si>
  <si>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</si>
  <si>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</si>
  <si>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</si>
  <si>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</si>
  <si>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</si>
  <si>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</si>
  <si>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</si>
  <si>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</si>
  <si>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</si>
  <si>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</si>
  <si>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</si>
  <si>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</si>
  <si>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</si>
  <si>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</si>
  <si>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</si>
  <si>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</si>
  <si>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</si>
  <si>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</si>
  <si>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</si>
  <si>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</si>
  <si>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</si>
  <si>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</si>
  <si>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</si>
  <si>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</si>
  <si>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</si>
  <si>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</si>
  <si>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</si>
  <si>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</si>
  <si>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</si>
  <si>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</si>
  <si>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</si>
  <si>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</si>
  <si>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</si>
  <si>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</si>
  <si>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</si>
  <si>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</si>
  <si>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</si>
  <si>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</si>
  <si>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</si>
  <si>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</si>
  <si>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</si>
  <si>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</si>
  <si>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</si>
  <si>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</si>
  <si>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</si>
  <si>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</si>
  <si>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</si>
  <si>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</si>
  <si>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</si>
  <si>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</si>
  <si>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</si>
  <si>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</si>
  <si>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</si>
  <si>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</si>
  <si>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</si>
  <si>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</si>
  <si>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</si>
  <si>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</si>
  <si>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</si>
  <si>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</si>
  <si>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</si>
  <si>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</si>
  <si>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</si>
  <si>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</si>
  <si>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</si>
  <si>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</si>
  <si>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</si>
  <si>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</si>
  <si>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</si>
  <si>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</si>
  <si>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</si>
  <si>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</si>
  <si>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</si>
  <si>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</si>
  <si>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</si>
  <si>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</si>
  <si>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</si>
  <si>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</si>
  <si>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</si>
  <si>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</si>
  <si>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</si>
  <si>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</si>
  <si>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</si>
  <si>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</si>
  <si>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</si>
  <si>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</si>
  <si>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</si>
  <si>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</si>
  <si>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</si>
  <si>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</si>
  <si>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</si>
  <si>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</si>
  <si>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</si>
  <si>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</si>
  <si>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</si>
  <si>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</si>
  <si>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</si>
  <si>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</si>
  <si>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</si>
  <si>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</si>
  <si>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</si>
  <si>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</si>
  <si>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</si>
  <si>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</si>
  <si>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</si>
  <si>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</si>
  <si>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</si>
  <si>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</si>
  <si>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</si>
  <si>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</si>
  <si>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</si>
  <si>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</si>
  <si>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</si>
  <si>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</si>
  <si>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</si>
  <si>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</si>
  <si>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</si>
  <si>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</si>
  <si>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</si>
  <si>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</si>
  <si>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</si>
  <si>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</si>
  <si>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</si>
  <si>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</si>
  <si>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</si>
  <si>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</si>
  <si>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</si>
  <si>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</si>
  <si>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</si>
  <si>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</si>
  <si>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</si>
  <si>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</si>
  <si>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</si>
  <si>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</si>
  <si>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</si>
  <si>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</si>
  <si>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</si>
  <si>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</si>
  <si>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</si>
  <si>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</si>
  <si>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</si>
  <si>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</si>
  <si>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</si>
  <si>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</si>
  <si>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</si>
  <si>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</si>
  <si>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</si>
  <si>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</si>
  <si>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</si>
  <si>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</si>
  <si>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</si>
  <si>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</si>
  <si>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</si>
  <si>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</si>
  <si>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</si>
  <si>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</si>
  <si>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</si>
  <si>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</si>
  <si>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</si>
  <si>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</si>
  <si>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</si>
  <si>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</si>
  <si>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</si>
  <si>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</si>
  <si>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</si>
  <si>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</si>
  <si>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</si>
  <si>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</si>
  <si>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</si>
  <si>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</si>
  <si>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</si>
  <si>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</si>
  <si>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</si>
  <si>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</si>
  <si>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</si>
  <si>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</si>
  <si>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</si>
  <si>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</si>
  <si>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</si>
  <si>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</si>
  <si>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</si>
  <si>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</si>
  <si>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</si>
  <si>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</si>
  <si>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</si>
  <si>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</si>
  <si>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</si>
  <si>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</si>
  <si>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</si>
  <si>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</si>
  <si>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</si>
  <si>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</si>
  <si>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</si>
  <si>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</si>
  <si>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</si>
  <si>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</si>
  <si>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</si>
  <si>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</si>
  <si>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</si>
  <si>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</si>
  <si>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</si>
  <si>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</si>
  <si>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</si>
  <si>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</si>
  <si>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</si>
  <si>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</si>
  <si>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</si>
  <si>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</si>
  <si>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</si>
  <si>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</si>
  <si>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</si>
  <si>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</si>
  <si>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</si>
  <si>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</si>
  <si>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</si>
  <si>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</si>
  <si>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</si>
  <si>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</si>
  <si>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</si>
  <si>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</si>
  <si>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</si>
  <si>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</si>
  <si>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</si>
  <si>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</si>
  <si>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</si>
  <si>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</si>
  <si>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</si>
  <si>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</si>
  <si>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</si>
  <si>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</si>
  <si>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</si>
  <si>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</si>
  <si>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</si>
  <si>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</si>
  <si>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</si>
  <si>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</si>
  <si>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</si>
  <si>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</si>
  <si>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</si>
  <si>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</si>
  <si>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</si>
  <si>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</si>
  <si>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</si>
  <si>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</si>
  <si>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</si>
  <si>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</si>
  <si>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</si>
  <si>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</si>
  <si>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</si>
  <si>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</si>
  <si>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</si>
  <si>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</si>
  <si>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</si>
  <si>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</si>
  <si>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</si>
  <si>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</si>
  <si>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</si>
  <si>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</si>
  <si>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</si>
  <si>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</si>
  <si>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</si>
  <si>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</si>
  <si>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</si>
  <si>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</si>
  <si>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</si>
  <si>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</si>
  <si>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</si>
  <si>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</si>
  <si>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</si>
  <si>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</si>
  <si>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</si>
  <si>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</si>
  <si>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</si>
  <si>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</si>
  <si>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</si>
  <si>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</si>
  <si>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</si>
  <si>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</si>
  <si>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</si>
  <si>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</si>
  <si>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</si>
  <si>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</si>
  <si>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</si>
  <si>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</si>
  <si>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</si>
  <si>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</si>
  <si>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</si>
  <si>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</si>
  <si>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</si>
  <si>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</si>
  <si>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</si>
  <si>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</si>
  <si>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</si>
  <si>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</si>
  <si>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</si>
  <si>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</si>
  <si>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</si>
  <si>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</si>
  <si>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</si>
  <si>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</si>
  <si>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</si>
  <si>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</si>
  <si>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</si>
  <si>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</si>
  <si>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</si>
  <si>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</si>
  <si>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</si>
  <si>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</si>
  <si>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</si>
  <si>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</si>
  <si>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</si>
  <si>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</si>
  <si>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</si>
  <si>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</si>
  <si>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</si>
  <si>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</si>
  <si>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</si>
  <si>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</si>
  <si>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</si>
  <si>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</si>
  <si>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</si>
  <si>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</si>
  <si>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</si>
  <si>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</si>
  <si>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</si>
  <si>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</si>
  <si>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</si>
  <si>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</si>
  <si>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</si>
  <si>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</si>
  <si>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</si>
  <si>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</si>
  <si>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</si>
  <si>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</si>
  <si>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</si>
  <si>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</si>
  <si>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</si>
  <si>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</si>
  <si>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</si>
  <si>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</si>
  <si>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</si>
  <si>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</si>
  <si>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</si>
  <si>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</si>
  <si>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</si>
  <si>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</si>
  <si>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</si>
  <si>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</si>
  <si>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</si>
  <si>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</si>
  <si>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</si>
  <si>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</si>
  <si>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</si>
  <si>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</si>
  <si>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</si>
  <si>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</si>
  <si>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</si>
  <si>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</si>
  <si>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</si>
  <si>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</si>
  <si>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</si>
  <si>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</si>
  <si>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</si>
  <si>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</si>
  <si>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</si>
  <si>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</si>
  <si>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</si>
  <si>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</si>
  <si>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</si>
  <si>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</si>
  <si>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</si>
  <si>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</si>
  <si>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</si>
  <si>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</si>
  <si>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</si>
  <si>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</si>
  <si>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</si>
  <si>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</si>
  <si>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</si>
  <si>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</si>
  <si>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</si>
  <si>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</si>
  <si>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</si>
  <si>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</si>
  <si>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</si>
  <si>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</si>
  <si>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</si>
  <si>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</si>
  <si>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</si>
  <si>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</si>
  <si>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</si>
  <si>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</si>
  <si>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</si>
  <si>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</si>
  <si>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</si>
  <si>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</si>
  <si>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</si>
  <si>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</si>
  <si>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</si>
  <si>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</si>
  <si>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</si>
  <si>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</si>
  <si>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</si>
  <si>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</si>
  <si>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</si>
  <si>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</si>
  <si>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</si>
  <si>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</si>
  <si>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</si>
  <si>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</si>
  <si>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</si>
  <si>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</si>
  <si>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</si>
  <si>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</si>
  <si>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</si>
  <si>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</si>
  <si>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</si>
  <si>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</si>
  <si>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</si>
  <si>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</si>
  <si>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</si>
  <si>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</si>
  <si>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</si>
  <si>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</si>
  <si>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</si>
  <si>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</si>
  <si>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</si>
  <si>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</si>
  <si>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</si>
  <si>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</si>
  <si>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</si>
  <si>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</si>
  <si>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</si>
  <si>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</si>
  <si>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</si>
  <si>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</si>
  <si>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</si>
  <si>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</si>
  <si>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</si>
  <si>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</si>
  <si>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</si>
  <si>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</si>
  <si>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</si>
  <si>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</si>
  <si>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</si>
  <si>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</si>
  <si>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</si>
  <si>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</si>
  <si>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</si>
  <si>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</si>
  <si>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</si>
  <si>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</si>
  <si>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</si>
  <si>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</si>
  <si>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</si>
  <si>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</si>
  <si>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</si>
  <si>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</si>
  <si>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</si>
  <si>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</si>
  <si>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</si>
  <si>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</si>
  <si>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</si>
  <si>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</si>
  <si>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</si>
  <si>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</si>
  <si>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</si>
  <si>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</si>
  <si>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</si>
  <si>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</si>
  <si>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</si>
  <si>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</si>
  <si>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</si>
  <si>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</si>
  <si>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</si>
  <si>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</si>
  <si>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</si>
  <si>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</si>
  <si>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</si>
  <si>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</si>
  <si>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</si>
  <si>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</si>
  <si>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</si>
  <si>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</si>
  <si>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</si>
  <si>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</si>
  <si>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</si>
  <si>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</si>
  <si>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</si>
  <si>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</si>
  <si>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</si>
  <si>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</si>
  <si>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</si>
  <si>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</si>
  <si>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</si>
  <si>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</si>
  <si>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</si>
  <si>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</si>
  <si>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</si>
  <si>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</si>
  <si>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</si>
  <si>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</si>
  <si>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</si>
  <si>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</si>
  <si>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</si>
  <si>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</si>
  <si>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</si>
  <si>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</si>
  <si>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</si>
  <si>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</si>
  <si>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</si>
  <si>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</si>
  <si>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</si>
  <si>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</si>
  <si>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</si>
  <si>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</si>
  <si>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</si>
  <si>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</si>
  <si>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</si>
  <si>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</si>
  <si>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</si>
  <si>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</si>
  <si>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</si>
  <si>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</si>
  <si>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</si>
  <si>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</si>
  <si>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</si>
  <si>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</si>
  <si>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</si>
  <si>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</si>
  <si>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</si>
  <si>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</si>
  <si>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</si>
  <si>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</si>
  <si>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</si>
  <si>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</si>
  <si>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</si>
  <si>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</si>
  <si>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</si>
  <si>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</si>
  <si>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</si>
  <si>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</si>
  <si>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</si>
  <si>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</si>
  <si>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</si>
  <si>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</si>
  <si>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</si>
  <si>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</si>
  <si>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</si>
  <si>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</si>
  <si>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</si>
  <si>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</si>
  <si>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</si>
  <si>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</si>
  <si>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</si>
  <si>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</si>
  <si>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</si>
  <si>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</si>
  <si>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</si>
  <si>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</si>
  <si>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</si>
  <si>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</si>
  <si>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</si>
  <si>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</si>
  <si>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</si>
  <si>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</si>
  <si>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</si>
  <si>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</si>
  <si>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</si>
  <si>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</si>
  <si>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</si>
  <si>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</si>
  <si>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</si>
  <si>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</si>
  <si>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</si>
  <si>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</si>
  <si>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</si>
  <si>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</si>
  <si>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</si>
  <si>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</si>
  <si>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</si>
  <si>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</si>
  <si>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</si>
  <si>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</si>
  <si>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</si>
  <si>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</si>
  <si>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</si>
  <si>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</si>
  <si>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</si>
  <si>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</si>
  <si>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</si>
  <si>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</si>
  <si>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</si>
  <si>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</si>
  <si>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</si>
  <si>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</si>
  <si>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</si>
  <si>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</si>
  <si>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</si>
  <si>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</si>
  <si>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</si>
  <si>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</si>
  <si>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</si>
  <si>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</si>
  <si>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</si>
  <si>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</si>
  <si>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</si>
  <si>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</si>
  <si>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</si>
  <si>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</si>
  <si>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</si>
  <si>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</si>
  <si>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</si>
  <si>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</si>
  <si>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</si>
  <si>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</si>
  <si>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</si>
  <si>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</si>
  <si>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</si>
  <si>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</si>
  <si>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</si>
  <si>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</si>
  <si>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</si>
  <si>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</si>
  <si>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</si>
  <si>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</si>
  <si>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</si>
  <si>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</si>
  <si>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</si>
  <si>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</si>
  <si>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</si>
  <si>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</si>
  <si>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</si>
  <si>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</si>
  <si>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</si>
  <si>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</si>
  <si>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</si>
  <si>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</si>
  <si>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</si>
  <si>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</si>
  <si>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</si>
  <si>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</si>
  <si>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</si>
  <si>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</si>
  <si>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</si>
  <si>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</si>
  <si>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</si>
  <si>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</si>
  <si>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</si>
  <si>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</si>
  <si>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</si>
  <si>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</si>
  <si>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</si>
  <si>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</si>
  <si>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</si>
  <si>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</si>
  <si>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</si>
  <si>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</si>
  <si>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</si>
  <si>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</si>
  <si>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</si>
  <si>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</si>
  <si>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</si>
  <si>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</si>
  <si>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</si>
  <si>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</si>
  <si>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</si>
  <si>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</si>
  <si>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</si>
  <si>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</si>
  <si>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</si>
  <si>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</si>
  <si>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</si>
  <si>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</si>
  <si>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</si>
  <si>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</si>
  <si>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</si>
  <si>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</si>
  <si>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</si>
  <si>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</si>
  <si>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</si>
  <si>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</si>
  <si>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</si>
  <si>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</si>
  <si>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</si>
  <si>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</si>
  <si>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</si>
  <si>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</si>
  <si>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</si>
  <si>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</si>
  <si>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</si>
  <si>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</si>
  <si>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</si>
  <si>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</si>
  <si>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</si>
  <si>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</si>
  <si>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</si>
  <si>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</si>
  <si>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</si>
  <si>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</si>
  <si>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</si>
  <si>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</si>
  <si>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</si>
  <si>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</si>
  <si>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</si>
  <si>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</si>
  <si>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</si>
  <si>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</si>
  <si>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</si>
  <si>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</si>
  <si>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</si>
  <si>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</si>
  <si>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</si>
  <si>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</si>
  <si>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</si>
  <si>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</si>
  <si>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</si>
  <si>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</si>
  <si>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</si>
  <si>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</si>
  <si>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</si>
  <si>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</si>
  <si>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</si>
  <si>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</si>
  <si>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</si>
  <si>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</si>
  <si>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</si>
  <si>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</si>
  <si>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</si>
  <si>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</si>
  <si>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</si>
  <si>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</si>
  <si>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</si>
  <si>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</si>
  <si>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</si>
  <si>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</si>
  <si>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</si>
  <si>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</si>
  <si>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</si>
  <si>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</si>
  <si>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</si>
  <si>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</si>
  <si>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</si>
  <si>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</si>
  <si>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</si>
  <si>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</si>
  <si>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</si>
  <si>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</si>
  <si>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</si>
  <si>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</si>
  <si>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</si>
  <si>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</si>
  <si>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</si>
  <si>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</si>
  <si>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</si>
  <si>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</si>
  <si>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</si>
  <si>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</si>
  <si>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</si>
  <si>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</si>
  <si>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</si>
  <si>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</si>
  <si>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</si>
  <si>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</si>
  <si>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</si>
  <si>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</si>
  <si>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</si>
  <si>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</si>
  <si>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</si>
  <si>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</si>
  <si>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</si>
  <si>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</si>
  <si>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</si>
  <si>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</si>
  <si>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</si>
  <si>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</si>
  <si>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</si>
  <si>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</si>
  <si>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</si>
  <si>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</si>
  <si>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</si>
  <si>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</si>
  <si>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</si>
  <si>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</si>
  <si>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</si>
  <si>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</si>
  <si>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</si>
  <si>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</si>
  <si>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</si>
  <si>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</si>
  <si>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</si>
  <si>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</si>
  <si>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</si>
  <si>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</si>
  <si>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</si>
  <si>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</si>
  <si>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</si>
  <si>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</si>
  <si>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</si>
  <si>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</si>
  <si>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</si>
  <si>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</si>
  <si>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</si>
  <si>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</si>
  <si>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</si>
  <si>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</si>
  <si>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</si>
  <si>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</si>
  <si>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</si>
  <si>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</si>
  <si>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</si>
  <si>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</si>
  <si>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</si>
  <si>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</si>
  <si>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</si>
  <si>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</si>
  <si>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</si>
  <si>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</si>
  <si>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</si>
  <si>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</si>
  <si>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</si>
  <si>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</si>
  <si>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</si>
  <si>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</si>
  <si>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</si>
  <si>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</si>
  <si>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</si>
  <si>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</si>
  <si>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</si>
  <si>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</si>
  <si>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</si>
  <si>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</si>
  <si>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</si>
  <si>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</si>
  <si>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</si>
  <si>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</si>
  <si>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</si>
  <si>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</si>
  <si>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</si>
  <si>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</si>
  <si>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</si>
  <si>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</si>
  <si>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</si>
  <si>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</si>
  <si>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</si>
  <si>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</si>
  <si>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</si>
  <si>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</si>
  <si>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</si>
  <si>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</si>
  <si>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</si>
  <si>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</si>
  <si>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</si>
  <si>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</si>
  <si>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</si>
  <si>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</si>
  <si>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</si>
  <si>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</si>
  <si>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</si>
  <si>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</si>
  <si>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</si>
  <si>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</si>
  <si>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</si>
  <si>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</si>
  <si>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</si>
  <si>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</si>
  <si>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</si>
  <si>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</si>
  <si>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</si>
  <si>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</si>
  <si>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</si>
  <si>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</si>
  <si>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</si>
  <si>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</si>
  <si>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</si>
  <si>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</si>
  <si>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</si>
  <si>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</si>
  <si>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</si>
  <si>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</si>
  <si>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</si>
  <si>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</si>
  <si>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</si>
  <si>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</si>
  <si>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</si>
  <si>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</si>
  <si>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</si>
  <si>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</si>
  <si>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</si>
  <si>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</si>
  <si>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</si>
  <si>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</si>
  <si>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</si>
  <si>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</si>
  <si>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</si>
  <si>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</si>
  <si>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</si>
  <si>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</si>
  <si>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</si>
  <si>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</si>
  <si>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</si>
  <si>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</si>
  <si>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</si>
  <si>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</si>
  <si>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</si>
  <si>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</si>
  <si>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</si>
  <si>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</si>
  <si>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</si>
  <si>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</si>
  <si>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</si>
  <si>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</si>
  <si>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</si>
  <si>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</si>
  <si>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</si>
  <si>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</si>
  <si>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</si>
  <si>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</si>
  <si>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</si>
  <si>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</si>
  <si>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</si>
  <si>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</si>
  <si>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</si>
  <si>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</si>
  <si>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</si>
  <si>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</si>
  <si>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</si>
  <si>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</si>
  <si>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</si>
  <si>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</si>
  <si>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</si>
  <si>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</si>
  <si>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</si>
  <si>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</si>
  <si>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</si>
  <si>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</si>
  <si>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</si>
  <si>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</si>
  <si>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</si>
  <si>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</si>
  <si>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</si>
  <si>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</si>
  <si>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</si>
  <si>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</si>
  <si>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</si>
  <si>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</si>
  <si>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</si>
  <si>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</si>
  <si>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</si>
  <si>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</si>
  <si>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</si>
  <si>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</si>
  <si>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</si>
  <si>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</si>
  <si>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</si>
  <si>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</si>
  <si>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</si>
  <si>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</si>
  <si>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</si>
  <si>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</si>
  <si>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</si>
  <si>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</si>
  <si>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</si>
  <si>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</si>
  <si>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</si>
  <si>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</si>
  <si>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</si>
  <si>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</si>
  <si>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</si>
  <si>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</si>
  <si>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</si>
  <si>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</si>
  <si>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</si>
  <si>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</si>
  <si>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</si>
  <si>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</si>
  <si>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</si>
  <si>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</si>
  <si>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</si>
  <si>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</si>
  <si>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</si>
  <si>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</si>
  <si>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</si>
  <si>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</si>
  <si>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</si>
  <si>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</si>
  <si>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</si>
  <si>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</si>
  <si>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</si>
  <si>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</si>
  <si>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</si>
  <si>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</si>
  <si>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</si>
  <si>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</si>
  <si>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</si>
  <si>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</si>
  <si>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</si>
  <si>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</si>
  <si>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</si>
  <si>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</si>
  <si>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</si>
  <si>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</si>
  <si>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</si>
  <si>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</si>
  <si>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</si>
  <si>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</si>
  <si>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</si>
  <si>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</si>
  <si>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</si>
  <si>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</si>
  <si>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</si>
  <si>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</si>
  <si>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</si>
  <si>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</si>
  <si>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</si>
  <si>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</si>
  <si>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</si>
  <si>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</si>
  <si>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</si>
  <si>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</si>
  <si>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</si>
  <si>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</si>
  <si>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</si>
  <si>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</si>
  <si>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</si>
  <si>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</si>
  <si>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</si>
  <si>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</si>
  <si>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</si>
  <si>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</si>
  <si>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</si>
  <si>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</si>
  <si>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</si>
  <si>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</si>
  <si>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</si>
  <si>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</si>
  <si>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</si>
  <si>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</si>
  <si>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</si>
  <si>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</si>
  <si>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</si>
  <si>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</si>
  <si>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</si>
  <si>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</si>
  <si>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</si>
  <si>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</si>
  <si>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</si>
  <si>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</si>
  <si>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</si>
  <si>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</si>
  <si>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</si>
  <si>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</si>
  <si>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</si>
  <si>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</si>
  <si>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</si>
  <si>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</si>
  <si>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</si>
  <si>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</si>
  <si>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</si>
  <si>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</si>
  <si>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</si>
  <si>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</si>
  <si>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</si>
  <si>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</si>
  <si>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</si>
  <si>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</si>
  <si>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</si>
  <si>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</si>
  <si>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</si>
  <si>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</si>
  <si>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</si>
  <si>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</si>
  <si>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</si>
  <si>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</si>
  <si>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</si>
  <si>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</si>
  <si>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</si>
  <si>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</si>
  <si>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</si>
  <si>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</si>
  <si>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</si>
  <si>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</si>
  <si>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</si>
  <si>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</si>
  <si>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</si>
  <si>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</si>
  <si>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</si>
  <si>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</si>
  <si>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</si>
  <si>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</si>
  <si>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</si>
  <si>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</si>
  <si>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</si>
  <si>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</si>
  <si>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</si>
  <si>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</si>
  <si>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</si>
  <si>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</si>
  <si>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</si>
  <si>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</si>
  <si>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</si>
  <si>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</si>
  <si>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</si>
  <si>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</si>
  <si>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</si>
  <si>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</si>
  <si>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</si>
  <si>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</si>
  <si>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</si>
  <si>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</si>
  <si>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</si>
  <si>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</si>
  <si>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</si>
  <si>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</si>
  <si>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</si>
  <si>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</si>
  <si>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</si>
  <si>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</si>
  <si>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</si>
  <si>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</si>
  <si>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</si>
  <si>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</si>
  <si>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</si>
  <si>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</si>
  <si>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</si>
  <si>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</si>
  <si>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</si>
  <si>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</si>
  <si>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</si>
  <si>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</si>
  <si>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</si>
  <si>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</si>
  <si>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</si>
  <si>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</si>
  <si>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</si>
  <si>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</si>
  <si>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</si>
  <si>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</si>
  <si>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</si>
  <si>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</si>
  <si>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</si>
  <si>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</si>
  <si>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</si>
  <si>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</si>
  <si>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</si>
  <si>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</si>
  <si>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</si>
  <si>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</si>
  <si>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</si>
  <si>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</si>
  <si>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</si>
  <si>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</si>
  <si>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</si>
  <si>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</si>
  <si>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</si>
  <si>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</si>
  <si>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</si>
  <si>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</si>
  <si>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</si>
  <si>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</si>
  <si>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</si>
  <si>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</si>
  <si>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</si>
  <si>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</si>
  <si>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</si>
  <si>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</si>
  <si>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</si>
  <si>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</si>
  <si>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</si>
  <si>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</si>
  <si>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</si>
  <si>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</si>
  <si>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</si>
  <si>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</si>
  <si>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</si>
  <si>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</si>
  <si>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</si>
  <si>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</si>
  <si>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</si>
  <si>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</si>
  <si>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</si>
  <si>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</si>
  <si>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</si>
  <si>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</si>
  <si>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</si>
  <si>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</si>
  <si>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</si>
  <si>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</si>
  <si>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</si>
  <si>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</si>
  <si>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</si>
  <si>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</si>
  <si>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</si>
  <si>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</si>
  <si>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</si>
  <si>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</si>
  <si>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</si>
  <si>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</si>
  <si>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</si>
  <si>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</si>
  <si>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</si>
  <si>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</si>
  <si>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</si>
  <si>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</si>
  <si>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</si>
  <si>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</si>
  <si>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</si>
  <si>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</si>
  <si>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</si>
  <si>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</si>
  <si>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</si>
  <si>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</si>
  <si>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</si>
  <si>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</si>
  <si>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</si>
  <si>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</si>
  <si>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</si>
  <si>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</si>
  <si>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</si>
  <si>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</si>
  <si>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</si>
  <si>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</si>
  <si>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</si>
  <si>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</si>
  <si>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</si>
  <si>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</si>
  <si>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</si>
  <si>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</si>
  <si>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</si>
  <si>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</si>
  <si>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</si>
  <si>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</si>
  <si>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</si>
  <si>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</si>
  <si>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</si>
  <si>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</si>
  <si>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</si>
  <si>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</si>
  <si>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</si>
  <si>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</si>
  <si>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</si>
  <si>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</si>
  <si>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</si>
  <si>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</si>
  <si>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</si>
  <si>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</si>
  <si>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</si>
  <si>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</si>
  <si>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</si>
  <si>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</si>
  <si>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</si>
  <si>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</si>
  <si>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</si>
  <si>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</si>
  <si>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</si>
  <si>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</si>
  <si>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</si>
  <si>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</si>
  <si>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</si>
  <si>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</si>
  <si>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</si>
  <si>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</si>
  <si>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</si>
  <si>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</si>
  <si>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</si>
  <si>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</si>
  <si>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</si>
  <si>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</si>
  <si>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</si>
  <si>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</si>
  <si>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</si>
  <si>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</si>
  <si>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</si>
  <si>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</si>
  <si>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</si>
  <si>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</si>
  <si>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</si>
  <si>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</si>
  <si>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</si>
  <si>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</si>
  <si>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</si>
  <si>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</si>
  <si>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</si>
  <si>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</si>
  <si>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</si>
  <si>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</si>
  <si>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</si>
  <si>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</si>
  <si>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</si>
  <si>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</si>
  <si>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</si>
  <si>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</si>
  <si>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</si>
  <si>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</si>
  <si>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</si>
  <si>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</si>
  <si>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</si>
  <si>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</si>
  <si>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</si>
  <si>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</si>
  <si>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</si>
  <si>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</si>
  <si>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</si>
  <si>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</si>
  <si>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</si>
  <si>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</si>
  <si>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</si>
  <si>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</si>
  <si>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</si>
  <si>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</si>
  <si>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</si>
  <si>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</si>
  <si>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</si>
  <si>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</si>
  <si>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</si>
  <si>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</si>
  <si>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</si>
  <si>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</si>
  <si>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</si>
  <si>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</si>
  <si>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</si>
  <si>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</si>
  <si>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</si>
  <si>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</si>
  <si>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</si>
  <si>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</si>
  <si>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</si>
  <si>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</si>
  <si>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</si>
  <si>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</si>
  <si>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</si>
  <si>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</si>
  <si>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</si>
  <si>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</si>
  <si>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</si>
  <si>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</si>
  <si>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</si>
  <si>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</si>
  <si>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</si>
  <si>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</si>
  <si>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</si>
  <si>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</si>
  <si>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</si>
  <si>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</si>
  <si>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</si>
  <si>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</si>
  <si>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</si>
  <si>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</si>
  <si>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</si>
  <si>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</si>
  <si>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</si>
  <si>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</si>
  <si>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</si>
  <si>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</si>
  <si>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</si>
  <si>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</si>
  <si>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</si>
  <si>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</si>
  <si>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</si>
  <si>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</si>
  <si>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</si>
  <si>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</si>
  <si>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</si>
  <si>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</si>
  <si>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</si>
  <si>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</si>
  <si>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</si>
  <si>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</si>
  <si>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</si>
  <si>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</si>
  <si>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</si>
  <si>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</si>
  <si>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</si>
  <si>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</si>
  <si>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</si>
  <si>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</si>
  <si>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</si>
  <si>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</si>
  <si>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</si>
  <si>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</si>
  <si>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</si>
  <si>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</si>
  <si>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</si>
  <si>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</si>
  <si>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</si>
  <si>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</si>
  <si>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</si>
  <si>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</si>
  <si>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</si>
  <si>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</si>
  <si>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</si>
  <si>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</si>
  <si>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</si>
  <si>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</si>
  <si>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</si>
  <si>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</si>
  <si>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</si>
  <si>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</si>
  <si>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</si>
  <si>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</si>
  <si>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</si>
  <si>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</si>
  <si>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</si>
  <si>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</si>
  <si>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</si>
  <si>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</si>
  <si>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</si>
  <si>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</si>
  <si>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</si>
  <si>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</si>
  <si>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</si>
  <si>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</si>
  <si>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</si>
  <si>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</si>
  <si>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</si>
  <si>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</si>
  <si>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</si>
  <si>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</si>
  <si>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</si>
  <si>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</si>
  <si>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</si>
  <si>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</si>
  <si>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</si>
  <si>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</si>
  <si>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</si>
  <si>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</si>
  <si>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</si>
  <si>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</si>
  <si>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</si>
  <si>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</si>
  <si>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</si>
  <si>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</si>
  <si>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</si>
  <si>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</si>
  <si>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</si>
  <si>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</si>
  <si>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</si>
  <si>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</si>
  <si>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</si>
  <si>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</si>
  <si>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</si>
  <si>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</si>
  <si>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</si>
  <si>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</si>
  <si>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</si>
  <si>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</si>
  <si>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</si>
  <si>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</si>
  <si>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</si>
  <si>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</si>
  <si>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</si>
  <si>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</si>
  <si>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</si>
  <si>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</si>
  <si>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</si>
  <si>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</si>
  <si>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</si>
  <si>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</si>
  <si>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</si>
  <si>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</si>
  <si>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</si>
  <si>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</si>
  <si>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</si>
  <si>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</si>
  <si>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</si>
  <si>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</si>
  <si>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</si>
  <si>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</si>
  <si>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</si>
  <si>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</si>
  <si>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</si>
  <si>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</si>
  <si>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</si>
  <si>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</si>
  <si>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</si>
  <si>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</si>
  <si>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</si>
  <si>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</si>
  <si>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</si>
  <si>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</si>
  <si>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</si>
  <si>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</si>
  <si>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</si>
  <si>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</si>
  <si>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</si>
  <si>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</si>
  <si>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</si>
  <si>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</si>
  <si>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</si>
  <si>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</si>
  <si>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</si>
  <si>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</si>
  <si>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</si>
  <si>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</si>
  <si>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</si>
  <si>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</si>
  <si>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</si>
  <si>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</si>
  <si>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</si>
  <si>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</si>
  <si>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</si>
  <si>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</si>
  <si>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</si>
  <si>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</si>
  <si>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</si>
  <si>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</si>
  <si>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</si>
  <si>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</si>
  <si>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</si>
  <si>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</si>
  <si>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</si>
  <si>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</si>
  <si>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</si>
  <si>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</si>
  <si>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</si>
  <si>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</si>
  <si>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</si>
  <si>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</si>
  <si>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</si>
  <si>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</si>
  <si>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</si>
  <si>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</si>
  <si>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</si>
  <si>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</si>
  <si>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</si>
  <si>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</si>
  <si>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</si>
  <si>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</si>
  <si>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</si>
  <si>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</si>
  <si>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</si>
  <si>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</si>
  <si>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</si>
  <si>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</si>
  <si>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</si>
  <si>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</si>
  <si>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</si>
  <si>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</si>
  <si>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</si>
  <si>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</si>
  <si>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</si>
  <si>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</si>
  <si>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</si>
  <si>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</si>
  <si>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</si>
  <si>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</si>
  <si>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</si>
  <si>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</si>
  <si>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</si>
  <si>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</si>
  <si>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</si>
  <si>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</si>
  <si>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</si>
  <si>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</si>
  <si>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</si>
  <si>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</si>
  <si>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</si>
  <si>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</si>
  <si>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</si>
  <si>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</si>
  <si>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</si>
  <si>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</si>
  <si>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</si>
  <si>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</si>
  <si>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</si>
  <si>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</si>
  <si>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</si>
  <si>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</si>
  <si>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</si>
  <si>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</si>
  <si>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</si>
  <si>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</si>
  <si>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</si>
  <si>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</si>
  <si>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</si>
  <si>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</si>
  <si>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</si>
  <si>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</si>
  <si>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</si>
  <si>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</si>
  <si>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</si>
  <si>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</si>
  <si>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</si>
  <si>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</si>
  <si>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</si>
  <si>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</si>
  <si>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</si>
  <si>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</si>
  <si>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</si>
  <si>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</si>
  <si>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</si>
  <si>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</si>
  <si>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</si>
  <si>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</si>
  <si>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</si>
  <si>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</si>
  <si>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</si>
  <si>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</si>
  <si>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</si>
  <si>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</si>
  <si>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</si>
  <si>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</si>
  <si>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</si>
  <si>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</si>
  <si>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</si>
  <si>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</si>
  <si>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</si>
  <si>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</si>
  <si>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</si>
  <si>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</si>
  <si>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</si>
  <si>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</si>
  <si>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</si>
  <si>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</si>
  <si>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</si>
  <si>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</si>
  <si>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</si>
  <si>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</si>
  <si>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</si>
  <si>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</si>
  <si>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</si>
  <si>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</si>
  <si>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</si>
  <si>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</si>
  <si>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</si>
  <si>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</si>
  <si>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</si>
  <si>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</si>
  <si>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</si>
  <si>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</si>
  <si>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</si>
  <si>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</si>
  <si>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</si>
  <si>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</si>
  <si>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</si>
  <si>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</si>
  <si>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</si>
  <si>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</si>
  <si>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</si>
  <si>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</si>
  <si>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</si>
  <si>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</si>
  <si>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</si>
  <si>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</si>
  <si>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</si>
  <si>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</si>
  <si>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</si>
  <si>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</si>
  <si>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</si>
  <si>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</si>
  <si>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</si>
  <si>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</si>
  <si>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</si>
  <si>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</si>
  <si>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</si>
  <si>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</si>
  <si>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</si>
  <si>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</si>
  <si>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</si>
  <si>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</si>
  <si>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</si>
  <si>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</si>
  <si>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</si>
  <si>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</si>
  <si>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</si>
  <si>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</si>
  <si>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</si>
  <si>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</si>
  <si>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</si>
  <si>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</si>
  <si>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</si>
  <si>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</si>
  <si>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</si>
  <si>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</si>
  <si>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</si>
  <si>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</si>
  <si>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</si>
  <si>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</si>
  <si>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</si>
  <si>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</si>
  <si>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</si>
  <si>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</si>
  <si>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</si>
  <si>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</si>
  <si>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</si>
  <si>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</si>
  <si>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</si>
  <si>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</si>
  <si>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</si>
  <si>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</si>
  <si>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</si>
  <si>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</si>
  <si>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</si>
  <si>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</si>
  <si>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</si>
  <si>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</si>
  <si>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</si>
  <si>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</si>
  <si>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</si>
  <si>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</si>
  <si>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</si>
  <si>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</si>
  <si>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</si>
  <si>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</si>
  <si>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</si>
  <si>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</si>
  <si>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</si>
  <si>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</si>
  <si>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</si>
  <si>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</si>
  <si>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</si>
  <si>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</si>
  <si>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</si>
  <si>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</si>
  <si>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</si>
  <si>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</si>
  <si>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</si>
  <si>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</si>
  <si>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</si>
  <si>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</si>
  <si>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</si>
  <si>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</si>
  <si>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</si>
  <si>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</si>
  <si>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</si>
  <si>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</si>
  <si>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</si>
  <si>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</si>
  <si>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</si>
  <si>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</si>
  <si>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</si>
  <si>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</si>
  <si>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</si>
  <si>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</si>
  <si>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</si>
  <si>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</si>
  <si>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</si>
  <si>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</si>
  <si>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</si>
  <si>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</si>
  <si>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</si>
  <si>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</si>
  <si>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</si>
  <si>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</si>
  <si>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</si>
  <si>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</si>
  <si>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AAYW00001</t>
  </si>
  <si>
    <t>AWD01399</t>
  </si>
  <si>
    <t>MPT Phase 2 B2S</t>
  </si>
  <si>
    <t xml:space="preserve"> MPT B2S Colo Application </t>
  </si>
  <si>
    <t>27-Jan-19</t>
  </si>
  <si>
    <t xml:space="preserve">As per plan </t>
  </si>
  <si>
    <t>ABAG00004</t>
  </si>
  <si>
    <t>BGW00450</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</si>
  <si>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</si>
  <si>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</si>
  <si>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</si>
  <si>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</si>
  <si>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</si>
  <si>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</si>
  <si>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</si>
  <si>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</si>
  <si>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</si>
  <si>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</si>
  <si>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</si>
  <si>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</si>
  <si>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</si>
  <si>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</si>
  <si>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</si>
  <si>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</si>
  <si>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PBAG00032</t>
  </si>
  <si>
    <t>BGE00825</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</si>
  <si>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</si>
  <si>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</si>
  <si>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</si>
  <si>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</si>
  <si>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</si>
  <si>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</si>
  <si>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</si>
  <si>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</si>
  <si>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</si>
  <si>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</si>
  <si>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</si>
  <si>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</si>
  <si>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</si>
  <si>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</si>
  <si>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PTNT00059</t>
  </si>
  <si>
    <t>TNY00789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</si>
  <si>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</si>
  <si>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</si>
  <si>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</si>
  <si>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</si>
  <si>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</si>
  <si>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</si>
  <si>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</si>
  <si>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</si>
  <si>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1-01-13039-001</t>
  </si>
  <si>
    <t>YGNSNCG017_3</t>
  </si>
  <si>
    <t xml:space="preserve">RT -OML Phase - Still awaiting feedback and confirmation from OML Project team </t>
  </si>
  <si>
    <t>ABAG00003</t>
  </si>
  <si>
    <t>BGE00821</t>
  </si>
  <si>
    <t xml:space="preserve">New Colo Apps Submission - MPT Phase 2 BTS </t>
  </si>
  <si>
    <t>Existing Tower: KSGM (NEW) = 34.3%</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</si>
  <si>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</si>
  <si>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</si>
  <si>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</si>
  <si>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</si>
  <si>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</si>
  <si>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</si>
  <si>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</si>
  <si>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</si>
  <si>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</si>
  <si>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</si>
  <si>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</si>
  <si>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</si>
  <si>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</si>
  <si>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</si>
  <si>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</si>
  <si>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</si>
  <si>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</si>
  <si>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</si>
  <si>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</si>
  <si>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</si>
  <si>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</si>
  <si>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</si>
  <si>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</si>
  <si>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</si>
  <si>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</si>
  <si>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</si>
  <si>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</si>
  <si>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</si>
  <si>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</si>
  <si>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</si>
  <si>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</si>
  <si>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</si>
  <si>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</si>
  <si>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</si>
  <si>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</si>
  <si>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</si>
  <si>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</si>
  <si>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</si>
  <si>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</si>
  <si>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</si>
  <si>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</si>
  <si>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</si>
  <si>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</si>
  <si>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</si>
  <si>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</si>
  <si>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</si>
  <si>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</si>
  <si>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</si>
  <si>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</si>
  <si>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</si>
  <si>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</si>
  <si>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</si>
  <si>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</si>
  <si>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</si>
  <si>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</si>
  <si>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</si>
  <si>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</si>
  <si>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</si>
  <si>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</si>
  <si>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</si>
  <si>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</si>
  <si>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</si>
  <si>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</si>
  <si>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</si>
  <si>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</si>
  <si>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</si>
  <si>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</si>
  <si>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Ongoing DG noise issue and Mytel team delivered DG without inform PAT and village. Currently, community againsts new DG and Mytel colo. (off grid area).</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</si>
  <si>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</si>
  <si>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</si>
  <si>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</si>
  <si>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</si>
  <si>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</si>
  <si>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</si>
  <si>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</si>
  <si>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</si>
  <si>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</si>
  <si>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</si>
  <si>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</si>
  <si>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</si>
  <si>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</si>
  <si>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</si>
  <si>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Tower: TML+KSGM (OLD+NEW) ; Tower = 81.9% but FDN unstable due to soil condition is submerged
(Estimate volume of concrete = 6 cb.m;  exten pad of foundation from 6.5m to 7.5m)
Existing Tower: TML(OLD) ; Tower = 74.4% but FDN unstable</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</si>
  <si>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</si>
  <si>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</si>
  <si>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</si>
  <si>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</si>
  <si>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</si>
  <si>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</si>
  <si>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</si>
  <si>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</si>
  <si>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</si>
  <si>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</si>
  <si>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</si>
  <si>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</si>
  <si>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</si>
  <si>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</si>
  <si>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</si>
  <si>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1-2 weeks after approval</t>
  </si>
  <si>
    <t>1-01-10001-007</t>
  </si>
  <si>
    <t>MDYAMTZ004</t>
  </si>
  <si>
    <t>17.35</t>
  </si>
  <si>
    <t>22.35</t>
  </si>
  <si>
    <t>1-01-10003-012</t>
  </si>
  <si>
    <t>MDYCMTN064</t>
  </si>
  <si>
    <t>14.7</t>
  </si>
  <si>
    <t>19.7</t>
  </si>
  <si>
    <t>1-01-10003-002</t>
  </si>
  <si>
    <t>1-01-10003-013</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</si>
  <si>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</si>
  <si>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</si>
  <si>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</si>
  <si>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</si>
  <si>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</si>
  <si>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</si>
  <si>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</si>
  <si>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</si>
  <si>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</si>
  <si>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</si>
  <si>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</si>
  <si>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</si>
  <si>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</si>
  <si>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</si>
  <si>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</si>
  <si>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</si>
  <si>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</si>
  <si>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</si>
  <si>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</si>
  <si>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</si>
  <si>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</si>
  <si>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</si>
  <si>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</si>
  <si>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</si>
  <si>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</si>
  <si>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</si>
  <si>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</si>
  <si>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</si>
  <si>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</si>
  <si>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</si>
  <si>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</si>
  <si>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</si>
  <si>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</si>
  <si>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</si>
  <si>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ANPT00018</t>
  </si>
  <si>
    <t>NPT00540</t>
  </si>
  <si>
    <t>59</t>
  </si>
  <si>
    <t>PAYW00030</t>
  </si>
  <si>
    <t>AWD01425</t>
  </si>
  <si>
    <t>PNPT00048</t>
  </si>
  <si>
    <t>NPT00548</t>
  </si>
  <si>
    <t>PSGG00049</t>
  </si>
  <si>
    <t>SGG01676</t>
  </si>
  <si>
    <t>ASHN00025</t>
  </si>
  <si>
    <t>SHS00969</t>
  </si>
  <si>
    <t>ASHN00027</t>
  </si>
  <si>
    <t>SHS01307</t>
  </si>
  <si>
    <t>PMON00045</t>
  </si>
  <si>
    <t>MON00569</t>
  </si>
  <si>
    <t>PSHN00054</t>
  </si>
  <si>
    <t>SHS01046</t>
  </si>
  <si>
    <t>1-01-13043-006</t>
  </si>
  <si>
    <t>YGNDAGN003</t>
  </si>
  <si>
    <t xml:space="preserve">RT -OML Phase 2 - Still awaiting feedback and confirmation from OML Project team </t>
  </si>
  <si>
    <t>RT</t>
  </si>
  <si>
    <t xml:space="preserve">Rejected as incorrect tower height and vertical space as per actual .  MPT B2S Colo Application </t>
  </si>
  <si>
    <t>not required</t>
  </si>
  <si>
    <t>No Strengthening</t>
  </si>
  <si>
    <t>No Retrofit</t>
  </si>
  <si>
    <t>EXISTING TOWER (KSGM(NEW)):  94.2 %</t>
  </si>
  <si>
    <t>EXISTING TOWER(OML+TML+KSGM(OLD+NEW)): 104.8  %
EXISTING TOWER(OML+TML+KSGM(OLD)):    104.8 %</t>
  </si>
  <si>
    <t>Strengthened Tower(OML+MYTEL+MPT(OLD+NEW)): 104.9 %
Strengthened Tower(OML+MYTEL+MPT(OLD)): 105.1%</t>
  </si>
  <si>
    <t>Strengthened Tower(OML+OP2+KSGM(OLD+NEW)): 89.7 %
Strengthened Tower(OML+OP2+KSGM(OLD)): 89.7 %</t>
  </si>
  <si>
    <t xml:space="preserve">Existing on tower (Actual) - OML with 10.64 sqm/ MPT-2.69Sqm/ Previous Colo Apps - 3.88 Sqm / TML - 3.51 Sqm  - Add 1 RRU </t>
  </si>
  <si>
    <t>EXISTING TOWER(OML+TML+KSGM(OLD+NEW)): 101.1%
EXISTING TOWER(OML+TML+KSGM(OLD)): 100.9 %</t>
  </si>
  <si>
    <t xml:space="preserve">Existing on tower (Actual) - OML with 7.45 sqm/ MPT-6.47 Sqm/ Add 1 RRU </t>
  </si>
  <si>
    <t>Existing Tower: OML+KSGM (OLD+NEW) = 96.1%
Existing Tower: OML+KSGM (OLD) = 97.2%</t>
  </si>
  <si>
    <t>Existing Tower: KSGM (NEW) = 56.7%</t>
  </si>
  <si>
    <t>Existing on tower (Actual) - OML with 8.79 sqm/ MPT- 4.58 Sqm/TML with 3.44 sqm /  Add RRU and ODU</t>
  </si>
  <si>
    <t>OK with Flag</t>
  </si>
  <si>
    <t>Strengthening Later</t>
  </si>
  <si>
    <t>WIND ZONE CHANGE:
Existing Tower: OML+TML+KSGM (OLD+NEW) = 115.0% (new wind zone 160 kPH) (Estimate steel modification weight = 700 kg)
Existing Tower: OML+TML+KSGM (OLD+NEW) = 74.8% (old wind zone 130 kPH)</t>
  </si>
  <si>
    <t>Existing on tower (Actual) - OML with 10.10 sqm/ MPT- 3.56 Sqm/TML with 5.40 sqm /  Add RRU and ODU</t>
  </si>
  <si>
    <t xml:space="preserve">Existing on tower (Actual) - OML with 8.04 sqm/ MPT- 2.39 Sqm/TML with 3.30 sqm /  Add 2 MW ( 0.6 ) , Add ODu and RRU </t>
  </si>
  <si>
    <t>Existing on tower (Actual) - OML with 6.88 sqm/ MPTactual - 2.97 / previous colo apps -  3.72 Sqm - Add RRU</t>
  </si>
  <si>
    <t>Existing on tower (Actual ) - OML with 8.29 sqm / MPTactual - 3.56 sqm / TML - 3.30 sqm - Add 1 RRU</t>
  </si>
  <si>
    <t xml:space="preserve">RT -OML Phase 2- Still awaiting feedback and confirmation from OML Project team </t>
  </si>
  <si>
    <t>Retrofit First</t>
  </si>
  <si>
    <t xml:space="preserve">FDN Unstable: Submerge/Dry Problem
(Estimate volume of concrete = 15 cb.m;  extend pad of foundation to 9.7m)
Tower Stress:
Strengthened Tower: OML+TML+MYTEL+KSGM(OLD+NEW) = 101.3% 
Strengthened Tower: OML+TML+MYTEL+KSGM(OLD) = 99.2% </t>
  </si>
  <si>
    <t>Existing Tower: TML+KSGM (OLD+NEW) = 46.7%</t>
  </si>
  <si>
    <t>22-Jan-2019, structural approved as per Rudy and Steve.</t>
  </si>
  <si>
    <t xml:space="preserve">Existing on tower (Actual) - OML with 7.31 sqm- New Colocation RTT  - New Pole Required </t>
  </si>
  <si>
    <t xml:space="preserve">Existing on tower (Actual) - OML with 7.12 sqm- New Colocation RTT   New Pole Required </t>
  </si>
  <si>
    <t xml:space="preserve">Existing on tower (Actual) - OML with 7.52 sqm- New Colocation RTT  , New Pole Required </t>
  </si>
  <si>
    <t>MDYMHAM002</t>
  </si>
  <si>
    <t xml:space="preserve">Existing on tower (Actual) - OML with 3.85 sqm- New Colocation RTT  , New Pole Required </t>
  </si>
  <si>
    <t>Strengthening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</si>
</sst>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5" tint="0.599963377788628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thin">
        <color indexed="64"/>
      </bottom>
      <diagonal/>
    </border>
    <border>
      <left style="thin">
        <color indexed="64"/>
      </left>
      <right/>
      <top style="thin">
        <color auto="1"/>
      </top>
      <bottom style="thin">
        <color indexed="64"/>
      </bottom>
      <diagonal/>
    </border>
    <border>
      <left style="thin">
        <color indexed="64"/>
      </left>
      <right/>
      <top/>
      <bottom style="thin">
        <color indexed="64"/>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80">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14" fontId="0" fillId="0" borderId="80" xfId="0" applyNumberFormat="1" applyBorder="1" applyAlignment="1"/>
    <xf numFmtId="301" fontId="0" fillId="0" borderId="80" xfId="0" applyNumberFormat="1" applyBorder="1" applyAlignment="1"/>
    <xf numFmtId="300" fontId="0" fillId="0" borderId="80" xfId="0" applyNumberFormat="1" applyBorder="1" applyAlignment="1"/>
    <xf numFmtId="0" fontId="0" fillId="0" borderId="80" xfId="0" applyNumberFormat="1" applyBorder="1" applyAlignment="1">
      <alignment shrinkToFit="1"/>
    </xf>
    <xf numFmtId="164" fontId="0" fillId="0" borderId="80" xfId="0" applyBorder="1" applyAlignment="1"/>
    <xf numFmtId="14" fontId="0" fillId="0" borderId="80" xfId="0" applyNumberFormat="1" applyBorder="1" applyAlignment="1">
      <alignment shrinkToFit="1"/>
    </xf>
    <xf numFmtId="14" fontId="0" fillId="0" borderId="80" xfId="0" applyNumberFormat="1" applyBorder="1"/>
    <xf numFmtId="302" fontId="0" fillId="0" borderId="80" xfId="0" applyNumberFormat="1" applyBorder="1" applyAlignment="1" applyProtection="1">
      <alignment horizontal="center"/>
    </xf>
    <xf numFmtId="0" fontId="0" fillId="0" borderId="80" xfId="0" applyNumberFormat="1" applyBorder="1" applyAlignment="1" applyProtection="1">
      <alignment horizontal="center"/>
    </xf>
    <xf numFmtId="0" fontId="0" fillId="0" borderId="80" xfId="0" applyNumberFormat="1" applyBorder="1" applyAlignment="1" applyProtection="1">
      <protection locked="0"/>
    </xf>
    <xf numFmtId="0" fontId="0" fillId="0" borderId="80" xfId="0" pivotButton="1" applyNumberFormat="1" applyBorder="1"/>
    <xf numFmtId="0" fontId="0" fillId="0" borderId="80" xfId="0" applyNumberFormat="1" applyBorder="1"/>
    <xf numFmtId="0" fontId="0" fillId="0" borderId="80" xfId="0" applyNumberFormat="1" applyBorder="1" applyAlignment="1">
      <alignment horizontal="left"/>
    </xf>
    <xf numFmtId="0" fontId="0" fillId="0" borderId="80" xfId="0" applyNumberFormat="1" applyBorder="1" applyAlignment="1">
      <alignment horizontal="center"/>
    </xf>
    <xf numFmtId="0" fontId="0" fillId="91" borderId="80" xfId="0" applyNumberFormat="1" applyFill="1" applyBorder="1" applyAlignment="1">
      <alignment horizontal="center"/>
    </xf>
    <xf numFmtId="0" fontId="0" fillId="91" borderId="80" xfId="0" applyNumberFormat="1" applyFill="1" applyBorder="1" applyAlignment="1">
      <alignment horizontal="left"/>
    </xf>
    <xf numFmtId="0" fontId="0" fillId="92" borderId="80" xfId="0" applyNumberFormat="1" applyFill="1" applyBorder="1" applyAlignment="1">
      <alignment horizontal="left"/>
    </xf>
    <xf numFmtId="0" fontId="0" fillId="92" borderId="80" xfId="0" applyNumberFormat="1" applyFill="1" applyBorder="1" applyAlignment="1">
      <alignment horizontal="center"/>
    </xf>
    <xf numFmtId="0" fontId="0" fillId="104" borderId="80" xfId="0" applyNumberFormat="1" applyFill="1" applyBorder="1" applyAlignment="1">
      <alignment horizontal="center"/>
    </xf>
    <xf numFmtId="0" fontId="0" fillId="104" borderId="80" xfId="0" applyNumberFormat="1" applyFill="1" applyBorder="1" applyAlignment="1">
      <alignment horizontal="left"/>
    </xf>
    <xf numFmtId="0" fontId="0" fillId="108" borderId="80" xfId="0" applyNumberFormat="1" applyFill="1" applyBorder="1" applyAlignment="1">
      <alignment horizontal="center"/>
    </xf>
    <xf numFmtId="0" fontId="0" fillId="108" borderId="80" xfId="0" applyNumberFormat="1" applyFill="1" applyBorder="1" applyAlignment="1">
      <alignment horizontal="left" indent="1"/>
    </xf>
    <xf numFmtId="0" fontId="0" fillId="109" borderId="80" xfId="0" applyNumberFormat="1" applyFill="1" applyBorder="1" applyAlignment="1">
      <alignment horizontal="center"/>
    </xf>
    <xf numFmtId="0" fontId="0" fillId="109" borderId="80" xfId="0" applyNumberFormat="1" applyFill="1" applyBorder="1" applyAlignment="1">
      <alignment horizontal="left"/>
    </xf>
    <xf numFmtId="0" fontId="0" fillId="110" borderId="80" xfId="0" applyNumberFormat="1" applyFill="1" applyBorder="1" applyAlignment="1">
      <alignment horizontal="center"/>
    </xf>
    <xf numFmtId="0" fontId="0" fillId="110" borderId="80" xfId="0" applyNumberFormat="1" applyFill="1" applyBorder="1" applyAlignment="1">
      <alignment horizontal="left" indent="1"/>
    </xf>
    <xf numFmtId="0" fontId="0" fillId="111" borderId="80" xfId="0" applyNumberFormat="1" applyFill="1" applyBorder="1" applyAlignment="1">
      <alignment horizontal="center"/>
    </xf>
    <xf numFmtId="0" fontId="0" fillId="111" borderId="80" xfId="0" applyNumberFormat="1" applyFill="1" applyBorder="1" applyAlignment="1">
      <alignment horizontal="left" indent="1"/>
    </xf>
    <xf numFmtId="0" fontId="0" fillId="105" borderId="80" xfId="0" applyNumberFormat="1" applyFill="1" applyBorder="1" applyAlignment="1">
      <alignment horizontal="center"/>
    </xf>
    <xf numFmtId="0" fontId="0" fillId="105" borderId="80" xfId="0" applyNumberFormat="1" applyFill="1" applyBorder="1" applyAlignment="1">
      <alignment horizontal="left" indent="1"/>
    </xf>
    <xf numFmtId="0" fontId="259" fillId="0" borderId="80" xfId="33834" applyNumberFormat="1" applyBorder="1" applyAlignment="1" applyProtection="1">
      <protection locked="0"/>
    </xf>
    <xf numFmtId="4" fontId="0" fillId="0" borderId="80" xfId="0" applyNumberFormat="1" applyBorder="1"/>
    <xf numFmtId="0" fontId="260" fillId="0" borderId="0" xfId="0" applyNumberFormat="1" applyFont="1" applyAlignment="1">
      <alignment horizontal="center"/>
    </xf>
    <xf numFmtId="0" fontId="0" fillId="0" borderId="81" xfId="0" applyNumberFormat="1" applyBorder="1" applyAlignment="1"/>
    <xf numFmtId="14" fontId="0" fillId="0" borderId="81" xfId="0" applyNumberFormat="1" applyBorder="1" applyAlignment="1"/>
    <xf numFmtId="301" fontId="0" fillId="0" borderId="81" xfId="0" applyNumberFormat="1" applyBorder="1" applyAlignment="1"/>
    <xf numFmtId="300" fontId="0" fillId="0" borderId="81" xfId="0" applyNumberFormat="1" applyBorder="1" applyAlignment="1"/>
    <xf numFmtId="0" fontId="0" fillId="0" borderId="81" xfId="0" applyNumberFormat="1" applyBorder="1" applyAlignment="1">
      <alignment shrinkToFit="1"/>
    </xf>
    <xf numFmtId="0" fontId="0" fillId="0" borderId="82" xfId="0" applyNumberFormat="1" applyBorder="1" applyAlignment="1">
      <alignment shrinkToFit="1"/>
    </xf>
    <xf numFmtId="0" fontId="0" fillId="0" borderId="83" xfId="0" applyNumberFormat="1" applyBorder="1" applyAlignment="1">
      <alignment shrinkToFit="1"/>
    </xf>
    <xf numFmtId="0" fontId="0" fillId="0" borderId="44" xfId="0" applyNumberFormat="1" applyBorder="1" applyAlignment="1">
      <alignment shrinkToFit="1"/>
    </xf>
    <xf numFmtId="4" fontId="0" fillId="0" borderId="81" xfId="0" applyNumberFormat="1" applyBorder="1"/>
    <xf numFmtId="4" fontId="0" fillId="0" borderId="78" xfId="0" applyNumberFormat="1" applyBorder="1"/>
    <xf numFmtId="0" fontId="0" fillId="0" borderId="79" xfId="0" applyNumberFormat="1" applyBorder="1" applyAlignment="1"/>
    <xf numFmtId="0" fontId="0" fillId="0" borderId="76" xfId="0" applyNumberFormat="1" applyBorder="1" applyAlignment="1"/>
    <xf numFmtId="0" fontId="0" fillId="0" borderId="77" xfId="0" applyNumberFormat="1" applyBorder="1" applyAlignment="1"/>
    <xf numFmtId="164" fontId="0" fillId="0" borderId="81" xfId="0" applyBorder="1" applyAlignment="1"/>
    <xf numFmtId="14" fontId="0" fillId="0" borderId="81" xfId="0" applyNumberFormat="1" applyBorder="1" applyAlignment="1">
      <alignment shrinkToFit="1"/>
    </xf>
    <xf numFmtId="14" fontId="0" fillId="0" borderId="81" xfId="0" applyNumberFormat="1" applyBorder="1"/>
    <xf numFmtId="302" fontId="0" fillId="0" borderId="81" xfId="0" applyNumberFormat="1" applyBorder="1" applyAlignment="1" applyProtection="1">
      <alignment horizontal="center"/>
    </xf>
    <xf numFmtId="0" fontId="0" fillId="0" borderId="81" xfId="0" applyNumberFormat="1" applyBorder="1" applyAlignment="1" applyProtection="1">
      <alignment horizontal="center"/>
    </xf>
    <xf numFmtId="0" fontId="259" fillId="0" borderId="81" xfId="33834" applyNumberFormat="1" applyBorder="1" applyAlignment="1" applyProtection="1">
      <protection locked="0"/>
    </xf>
    <xf numFmtId="0" fontId="0" fillId="0" borderId="81" xfId="0" applyNumberFormat="1" applyBorder="1" applyAlignment="1" applyProtection="1">
      <protection locked="0"/>
    </xf>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215">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font>
        <color theme="7" tint="0.59996337778862885"/>
      </font>
      <fill>
        <patternFill>
          <bgColor theme="7" tint="0.59996337778862885"/>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font>
        <color theme="7" tint="0.59996337778862885"/>
      </font>
      <fill>
        <patternFill>
          <bgColor theme="7" tint="0.59996337778862885"/>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7" tint="0.39994506668294322"/>
      </font>
      <fill>
        <patternFill>
          <bgColor theme="7" tint="0.39994506668294322"/>
        </patternFill>
      </fill>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19" formatCode="yyyy/mm/dd"/>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4" formatCode="#,##0.00"/>
      <border diagonalUp="0" diagonalDown="0">
        <left style="thin">
          <color indexed="64"/>
        </left>
        <right style="thin">
          <color indexed="64"/>
        </right>
        <top style="thin">
          <color auto="1"/>
        </top>
        <bottom style="thin">
          <color indexed="64"/>
        </bottom>
        <vertical/>
        <horizontal/>
      </border>
    </dxf>
    <dxf>
      <numFmt numFmtId="4" formatCode="#,##0.0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alignment horizontal="center" indent="0"/>
    </dxf>
    <dxf>
      <fill>
        <patternFill patternType="solid">
          <fgColor indexed="64"/>
          <bgColor theme="3" tint="0.79998168889431442"/>
        </patternFill>
      </fill>
      <alignment horizontal="left" indent="1"/>
    </dxf>
    <dxf>
      <fill>
        <patternFill patternType="solid">
          <fgColor indexed="64"/>
          <bgColor theme="3" tint="0.79998168889431442"/>
        </patternFill>
      </fill>
    </dxf>
    <dxf>
      <fill>
        <patternFill patternType="solid">
          <bgColor theme="7" tint="0.59999389629810485"/>
        </patternFill>
      </fill>
    </dxf>
    <dxf>
      <fill>
        <patternFill patternType="solid">
          <bgColor theme="7" tint="0.59999389629810485"/>
        </patternFill>
      </fill>
    </dxf>
    <dxf>
      <fill>
        <patternFill patternType="solid">
          <bgColor theme="9" tint="0.59996337778862885"/>
        </patternFill>
      </fill>
    </dxf>
    <dxf>
      <fill>
        <patternFill patternType="solid">
          <bgColor theme="9" tint="0.59996337778862885"/>
        </patternFill>
      </fill>
    </dxf>
    <dxf>
      <fill>
        <patternFill>
          <bgColor theme="3" tint="0.79998168889431442"/>
        </patternFill>
      </fill>
    </dxf>
    <dxf>
      <fill>
        <patternFill>
          <bgColor theme="3" tint="0.59999389629810485"/>
        </patternFill>
      </fill>
    </dxf>
    <dxf>
      <fill>
        <patternFill>
          <bgColor theme="3" tint="0.59999389629810485"/>
        </patternFill>
      </fill>
    </dxf>
    <dxf>
      <fill>
        <patternFill patternType="solid">
          <bgColor theme="5" tint="0.59996337778862885"/>
        </patternFill>
      </fill>
    </dxf>
    <dxf>
      <fill>
        <patternFill patternType="solid">
          <bgColor theme="5" tint="0.599963377788628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bgColor theme="5"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214"/>
      <tableStyleElement type="headerRow" dxfId="213"/>
    </tableStyle>
    <tableStyle name="Slicer Style 1" pivot="0" table="0" count="1" xr9:uid="{00000000-0011-0000-FFFF-FFFF01000000}">
      <tableStyleElement type="wholeTable" dxfId="212"/>
    </tableStyle>
    <tableStyle name="Slicer Style New" pivot="0" table="0" count="10" xr9:uid="{00000000-0011-0000-FFFF-FFFF02000000}">
      <tableStyleElement type="wholeTable" dxfId="211"/>
      <tableStyleElement type="headerRow" dxfId="210"/>
    </tableStyle>
    <tableStyle name="SlicerStyleLight1 2" pivot="0" table="0" count="10" xr9:uid="{04F3D090-57BA-42A8-A8D7-4E3421125EC6}">
      <tableStyleElement type="wholeTable" dxfId="209"/>
      <tableStyleElement type="headerRow" dxfId="208"/>
    </tableStyle>
    <tableStyle name="SlicerStyleLight2 2" pivot="0" table="0" count="10" xr9:uid="{8F21480C-DA51-45E1-BD65-41810A9BB42F}">
      <tableStyleElement type="wholeTable" dxfId="207"/>
      <tableStyleElement type="headerRow" dxfId="206"/>
    </tableStyle>
    <tableStyle name="SlicerStyleLight4 2" pivot="0" table="0" count="10" xr9:uid="{8B7E8BF7-8F1E-4F4E-8386-F4BD3D344F97}">
      <tableStyleElement type="wholeTable" dxfId="205"/>
      <tableStyleElement type="headerRow" dxfId="204"/>
    </tableStyle>
    <tableStyle name="SlicerStyleLight6 2" pivot="0" table="0" count="10" xr9:uid="{3D2E40EC-16FF-4D6A-B2E6-055EBE416B5C}">
      <tableStyleElement type="wholeTable" dxfId="203"/>
      <tableStyleElement type="headerRow" dxfId="202"/>
    </tableStyle>
    <tableStyle name="TimeSlicerStyleLight1 2" pivot="0" table="0" count="9" xr9:uid="{B849AAC8-B35B-4797-B829-468E81F926EA}">
      <tableStyleElement type="wholeTable" dxfId="201"/>
      <tableStyleElement type="headerRow" dxfId="200"/>
    </tableStyle>
    <tableStyle name="TimeSlicerStyleLight6 2" pivot="0" table="0" count="9" xr9:uid="{B056285F-0DEB-4F49-98D9-AE4A16315EDF}">
      <tableStyleElement type="wholeTable" dxfId="199"/>
      <tableStyleElement type="headerRow" dxfId="198"/>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microsoft.com/office/2007/relationships/slicerCache" Target="slicerCaches/slicerCache3.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11/relationships/timelineCache" Target="timelineCaches/timelineCache2.xml"/><Relationship Id="rId19" Type="http://schemas.openxmlformats.org/officeDocument/2006/relationships/customXml" Target="../customXml/item4.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2019-01-23.xlsm]Pivot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229</c:v>
                </c:pt>
                <c:pt idx="1">
                  <c:v>41</c:v>
                </c:pt>
                <c:pt idx="2">
                  <c:v>4</c:v>
                </c:pt>
                <c:pt idx="3">
                  <c:v>5</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2019-01-23.xlsm]Pivot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229</c:v>
                </c:pt>
                <c:pt idx="1">
                  <c:v>41</c:v>
                </c:pt>
                <c:pt idx="2">
                  <c:v>4</c:v>
                </c:pt>
                <c:pt idx="3">
                  <c:v>5</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2</xdr:row>
      <xdr:rowOff>66675</xdr:rowOff>
    </xdr:from>
    <xdr:to>
      <xdr:col>14</xdr:col>
      <xdr:colOff>0</xdr:colOff>
      <xdr:row>11</xdr:row>
      <xdr:rowOff>0</xdr:rowOff>
    </xdr:to>
    <mc:AlternateContent xmlns:mc="http://schemas.openxmlformats.org/markup-compatibility/2006" xmlns:tsle="http://schemas.microsoft.com/office/drawing/2012/timeslicer">
      <mc:Choice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name="Request Date"/>
            </a:graphicData>
          </a:graphic>
        </xdr:graphicFrame>
      </mc:Choice>
      <mc:Fallback xmlns="">
        <xdr:sp macro="" textlink="">
          <xdr:nvSpPr>
            <xdr:cNvPr id="0" name=""/>
            <xdr:cNvSpPr>
              <a:spLocks noTextEdit="1"/>
            </xdr:cNvSpPr>
          </xdr:nvSpPr>
          <xdr:spPr>
            <a:xfrm>
              <a:off x="990600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0</xdr:colOff>
      <xdr:row>11</xdr:row>
      <xdr:rowOff>0</xdr:rowOff>
    </xdr:from>
    <xdr:to>
      <xdr:col>14</xdr:col>
      <xdr:colOff>0</xdr:colOff>
      <xdr:row>19</xdr:row>
      <xdr:rowOff>0</xdr:rowOff>
    </xdr:to>
    <mc:AlternateContent xmlns:mc="http://schemas.openxmlformats.org/markup-compatibility/2006" xmlns:tsle="http://schemas.microsoft.com/office/drawing/2012/timeslicer">
      <mc:Choice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name="Close Date"/>
            </a:graphicData>
          </a:graphic>
        </xdr:graphicFrame>
      </mc:Choice>
      <mc:Fallback xmlns="">
        <xdr:sp macro="" textlink="">
          <xdr:nvSpPr>
            <xdr:cNvPr id="0" name=""/>
            <xdr:cNvSpPr>
              <a:spLocks noTextEdit="1"/>
            </xdr:cNvSpPr>
          </xdr:nvSpPr>
          <xdr:spPr>
            <a:xfrm>
              <a:off x="990600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22</xdr:row>
      <xdr:rowOff>0</xdr:rowOff>
    </xdr:from>
    <xdr:to>
      <xdr:col>1</xdr:col>
      <xdr:colOff>6350</xdr:colOff>
      <xdr:row>31</xdr:row>
      <xdr:rowOff>12699</xdr:rowOff>
    </xdr:to>
    <mc:AlternateContent xmlns:mc="http://schemas.openxmlformats.org/markup-compatibility/2006" xmlns:a14="http://schemas.microsoft.com/office/drawing/2010/main">
      <mc:Choice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mlns="">
        <xdr:sp macro="" textlink="">
          <xdr:nvSpPr>
            <xdr:cNvPr id="0" name=""/>
            <xdr:cNvSpPr>
              <a:spLocks noTextEdit="1"/>
            </xdr:cNvSpPr>
          </xdr:nvSpPr>
          <xdr:spPr>
            <a:xfrm>
              <a:off x="6350" y="4095750"/>
              <a:ext cx="1905000" cy="917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88.70184710648" createdVersion="6" refreshedVersion="6" minRefreshableVersion="3" recordCount="509" xr:uid="{53258328-3782-45BF-AEA8-B99880F9DA82}">
  <cacheSource type="worksheet">
    <worksheetSource name="_05preva_view43"/>
  </cacheSource>
  <cacheFields count="63">
    <cacheField name="Request ID" numFmtId="304">
      <sharedItems containsSemiMixedTypes="0" containsString="0" containsNumber="1" containsInteger="1" minValue="1" maxValue="3639"/>
    </cacheField>
    <cacheField name="Site ID" numFmtId="0">
      <sharedItems/>
    </cacheField>
    <cacheField name="Legacy" numFmtId="0">
      <sharedItems count="2">
        <s v="Apollo"/>
        <s v="Pan Asia"/>
      </sharedItems>
    </cacheField>
    <cacheField name="Region" numFmtId="0">
      <sharedItems count="3">
        <s v="Southern"/>
        <s v="Central"/>
        <s v="Northern"/>
      </sharedItems>
    </cacheField>
    <cacheField name="tenant id" numFmtId="0">
      <sharedItems/>
    </cacheField>
    <cacheField name="Operator" numFmtId="0">
      <sharedItems count="5">
        <s v="MPT"/>
        <s v="Amara"/>
        <s v="OML"/>
        <s v="Mytel"/>
        <s v="Telenor"/>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22T00:00:00" count="76">
        <d v="2019-01-21T00:00:00"/>
        <d v="2019-01-18T00:00:00"/>
        <d v="2019-01-17T00:00:00"/>
        <d v="2019-01-16T00:00:00"/>
        <d v="2019-01-15T00:00:00"/>
        <d v="2019-01-14T00:00:0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2" base="10">
        <rangePr groupBy="days" startDate="2018-03-13T00:00:00" endDate="2019-01-22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22"/>
        </groupItems>
      </fieldGroup>
    </cacheField>
    <cacheField name="Average Power Requested" numFmtId="301">
      <sharedItems containsString="0" containsBlank="1" containsNumber="1" minValue="0.58399999999999996" maxValue="3.8"/>
    </cacheField>
    <cacheField name="Peak Power Requested" numFmtId="301">
      <sharedItems containsString="0" containsBlank="1" containsNumber="1" minValue="0.879" maxValue="5.5259999999999998"/>
    </cacheField>
    <cacheField name="Capacity Requested" numFmtId="0">
      <sharedItems containsString="0" containsBlank="1" containsNumber="1" minValue="1"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Dropped by Operator"/>
        <s v="Prevalidation Rejected"/>
        <s v="Commercial Approval Pending"/>
        <s v="Commercial Approval Requested"/>
        <s v="Approved" u="1"/>
      </sharedItems>
    </cacheField>
    <cacheField name="General Remark" numFmtId="0">
      <sharedItems containsBlank="1"/>
    </cacheField>
    <cacheField name="LandLord" numFmtId="0">
      <sharedItems/>
    </cacheField>
    <cacheField name="LandLord Remarks" numFmtId="0">
      <sharedItems containsBlank="1" longText="1"/>
    </cacheField>
    <cacheField name="Community" numFmtId="0">
      <sharedItems/>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Strengthening" numFmtId="4">
      <sharedItems containsNonDate="0" containsString="0" containsBlank="1"/>
    </cacheField>
    <cacheField name="Foundation Retrofit" numFmtId="4">
      <sharedItems containsNonDate="0" containsString="0"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Forecast" numFmtId="14">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AM Remarks" numFmtId="0">
      <sharedItems containsBlank="1"/>
    </cacheField>
    <cacheField name="Tower Space Time" numFmtId="14">
      <sharedItems containsNonDate="0" containsDate="1" containsString="0" containsBlank="1" minDate="2018-11-13T14:56:11" maxDate="2019-01-22T09:02:36"/>
    </cacheField>
    <cacheField name="Power Time" numFmtId="14">
      <sharedItems containsNonDate="0" containsDate="1" containsString="0" containsBlank="1" minDate="2018-11-13T16:09:11" maxDate="2019-01-21T18:05:09"/>
    </cacheField>
    <cacheField name="Structural Time" numFmtId="14">
      <sharedItems containsNonDate="0" containsDate="1" containsString="0" containsBlank="1" minDate="2018-11-13T16:19:19" maxDate="2019-01-21T15:54:08"/>
    </cacheField>
    <cacheField name="CW Time" numFmtId="14">
      <sharedItems containsNonDate="0" containsDate="1" containsString="0" containsBlank="1" minDate="2018-11-13T17:04:12" maxDate="2019-01-22T09:02:36"/>
    </cacheField>
    <cacheField name="LandLord Time" numFmtId="14">
      <sharedItems containsNonDate="0" containsDate="1" containsString="0" containsBlank="1" minDate="2018-11-13T16:30:56" maxDate="2019-01-15T17:34:26"/>
    </cacheField>
    <cacheField name="Community Time" numFmtId="14">
      <sharedItems containsNonDate="0" containsDate="1" containsString="0" containsBlank="1" minDate="2018-11-13T16:25:47" maxDate="2019-01-21T17:14:53"/>
    </cacheField>
    <cacheField name="Close Date" numFmtId="14">
      <sharedItems containsNonDate="0" containsDate="1" containsString="0" containsBlank="1" minDate="2018-03-13T00:00:00" maxDate="2019-01-22T10:22:21" count="122">
        <m/>
        <d v="2019-01-22T10:22:21"/>
        <d v="2019-01-21T22:32:44"/>
        <d v="2019-01-21T22:32:45"/>
        <d v="2019-01-21T16:39:00"/>
        <d v="2019-01-21T10:16:34"/>
        <d v="2019-01-21T09:40:13"/>
        <d v="2019-01-21T09:40:14"/>
        <d v="2019-01-21T17:21:55"/>
        <d v="2019-01-14T13:44:13"/>
        <d v="2019-01-16T09:54:05"/>
        <d v="2019-01-14T16:32:50"/>
        <d v="2019-01-11T16:37:47"/>
        <d v="2019-01-15T10:30:27"/>
        <d v="2019-01-16T09:54:04"/>
        <d v="2019-01-11T09:36:57"/>
        <d v="2019-01-16T15:07:53"/>
        <d v="2019-01-11T09:36:58"/>
        <d v="2019-01-10T17:30:04"/>
        <d v="2019-01-11T10:42:46"/>
        <d v="2019-01-10T17:30:05"/>
        <d v="2019-01-15T10:30:26"/>
        <d v="2019-01-15T13:51:38"/>
        <d v="2019-01-16T15:07:52"/>
        <d v="2019-01-07T16:12:08"/>
        <d v="2019-01-07T12:15:20"/>
        <d v="2019-01-08T15:47:17"/>
        <d v="2019-01-09T11:15:39"/>
        <d v="2019-01-15T11:07:00"/>
        <d v="2019-01-15T11:06:59"/>
        <d v="2019-01-11T16:48:13"/>
        <d v="2019-01-15T10:36:41"/>
        <d v="2018-12-19T15:55:55"/>
        <d v="2018-12-18T14:01:13"/>
        <d v="2018-12-18T16:54:30"/>
        <d v="2018-12-17T09:52:31"/>
        <d v="2018-12-14T17:28:15"/>
        <d v="2018-12-17T17:06:00"/>
        <d v="2018-12-13T10:12:38"/>
        <d v="2018-12-18T14:01:12"/>
        <d v="2018-12-11T17:09:05"/>
        <d v="2018-12-11T11:36:52"/>
        <d v="2018-12-11T14:08:02"/>
        <d v="2019-01-11T09:11:20"/>
        <d v="2018-12-11T16:22:35"/>
        <d v="2018-12-17T09:52:30"/>
        <d v="2019-01-17T18:09:04"/>
        <d v="2019-01-10T16:21:30"/>
        <d v="2019-01-10T16:53:24"/>
        <d v="2019-01-14T14:38:40"/>
        <d v="2018-12-07T09:21:13"/>
        <d v="2019-01-17T18:09:0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0T09:23:47"/>
        <d v="2018-12-13T13:21:55"/>
        <d v="2018-12-05T09:13:17"/>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12-28T11:37:59"/>
        <d v="2018-08-15T00:00:00"/>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12-19T09:05:45"/>
        <d v="2018-12-19T09:05:47"/>
        <d v="2018-12-19T09:05:48"/>
        <d v="2018-11-27T15:32:26"/>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57237233799969545" maxValue="252.70184328703908"/>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35" maxValue="35"/>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22T00:00:00"/>
        <groupItems count="14">
          <s v="&lt;2018-03-13"/>
          <s v="Jan"/>
          <s v="Feb"/>
          <s v="Mar"/>
          <s v="Apr"/>
          <s v="May"/>
          <s v="Jun"/>
          <s v="Jul"/>
          <s v="Aug"/>
          <s v="Sep"/>
          <s v="Oct"/>
          <s v="Nov"/>
          <s v="Dec"/>
          <s v="&gt;2019-01-22"/>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n v="3624"/>
    <s v="AAYW00001"/>
    <x v="0"/>
    <x v="0"/>
    <s v="AWD01399"/>
    <x v="0"/>
    <s v="MPT Phase 2 B2S"/>
    <s v="Active"/>
    <s v="BTS"/>
    <s v="0"/>
    <x v="0"/>
    <n v="0.72"/>
    <n v="0.9"/>
    <n v="6"/>
    <s v="EPA"/>
    <s v="55"/>
    <s v="60"/>
    <x v="0"/>
    <m/>
    <s v="Not Required"/>
    <m/>
    <s v="OK"/>
    <m/>
    <s v="OK"/>
    <s v=" MPT B2S Colo Application "/>
    <m/>
    <m/>
    <m/>
    <m/>
    <m/>
    <s v="Review"/>
    <s v="27-Jan-19"/>
    <m/>
    <m/>
    <s v="As per plan "/>
    <s v="OK"/>
    <s v="No"/>
    <s v="Need new slab "/>
    <m/>
    <m/>
    <m/>
    <m/>
    <m/>
    <m/>
    <m/>
    <d v="2019-01-22T09:02:34"/>
    <m/>
    <m/>
    <d v="2019-01-22T09:02:34"/>
    <m/>
    <d v="2019-01-21T17:14:52"/>
    <x v="0"/>
    <n v="2.7018432870390825"/>
    <n v="1"/>
    <s v="No File"/>
    <s v="AAYW00001 (AWD0139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AYW00001 (AWD01399) Application Rev 0.xlsx"/>
    <m/>
  </r>
  <r>
    <n v="3625"/>
    <s v="ABAG00004"/>
    <x v="0"/>
    <x v="1"/>
    <s v="BGW00450"/>
    <x v="0"/>
    <s v="MPT Phase 2 B2S"/>
    <s v="Active"/>
    <s v="BTS"/>
    <s v="0"/>
    <x v="0"/>
    <n v="2.16"/>
    <n v="2.7"/>
    <n v="6"/>
    <s v="EPA"/>
    <s v="40"/>
    <s v="45"/>
    <x v="0"/>
    <m/>
    <s v="Not Required"/>
    <m/>
    <s v="OK"/>
    <m/>
    <s v="OK"/>
    <s v=" MPT B2S Colo Application "/>
    <m/>
    <m/>
    <m/>
    <m/>
    <m/>
    <s v="Review"/>
    <s v="31-Jan-19"/>
    <m/>
    <m/>
    <s v="As per plan "/>
    <s v="OK"/>
    <s v="No"/>
    <s v="Need new slab "/>
    <m/>
    <m/>
    <m/>
    <m/>
    <m/>
    <m/>
    <m/>
    <d v="2019-01-22T09:02:34"/>
    <m/>
    <m/>
    <d v="2019-01-22T09:02:34"/>
    <m/>
    <d v="2019-01-21T17:14:52"/>
    <x v="0"/>
    <n v="2.7018432870390825"/>
    <n v="1"/>
    <s v="No File"/>
    <s v="ABAG00004 (BGW0045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BAG00004 (BGW00450) Application Rev 0.xlsx"/>
    <m/>
  </r>
  <r>
    <n v="3626"/>
    <s v="1-01-10018-001"/>
    <x v="1"/>
    <x v="2"/>
    <s v="MDY00339"/>
    <x v="0"/>
    <s v="MPT  Phase 1b Colo"/>
    <s v="On Air"/>
    <s v="Exchange"/>
    <s v="3"/>
    <x v="0"/>
    <n v="1.399"/>
    <n v="2.1989999999999998"/>
    <n v="3.25"/>
    <s v="SQM"/>
    <s v="48"/>
    <s v="53"/>
    <x v="0"/>
    <m/>
    <s v="Not Required"/>
    <m/>
    <s v="OK"/>
    <m/>
    <s v="OK"/>
    <s v="Existing on tower (Actual) - OML with 15.69 sqm/ MPT actual on tower -2.96 sqm - MPT previous colo apps - 3.09 Sqm  / TML - 3.47 sqm / Add 1 RRU "/>
    <m/>
    <m/>
    <m/>
    <m/>
    <m/>
    <s v="Review"/>
    <m/>
    <m/>
    <m/>
    <m/>
    <s v="OK"/>
    <s v="No"/>
    <s v="No action needed "/>
    <m/>
    <m/>
    <m/>
    <m/>
    <m/>
    <m/>
    <m/>
    <d v="2019-01-22T09:02:34"/>
    <m/>
    <m/>
    <d v="2019-01-22T09:02:34"/>
    <m/>
    <d v="2019-01-21T15:26:42"/>
    <x v="0"/>
    <n v="2.7018432870390825"/>
    <n v="1"/>
    <s v="Open File"/>
    <s v="1-01-10018-001 (MDY0033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3.xlsx"/>
    <m/>
  </r>
  <r>
    <n v="3627"/>
    <s v="1-01-10029-006"/>
    <x v="1"/>
    <x v="2"/>
    <s v="MDY00358"/>
    <x v="0"/>
    <s v="MPT  Phase 1b Colo"/>
    <s v="On Air"/>
    <s v="Exchange"/>
    <s v="1"/>
    <x v="0"/>
    <n v="1.399"/>
    <n v="2.1989999999999998"/>
    <n v="5.13"/>
    <s v="SQM"/>
    <s v="48"/>
    <s v="53"/>
    <x v="0"/>
    <m/>
    <s v="Not Required"/>
    <m/>
    <s v="OK"/>
    <m/>
    <s v="OK"/>
    <s v="Existing on tower (Actual) - OML with7.41 sqm/ MPT-4.97 Sqm  - Add 1 RRU "/>
    <m/>
    <m/>
    <m/>
    <m/>
    <m/>
    <s v="OK"/>
    <s v="04-Feb-19"/>
    <m/>
    <m/>
    <s v="DG cap expansion"/>
    <s v="OK"/>
    <s v="No"/>
    <s v="No action needed "/>
    <m/>
    <m/>
    <m/>
    <m/>
    <m/>
    <m/>
    <m/>
    <d v="2019-01-22T09:02:35"/>
    <d v="2019-01-21T18:05:05"/>
    <m/>
    <d v="2019-01-22T09:02:35"/>
    <m/>
    <d v="2019-01-21T15:26:42"/>
    <x v="0"/>
    <n v="2.7018432870390825"/>
    <n v="1"/>
    <s v="Open File"/>
    <s v="1-01-10029-006 (MDY0035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29-006 (MDY00358) Application Rev 1.xlsx"/>
    <m/>
  </r>
  <r>
    <n v="3628"/>
    <s v="1-01-09022-002"/>
    <x v="1"/>
    <x v="1"/>
    <s v="MGW00204"/>
    <x v="0"/>
    <s v="MPT  Phase 1b Colo"/>
    <s v="On Air"/>
    <s v="Exchange"/>
    <s v="1"/>
    <x v="0"/>
    <n v="1.399"/>
    <n v="2.1989999999999998"/>
    <n v="4.3600000000000003"/>
    <s v="SQM"/>
    <s v="48"/>
    <s v="53"/>
    <x v="0"/>
    <m/>
    <s v="Not Required"/>
    <m/>
    <s v="OK"/>
    <s v="Require to inform Ei Shwe Zin (NPT) before site visit."/>
    <s v="OK"/>
    <s v="Existing on tower (Actual) - OML with 8.01 sqm/ MPT-4.20 Sqm /TML - 3.51 Sqm  - Add 1 RRU "/>
    <m/>
    <m/>
    <m/>
    <m/>
    <m/>
    <s v="OK"/>
    <s v="04-Feb-19"/>
    <m/>
    <m/>
    <s v="DG cap expansion"/>
    <s v="OK"/>
    <s v="No"/>
    <s v="No action needed "/>
    <m/>
    <m/>
    <m/>
    <m/>
    <m/>
    <m/>
    <m/>
    <d v="2019-01-22T09:02:35"/>
    <d v="2019-01-21T18:05:06"/>
    <m/>
    <d v="2019-01-22T09:02:35"/>
    <m/>
    <d v="2019-01-21T15:26:42"/>
    <x v="0"/>
    <n v="2.7018432870390825"/>
    <n v="1"/>
    <s v="Open File"/>
    <s v="1-01-09022-002 (MGW0020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2 (MGW00204) Application Rev 1.xlsx"/>
    <m/>
  </r>
  <r>
    <n v="3629"/>
    <s v="1-01-05015-002"/>
    <x v="1"/>
    <x v="2"/>
    <s v="SGG00199"/>
    <x v="0"/>
    <s v="MPT  Phase 1b Colo"/>
    <s v="On Air"/>
    <s v="Exchange"/>
    <s v="1"/>
    <x v="0"/>
    <n v="1.399"/>
    <n v="2.1989999999999998"/>
    <n v="3.12"/>
    <s v="SQM"/>
    <s v="43"/>
    <s v="48"/>
    <x v="0"/>
    <m/>
    <s v="Not Required"/>
    <m/>
    <s v="OK"/>
    <m/>
    <s v="OK"/>
    <s v="Existing on tower (Actual) - OML with 10.81 sqm/ MPT-3.07 Sqm / Op2 - 3.87 Sqm  - Add 1 RRU "/>
    <m/>
    <m/>
    <m/>
    <m/>
    <m/>
    <s v="OK"/>
    <s v="05-Feb-19"/>
    <m/>
    <m/>
    <s v="DG cap expansion"/>
    <s v="OK"/>
    <s v="No"/>
    <s v="No action needed "/>
    <m/>
    <m/>
    <m/>
    <m/>
    <m/>
    <m/>
    <m/>
    <d v="2019-01-22T09:02:35"/>
    <d v="2019-01-21T18:05:06"/>
    <m/>
    <d v="2019-01-22T09:02:35"/>
    <m/>
    <d v="2019-01-21T15:26:42"/>
    <x v="0"/>
    <n v="2.7018432870390825"/>
    <n v="1"/>
    <s v="Open File"/>
    <s v="1-01-05015-002 (SGG0019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1.xlsx"/>
    <m/>
  </r>
  <r>
    <n v="3630"/>
    <s v="1-01-15013-009"/>
    <x v="1"/>
    <x v="2"/>
    <s v="SHN00040"/>
    <x v="0"/>
    <s v="MPT  Phase 1b Colo"/>
    <s v="On Air"/>
    <s v="Exchange"/>
    <s v="2"/>
    <x v="0"/>
    <n v="1.399"/>
    <n v="2.2610000000000001"/>
    <m/>
    <s v="SQM"/>
    <s v="48"/>
    <s v="53"/>
    <x v="0"/>
    <m/>
    <s v="Not Required"/>
    <m/>
    <s v="OK"/>
    <m/>
    <m/>
    <m/>
    <m/>
    <m/>
    <m/>
    <m/>
    <m/>
    <s v="OK"/>
    <s v="11-Feb-19"/>
    <m/>
    <m/>
    <s v="BB &amp; DG cap expansion"/>
    <m/>
    <m/>
    <m/>
    <m/>
    <m/>
    <m/>
    <m/>
    <m/>
    <m/>
    <m/>
    <m/>
    <d v="2019-01-21T18:05:06"/>
    <m/>
    <m/>
    <m/>
    <d v="2019-01-21T15:26:42"/>
    <x v="0"/>
    <n v="2.7018432870390825"/>
    <n v="1"/>
    <s v="Open File"/>
    <s v="1-01-15013-009 (SHN0004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2.xlsx"/>
    <m/>
  </r>
  <r>
    <n v="3631"/>
    <s v="1-01-15018-003"/>
    <x v="1"/>
    <x v="2"/>
    <s v="SHN00063"/>
    <x v="0"/>
    <s v="MPT  Phase 1b Colo"/>
    <s v="On Air"/>
    <s v="Exchange"/>
    <s v="3"/>
    <x v="0"/>
    <n v="1.399"/>
    <n v="2.2610000000000001"/>
    <m/>
    <s v="SQM"/>
    <s v="48"/>
    <s v="53"/>
    <x v="0"/>
    <m/>
    <s v="Not Required"/>
    <m/>
    <s v="OK"/>
    <m/>
    <m/>
    <m/>
    <m/>
    <m/>
    <m/>
    <m/>
    <m/>
    <s v="OK"/>
    <s v="05-Feb-19"/>
    <m/>
    <m/>
    <s v="DG cap expansion"/>
    <m/>
    <m/>
    <m/>
    <m/>
    <m/>
    <m/>
    <m/>
    <m/>
    <m/>
    <m/>
    <m/>
    <d v="2019-01-21T18:05:06"/>
    <m/>
    <m/>
    <m/>
    <d v="2019-01-21T15:26:42"/>
    <x v="0"/>
    <n v="2.7018432870390825"/>
    <n v="1"/>
    <s v="Open File"/>
    <s v="1-01-15018-003 (SHN0006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8-003 (SHN00063) Application Rev 3.xlsx"/>
    <m/>
  </r>
  <r>
    <n v="3632"/>
    <s v="PBAG00032"/>
    <x v="1"/>
    <x v="0"/>
    <s v="BGE00825"/>
    <x v="0"/>
    <s v="MPT Phase 2 B2S"/>
    <s v="Active"/>
    <s v="BTS"/>
    <s v="0"/>
    <x v="0"/>
    <n v="0.72"/>
    <n v="0.9"/>
    <m/>
    <s v="SQM"/>
    <s v="55"/>
    <s v="60"/>
    <x v="0"/>
    <m/>
    <s v="Not Required"/>
    <m/>
    <s v="OK"/>
    <m/>
    <s v="OK"/>
    <s v=" MPT B2S Colo Application "/>
    <m/>
    <m/>
    <m/>
    <m/>
    <m/>
    <s v="OK"/>
    <m/>
    <m/>
    <m/>
    <m/>
    <s v="OK"/>
    <s v="No"/>
    <s v="Need new slab "/>
    <m/>
    <m/>
    <m/>
    <m/>
    <m/>
    <m/>
    <m/>
    <d v="2019-01-22T09:02:36"/>
    <d v="2019-01-21T18:05:07"/>
    <m/>
    <d v="2019-01-22T09:02:36"/>
    <m/>
    <d v="2019-01-21T17:14:52"/>
    <x v="0"/>
    <n v="2.7018432870390825"/>
    <n v="1"/>
    <s v="No File"/>
    <s v="PBAG00032 (BGE008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BAG00032 (BGE00825) Application Rev 0.xlsx"/>
    <m/>
  </r>
  <r>
    <n v="3633"/>
    <s v="1-01-04002-007"/>
    <x v="1"/>
    <x v="1"/>
    <s v="CHN00140"/>
    <x v="0"/>
    <s v="MPT  Phase 1b Colo"/>
    <s v="On Air"/>
    <s v="MS"/>
    <s v="3"/>
    <x v="0"/>
    <n v="3.548"/>
    <n v="5.5259999999999998"/>
    <m/>
    <s v="SQM"/>
    <s v="27.5"/>
    <s v="32.5"/>
    <x v="0"/>
    <m/>
    <s v="Not Required"/>
    <m/>
    <s v="OK"/>
    <m/>
    <m/>
    <m/>
    <m/>
    <m/>
    <m/>
    <m/>
    <m/>
    <s v="OK"/>
    <m/>
    <m/>
    <m/>
    <m/>
    <m/>
    <m/>
    <m/>
    <m/>
    <m/>
    <m/>
    <m/>
    <m/>
    <m/>
    <m/>
    <m/>
    <d v="2019-01-21T18:05:07"/>
    <m/>
    <m/>
    <m/>
    <d v="2019-01-21T15:26:42"/>
    <x v="0"/>
    <n v="2.7018432870390825"/>
    <n v="1"/>
    <s v="Open File"/>
    <s v="1-01-04002-007 (CHN0014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7 (CHN00140) Application Rev 3.xlsx"/>
    <m/>
  </r>
  <r>
    <n v="3634"/>
    <s v="1-01-09021-002"/>
    <x v="1"/>
    <x v="1"/>
    <s v="MGW00156"/>
    <x v="0"/>
    <s v="MPT  Phase 1b Colo"/>
    <s v="On Air"/>
    <s v="LTE"/>
    <s v="1"/>
    <x v="0"/>
    <n v="2.0590000000000002"/>
    <n v="3.5489999999999999"/>
    <m/>
    <s v="SQM"/>
    <s v="48"/>
    <s v="53"/>
    <x v="0"/>
    <m/>
    <s v="Not Required"/>
    <m/>
    <s v="OK"/>
    <m/>
    <m/>
    <m/>
    <m/>
    <m/>
    <m/>
    <m/>
    <m/>
    <s v="OK"/>
    <s v="06-Feb-19"/>
    <m/>
    <m/>
    <s v="Add rectifier modules DG cap expansion"/>
    <m/>
    <m/>
    <m/>
    <m/>
    <m/>
    <m/>
    <m/>
    <m/>
    <m/>
    <m/>
    <m/>
    <d v="2019-01-21T18:05:07"/>
    <m/>
    <m/>
    <m/>
    <d v="2019-01-21T15:26:42"/>
    <x v="0"/>
    <n v="2.7018432870390825"/>
    <n v="1"/>
    <s v="Open File"/>
    <s v="1-01-09021-002 (MGW0015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1-002 (MGW00156) Application Rev 1.xlsx"/>
    <m/>
  </r>
  <r>
    <n v="3635"/>
    <s v="1-01-05027-007"/>
    <x v="1"/>
    <x v="2"/>
    <s v="SGG00242"/>
    <x v="0"/>
    <s v="MPT  Phase 1b Colo"/>
    <s v="On Air"/>
    <s v="MS"/>
    <s v="1"/>
    <x v="0"/>
    <n v="2.1970000000000001"/>
    <n v="3.7970000000000002"/>
    <m/>
    <s v="SQM"/>
    <s v="43"/>
    <s v="48"/>
    <x v="0"/>
    <m/>
    <s v="Not Required"/>
    <m/>
    <s v="OK"/>
    <m/>
    <m/>
    <m/>
    <m/>
    <m/>
    <m/>
    <m/>
    <m/>
    <s v="OK"/>
    <s v="16-Feb-19"/>
    <m/>
    <m/>
    <s v="PE upgrade "/>
    <m/>
    <m/>
    <m/>
    <m/>
    <m/>
    <m/>
    <m/>
    <m/>
    <m/>
    <m/>
    <m/>
    <d v="2019-01-21T18:05:07"/>
    <m/>
    <m/>
    <m/>
    <d v="2019-01-21T15:26:42"/>
    <x v="0"/>
    <n v="2.7018432870390825"/>
    <n v="1"/>
    <s v="Open File"/>
    <s v="1-01-05027-007 (SGG002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7 (SGG00242) Application Rev 1.xlsx"/>
    <m/>
  </r>
  <r>
    <n v="3636"/>
    <s v="1-01-06001-002"/>
    <x v="1"/>
    <x v="0"/>
    <s v="TNY00288"/>
    <x v="0"/>
    <s v="MPT  Phase 1b Colo"/>
    <s v="On Air"/>
    <s v="LTE_v1"/>
    <s v="5"/>
    <x v="0"/>
    <n v="1.92"/>
    <n v="4"/>
    <m/>
    <s v="SQM"/>
    <s v="21"/>
    <s v="26"/>
    <x v="0"/>
    <m/>
    <s v="Not Required"/>
    <m/>
    <s v="OK"/>
    <m/>
    <m/>
    <m/>
    <m/>
    <m/>
    <m/>
    <m/>
    <m/>
    <s v="OK"/>
    <s v="17-Feb-19"/>
    <m/>
    <m/>
    <s v="PE upgrade "/>
    <m/>
    <m/>
    <m/>
    <m/>
    <m/>
    <m/>
    <m/>
    <m/>
    <m/>
    <m/>
    <m/>
    <d v="2019-01-21T18:05:08"/>
    <m/>
    <m/>
    <m/>
    <d v="2019-01-21T15:26:42"/>
    <x v="0"/>
    <n v="2.7018432870390825"/>
    <n v="1"/>
    <s v="Open File"/>
    <s v="1-01-06001-002 (TNY00288)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5.xlsx"/>
    <m/>
  </r>
  <r>
    <n v="3637"/>
    <s v="PTNT00059"/>
    <x v="1"/>
    <x v="0"/>
    <s v="TNY00789"/>
    <x v="0"/>
    <s v="MPT Phase 2 B2S"/>
    <s v="Active"/>
    <s v="BTS"/>
    <s v="0"/>
    <x v="0"/>
    <n v="0.72"/>
    <n v="0.9"/>
    <m/>
    <s v="SQM"/>
    <s v="55"/>
    <s v="60"/>
    <x v="0"/>
    <m/>
    <s v="Not Required"/>
    <m/>
    <s v="OK"/>
    <m/>
    <s v="OK"/>
    <s v=" MPT B2S Colo Application "/>
    <m/>
    <m/>
    <m/>
    <m/>
    <m/>
    <s v="OK"/>
    <m/>
    <m/>
    <m/>
    <m/>
    <s v="OK"/>
    <s v="No"/>
    <s v="Need new slab "/>
    <m/>
    <m/>
    <m/>
    <m/>
    <m/>
    <m/>
    <m/>
    <d v="2019-01-22T09:02:36"/>
    <d v="2019-01-21T18:05:09"/>
    <m/>
    <d v="2019-01-22T09:02:36"/>
    <m/>
    <d v="2019-01-21T17:14:53"/>
    <x v="0"/>
    <n v="2.7018432870390825"/>
    <n v="1"/>
    <s v="No File"/>
    <s v="PTNT00059 (TNY0078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PTNT00059 (TNY00789) Application Rev 0.xlsx"/>
    <m/>
  </r>
  <r>
    <n v="3638"/>
    <s v="1-01-05027-016"/>
    <x v="1"/>
    <x v="2"/>
    <s v="SGG00226"/>
    <x v="0"/>
    <s v="MPT  Phase 1b Colo"/>
    <s v="On Air"/>
    <s v="Exchange"/>
    <s v="2"/>
    <x v="0"/>
    <n v="1.399"/>
    <n v="2.2989999999999999"/>
    <m/>
    <s v="SQM"/>
    <s v="48"/>
    <s v="53"/>
    <x v="0"/>
    <m/>
    <s v="Not Required"/>
    <m/>
    <s v="OK"/>
    <m/>
    <m/>
    <m/>
    <m/>
    <m/>
    <m/>
    <m/>
    <m/>
    <s v="OK"/>
    <s v="07-Feb-19"/>
    <m/>
    <m/>
    <s v="DG cap expansion"/>
    <m/>
    <m/>
    <m/>
    <m/>
    <m/>
    <m/>
    <m/>
    <m/>
    <m/>
    <m/>
    <m/>
    <d v="2019-01-21T18:05:09"/>
    <m/>
    <m/>
    <m/>
    <d v="2019-01-21T17:13:19"/>
    <x v="0"/>
    <n v="2.7018432870390825"/>
    <n v="1"/>
    <s v="Open File"/>
    <s v="1-01-05027-016 (SGG0022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16 (SGG00226) Application Rev 2.xlsx"/>
    <m/>
  </r>
  <r>
    <n v="3639"/>
    <s v="1-01-01014-005"/>
    <x v="1"/>
    <x v="2"/>
    <s v="KCN00119"/>
    <x v="0"/>
    <s v="MPT  Phase 1b Colo"/>
    <s v="On Air"/>
    <s v="Expansion_L2100"/>
    <s v="5"/>
    <x v="0"/>
    <n v="1.399"/>
    <n v="2.1989999999999998"/>
    <m/>
    <s v="SQM"/>
    <s v="48"/>
    <s v="53"/>
    <x v="1"/>
    <m/>
    <s v="Not Required"/>
    <m/>
    <s v="Not Required"/>
    <m/>
    <s v="Not Required"/>
    <m/>
    <s v="Not Required"/>
    <m/>
    <m/>
    <m/>
    <m/>
    <s v="OK"/>
    <s v="18-Feb-19"/>
    <m/>
    <m/>
    <s v="BB &amp; DG cap expansion"/>
    <s v="Not Required"/>
    <m/>
    <m/>
    <m/>
    <m/>
    <m/>
    <m/>
    <m/>
    <m/>
    <m/>
    <m/>
    <d v="2019-01-21T18:05:08"/>
    <m/>
    <m/>
    <m/>
    <m/>
    <x v="1"/>
    <n v="1.4321909721984412"/>
    <n v="0"/>
    <s v="Open Fil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r>
  <r>
    <n v="3619"/>
    <s v="ANMD_0066"/>
    <x v="0"/>
    <x v="2"/>
    <s v="MDYAMPR011"/>
    <x v="1"/>
    <s v="Amara Colocation"/>
    <s v="New Tenant"/>
    <s v="Other"/>
    <s v="1"/>
    <x v="1"/>
    <m/>
    <n v="1.9"/>
    <n v="3"/>
    <s v="EPA"/>
    <s v="20"/>
    <s v="25"/>
    <x v="1"/>
    <m/>
    <s v="Not Required"/>
    <m/>
    <s v="Not Required"/>
    <m/>
    <s v="OK"/>
    <s v="Existing on tower (Assume ) - TML 4.20 EPA / Amara Previous Colo apps - 3.097 EPA - Add 1 ODU"/>
    <s v="Not Required"/>
    <m/>
    <m/>
    <m/>
    <m/>
    <s v="Not Required"/>
    <m/>
    <m/>
    <m/>
    <m/>
    <s v="Not Required"/>
    <m/>
    <m/>
    <m/>
    <m/>
    <m/>
    <m/>
    <m/>
    <m/>
    <m/>
    <d v="2019-01-21T17:22:42"/>
    <m/>
    <m/>
    <m/>
    <m/>
    <m/>
    <x v="2"/>
    <n v="3.9393991898032255"/>
    <n v="0"/>
    <s v="No File"/>
    <s v="ANMD_0066 (MDYAMPR01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1.xlsx"/>
    <m/>
  </r>
  <r>
    <n v="3620"/>
    <s v="ANMD_0067"/>
    <x v="0"/>
    <x v="2"/>
    <s v="MDYAMPR012"/>
    <x v="1"/>
    <s v="Amara Colocation"/>
    <s v="New Tenant"/>
    <s v="Other"/>
    <s v="1"/>
    <x v="1"/>
    <m/>
    <n v="2"/>
    <n v="3"/>
    <s v="EPA"/>
    <s v="20"/>
    <s v="25"/>
    <x v="1"/>
    <m/>
    <s v="Not Required"/>
    <m/>
    <s v="Not Required"/>
    <m/>
    <s v="OK"/>
    <s v="Existing on tower (Assume ) - TML 4.26 EPA / Amara Previous Colo apps - 3.40 EPA - Add 1 ODU"/>
    <s v="Not Required"/>
    <m/>
    <m/>
    <m/>
    <m/>
    <s v="Not Required"/>
    <m/>
    <m/>
    <m/>
    <m/>
    <s v="Not Required"/>
    <m/>
    <m/>
    <m/>
    <m/>
    <m/>
    <m/>
    <m/>
    <m/>
    <m/>
    <d v="2019-01-21T17:22:42"/>
    <m/>
    <m/>
    <m/>
    <m/>
    <m/>
    <x v="2"/>
    <n v="3.9394037036981899"/>
    <n v="0"/>
    <s v="No File"/>
    <s v="ANMD_0067 (MDYAMPR01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1.xlsx"/>
    <m/>
  </r>
  <r>
    <n v="3621"/>
    <s v="ANMD_0165"/>
    <x v="0"/>
    <x v="2"/>
    <s v="MDYPGTG033"/>
    <x v="1"/>
    <s v="Amara Colocation"/>
    <s v="New Tenant"/>
    <s v="Other"/>
    <s v="1"/>
    <x v="1"/>
    <m/>
    <n v="2"/>
    <n v="3"/>
    <s v="EPA"/>
    <s v="19"/>
    <s v="24"/>
    <x v="1"/>
    <m/>
    <s v="Not Required"/>
    <m/>
    <s v="Not Required"/>
    <m/>
    <s v="OK"/>
    <s v="Existing on tower (Assume ) - TML 4.56EPA /Amara Previous Colo apps - 3.096 EPA - Increase Mw Dimesion and add 1 ODU"/>
    <s v="Not Required"/>
    <m/>
    <m/>
    <m/>
    <m/>
    <s v="Not Required"/>
    <m/>
    <m/>
    <m/>
    <m/>
    <s v="Not Required"/>
    <m/>
    <m/>
    <m/>
    <m/>
    <m/>
    <m/>
    <m/>
    <m/>
    <m/>
    <d v="2019-01-21T17:22:42"/>
    <m/>
    <m/>
    <m/>
    <m/>
    <m/>
    <x v="3"/>
    <n v="3.939407870399009"/>
    <n v="0"/>
    <s v="No File"/>
    <s v="ANMD_0165 (MDYPGTG03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1.xlsx"/>
    <m/>
  </r>
  <r>
    <n v="3622"/>
    <s v="ANMD_0172"/>
    <x v="0"/>
    <x v="2"/>
    <s v="MDYPGTG039"/>
    <x v="1"/>
    <s v="Amara Colocation"/>
    <s v="New Tenant"/>
    <s v="Other"/>
    <s v="1"/>
    <x v="1"/>
    <m/>
    <n v="2"/>
    <n v="3"/>
    <s v="EPA"/>
    <s v="14"/>
    <s v="17"/>
    <x v="1"/>
    <m/>
    <s v="Not Required"/>
    <m/>
    <s v="Not Required"/>
    <m/>
    <s v="OK"/>
    <s v="Existing on tower (Assume ) - TML 4.10EPA / MPT - 3.58EPA , Amara Previous Colo Apps - 3.09 EPA ,  Add 1 ODU"/>
    <s v="Not Required"/>
    <m/>
    <m/>
    <m/>
    <m/>
    <s v="Not Required"/>
    <m/>
    <m/>
    <m/>
    <m/>
    <s v="Not Required"/>
    <m/>
    <m/>
    <m/>
    <m/>
    <m/>
    <m/>
    <m/>
    <m/>
    <m/>
    <d v="2019-01-21T17:22:43"/>
    <m/>
    <m/>
    <m/>
    <m/>
    <m/>
    <x v="3"/>
    <n v="3.9394119213029626"/>
    <n v="0"/>
    <s v="No File"/>
    <s v="ANMD_0172 (MDYPGTG039)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1.xlsx"/>
    <m/>
  </r>
  <r>
    <n v="3623"/>
    <s v="1-01-13039-001"/>
    <x v="1"/>
    <x v="1"/>
    <s v="YGNSNCG017_3"/>
    <x v="1"/>
    <s v="Amara Colocation"/>
    <s v="New Tenant"/>
    <s v="New Colocation"/>
    <s v="0"/>
    <x v="1"/>
    <m/>
    <n v="2"/>
    <n v="5"/>
    <s v="EPA"/>
    <s v="14"/>
    <s v="19"/>
    <x v="0"/>
    <m/>
    <s v="Not Required"/>
    <m/>
    <s v="OK"/>
    <m/>
    <s v="Review"/>
    <s v="RT -OML Phase - Still awaiting feedback and confirmation from OML Project team "/>
    <m/>
    <m/>
    <m/>
    <m/>
    <m/>
    <s v="OK"/>
    <m/>
    <m/>
    <m/>
    <s v="AC connect"/>
    <s v="Review"/>
    <m/>
    <s v="RT -OML Phase - Still awaiting feedback and confirmation from OML Project team "/>
    <m/>
    <m/>
    <m/>
    <m/>
    <m/>
    <m/>
    <m/>
    <m/>
    <d v="2019-01-21T11:41:18"/>
    <m/>
    <m/>
    <m/>
    <d v="2019-01-21T09:44:48"/>
    <x v="0"/>
    <n v="5.7018432870390825"/>
    <n v="1"/>
    <s v="No File"/>
    <s v="1-01-13039-001 (YGNSNCG017_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3039-001 (YGNSNCG017_3) Application Rev 0.xlsx"/>
    <m/>
  </r>
  <r>
    <n v="3614"/>
    <s v="ABAG00003"/>
    <x v="0"/>
    <x v="0"/>
    <s v="BGE00821"/>
    <x v="0"/>
    <s v="MPT Phase 2 B2S"/>
    <s v="Active"/>
    <s v="BTS"/>
    <s v="0"/>
    <x v="2"/>
    <n v="0.72"/>
    <n v="0.9"/>
    <n v="3.18"/>
    <s v="EPA"/>
    <s v="45"/>
    <s v="50"/>
    <x v="1"/>
    <m/>
    <s v="Not Required"/>
    <m/>
    <s v="OK"/>
    <m/>
    <s v="OK"/>
    <s v="New Colo Apps Submission - MPT Phase 2 BTS "/>
    <s v="OK"/>
    <m/>
    <m/>
    <s v="No"/>
    <s v="Existing Tower: KSGM (NEW) = 34.3%"/>
    <s v="OK"/>
    <m/>
    <m/>
    <m/>
    <m/>
    <s v="OK"/>
    <s v="Yes"/>
    <s v="Need new slab "/>
    <m/>
    <m/>
    <m/>
    <m/>
    <m/>
    <m/>
    <m/>
    <d v="2019-01-17T15:41:53"/>
    <d v="2019-01-18T11:25:51"/>
    <d v="2019-01-21T15:54:08"/>
    <d v="2019-01-17T15:41:53"/>
    <m/>
    <d v="2019-01-18T11:19:16"/>
    <x v="4"/>
    <n v="4.6937519675993826"/>
    <n v="0"/>
    <s v="No File"/>
    <s v="ABAG00003 (BGE0082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BAG00003 (BGE00821) Application Rev 0.xlsx"/>
    <m/>
  </r>
  <r>
    <n v="3615"/>
    <s v="ANSG_0374"/>
    <x v="0"/>
    <x v="2"/>
    <s v="SGG00338"/>
    <x v="0"/>
    <s v="MPT  Phase 1a Colo"/>
    <s v="On Air"/>
    <s v="LTE"/>
    <s v="2"/>
    <x v="2"/>
    <n v="2.5590000000000002"/>
    <n v="4.2910000000000004"/>
    <m/>
    <s v="EPA"/>
    <s v="43"/>
    <s v="48"/>
    <x v="0"/>
    <m/>
    <s v="Not Required"/>
    <m/>
    <s v="OK"/>
    <m/>
    <s v="OK"/>
    <s v="Existing on tower (Assume ) - TML 4.74 EPA / OML - 8.30 BTS / MPT - 3.60 EPA / Mytel 2.39 EPA "/>
    <m/>
    <m/>
    <m/>
    <m/>
    <m/>
    <s v="OK"/>
    <m/>
    <m/>
    <m/>
    <m/>
    <s v="OK"/>
    <s v="No"/>
    <s v="No action needed "/>
    <m/>
    <m/>
    <m/>
    <m/>
    <m/>
    <m/>
    <m/>
    <d v="2019-01-17T15:41:53"/>
    <d v="2019-01-18T11:25:52"/>
    <m/>
    <d v="2019-01-17T15:41:53"/>
    <m/>
    <d v="2019-01-17T16:38:38"/>
    <x v="0"/>
    <n v="6.7018432870390825"/>
    <n v="1"/>
    <s v="Open File"/>
    <s v="ANSG_0374 (SGG0033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74 (SGG00338) Application Rev 2.xlsx"/>
    <m/>
  </r>
  <r>
    <n v="3616"/>
    <s v="3-00-01014-001"/>
    <x v="1"/>
    <x v="2"/>
    <s v="KCN00056"/>
    <x v="0"/>
    <s v="MPT  Phase 1b Colo"/>
    <s v="On Air"/>
    <s v="TS _ v1"/>
    <s v="3"/>
    <x v="2"/>
    <n v="1.054"/>
    <n v="1.46"/>
    <n v="3.52"/>
    <s v="SQM"/>
    <s v="48"/>
    <s v="53"/>
    <x v="1"/>
    <m/>
    <s v="Not Required"/>
    <m/>
    <s v="OK"/>
    <m/>
    <s v="OK"/>
    <s v="Existing on tower (Actual) - MPT - 3.52 sqm - Add Mw and Odu as per the actual "/>
    <s v="OK"/>
    <m/>
    <m/>
    <s v="No"/>
    <s v="EXISTING TOWER (KSGM(OLD+NEW)):  80.03 %_x000a_EXISTING TOWER (KSGM(OLD)):  77.84 %"/>
    <s v="OK"/>
    <m/>
    <m/>
    <m/>
    <m/>
    <s v="OK"/>
    <s v="No"/>
    <s v="No action needed "/>
    <m/>
    <m/>
    <m/>
    <m/>
    <m/>
    <m/>
    <m/>
    <d v="2019-01-18T11:20:24"/>
    <d v="2019-01-18T11:25:52"/>
    <d v="2019-01-21T14:11:00"/>
    <d v="2019-01-18T11:20:24"/>
    <m/>
    <d v="2019-01-18T09:18:15"/>
    <x v="4"/>
    <n v="4.6937533564996556"/>
    <n v="0"/>
    <s v="Open File"/>
    <s v="3-00-01014-001 (KCN0005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1 (KCN00056) Application Rev 3.xlsx"/>
    <m/>
  </r>
  <r>
    <n v="3617"/>
    <s v="ANMD_0236"/>
    <x v="0"/>
    <x v="2"/>
    <s v="MDY00844"/>
    <x v="0"/>
    <s v="MPT  Phase 1a Colo"/>
    <s v="On Air"/>
    <s v="TS _ v1"/>
    <s v="2"/>
    <x v="2"/>
    <n v="1.054"/>
    <n v="1.46"/>
    <n v="6"/>
    <s v="EPA"/>
    <s v="37"/>
    <s v="42"/>
    <x v="0"/>
    <m/>
    <s v="Not Required"/>
    <m/>
    <s v="OK"/>
    <m/>
    <s v="OK"/>
    <s v="Existing on tower (Assume ) - TML 4.20 EPA / MPT 4.82 EPA - Add MW and Odu"/>
    <m/>
    <m/>
    <m/>
    <m/>
    <m/>
    <s v="OK"/>
    <m/>
    <m/>
    <m/>
    <m/>
    <s v="OK"/>
    <s v="No"/>
    <s v="No action needed "/>
    <m/>
    <m/>
    <m/>
    <m/>
    <m/>
    <m/>
    <m/>
    <d v="2019-01-18T11:20:24"/>
    <d v="2019-01-18T11:25:53"/>
    <m/>
    <d v="2019-01-18T11:20:24"/>
    <m/>
    <d v="2019-01-17T20:16:19"/>
    <x v="0"/>
    <n v="6.7018432870390825"/>
    <n v="1"/>
    <s v="Open File"/>
    <s v="ANMD_0236 (MDY0084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36 (MDY00844) Application Rev 2.xlsx"/>
    <m/>
  </r>
  <r>
    <n v="3618"/>
    <s v="1-01-15014-008"/>
    <x v="1"/>
    <x v="2"/>
    <s v="SHN00175"/>
    <x v="0"/>
    <s v="MPT  Phase 1b Colo"/>
    <s v="On Air"/>
    <s v="UPG "/>
    <s v="1"/>
    <x v="2"/>
    <n v="1.6579999999999999"/>
    <n v="3.06"/>
    <n v="3.07"/>
    <s v="SQM"/>
    <s v="48"/>
    <s v="53"/>
    <x v="1"/>
    <m/>
    <s v="Not Required"/>
    <m/>
    <s v="OK"/>
    <m/>
    <s v="OK"/>
    <s v="Existing on tower (Actual) - OML 7.02 sqm / MPT - 2.91 sqm - Add 1 ODU "/>
    <s v="OK"/>
    <m/>
    <m/>
    <s v="No"/>
    <s v="EXISTING TOWER(OML+TML+KSGM(OLD+NEW)):  93.4 %_x000a_EXISTING TOWER(OML+TML+KSGM(OLD)):  93.4%"/>
    <s v="OK"/>
    <m/>
    <m/>
    <m/>
    <m/>
    <s v="OK"/>
    <s v="No"/>
    <s v="No action needed "/>
    <m/>
    <m/>
    <m/>
    <m/>
    <m/>
    <m/>
    <m/>
    <d v="2019-01-18T11:20:24"/>
    <d v="2019-01-18T11:25:54"/>
    <d v="2019-01-21T14:11:00"/>
    <d v="2019-01-18T11:20:24"/>
    <m/>
    <d v="2019-01-18T09:18:16"/>
    <x v="4"/>
    <n v="4.6937545139007852"/>
    <n v="0"/>
    <s v="Open File"/>
    <s v="1-01-15014-008 (SHN0017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4-008 (SHN00175) Application Rev 1.xlsx"/>
    <m/>
  </r>
  <r>
    <n v="3609"/>
    <s v="AYYN_0373"/>
    <x v="0"/>
    <x v="0"/>
    <s v="YAW4699"/>
    <x v="2"/>
    <s v="New Colocation"/>
    <s v="Active"/>
    <s v="New Colocation"/>
    <s v=""/>
    <x v="3"/>
    <n v="3"/>
    <n v="4"/>
    <n v="6"/>
    <s v="EPA"/>
    <s v="16"/>
    <s v="21"/>
    <x v="0"/>
    <m/>
    <s v="Not Required"/>
    <m/>
    <s v="OK"/>
    <m/>
    <s v="Review"/>
    <s v="To determine base on TSS as there is limited space , Mytel was also requesting for colocation /  Existing on tower (Assume ) - TML 3.56 EPA / Mytel Colo apps - 6 EPA "/>
    <m/>
    <m/>
    <m/>
    <m/>
    <m/>
    <s v="OK"/>
    <m/>
    <m/>
    <m/>
    <s v="see above"/>
    <s v="Review"/>
    <s v="Yes"/>
    <s v="to be determine base on actual TSS as there is limited space on ground "/>
    <m/>
    <m/>
    <m/>
    <m/>
    <m/>
    <m/>
    <m/>
    <m/>
    <d v="2019-01-18T11:25:49"/>
    <m/>
    <m/>
    <m/>
    <d v="2019-01-16T16:34:19"/>
    <x v="0"/>
    <n v="7.7018432870390825"/>
    <n v="2"/>
    <s v="No File"/>
    <s v="AYYN_0373 (YAW4699)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73 (YAW4699) Application Rev .xlsx"/>
    <m/>
  </r>
  <r>
    <n v="3610"/>
    <s v="AYYN_0335"/>
    <x v="0"/>
    <x v="0"/>
    <s v="YAM7609"/>
    <x v="2"/>
    <s v="New Colocation"/>
    <s v="Active"/>
    <s v="New Colocation"/>
    <s v=""/>
    <x v="3"/>
    <n v="3"/>
    <n v="4"/>
    <n v="6"/>
    <s v="EPA"/>
    <s v="12"/>
    <s v="17"/>
    <x v="0"/>
    <m/>
    <s v="Not Required"/>
    <m/>
    <s v="OK"/>
    <m/>
    <s v="Review"/>
    <s v="To determine base on TSS as there is limited space for the pole - Existing on tower (Assume ) - TML 4.20 EPA / MPT 0.74 EPA "/>
    <m/>
    <m/>
    <m/>
    <m/>
    <m/>
    <s v="OK"/>
    <m/>
    <m/>
    <m/>
    <m/>
    <s v="Review"/>
    <s v="Yes"/>
    <s v="to be determine base on actual TSS as there is limited space on ground "/>
    <m/>
    <m/>
    <m/>
    <m/>
    <m/>
    <m/>
    <m/>
    <m/>
    <d v="2019-01-18T11:25:49"/>
    <m/>
    <m/>
    <m/>
    <d v="2019-01-16T16:34:19"/>
    <x v="0"/>
    <n v="7.7018432870390825"/>
    <n v="1"/>
    <s v="No File"/>
    <s v="AYYN_0335 (YAM7609)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5 (YAM7609) Application Rev .xlsx"/>
    <m/>
  </r>
  <r>
    <n v="3611"/>
    <s v="AYYN_0541"/>
    <x v="0"/>
    <x v="0"/>
    <s v="YAW4695"/>
    <x v="2"/>
    <s v="New Colocation"/>
    <s v="Active"/>
    <s v="New Colocation"/>
    <s v=""/>
    <x v="3"/>
    <n v="3"/>
    <n v="4"/>
    <n v="6"/>
    <s v="EPA"/>
    <s v="11"/>
    <s v="16"/>
    <x v="0"/>
    <m/>
    <s v="Not Required"/>
    <m/>
    <s v="OK"/>
    <m/>
    <s v="Review"/>
    <s v="To determine base on TSS as there is limited space for the pole , Existing on tower (Assume ) - TML 2.12EPA / Amara Colo apps  3.00 EPA "/>
    <m/>
    <m/>
    <m/>
    <m/>
    <m/>
    <s v="OK"/>
    <m/>
    <m/>
    <m/>
    <m/>
    <s v="Review"/>
    <s v="Yes"/>
    <s v="to be determine base on actual TSS as there is limited space on ground "/>
    <m/>
    <m/>
    <m/>
    <m/>
    <m/>
    <m/>
    <m/>
    <m/>
    <d v="2019-01-18T11:25:50"/>
    <m/>
    <m/>
    <m/>
    <d v="2019-01-16T16:34:19"/>
    <x v="0"/>
    <n v="7.7018432870390825"/>
    <n v="1"/>
    <s v="No File"/>
    <s v="AYYN_0541 (YAW4695)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1 (YAW4695) Application Rev .xlsx"/>
    <m/>
  </r>
  <r>
    <n v="3612"/>
    <s v="ACBA_0032"/>
    <x v="0"/>
    <x v="0"/>
    <s v="BAW5234"/>
    <x v="2"/>
    <s v="Colocation"/>
    <m/>
    <s v="New Colocation"/>
    <s v=""/>
    <x v="3"/>
    <n v="3"/>
    <n v="4"/>
    <n v="6"/>
    <s v="EPA"/>
    <s v="25"/>
    <s v="30"/>
    <x v="0"/>
    <m/>
    <s v="Not Required"/>
    <m/>
    <s v="OK"/>
    <m/>
    <s v="OK"/>
    <s v="Existing on tower (Assume ) - TML 5.28 EPA / Mytel Colo apps  4.074 EPA "/>
    <s v="OK"/>
    <m/>
    <m/>
    <s v="No"/>
    <s v="Existing Tower:TML+MYTEL+OML(NEW) = 72.5%"/>
    <s v="OK"/>
    <m/>
    <m/>
    <m/>
    <m/>
    <s v="OK"/>
    <s v="Yes"/>
    <s v="Can share the existing slab "/>
    <m/>
    <m/>
    <m/>
    <m/>
    <m/>
    <m/>
    <m/>
    <d v="2019-01-17T14:59:37"/>
    <d v="2019-01-18T11:25:50"/>
    <d v="2019-01-21T14:58:53"/>
    <d v="2019-01-17T14:59:37"/>
    <m/>
    <d v="2019-01-16T16:34:19"/>
    <x v="0"/>
    <n v="7.7018432870390825"/>
    <n v="1"/>
    <s v="No File"/>
    <s v="ACBA_0032 (BAW5234)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 Rev .xlsx"/>
    <m/>
  </r>
  <r>
    <n v="3613"/>
    <s v="1-01-14003-002"/>
    <x v="1"/>
    <x v="1"/>
    <s v="SHS00117"/>
    <x v="0"/>
    <s v="MPT  Phase 1b Colo"/>
    <s v="On Air"/>
    <s v="LTE"/>
    <s v="4"/>
    <x v="3"/>
    <n v="2.72"/>
    <n v="3.4"/>
    <m/>
    <s v="SQM"/>
    <s v="48"/>
    <s v="53"/>
    <x v="1"/>
    <m/>
    <s v="Not Required"/>
    <m/>
    <s v="Not Required"/>
    <m/>
    <s v="Not Required"/>
    <m/>
    <s v="Not Required"/>
    <m/>
    <m/>
    <m/>
    <m/>
    <s v="OK"/>
    <m/>
    <m/>
    <m/>
    <m/>
    <s v="Not Required"/>
    <m/>
    <m/>
    <m/>
    <m/>
    <m/>
    <m/>
    <m/>
    <m/>
    <m/>
    <m/>
    <d v="2019-01-18T11:25:51"/>
    <m/>
    <m/>
    <m/>
    <m/>
    <x v="5"/>
    <n v="5.4281736111006467"/>
    <n v="0"/>
    <s v="Open Fil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r>
  <r>
    <n v="3599"/>
    <s v="ANMD_0220"/>
    <x v="0"/>
    <x v="2"/>
    <s v="MDY00991"/>
    <x v="0"/>
    <s v="MPT  Phase 1a Colo"/>
    <s v="On Air"/>
    <s v="TS _ v1"/>
    <s v="2"/>
    <x v="4"/>
    <n v="1.079"/>
    <n v="1.4950000000000001"/>
    <n v="7.56"/>
    <s v="EPA"/>
    <s v="30"/>
    <s v="35"/>
    <x v="1"/>
    <m/>
    <s v="Not Required"/>
    <s v="15-Jan-19: Okay for upgrdation as MPT is already on-air from 28-Feb-17."/>
    <s v="OK"/>
    <m/>
    <s v="OK"/>
    <s v="Existing on tower (Assume ) - TML 7.70 EPA / OML 21.17 EPA  / MPT 6.63 EPA /Mytel Colo apps 4.074 EPA   -  Add MW and ODU "/>
    <s v="OK"/>
    <m/>
    <m/>
    <s v="No"/>
    <s v="Existing Tower: OML+TML+MYTEL+KSGM(OLD+NEW) = 66.4%"/>
    <s v="OK"/>
    <m/>
    <m/>
    <m/>
    <m/>
    <s v="OK"/>
    <s v="No"/>
    <s v="No action needed "/>
    <m/>
    <m/>
    <m/>
    <m/>
    <m/>
    <m/>
    <m/>
    <d v="2019-01-17T14:59:36"/>
    <d v="2019-01-16T08:46:12"/>
    <d v="2019-01-18T13:27:55"/>
    <d v="2019-01-17T14:59:36"/>
    <d v="2019-01-15T17:09:00"/>
    <d v="2019-01-15T14:54:22"/>
    <x v="6"/>
    <n v="6.4029321759007871"/>
    <n v="0"/>
    <s v="Open File"/>
    <s v="ANMD_0220 (MDY0099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220 (MDY00991) Application Rev 2.xlsx"/>
    <m/>
  </r>
  <r>
    <n v="3600"/>
    <s v="1-01-05005-001"/>
    <x v="1"/>
    <x v="2"/>
    <s v="SGG00218"/>
    <x v="0"/>
    <s v="MPT  Phase 1b Colo"/>
    <s v="On Air"/>
    <s v="TS _ v1"/>
    <s v="1"/>
    <x v="4"/>
    <n v="1.1080000000000001"/>
    <n v="1.52"/>
    <n v="4.62"/>
    <s v="SQM"/>
    <s v="48"/>
    <s v="53"/>
    <x v="1"/>
    <m/>
    <s v="Not Required"/>
    <m/>
    <s v="OK"/>
    <m/>
    <s v="OK"/>
    <s v="Existing on tower (Actual) - OML with 8.34 sqm / MPT - 5.86 / TML - 4.50 Sqm /add MW and Odu"/>
    <s v="OK"/>
    <m/>
    <m/>
    <s v="No"/>
    <s v="EXISTING TOWER(OML+TML+KSGM(OLD+NEW)): 104 %_x000a_EXISTING TOWER(OML+TML+KSGM(OLD)):100.9%"/>
    <s v="OK"/>
    <m/>
    <m/>
    <m/>
    <s v="DG EOL swap "/>
    <s v="OK"/>
    <s v="No"/>
    <s v="No action needed "/>
    <m/>
    <m/>
    <m/>
    <m/>
    <m/>
    <m/>
    <m/>
    <d v="2019-01-17T14:59:36"/>
    <d v="2019-01-16T08:46:12"/>
    <d v="2019-01-18T16:42:05"/>
    <d v="2019-01-17T14:59:36"/>
    <m/>
    <d v="2019-01-15T14:54:18"/>
    <x v="7"/>
    <n v="6.4029343750007683"/>
    <n v="0"/>
    <s v="Open File"/>
    <s v="1-01-05005-001 (SGG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1 (SGG00218) Application Rev 1.xlsx"/>
    <m/>
  </r>
  <r>
    <n v="3601"/>
    <s v="ANSG_0498"/>
    <x v="0"/>
    <x v="2"/>
    <s v="SGG00255"/>
    <x v="0"/>
    <s v="MPT  Phase 1a Colo"/>
    <s v="On Air"/>
    <s v="TS _ v1"/>
    <s v="2"/>
    <x v="4"/>
    <n v="1"/>
    <n v="1.4"/>
    <n v="5.83"/>
    <s v="EPA"/>
    <s v="27"/>
    <s v="32"/>
    <x v="1"/>
    <m/>
    <s v="Not Required"/>
    <s v="15-Jan-19: Okay for upgrdation as MPT is already on-air from 25-Feb-16."/>
    <s v="OK"/>
    <m/>
    <s v="OK"/>
    <s v="Existing on tower (Assume ) - TML 3.84 EPA / OML 13.18 EPA  / MPT 6.27 EPA  -  Change height within reserved area "/>
    <s v="OK"/>
    <m/>
    <m/>
    <s v="Yes"/>
    <s v="Strengthened Tower: OML+TML+MYTEL+KSGM(OLD+NEW) = 87.2% (Strengthening and Retrofitting are not completed 100% yet. However, it was considered in this analysis by following the design.)_x000a_% strengthening done 80%_x000a_% Retrofitting  done 70%"/>
    <s v="OK"/>
    <m/>
    <m/>
    <m/>
    <m/>
    <s v="OK"/>
    <s v="No"/>
    <s v="No action needed "/>
    <m/>
    <m/>
    <m/>
    <m/>
    <m/>
    <m/>
    <m/>
    <d v="2019-01-17T14:59:36"/>
    <d v="2019-01-16T08:46:12"/>
    <d v="2019-01-21T10:16:58"/>
    <d v="2019-01-17T14:59:36"/>
    <d v="2019-01-15T17:09:00"/>
    <d v="2019-01-15T14:54:22"/>
    <x v="8"/>
    <n v="6.7235480324015953"/>
    <n v="0"/>
    <s v="Open File"/>
    <s v="ANSG_0498 (SGG002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98 (SGG00255) Application Rev 2.xlsx"/>
    <m/>
  </r>
  <r>
    <n v="3602"/>
    <s v="1-01-05027-001"/>
    <x v="1"/>
    <x v="2"/>
    <s v="SGG00562"/>
    <x v="0"/>
    <s v="MPT  Phase 1b Colo"/>
    <s v="On Air"/>
    <s v="MS _ v1"/>
    <s v="2"/>
    <x v="4"/>
    <n v="1"/>
    <n v="1.4"/>
    <n v="2.5"/>
    <s v="SQM"/>
    <s v="33"/>
    <s v="38"/>
    <x v="1"/>
    <m/>
    <s v="Not Required"/>
    <m/>
    <s v="OK"/>
    <s v="As per conversation with LL, site access ok to proceed."/>
    <s v="OK"/>
    <s v="Existing on tower (Actual) - OML with 10.81 sqm / MPT - 2.50 sqm / TML - 3.37 Sqm / Change MW height "/>
    <s v="OK"/>
    <m/>
    <m/>
    <s v="No"/>
    <s v="EXISTING TOWER(OP1+OP4+OP3(OLD+NEW)): 72.2  %_x000a_EXISTING TOWER(OP1+OP4+OP3(OLD)):  72.2 %"/>
    <s v="OK"/>
    <m/>
    <m/>
    <m/>
    <m/>
    <s v="OK"/>
    <s v="No"/>
    <s v="No action needed "/>
    <m/>
    <m/>
    <m/>
    <m/>
    <m/>
    <m/>
    <m/>
    <d v="2019-01-17T14:59:36"/>
    <d v="2019-01-16T08:46:12"/>
    <d v="2019-01-18T16:42:05"/>
    <d v="2019-01-17T14:59:36"/>
    <m/>
    <d v="2019-01-15T15:04:50"/>
    <x v="7"/>
    <n v="6.4029377315018792"/>
    <n v="0"/>
    <s v="Open File"/>
    <s v="1-01-05027-001 (SGG0056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1 (SGG00562) Application Rev 2.xlsx"/>
    <m/>
  </r>
  <r>
    <n v="3603"/>
    <s v="ANSH_0034"/>
    <x v="0"/>
    <x v="2"/>
    <s v="SHN00207"/>
    <x v="0"/>
    <s v="MPT  Phase 1a Colo"/>
    <s v="On Air"/>
    <s v="LTE _ v1"/>
    <s v="2"/>
    <x v="4"/>
    <n v="2.5950000000000002"/>
    <n v="3.7069999999999999"/>
    <n v="6.0579999999999998"/>
    <s v="EPA"/>
    <s v="20"/>
    <s v="25"/>
    <x v="1"/>
    <m/>
    <s v="Not Required"/>
    <s v="15-Jan-19: Okay for upgrdation as MPT is already on-air from 26-Feb-16."/>
    <s v="OK"/>
    <m/>
    <s v="OK"/>
    <s v="Existing on tower (Assume ) - TML 3.93 EPA / MPT 3.74 EPA -Add RRU "/>
    <s v="OK"/>
    <m/>
    <m/>
    <s v="No"/>
    <s v="Existing Tower:TML+KSGM(OLD+NEW) = 63.8%"/>
    <s v="OK"/>
    <m/>
    <m/>
    <m/>
    <m/>
    <s v="OK"/>
    <s v="No"/>
    <s v="No action needed "/>
    <m/>
    <m/>
    <m/>
    <m/>
    <m/>
    <m/>
    <m/>
    <d v="2019-01-17T14:59:36"/>
    <d v="2019-01-16T08:57:45"/>
    <d v="2019-01-21T11:49:48"/>
    <d v="2019-01-17T14:59:36"/>
    <d v="2019-01-15T17:09:00"/>
    <d v="2019-01-15T14:54:22"/>
    <x v="8"/>
    <n v="6.7235488426013035"/>
    <n v="0"/>
    <s v="Open File"/>
    <s v="ANSH_0034 (SHN0020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H_0034 (SHN00207) Application Rev 2.xlsx"/>
    <m/>
  </r>
  <r>
    <n v="3604"/>
    <s v="1-01-17023-009"/>
    <x v="1"/>
    <x v="0"/>
    <s v="AWD01309"/>
    <x v="0"/>
    <s v="MPT Phase 2 Colo"/>
    <s v="RFI"/>
    <s v="Relocation"/>
    <s v="1"/>
    <x v="4"/>
    <n v="2.64"/>
    <n v="3.3"/>
    <n v="4.8499999999999996"/>
    <s v="SQM"/>
    <s v="48"/>
    <s v="53"/>
    <x v="1"/>
    <m/>
    <s v="Not Required"/>
    <m/>
    <s v="OK"/>
    <m/>
    <s v="OK"/>
    <s v="Existing on tower (Actual) - OML with 11.02 sqm / MPT - 4.44 sqm / TML - 2.97 Sqm / Increase RF dimension and Decrease MW dimesion "/>
    <s v="OK"/>
    <m/>
    <m/>
    <s v="No"/>
    <s v="EXISTING TOWER(OML+TML+KSGM(OLD+NEW)):  103.2%_x000a_EXISTING TOWER(OML+TML+KSGM(OLD)):  99%"/>
    <s v="OK"/>
    <m/>
    <m/>
    <m/>
    <m/>
    <s v="OK"/>
    <s v="No"/>
    <s v="No action needed "/>
    <m/>
    <m/>
    <m/>
    <m/>
    <m/>
    <m/>
    <m/>
    <d v="2019-01-17T14:59:36"/>
    <d v="2019-01-16T08:57:45"/>
    <d v="2019-01-21T10:08:34"/>
    <d v="2019-01-17T14:59:36"/>
    <m/>
    <d v="2019-01-15T14:54:19"/>
    <x v="8"/>
    <n v="6.7235496528010117"/>
    <n v="0"/>
    <s v="Open File"/>
    <s v="1-01-17023-009 (AWD013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1.xlsx"/>
    <m/>
  </r>
  <r>
    <n v="3605"/>
    <s v="1-01-05005-002"/>
    <x v="1"/>
    <x v="2"/>
    <s v="SGG00219"/>
    <x v="0"/>
    <s v="MPT  Phase 1b Colo"/>
    <s v="On Air"/>
    <s v="Exchange"/>
    <s v="3"/>
    <x v="4"/>
    <n v="1.399"/>
    <n v="2.2610000000000001"/>
    <n v="4.2"/>
    <s v="SQM"/>
    <s v="48"/>
    <s v="53"/>
    <x v="1"/>
    <m/>
    <s v="Not Required"/>
    <m/>
    <s v="OK"/>
    <m/>
    <s v="OK"/>
    <s v="Existing on tower (Actual) - OML with 7.72 sqm / MPT - 4.16 sqm / TML - 4.04 Sqm / Add 1 RRU "/>
    <s v="OK"/>
    <m/>
    <m/>
    <s v="No"/>
    <s v="EXISTING TOWER(OP1+OP4+OP3(OLD+NEW)): 99.4  %_x000a_EXISTING TOWER(OP1+OP4+OP3(OLD)):   99.4 %"/>
    <s v="OK"/>
    <m/>
    <m/>
    <m/>
    <m/>
    <s v="OK"/>
    <s v="No"/>
    <s v="No action needed "/>
    <m/>
    <m/>
    <m/>
    <m/>
    <m/>
    <m/>
    <m/>
    <d v="2019-01-17T14:59:36"/>
    <d v="2019-01-16T08:46:12"/>
    <d v="2019-01-18T16:42:06"/>
    <d v="2019-01-17T14:59:36"/>
    <m/>
    <d v="2019-01-15T14:54:19"/>
    <x v="7"/>
    <n v="6.4029408564965706"/>
    <n v="0"/>
    <s v="Open File"/>
    <s v="1-01-05005-002 (SGG0021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3.xlsx"/>
    <m/>
  </r>
  <r>
    <n v="3606"/>
    <s v="1-01-05007-010"/>
    <x v="1"/>
    <x v="2"/>
    <s v="SGG00223"/>
    <x v="0"/>
    <s v="MPT  Phase 1b Colo"/>
    <s v="On Air"/>
    <s v="Exchange"/>
    <s v="1"/>
    <x v="4"/>
    <n v="1.4530000000000001"/>
    <n v="2.3210000000000002"/>
    <n v="3.95"/>
    <s v="SQM"/>
    <s v="48"/>
    <s v="53"/>
    <x v="1"/>
    <m/>
    <s v="Not Required"/>
    <m/>
    <s v="OK"/>
    <m/>
    <s v="OK"/>
    <s v="Existing on tower (Actual) - OML with 9.47 sqm / MPT - 3.04 sqm / TML - 3.87 Sqm / Decrease MW dimesion and add RRU "/>
    <s v="OK"/>
    <m/>
    <m/>
    <s v="No"/>
    <s v="EXISTING TOWER(OP1+OP4+OP3(OLD+NEW)): 96.9  %_x000a_EXISTING TOWER(OP1+OP4+OP3(OLD)):  95.8  %"/>
    <s v="OK"/>
    <m/>
    <m/>
    <m/>
    <m/>
    <s v="OK"/>
    <s v="No"/>
    <s v="No action needed "/>
    <m/>
    <m/>
    <m/>
    <m/>
    <m/>
    <m/>
    <m/>
    <d v="2019-01-17T14:59:36"/>
    <d v="2019-01-16T08:46:12"/>
    <d v="2019-01-18T16:42:06"/>
    <d v="2019-01-17T14:59:36"/>
    <m/>
    <d v="2019-01-15T14:54:19"/>
    <x v="7"/>
    <n v="6.4029420138977002"/>
    <n v="0"/>
    <s v="Open File"/>
    <s v="1-01-05007-010 (SGG0022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10 (SGG00223) Application Rev 1.xlsx"/>
    <m/>
  </r>
  <r>
    <n v="3607"/>
    <s v="1-01-11002-003"/>
    <x v="1"/>
    <x v="0"/>
    <s v="MON00623"/>
    <x v="0"/>
    <s v="New Colocation"/>
    <s v="Active"/>
    <s v="TS"/>
    <s v="0"/>
    <x v="4"/>
    <n v="0.72"/>
    <n v="0.9"/>
    <n v="2.2509999999999999"/>
    <s v="SQM"/>
    <s v="37"/>
    <s v="42"/>
    <x v="0"/>
    <m/>
    <s v="Not Required"/>
    <m/>
    <s v="OK"/>
    <m/>
    <s v="OK"/>
    <s v="Existing on tower (Actual) - OML with 9.75 sqm / MPT - 4.43 sqm / New Colocation "/>
    <s v="Rejected"/>
    <m/>
    <m/>
    <s v="No"/>
    <s v="WIND ZONE CHANGE:_x000a_Strengthened Tower(OML+MYTEL+KSGM(NEW)):  93.7  % (old wind zone 130 kPH)_x000a_Strengthened  Tower(OML+MYTEL+KSGM(NEW)): 138.4 % (new wind zone 160 kPH)_x000a_Estimated Strengthening(Tower steel weight: 3141.647kg ,Foundation Conc; weight 5.1m3 )"/>
    <s v="OK"/>
    <m/>
    <m/>
    <m/>
    <m/>
    <s v="OK"/>
    <s v="Yes"/>
    <s v="Need new slab "/>
    <m/>
    <m/>
    <m/>
    <m/>
    <m/>
    <m/>
    <m/>
    <d v="2019-01-17T14:59:37"/>
    <d v="2019-01-16T08:46:13"/>
    <m/>
    <d v="2019-01-17T14:59:37"/>
    <m/>
    <d v="2019-01-15T14:57:08"/>
    <x v="0"/>
    <n v="8.7018432870390825"/>
    <n v="1"/>
    <s v="No File"/>
    <s v="1-01-11002-003 (MON0062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2-003 (MON00623) Application Rev 0.xlsx"/>
    <m/>
  </r>
  <r>
    <n v="3608"/>
    <s v="1-01-17003-011"/>
    <x v="1"/>
    <x v="0"/>
    <s v="AYY0291"/>
    <x v="3"/>
    <s v="Mytel Phase 1b Colo"/>
    <s v="RFI"/>
    <s v="Other"/>
    <s v="1"/>
    <x v="4"/>
    <n v="2"/>
    <n v="2"/>
    <n v="6"/>
    <s v="SQM"/>
    <s v="37"/>
    <s v="42"/>
    <x v="0"/>
    <m/>
    <s v="Not Required"/>
    <m/>
    <s v="Review"/>
    <s v="Ongoing DG noise issue and Mytel team delivered DG without inform PAT and village. Currently, community againsts new DG and Mytel colo. (off grid area)."/>
    <s v="Not Required"/>
    <m/>
    <s v="Not Required"/>
    <m/>
    <m/>
    <m/>
    <m/>
    <s v="OK"/>
    <s v="25-Jan-19"/>
    <m/>
    <m/>
    <s v="Review DG capacity due to community issue swap TBA"/>
    <s v="Not Required"/>
    <m/>
    <m/>
    <m/>
    <m/>
    <m/>
    <m/>
    <m/>
    <m/>
    <m/>
    <m/>
    <d v="2019-01-16T08:46:13"/>
    <m/>
    <m/>
    <m/>
    <m/>
    <x v="0"/>
    <n v="8.7018432870390825"/>
    <n v="1"/>
    <s v="No File"/>
    <s v="1-01-17003-011 (AYY0291)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3-011 (AYY0291) Application Rev 1.xlsx"/>
    <m/>
  </r>
  <r>
    <n v="3597"/>
    <s v="1-01-06005-005"/>
    <x v="1"/>
    <x v="0"/>
    <s v="TN0624"/>
    <x v="4"/>
    <s v="TML Phase 1 Colo"/>
    <s v="RFI"/>
    <s v="Add Equipment"/>
    <s v="1"/>
    <x v="5"/>
    <m/>
    <m/>
    <m/>
    <s v="SQM"/>
    <s v="42.5"/>
    <s v="47.5"/>
    <x v="1"/>
    <m/>
    <s v="Not Required"/>
    <m/>
    <s v="OK"/>
    <m/>
    <s v="Not Required"/>
    <s v=" For VSAT ground space "/>
    <s v="Not Required"/>
    <m/>
    <m/>
    <m/>
    <m/>
    <s v="Not Required"/>
    <m/>
    <m/>
    <m/>
    <m/>
    <s v="OK"/>
    <s v="No"/>
    <s v="Commercial team to advise if VSAT foundation to be constructed by PAT or TML team ."/>
    <m/>
    <m/>
    <m/>
    <m/>
    <m/>
    <m/>
    <m/>
    <m/>
    <m/>
    <m/>
    <d v="2019-01-14T13:41:46"/>
    <m/>
    <d v="2019-01-14T09:48:57"/>
    <x v="9"/>
    <n v="0.57237233799969545"/>
    <n v="0"/>
    <s v="Open File"/>
    <s v="1-01-06005-005 (TN0624)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6005-005 (TN0624) Application Rev 1.xlsx"/>
    <m/>
  </r>
  <r>
    <n v="3598"/>
    <s v="1-01-14007-015"/>
    <x v="1"/>
    <x v="2"/>
    <s v="KCN00508"/>
    <x v="0"/>
    <s v="MPT  Phase 1b Colo"/>
    <s v="On Air"/>
    <s v="Multisector"/>
    <s v="2"/>
    <x v="5"/>
    <n v="2.1970000000000001"/>
    <n v="3.7970000000000002"/>
    <n v="5.6920000000000002"/>
    <s v="SQM"/>
    <s v="41.5-46.5"/>
    <s v="59-60"/>
    <x v="1"/>
    <m/>
    <s v="Not Required"/>
    <m/>
    <s v="OK"/>
    <m/>
    <s v="OK"/>
    <s v="Existing on tower (Actual) - OML with 9.01 sqm , MPT actual 4.93 sqm / Latest Colo Apps - 5.07 sqm / TML - 3.94 sqm - Increase 1 RF dimension , add RRU and change leg on MW "/>
    <s v="OK"/>
    <m/>
    <m/>
    <s v="No"/>
    <s v="Strengthened Tower(OML+TML+KSGM(OLD+NEW)): 93.36 %_x000a_Strengthened Tower(OML+TML+KSGM(OLD)): 93.22 %"/>
    <s v="OK"/>
    <m/>
    <m/>
    <m/>
    <m/>
    <s v="OK"/>
    <s v="No"/>
    <s v="No action needed "/>
    <m/>
    <m/>
    <m/>
    <m/>
    <m/>
    <m/>
    <m/>
    <d v="2019-01-14T16:39:47"/>
    <d v="2019-01-16T08:57:44"/>
    <d v="2019-01-15T15:55:02"/>
    <d v="2019-01-14T16:39:47"/>
    <m/>
    <d v="2019-01-14T14:59:39"/>
    <x v="6"/>
    <n v="7.4029305556032341"/>
    <n v="0"/>
    <s v="Open File"/>
    <s v="1-01-14007-015 (KCN0050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5 (KCN00508) Application Rev 2.xlsx"/>
    <m/>
  </r>
  <r>
    <n v="3587"/>
    <s v="ACBA_0202"/>
    <x v="0"/>
    <x v="0"/>
    <s v="BGE00446"/>
    <x v="0"/>
    <s v="New Colocation"/>
    <s v="Active"/>
    <s v="TS"/>
    <s v="0"/>
    <x v="6"/>
    <n v="1.52"/>
    <n v="1.9"/>
    <n v="3.43"/>
    <s v="EPA"/>
    <s v="36"/>
    <s v="41"/>
    <x v="0"/>
    <m/>
    <s v="Not Required"/>
    <m/>
    <s v="OK"/>
    <m/>
    <s v="OK"/>
    <s v="Existing on tower (Assume ) - TML 4.20 EPA -New Colocation "/>
    <s v="Rejected"/>
    <m/>
    <m/>
    <s v="No"/>
    <s v="Existing Tower: TML+KSGM (OLD+NEW) ; Tower = 81.9% but FDN unstable due to soil condition is submerged_x000a_(Estimate volume of concrete = 6 cb.m;  exten pad of foundation from 6.5m to 7.5m)_x000a_Existing Tower: TML(OLD) ; Tower = 74.4% but FDN unstable"/>
    <s v="OK"/>
    <m/>
    <m/>
    <m/>
    <m/>
    <s v="OK"/>
    <s v="No"/>
    <s v="sharing on the existing slab "/>
    <m/>
    <m/>
    <m/>
    <m/>
    <m/>
    <m/>
    <m/>
    <d v="2019-01-14T13:36:39"/>
    <d v="2019-01-16T08:46:11"/>
    <m/>
    <d v="2019-01-14T13:36:39"/>
    <m/>
    <d v="2019-01-14T10:50:26"/>
    <x v="0"/>
    <n v="12.701843287039082"/>
    <n v="1"/>
    <s v="No File"/>
    <s v="ACBA_0202 (BGE0044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202 (BGE00446) Application Rev 0.xlsx"/>
    <m/>
  </r>
  <r>
    <n v="3588"/>
    <s v="1-01-08008-001"/>
    <x v="1"/>
    <x v="1"/>
    <s v="BGW00539"/>
    <x v="0"/>
    <s v="New Colocation"/>
    <s v="Active"/>
    <s v="TS"/>
    <s v="0"/>
    <x v="6"/>
    <n v="0.72"/>
    <n v="0.9"/>
    <m/>
    <s v="SQM"/>
    <s v="42.5"/>
    <s v="47.5"/>
    <x v="1"/>
    <m/>
    <s v="OK"/>
    <m/>
    <s v="OK"/>
    <m/>
    <s v="OK"/>
    <s v="Existing on tower (Actual) - OML with 9.75 sqm , TML - 3.56 Sqm   -New Colocation"/>
    <s v="OK"/>
    <m/>
    <m/>
    <s v="No"/>
    <s v="EXISTING TOWER(OML+TML+KSGM(NEW)): 67.3%"/>
    <s v="OK"/>
    <m/>
    <m/>
    <m/>
    <m/>
    <s v="OK"/>
    <s v="Yes"/>
    <s v="Need new slab "/>
    <m/>
    <m/>
    <m/>
    <m/>
    <m/>
    <m/>
    <m/>
    <d v="2019-01-14T13:36:39"/>
    <d v="2019-01-16T08:57:43"/>
    <d v="2019-01-15T11:33:30"/>
    <d v="2019-01-14T13:36:39"/>
    <d v="2019-01-15T17:34:26"/>
    <d v="2019-01-14T09:48:16"/>
    <x v="10"/>
    <n v="5.412556597199"/>
    <n v="0"/>
    <s v="No File"/>
    <s v="1-01-08008-001 (BGW0053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8-001 (BGW00539) Application Rev 0.xlsx"/>
    <m/>
  </r>
  <r>
    <n v="3589"/>
    <s v="1-01-01010-013"/>
    <x v="1"/>
    <x v="2"/>
    <s v="KCN00442"/>
    <x v="0"/>
    <s v="MPT  Phase 1b Colo"/>
    <s v="RFI"/>
    <s v="TS"/>
    <s v="1"/>
    <x v="6"/>
    <n v="1.621"/>
    <n v="3.6989999999999998"/>
    <m/>
    <s v="SQM"/>
    <s v="16"/>
    <s v="21"/>
    <x v="1"/>
    <m/>
    <s v="OK"/>
    <s v="Rental increase of 100k/month was granted which took effect last 16-Dec-18 (400k-500k)"/>
    <s v="OK"/>
    <m/>
    <s v="OK"/>
    <s v="Existing on tower (Actual) - OML with 6.41 sqm , MPT - 5.10 Sqm / Increase RF dimension and add RRU and ODU"/>
    <s v="OK"/>
    <m/>
    <m/>
    <s v="No"/>
    <s v="EXISTING TOWER(OML+KSGM(OLD+NEW)): 57.2 %_x000a_EXISTING TOWER(OML+KSGM(OLD)):59.4 %"/>
    <s v="OK"/>
    <m/>
    <m/>
    <m/>
    <m/>
    <s v="OK"/>
    <s v="No"/>
    <s v="No action needed "/>
    <m/>
    <m/>
    <m/>
    <m/>
    <m/>
    <m/>
    <m/>
    <d v="2019-01-14T13:36:40"/>
    <d v="2019-01-16T08:57:43"/>
    <d v="2019-01-15T11:33:30"/>
    <d v="2019-01-14T13:36:40"/>
    <d v="2019-01-15T17:34:26"/>
    <d v="2019-01-14T09:48:16"/>
    <x v="10"/>
    <n v="5.4125570601972868"/>
    <n v="0"/>
    <s v="Open File"/>
    <s v="1-01-01010-013 (KCN004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1.xlsx"/>
    <m/>
  </r>
  <r>
    <n v="3590"/>
    <s v="1-01-09018-009"/>
    <x v="1"/>
    <x v="1"/>
    <s v="MGW00506"/>
    <x v="0"/>
    <s v="MPT  Phase 1b Colo"/>
    <s v="On Air"/>
    <s v="LTE"/>
    <s v="4"/>
    <x v="6"/>
    <n v="1.9890000000000001"/>
    <n v="3.5489999999999999"/>
    <m/>
    <s v="SQM"/>
    <s v="48"/>
    <s v="53"/>
    <x v="1"/>
    <m/>
    <s v="OK"/>
    <m/>
    <s v="OK"/>
    <m/>
    <s v="OK"/>
    <s v="Existing on tower (Actual) - OML with 7.56 sqm , MPT - 3.92 Sqm , TML - 2.84 sqm / Increase RF dimension and add RRU and ODU"/>
    <s v="OK"/>
    <m/>
    <m/>
    <s v="No"/>
    <s v="Existing Tower: OML+TML+KSGM(OLD+NEW) = 99.5%_x000a_Existing Tower: OML+TML+KSGM(OLD) = 98.0%"/>
    <s v="OK"/>
    <m/>
    <m/>
    <m/>
    <s v="Review PE system capacity after actual site load confirmed "/>
    <s v="OK"/>
    <s v="No"/>
    <s v="No action needed "/>
    <m/>
    <m/>
    <m/>
    <m/>
    <m/>
    <m/>
    <m/>
    <d v="2019-01-14T13:36:40"/>
    <d v="2019-01-16T08:57:43"/>
    <d v="2019-01-15T10:35:05"/>
    <d v="2019-01-14T13:36:40"/>
    <d v="2019-01-15T17:34:26"/>
    <d v="2019-01-14T09:48:16"/>
    <x v="10"/>
    <n v="5.4125582175984164"/>
    <n v="0"/>
    <s v="Open File"/>
    <s v="1-01-09018-009 (MGW005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8-009 (MGW00506) Application Rev 4.xlsx"/>
    <m/>
  </r>
  <r>
    <n v="3591"/>
    <s v="1-01-05004-001"/>
    <x v="1"/>
    <x v="2"/>
    <s v="SGG00208"/>
    <x v="0"/>
    <s v="MPT  Phase 1b Colo"/>
    <s v="On Air"/>
    <s v="Exchange"/>
    <s v="2"/>
    <x v="6"/>
    <n v="1.399"/>
    <n v="2.2989999999999999"/>
    <m/>
    <s v="SQM"/>
    <s v="48"/>
    <s v="53"/>
    <x v="1"/>
    <m/>
    <s v="OK"/>
    <m/>
    <s v="OK"/>
    <m/>
    <s v="OK"/>
    <s v="Existing on tower (Actual) - OML with 11.73 sqm , MPT - 4.16 Sqm , TML - 3.79 sqm -Change MW height ( 0.5m difference ) - add ODU "/>
    <s v="OK"/>
    <m/>
    <m/>
    <s v="No"/>
    <s v="EXISTING TOWER(OML+TML+KSGM(OLD+NEW)): 103.2 %_x000a_EXISTING TOWER(OML+TML+KSGM(OLD)):103.3%"/>
    <s v="OK"/>
    <m/>
    <m/>
    <m/>
    <s v="DG SOH to be confirmed "/>
    <s v="OK"/>
    <s v="No"/>
    <s v="No action needed "/>
    <m/>
    <m/>
    <m/>
    <m/>
    <m/>
    <m/>
    <m/>
    <d v="2019-01-14T13:36:41"/>
    <d v="2019-01-16T08:57:43"/>
    <d v="2019-01-15T11:33:30"/>
    <d v="2019-01-14T13:36:41"/>
    <d v="2019-01-15T17:34:26"/>
    <d v="2019-01-14T09:48:16"/>
    <x v="10"/>
    <n v="5.4125589120012592"/>
    <n v="0"/>
    <s v="Open File"/>
    <s v="1-01-05004-001 (SGG0020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4-001 (SGG00208) Application Rev 2.xlsx"/>
    <m/>
  </r>
  <r>
    <n v="3592"/>
    <s v="1-01-10003-004"/>
    <x v="1"/>
    <x v="2"/>
    <s v="MDYMHAM044"/>
    <x v="1"/>
    <s v="Amara Colocation"/>
    <s v="New Tenant"/>
    <s v="New Colocation"/>
    <s v="0"/>
    <x v="6"/>
    <n v="2"/>
    <m/>
    <n v="5"/>
    <s v="EPA"/>
    <s v="25"/>
    <s v="30"/>
    <x v="0"/>
    <m/>
    <s v="OK"/>
    <m/>
    <s v="OK"/>
    <m/>
    <s v="OK"/>
    <s v="Existing on tower (Actual) - OML with 7.31 sqm- New Colocation RTT  "/>
    <m/>
    <m/>
    <m/>
    <m/>
    <m/>
    <s v="OK"/>
    <s v="1-2 weeks after approval"/>
    <m/>
    <m/>
    <s v="AC connect"/>
    <s v="OK"/>
    <s v="Yes"/>
    <s v="Need new slab "/>
    <m/>
    <m/>
    <m/>
    <m/>
    <m/>
    <m/>
    <m/>
    <d v="2019-01-14T13:36:41"/>
    <d v="2019-01-18T10:29:11"/>
    <m/>
    <d v="2019-01-14T13:36:41"/>
    <d v="2019-01-15T17:34:26"/>
    <d v="2019-01-14T09:48:16"/>
    <x v="0"/>
    <n v="12.701843287039082"/>
    <n v="1"/>
    <s v="No File"/>
    <s v="1-01-10003-004 (MDYMHAM04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04 (MDYMHAM044) Application Rev 0.xlsx"/>
    <m/>
  </r>
  <r>
    <n v="3593"/>
    <s v="1-01-10001-007"/>
    <x v="1"/>
    <x v="2"/>
    <s v="MDYAMTZ004"/>
    <x v="1"/>
    <s v="Amara Colocation"/>
    <s v="New Tenant"/>
    <s v="New Colocation"/>
    <s v="0"/>
    <x v="6"/>
    <n v="2"/>
    <m/>
    <n v="5"/>
    <s v="EPA"/>
    <s v="17.35"/>
    <s v="22.35"/>
    <x v="0"/>
    <m/>
    <s v="OK"/>
    <m/>
    <s v="OK"/>
    <m/>
    <s v="OK"/>
    <s v="Existing on tower (Actual) - OML with 7.12 sqm- New Colocation RTT  "/>
    <m/>
    <m/>
    <m/>
    <m/>
    <m/>
    <s v="OK"/>
    <s v="1-2 weeks after approval"/>
    <m/>
    <m/>
    <s v="AC connect"/>
    <s v="OK"/>
    <s v="Yes"/>
    <s v="Need new slab "/>
    <m/>
    <m/>
    <m/>
    <m/>
    <m/>
    <m/>
    <m/>
    <d v="2019-01-14T13:36:42"/>
    <d v="2019-01-18T10:29:11"/>
    <m/>
    <d v="2019-01-14T13:36:42"/>
    <d v="2019-01-15T17:34:26"/>
    <d v="2019-01-14T09:48:17"/>
    <x v="0"/>
    <n v="12.701843287039082"/>
    <n v="1"/>
    <s v="No File"/>
    <s v="1-01-10001-007 (MDYAMTZ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1-007 (MDYAMTZ004) Application Rev 0.xlsx"/>
    <m/>
  </r>
  <r>
    <n v="3594"/>
    <s v="1-01-10003-012"/>
    <x v="1"/>
    <x v="2"/>
    <s v="MDYCMTN064"/>
    <x v="1"/>
    <s v="Amara Colocation"/>
    <s v="New Tenant"/>
    <s v="New Colocation"/>
    <s v="0"/>
    <x v="6"/>
    <n v="2"/>
    <m/>
    <n v="5"/>
    <s v="EPA"/>
    <s v="14.7"/>
    <s v="19.7"/>
    <x v="0"/>
    <m/>
    <s v="OK"/>
    <m/>
    <s v="OK"/>
    <m/>
    <s v="OK"/>
    <s v="Existing on tower (Actual) - OML with 7.52 sqm- New Colocation RTT  "/>
    <m/>
    <m/>
    <m/>
    <m/>
    <m/>
    <s v="OK"/>
    <s v="1-2 weeks after approval"/>
    <m/>
    <m/>
    <s v="AC connect"/>
    <s v="OK"/>
    <s v="Yes"/>
    <s v="Need new slab "/>
    <m/>
    <m/>
    <m/>
    <m/>
    <m/>
    <m/>
    <m/>
    <d v="2019-01-14T13:36:42"/>
    <d v="2019-01-18T10:29:11"/>
    <m/>
    <d v="2019-01-14T13:36:42"/>
    <d v="2019-01-15T17:34:26"/>
    <d v="2019-01-14T09:48:17"/>
    <x v="0"/>
    <n v="12.701843287039082"/>
    <n v="1"/>
    <s v="No File"/>
    <s v="1-01-10003-012 (MDYCMTN06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12 (MDYCMTN064) Application Rev 0.xlsx"/>
    <m/>
  </r>
  <r>
    <n v="3595"/>
    <s v="1-01-10003-002"/>
    <x v="1"/>
    <x v="2"/>
    <s v="MDYCMTN040"/>
    <x v="1"/>
    <s v="Amara Colocation"/>
    <s v="New Tenant"/>
    <s v="New Colocation"/>
    <s v="0"/>
    <x v="6"/>
    <n v="2"/>
    <m/>
    <n v="5"/>
    <s v="EPA"/>
    <s v="16"/>
    <s v="21"/>
    <x v="0"/>
    <m/>
    <s v="Not Required"/>
    <m/>
    <s v="OK"/>
    <m/>
    <s v="OK"/>
    <s v="Existing on tower (Actual) - OML with 7.52 sqm- New Colocation RTT  "/>
    <m/>
    <m/>
    <m/>
    <m/>
    <m/>
    <s v="OK"/>
    <s v="1-2 weeks after approval"/>
    <m/>
    <m/>
    <s v="AC connect"/>
    <s v="OK"/>
    <s v="Yes"/>
    <s v="Need new slab "/>
    <m/>
    <m/>
    <m/>
    <m/>
    <m/>
    <m/>
    <m/>
    <d v="2019-01-14T13:36:42"/>
    <d v="2019-01-18T10:29:11"/>
    <m/>
    <d v="2019-01-14T13:36:42"/>
    <m/>
    <d v="2019-01-14T09:48:17"/>
    <x v="0"/>
    <n v="12.701843287039082"/>
    <n v="1"/>
    <s v="No File"/>
    <s v="1-01-10003-002 (MDYCMTN04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02 (MDYCMTN040) Application Rev 0.xlsx"/>
    <m/>
  </r>
  <r>
    <n v="3596"/>
    <s v="1-01-10003-013"/>
    <x v="1"/>
    <x v="2"/>
    <s v="MDYMHAM065"/>
    <x v="1"/>
    <s v="Amara Colocation"/>
    <s v="New Tenant"/>
    <s v="New Colocation"/>
    <s v="0"/>
    <x v="6"/>
    <n v="2"/>
    <m/>
    <n v="5"/>
    <s v="EPA"/>
    <m/>
    <m/>
    <x v="0"/>
    <m/>
    <s v="Not Required"/>
    <m/>
    <s v="OK"/>
    <m/>
    <s v="OK"/>
    <s v="Existing on tower (Actual) - OML with 3.85 sqm- New Colocation RTT  "/>
    <m/>
    <m/>
    <m/>
    <m/>
    <m/>
    <s v="OK"/>
    <s v="1-2 weeks after approval"/>
    <m/>
    <m/>
    <s v="AC connect"/>
    <s v="OK"/>
    <s v="Yes"/>
    <s v="Need new slab "/>
    <m/>
    <m/>
    <m/>
    <m/>
    <m/>
    <m/>
    <m/>
    <d v="2019-01-14T13:36:42"/>
    <d v="2019-01-18T10:29:11"/>
    <m/>
    <d v="2019-01-14T13:36:42"/>
    <m/>
    <d v="2019-01-14T09:48:17"/>
    <x v="0"/>
    <n v="12.701843287039082"/>
    <n v="1"/>
    <s v="No File"/>
    <s v="1-01-10003-013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3-013 (MDYMHAM065) Application Rev 0.xlsx"/>
    <m/>
  </r>
  <r>
    <n v="3573"/>
    <s v="ANMD_0166"/>
    <x v="0"/>
    <x v="2"/>
    <s v="MDYAMPR003"/>
    <x v="1"/>
    <s v="Amara Colocation"/>
    <s v="New Tenant"/>
    <s v="New Colocation"/>
    <s v=""/>
    <x v="7"/>
    <n v="2"/>
    <m/>
    <n v="5"/>
    <s v="EPA"/>
    <s v="20"/>
    <s v="25"/>
    <x v="1"/>
    <m/>
    <s v="OK"/>
    <s v="10-Jan-19: Okay for TI installation as GBT site and single opco."/>
    <s v="OK"/>
    <m/>
    <s v="OK"/>
    <s v="Existing on tower (Assume ) - TML 5.74 EPA - New Colocation "/>
    <s v="OK"/>
    <m/>
    <m/>
    <m/>
    <s v="Total EPA is 5.74+5 =10.74 &lt; 18 EPA Design - OK (Preliminaly Tower Assessment)"/>
    <s v="OK"/>
    <s v="1-2 weeks"/>
    <m/>
    <m/>
    <s v="AC connect"/>
    <s v="OK"/>
    <s v="No"/>
    <s v="sharing on the existing slab "/>
    <m/>
    <m/>
    <m/>
    <m/>
    <m/>
    <m/>
    <m/>
    <d v="2019-01-11T10:48:40"/>
    <d v="2019-01-14T15:26:15"/>
    <d v="2019-01-14T09:22:39"/>
    <d v="2019-01-11T10:48:40"/>
    <d v="2019-01-10T15:31:12"/>
    <d v="2019-01-10T23:10:21"/>
    <x v="11"/>
    <n v="4.6894686343002832"/>
    <n v="0"/>
    <s v="No File"/>
    <s v="ANMD_0166 (MDYAMPR003)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6 (MDYAMPR003) Application Rev .xlsx"/>
    <m/>
  </r>
  <r>
    <n v="3574"/>
    <s v="ANMD_0004"/>
    <x v="0"/>
    <x v="2"/>
    <s v="MDYAMTZ010"/>
    <x v="1"/>
    <s v="Amara Colocation"/>
    <s v="New Tenant"/>
    <s v="New Colocation"/>
    <s v=""/>
    <x v="7"/>
    <n v="2"/>
    <m/>
    <n v="5"/>
    <s v="EPA"/>
    <s v="23"/>
    <s v="28"/>
    <x v="0"/>
    <m/>
    <s v="Not Required"/>
    <m/>
    <s v="OK"/>
    <m/>
    <s v="OK"/>
    <s v="RT - Existing on tower (Assume ) - TML 4.10 EPA - New Colocation - To double check with TSSR if remaining 2 free pole are still available . "/>
    <m/>
    <m/>
    <m/>
    <m/>
    <s v="RT Site: Need TSSR and BA for STR validated"/>
    <s v="OK"/>
    <s v="1-2 weeks after approval"/>
    <m/>
    <m/>
    <s v="AC connect"/>
    <s v="OK"/>
    <s v="No"/>
    <s v="to be determine base on actual TSS as this is RT"/>
    <m/>
    <m/>
    <m/>
    <m/>
    <m/>
    <m/>
    <m/>
    <d v="2019-01-11T10:48:40"/>
    <d v="2019-01-18T10:29:10"/>
    <m/>
    <d v="2019-01-11T10:48:40"/>
    <m/>
    <d v="2019-01-10T23:10:21"/>
    <x v="0"/>
    <n v="13.701843287039082"/>
    <n v="1"/>
    <s v="No File"/>
    <s v="ANMD_0004 (MDYAMTZ010)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xlsx"/>
    <m/>
  </r>
  <r>
    <n v="3581"/>
    <s v="1-01-10018-001"/>
    <x v="1"/>
    <x v="2"/>
    <s v="MDY00339"/>
    <x v="0"/>
    <s v="MPT  Phase 1b Colo"/>
    <s v="On Air"/>
    <s v="TS _ v1"/>
    <s v="2"/>
    <x v="7"/>
    <n v="1"/>
    <n v="1.4"/>
    <m/>
    <s v="SQM"/>
    <s v="48"/>
    <s v="53"/>
    <x v="1"/>
    <m/>
    <s v="OK"/>
    <m/>
    <s v="OK"/>
    <m/>
    <s v="OK"/>
    <s v="Existing on tower (Actual) - OML with 15.69 sqm , MPT  - 3.09 Sqm , TML with 3.40 Sqm   - MW height change as per actual "/>
    <s v="OK"/>
    <m/>
    <m/>
    <s v="No"/>
    <s v="EXISTING TOWER(OML+TML+KSGM(OLD+NEW)): 104.8 %_x000a_EXISTING TOWER(OML+TML+KSGM(OLD)):    104.8 %"/>
    <s v="OK"/>
    <m/>
    <m/>
    <m/>
    <m/>
    <s v="OK"/>
    <s v="No"/>
    <s v="No action needed "/>
    <m/>
    <m/>
    <m/>
    <m/>
    <m/>
    <m/>
    <m/>
    <d v="2019-01-11T10:48:41"/>
    <d v="2019-01-16T08:57:42"/>
    <d v="2019-01-14T15:45:01"/>
    <d v="2019-01-11T10:48:41"/>
    <d v="2019-01-15T17:34:25"/>
    <d v="2019-01-10T23:20:59"/>
    <x v="10"/>
    <n v="6.4125533565020305"/>
    <n v="1"/>
    <s v="Open File"/>
    <s v="1-01-10018-001 (MDY0033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2.xlsx"/>
    <m/>
  </r>
  <r>
    <n v="3582"/>
    <s v="1-01-15013-009"/>
    <x v="1"/>
    <x v="2"/>
    <s v="SHN00040"/>
    <x v="0"/>
    <s v="MPT  Phase 1b Colo"/>
    <s v="On Air"/>
    <s v="TS _ v1"/>
    <s v="1"/>
    <x v="7"/>
    <n v="1.054"/>
    <n v="1.522"/>
    <m/>
    <s v="SQM"/>
    <s v="48"/>
    <s v="53"/>
    <x v="1"/>
    <m/>
    <s v="OK"/>
    <m/>
    <s v="OK"/>
    <m/>
    <s v="OK"/>
    <s v="Existing on tower (Actual) - OML with 10.64 sqm , MPT  - 2.71 Sqm , TML with 3.51 Sqm   - Add MW "/>
    <s v="OK"/>
    <m/>
    <m/>
    <s v="No"/>
    <s v="EXISTING TOWER(OML+TML+KSGM(OLD+NEW)): 100.9 %_x000a_EXISTING TOWER(OML+TML+KSGM(OLD)):97.7%"/>
    <s v="OK"/>
    <m/>
    <m/>
    <m/>
    <m/>
    <s v="OK"/>
    <s v="No"/>
    <s v="No action needed "/>
    <m/>
    <m/>
    <m/>
    <m/>
    <m/>
    <m/>
    <m/>
    <d v="2019-01-11T10:48:41"/>
    <d v="2019-01-16T08:57:42"/>
    <d v="2019-01-14T15:45:02"/>
    <d v="2019-01-11T11:20:41"/>
    <d v="2019-01-15T17:34:25"/>
    <d v="2019-01-10T23:20:59"/>
    <x v="10"/>
    <n v="6.4125542823967407"/>
    <n v="1"/>
    <s v="Open File"/>
    <s v="1-01-15013-009 (SHN00040)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1.xlsx"/>
    <m/>
  </r>
  <r>
    <n v="3583"/>
    <s v="1-01-15013-004"/>
    <x v="1"/>
    <x v="2"/>
    <s v="SHN00327"/>
    <x v="0"/>
    <s v="MPT  Phase 1b Colo"/>
    <s v="On Air"/>
    <s v="Exchange"/>
    <s v="3"/>
    <x v="7"/>
    <n v="1.399"/>
    <n v="2.1989999999999998"/>
    <m/>
    <s v="SQM"/>
    <s v="46"/>
    <s v="51"/>
    <x v="1"/>
    <m/>
    <s v="OK"/>
    <m/>
    <s v="OK"/>
    <m/>
    <s v="OK"/>
    <s v="Existing on tower (Actual) - OML with 11.76 sqm , MPT  - 3.56 Sqm    - Add 1 RRU "/>
    <s v="OK"/>
    <m/>
    <m/>
    <s v="No"/>
    <s v="Strengthened Tower(OP1+OP3(OLD+NEW)): 95.1 %_x000a_Strengthened Tower(OP1+OP3(OLD)): 95.1 %"/>
    <s v="OK"/>
    <m/>
    <m/>
    <m/>
    <m/>
    <s v="OK"/>
    <s v="No"/>
    <s v="No action needed "/>
    <m/>
    <m/>
    <m/>
    <m/>
    <m/>
    <m/>
    <m/>
    <d v="2019-01-11T10:48:41"/>
    <d v="2019-01-16T08:57:43"/>
    <d v="2019-01-14T16:56:24"/>
    <d v="2019-01-11T11:20:41"/>
    <d v="2019-01-15T17:34:25"/>
    <d v="2019-01-10T23:21:00"/>
    <x v="10"/>
    <n v="6.4125553241028683"/>
    <n v="0"/>
    <s v="Open File"/>
    <s v="1-01-15013-004 (SHN003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3.xlsx"/>
    <m/>
  </r>
  <r>
    <n v="3572"/>
    <s v="ANMG_0034"/>
    <x v="0"/>
    <x v="1"/>
    <s v="MGW00303"/>
    <x v="0"/>
    <s v="MPT  Phase 1a Colo"/>
    <s v="On Air"/>
    <s v="LTE"/>
    <s v="2"/>
    <x v="8"/>
    <n v="1.9890000000000001"/>
    <n v="3.5489999999999999"/>
    <n v="6"/>
    <s v="EPA"/>
    <s v="30"/>
    <s v="35"/>
    <x v="1"/>
    <m/>
    <s v="OK"/>
    <s v="10-Jan-19: Okay for upgrdation as MPT is already on-air from 23-Dec-15"/>
    <s v="OK"/>
    <m/>
    <s v="OK"/>
    <s v="Existing on tower (Assume ) - TML 5.68 EPA / OML - 10.61 EPA / MPT - 3.75 EPA  - Increase RF Dimension and add RRU "/>
    <s v="OK"/>
    <m/>
    <m/>
    <s v="No"/>
    <s v="Existing Tower: OML+TML+KSGM (OLD+NEW) = 56.8%"/>
    <s v="OK"/>
    <m/>
    <m/>
    <m/>
    <m/>
    <s v="OK"/>
    <s v="No"/>
    <s v="No action needed "/>
    <m/>
    <m/>
    <m/>
    <m/>
    <m/>
    <m/>
    <m/>
    <d v="2019-01-11T10:48:40"/>
    <d v="2019-01-15T13:37:35"/>
    <d v="2019-01-14T16:56:23"/>
    <d v="2019-01-11T10:48:40"/>
    <d v="2019-01-10T15:31:11"/>
    <d v="2019-01-10T23:10:20"/>
    <x v="10"/>
    <n v="7.4125526619973243"/>
    <n v="0"/>
    <s v="Open File"/>
    <s v="ANMG_0034 (MGW003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4 (MGW00303) Application Rev 2.xlsx"/>
    <m/>
  </r>
  <r>
    <n v="3559"/>
    <s v="1-01-12016-011"/>
    <x v="1"/>
    <x v="1"/>
    <s v="RA0021"/>
    <x v="4"/>
    <s v="TML Phase 1 Colo"/>
    <s v="On Air"/>
    <s v="Move Equipment"/>
    <s v="2"/>
    <x v="9"/>
    <m/>
    <m/>
    <n v="4.46"/>
    <s v="SQM"/>
    <s v="46"/>
    <s v="51"/>
    <x v="1"/>
    <m/>
    <s v="Not Required"/>
    <m/>
    <s v="Not Required"/>
    <m/>
    <s v="OK"/>
    <s v="Existing on tower actual - OML - 8.69 Sqm / TML on tower 2.32 Or TML previous Colo Apps 4.41 Sqm - Add 1 ODU "/>
    <s v="OK"/>
    <m/>
    <m/>
    <s v="No"/>
    <s v="EXISTING TOWER(OML+TML(OLD+NEW)):  103.8 %_x000a_EXISTING TOWER(OML+TML(OLD)): 98.8 %"/>
    <s v="Not Required"/>
    <m/>
    <m/>
    <m/>
    <m/>
    <s v="OK"/>
    <s v="No"/>
    <s v="No action needed "/>
    <m/>
    <m/>
    <m/>
    <m/>
    <m/>
    <m/>
    <m/>
    <d v="2019-01-08T11:27:58"/>
    <m/>
    <d v="2019-01-11T15:54:01"/>
    <d v="2019-01-08T11:27:58"/>
    <m/>
    <m/>
    <x v="12"/>
    <n v="3.6929034721979406"/>
    <n v="0"/>
    <s v="Open File"/>
    <s v="1-01-12016-011 (RA0021) Application Rev 2.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2016-011 (RA0021) Application Rev 2.xlsx"/>
    <m/>
  </r>
  <r>
    <n v="3560"/>
    <s v="ANKC_0024"/>
    <x v="0"/>
    <x v="2"/>
    <s v="KCN00341"/>
    <x v="0"/>
    <s v="MPT  Phase 1a Colo"/>
    <s v="On Air"/>
    <s v="Exchange"/>
    <s v="2"/>
    <x v="9"/>
    <n v="1.399"/>
    <n v="2.2610000000000001"/>
    <n v="5.76"/>
    <s v="EPA"/>
    <s v="37"/>
    <s v="42"/>
    <x v="1"/>
    <m/>
    <s v="OK"/>
    <s v="10-Jan-19: Okay for upgrdation as MPT is already on-air from 23-Mar-16"/>
    <s v="OK"/>
    <m/>
    <s v="OK"/>
    <s v="Existing on tower (Assume ) - TML 6.73 EPA / MPT - 4.82 EPA /Mytel 8.09 EPA - Decrease RF Dimension and add RRU "/>
    <s v="OK"/>
    <m/>
    <m/>
    <s v="No"/>
    <s v="Existing Tower: TML+MYTEL+KSGM (OLD+NEW) = 62.3%"/>
    <s v="OK"/>
    <m/>
    <m/>
    <m/>
    <m/>
    <s v="OK"/>
    <s v="No"/>
    <s v="No action needed "/>
    <m/>
    <m/>
    <m/>
    <m/>
    <m/>
    <m/>
    <m/>
    <d v="2019-01-09T12:01:10"/>
    <d v="2019-01-14T17:39:04"/>
    <d v="2019-01-10T11:38:18"/>
    <d v="2019-01-09T12:01:10"/>
    <d v="2019-01-10T15:31:08"/>
    <d v="2019-01-08T17:25:13"/>
    <x v="13"/>
    <n v="7.4378131944031338"/>
    <n v="0"/>
    <s v="Open File"/>
    <s v="ANKC_0024 (KCN0034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24 (KCN00341) Application Rev 2.xlsx"/>
    <m/>
  </r>
  <r>
    <n v="3561"/>
    <s v="1-01-10013-005"/>
    <x v="1"/>
    <x v="2"/>
    <s v="MDY01364"/>
    <x v="0"/>
    <s v="MPT Phase 2 Colo"/>
    <s v="RFI"/>
    <s v="TS"/>
    <s v="1"/>
    <x v="9"/>
    <n v="1.175"/>
    <n v="2.1389999999999998"/>
    <n v="3.4"/>
    <s v="SQM"/>
    <s v="26"/>
    <s v="31"/>
    <x v="1"/>
    <m/>
    <s v="OK"/>
    <s v="Rental increase of 50k/month was granted which took effect last 29-Nov-18 (250k-300k)"/>
    <s v="OK"/>
    <m/>
    <s v="OK"/>
    <s v="Existing on tower actual - OML - 7.76 Sqm / MPT - 3.08 Sqm /TML 3.52 sqm /- Add 2 RRU "/>
    <s v="OK"/>
    <m/>
    <m/>
    <s v="No"/>
    <s v="Existing Tower: OML+TML+KSGM (OLD+NEW) = 97.0%_x000a_Existing Tower: OML+TML+KSGM (OLD) = 97.0%"/>
    <s v="OK"/>
    <s v="31-Jan-19"/>
    <m/>
    <m/>
    <s v="New PE system I&amp;C in planning part of 41 site list"/>
    <s v="OK"/>
    <s v="No"/>
    <s v="No action needed "/>
    <m/>
    <m/>
    <m/>
    <m/>
    <m/>
    <m/>
    <m/>
    <d v="2019-01-09T12:01:10"/>
    <d v="2019-01-14T17:39:04"/>
    <d v="2019-01-10T17:26:50"/>
    <d v="2019-01-09T12:01:10"/>
    <d v="2019-01-15T17:34:24"/>
    <d v="2019-01-10T23:22:28"/>
    <x v="14"/>
    <n v="8.4125503472023411"/>
    <n v="0"/>
    <s v="Open File"/>
    <s v="1-01-10013-005 (MDY0136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3-005 (MDY01364) Application Rev 1.xlsx"/>
    <m/>
  </r>
  <r>
    <n v="3562"/>
    <s v="ANSG_0466"/>
    <x v="0"/>
    <x v="2"/>
    <s v="SGG00230"/>
    <x v="0"/>
    <s v="MPT  Phase 1a Colo"/>
    <s v="On Air"/>
    <s v="Exchange"/>
    <s v="2"/>
    <x v="9"/>
    <n v="1.329"/>
    <n v="2.1989999999999998"/>
    <n v="5.53"/>
    <s v="EPA"/>
    <s v="35"/>
    <s v="40"/>
    <x v="1"/>
    <m/>
    <s v="OK"/>
    <s v="10-Jan-19: Okay for upgrdation as MPT is already on-air from 27-May-16"/>
    <s v="OK"/>
    <m/>
    <s v="OK"/>
    <s v="Existing on tower (Assume ) - TML 5.28 EPA / MPT - 4.82 EPA  - Remove MW and add RRU "/>
    <s v="OK"/>
    <m/>
    <m/>
    <s v="No"/>
    <s v="Existing Tower: TML+KSGM (OLD+NEW) = 47.1%"/>
    <s v="OK"/>
    <m/>
    <m/>
    <m/>
    <m/>
    <s v="OK"/>
    <s v="Yes"/>
    <s v="No action needed "/>
    <m/>
    <m/>
    <m/>
    <m/>
    <m/>
    <m/>
    <m/>
    <d v="2019-01-09T12:01:10"/>
    <d v="2019-01-14T17:39:04"/>
    <d v="2019-01-10T14:23:31"/>
    <d v="2019-01-09T12:01:10"/>
    <d v="2019-01-10T15:31:09"/>
    <d v="2019-01-08T17:25:13"/>
    <x v="13"/>
    <n v="7.4378148148025502"/>
    <n v="0"/>
    <s v="Open File"/>
    <s v="ANSG_0466 (SGG002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6 (SGG00230) Application Rev 2.xlsx"/>
    <m/>
  </r>
  <r>
    <n v="3563"/>
    <s v="AYYN_0530"/>
    <x v="0"/>
    <x v="0"/>
    <s v="YGNDMNH014"/>
    <x v="1"/>
    <s v="Amara Phase 1"/>
    <s v="On Air"/>
    <s v="Remove Equipment"/>
    <s v="1"/>
    <x v="9"/>
    <n v="3.8"/>
    <m/>
    <n v="3"/>
    <s v="EPA"/>
    <s v="4.5"/>
    <m/>
    <x v="1"/>
    <m/>
    <s v="OK"/>
    <s v="10-Jan-19: Okay for upgrdation as Amara is already on-air from 29-Mar-18"/>
    <s v="OK"/>
    <m/>
    <s v="OK"/>
    <s v="Require Colo Apps to update in prevalidation -  Existing on tower (Assume ) - TML 3.56 EPA / Amara previous Colo Apps 3.35 EPA  - Remove 1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09"/>
    <d v="2019-01-08T17:25:13"/>
    <x v="15"/>
    <n v="3.4006628471979639"/>
    <n v="0"/>
    <s v="No File"/>
    <s v="AYYN_0530 (YGNDMNH01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30 (YGNDMNH014) Application Rev 1.xlsx"/>
    <m/>
  </r>
  <r>
    <n v="3564"/>
    <s v="AYYN_0620"/>
    <x v="0"/>
    <x v="0"/>
    <s v="YGNDMSH008"/>
    <x v="1"/>
    <s v="Amara Phase 1"/>
    <s v="On Air"/>
    <s v="Remove Equipment"/>
    <s v="1"/>
    <x v="9"/>
    <n v="2.5"/>
    <m/>
    <n v="3"/>
    <s v="EPA"/>
    <s v="15"/>
    <s v="20"/>
    <x v="1"/>
    <m/>
    <s v="OK"/>
    <s v="10-Jan-19: Okay for upgrdation as Amara is already on-air from 09-Feb-18"/>
    <s v="OK"/>
    <m/>
    <s v="OK"/>
    <s v="Require Colo Apps to update in prevalidation -  Existing on tower (Assume ) - TML 4.11 EPA / OML - 12.15 EPA / MPT - 3.24 EPA / Mytel Colo Apps - 5.68 EPA /Amara previous Colo Apps 3.48 EPA  - Remove 2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10"/>
    <d v="2019-01-08T17:25:14"/>
    <x v="15"/>
    <n v="3.4006649306029431"/>
    <n v="0"/>
    <s v="No File"/>
    <s v="AYYN_0620 (YGNDMSH008)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620 (YGNDMSH008) Application Rev 1.xlsx"/>
    <m/>
  </r>
  <r>
    <n v="3565"/>
    <s v="1-01-15009-006"/>
    <x v="1"/>
    <x v="2"/>
    <s v="SHN00051"/>
    <x v="0"/>
    <s v="MPT  Phase 1b Colo"/>
    <s v="On Air"/>
    <s v="LTE"/>
    <s v="4"/>
    <x v="9"/>
    <n v="1.9890000000000001"/>
    <n v="3.6110000000000002"/>
    <n v="5.21"/>
    <s v="SQM"/>
    <s v="46"/>
    <s v="51"/>
    <x v="1"/>
    <m/>
    <s v="OK"/>
    <m/>
    <s v="OK"/>
    <m/>
    <s v="OK"/>
    <s v="Existing on tower actual - OML - 6.46 Sqm / MPT - 3.52 Sqm /TML 3.56 sqm / Decrease Dimension and add RRU "/>
    <s v="OK"/>
    <m/>
    <m/>
    <s v="No"/>
    <s v="EXISTING TOWER(OML+TML+KSGM(OLD+NEW)): 97.96 %_x000a_EXISTING TOWER(OML+TML+KSGM(OLD)):93.4 %"/>
    <s v="OK"/>
    <s v="31-Jan-19"/>
    <m/>
    <m/>
    <s v="New PE system I&amp;C in planning  part of 41 site list"/>
    <s v="OK"/>
    <s v="No"/>
    <s v="No action needed "/>
    <m/>
    <m/>
    <m/>
    <m/>
    <m/>
    <m/>
    <m/>
    <d v="2019-01-09T12:01:11"/>
    <d v="2019-01-14T17:39:04"/>
    <d v="2019-01-14T12:05:59"/>
    <d v="2019-01-09T12:01:11"/>
    <d v="2019-01-15T17:34:24"/>
    <d v="2019-01-10T23:22:29"/>
    <x v="14"/>
    <n v="8.4125510416997713"/>
    <n v="0"/>
    <s v="Open File"/>
    <s v="1-01-15009-006 (SHN0005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4.xlsx"/>
    <m/>
  </r>
  <r>
    <n v="3566"/>
    <s v="1-01-15002-002"/>
    <x v="1"/>
    <x v="2"/>
    <s v="SHN00062"/>
    <x v="0"/>
    <s v="MPT  Phase 1b Colo"/>
    <s v="On Air"/>
    <s v="LTE"/>
    <s v="1"/>
    <x v="9"/>
    <n v="1.9890000000000001"/>
    <n v="3.6110000000000002"/>
    <n v="4.7300000000000004"/>
    <s v="SQM"/>
    <s v="48"/>
    <s v="53"/>
    <x v="1"/>
    <m/>
    <s v="OK"/>
    <m/>
    <s v="OK"/>
    <m/>
    <s v="OK"/>
    <s v="Existing on tower actual - OML - 8.09 Sqm / MPT - 3.07 Sqm /TML 4.50 sqm / Decrease Dimension and add RRU "/>
    <s v="OK"/>
    <m/>
    <m/>
    <s v="No"/>
    <s v="EXISTING TOWER(OML+TML+KSGM(OLD+NEW)): 99.7 %_x000a_EXISTING TOWER(OML+TML+KSGM(OLD)): 95.8  %"/>
    <s v="OK"/>
    <s v="15-Feb-19"/>
    <m/>
    <m/>
    <s v="PE capacity upgrade required confrim available stock"/>
    <s v="OK"/>
    <s v="No"/>
    <s v="No action needed "/>
    <m/>
    <m/>
    <m/>
    <m/>
    <m/>
    <m/>
    <m/>
    <d v="2019-01-09T12:01:11"/>
    <d v="2019-01-16T12:01:38"/>
    <d v="2019-01-14T12:05:59"/>
    <d v="2019-01-09T12:01:11"/>
    <d v="2019-01-15T17:34:24"/>
    <d v="2019-01-10T23:20:57"/>
    <x v="16"/>
    <n v="8.6304743056025472"/>
    <n v="0"/>
    <s v="Open File"/>
    <s v="1-01-15002-002 (SHN000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2-002 (SHN00062) Application Rev 1.xlsx"/>
    <m/>
  </r>
  <r>
    <n v="3567"/>
    <s v="1-01-14007-013"/>
    <x v="1"/>
    <x v="2"/>
    <s v="SHN00081"/>
    <x v="0"/>
    <s v="MPT  Phase 1b Colo"/>
    <s v="On Air"/>
    <s v="LTE"/>
    <s v="2"/>
    <x v="9"/>
    <n v="2.0590000000000002"/>
    <n v="3.6110000000000002"/>
    <n v="5.47"/>
    <s v="SQM"/>
    <s v="45-48"/>
    <s v="52-54"/>
    <x v="0"/>
    <m/>
    <s v="OK"/>
    <m/>
    <s v="OK"/>
    <m/>
    <s v="OK"/>
    <s v="Existing on tower actual - OML - 7.90 Sqm / MPT - 2.69 Sqm /Mytel actual - 2.97 sqm - Mytel  colo apps 4.07 sqm / Decrease Dimension and add RRU "/>
    <s v="Rejected"/>
    <m/>
    <m/>
    <s v="No"/>
    <s v="Strengthened Tower: OML+MYTEL+KSGM (OLD+NEW) = 120.6% (Estimate modification weight = 140 kg)_x000a_Strengthened Tower: OML+MYTEL+KSGM (OLD) = 120.6%_x000a_Additional 2x0.9MWs (UE) and KSGM will change bigger antennas and add feedlines"/>
    <s v="OK"/>
    <s v="15-Feb-19"/>
    <m/>
    <m/>
    <s v="DG cap expan"/>
    <s v="OK"/>
    <s v="No"/>
    <s v="No action needed "/>
    <m/>
    <m/>
    <m/>
    <m/>
    <m/>
    <m/>
    <m/>
    <d v="2019-01-09T12:01:11"/>
    <d v="2019-01-16T12:01:38"/>
    <m/>
    <d v="2019-01-09T12:01:11"/>
    <d v="2019-01-15T17:34:25"/>
    <d v="2019-01-10T23:20:57"/>
    <x v="0"/>
    <n v="15.701843287039082"/>
    <n v="1"/>
    <s v="Open File"/>
    <s v="1-01-14007-013 (SHN000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3 (SHN00081) Application Rev 2.xlsx"/>
    <m/>
  </r>
  <r>
    <n v="3568"/>
    <s v="AYYN_0284"/>
    <x v="0"/>
    <x v="0"/>
    <s v="YGNINSN005"/>
    <x v="1"/>
    <s v="Amara Phase 1"/>
    <s v="On Air"/>
    <s v="Remove Equipment"/>
    <s v="1"/>
    <x v="9"/>
    <n v="3.8"/>
    <m/>
    <n v="3"/>
    <s v="EPA"/>
    <s v="4.5"/>
    <m/>
    <x v="1"/>
    <m/>
    <s v="OK"/>
    <s v="10-Jan-19: Okay for upgrdation as Amara is already on-air from 08-Mar-18"/>
    <s v="OK"/>
    <m/>
    <s v="OK"/>
    <s v="Require Colo Apps to update in prevalidation -  Existing on tower (Assume ) - TML -5.40 EPA/ Amara Previous Colo Apps 3.35 EPA  - Remove 2 MW (0.3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17"/>
    <n v="3.4006670138987829"/>
    <n v="0"/>
    <s v="No File"/>
    <s v="AYYN_0284 (YGNINSN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84 (YGNINSN005) Application Rev 1.xlsx"/>
    <m/>
  </r>
  <r>
    <n v="3569"/>
    <s v="AYYN_0575"/>
    <x v="0"/>
    <x v="0"/>
    <s v="YGNSPTR001"/>
    <x v="1"/>
    <s v="Amara Phase 1"/>
    <s v="On Air"/>
    <s v="Remove Equipment"/>
    <s v="1"/>
    <x v="9"/>
    <n v="2.5"/>
    <m/>
    <n v="3"/>
    <s v="EPA"/>
    <s v="23"/>
    <s v="28"/>
    <x v="1"/>
    <m/>
    <s v="OK"/>
    <s v="10-Jan-19: Okay for upgrdation as Amara is already on-air from 13-Mar-18"/>
    <s v="OK"/>
    <m/>
    <s v="OK"/>
    <s v="Require Colo Apps to update in prevalidation -  Existing on tower (Assume ) - TML -2.57 EPA/ Amara Previous Colo Apps 3.40 EPA  - Remove 1 MW (0.6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17"/>
    <n v="3.4006688657027553"/>
    <n v="0"/>
    <s v="No File"/>
    <s v="AYYN_0575 (YGNSPTR00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5 (YGNSPTR001) Application Rev 1.xlsx"/>
    <m/>
  </r>
  <r>
    <n v="3570"/>
    <s v="AYYN_0403"/>
    <x v="0"/>
    <x v="0"/>
    <s v="YGNTKTA002"/>
    <x v="1"/>
    <s v="Amara Phase 1"/>
    <s v="On Air"/>
    <s v="Remove Equipment"/>
    <s v="1"/>
    <x v="9"/>
    <n v="2.5"/>
    <m/>
    <n v="3"/>
    <s v="EPA"/>
    <s v="4.5"/>
    <m/>
    <x v="1"/>
    <m/>
    <s v="OK"/>
    <s v="10-Jan-19: Okay for upgrdation as Amara is already on-air from 06-Mar-18"/>
    <s v="OK"/>
    <m/>
    <s v="OK"/>
    <s v="Require Colo Apps to update in prevalidation -  Existing on tower (Assume ) - TML -2.57 EPA/ Amara Previous Colo Apps 3.09 EPA  - Remove 1 MW (0.3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4"/>
    <x v="17"/>
    <n v="3.4006710648027365"/>
    <n v="0"/>
    <s v="No File"/>
    <s v="AYYN_0403 (YGNTKTA00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03 (YGNTKTA002) Application Rev 1.xlsx"/>
    <m/>
  </r>
  <r>
    <n v="3571"/>
    <s v="AYYN_0570"/>
    <x v="0"/>
    <x v="0"/>
    <s v="YGNSPTR022"/>
    <x v="1"/>
    <s v="Amara Phase 1"/>
    <s v="On Air"/>
    <s v="Remove Equipment"/>
    <s v="1"/>
    <x v="9"/>
    <n v="1.1000000000000001"/>
    <m/>
    <n v="3"/>
    <s v="EPA"/>
    <s v="20"/>
    <s v="25"/>
    <x v="1"/>
    <m/>
    <s v="OK"/>
    <s v="10-Jan-19: Okay for upgrdation as Amara is already on-air from 22-Jun-18"/>
    <s v="OK"/>
    <m/>
    <s v="OK"/>
    <s v="Require Colo Apps to update in prevalidation -  Existing on tower (Assume ) - TML -5.79 EPA/ MPT - 4.85 EPA / Mytel 5.68 EPA / Amara Previous Colo Apps 3.36 EPA  - Remove 1 MW (0.6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5"/>
    <x v="17"/>
    <n v="3.4006729167012963"/>
    <n v="0"/>
    <s v="No File"/>
    <s v="AYYN_0570 (YGNSPTR02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0 (YGNSPTR022) Application Rev 1.xlsx"/>
    <m/>
  </r>
  <r>
    <n v="3551"/>
    <s v="ASMO_0207"/>
    <x v="0"/>
    <x v="0"/>
    <s v="MOW6137"/>
    <x v="2"/>
    <s v="Colo"/>
    <s v="Active"/>
    <s v="New Colocation"/>
    <s v=""/>
    <x v="10"/>
    <n v="3"/>
    <n v="4"/>
    <n v="6"/>
    <s v="SQM"/>
    <s v="37"/>
    <s v="42"/>
    <x v="0"/>
    <m/>
    <s v="OK"/>
    <m/>
    <s v="OK"/>
    <m/>
    <s v="OK"/>
    <s v="Existing on tower (Assume ) - TML 6.01 EPA /  Awaiting Colo Apps Submission "/>
    <s v="OK"/>
    <m/>
    <m/>
    <s v="No"/>
    <s v="Total EPA is 6.01+6 =12.01 &lt; 25 EPA Design - OK (Preliminaly Tower Assessment), OML 6.0EPA Required"/>
    <s v="OK"/>
    <m/>
    <m/>
    <m/>
    <m/>
    <s v="OK"/>
    <s v="No"/>
    <s v="sharing on the existing slab "/>
    <m/>
    <m/>
    <m/>
    <m/>
    <m/>
    <m/>
    <m/>
    <d v="2019-01-07T15:49:12"/>
    <d v="2019-01-14T17:39:03"/>
    <d v="2019-01-09T11:26:10"/>
    <d v="2019-01-07T15:49:12"/>
    <d v="2019-01-07T16:14:27"/>
    <d v="2019-01-07T10:32:02"/>
    <x v="0"/>
    <n v="16.701843287039082"/>
    <n v="1"/>
    <s v="No File"/>
    <s v="ASMO_0207 (MOW6137)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7 (MOW6137) Application Rev .xlsx"/>
    <m/>
  </r>
  <r>
    <n v="3552"/>
    <s v="ASMO_0199"/>
    <x v="0"/>
    <x v="0"/>
    <s v="MOW6153"/>
    <x v="2"/>
    <s v="Colo"/>
    <s v="Active"/>
    <s v="New Colocation"/>
    <s v=""/>
    <x v="10"/>
    <n v="3"/>
    <n v="4"/>
    <n v="6"/>
    <s v="SQM"/>
    <s v="47"/>
    <s v="50"/>
    <x v="0"/>
    <m/>
    <s v="OK"/>
    <s v="7-Jan-2019: take note that there is a NS running issue with the DG at this time."/>
    <s v="OK"/>
    <m/>
    <s v="OK"/>
    <s v=" Existing on tower (Assume ) - TML 3.93 EPA / MPT 3.51 EPA,  Awaiting Colo Apps Submission "/>
    <s v="OK"/>
    <m/>
    <m/>
    <s v="No"/>
    <s v="Total EPA is 7.44+6 =13.44 &lt; 25 EPA Design - OK (Preliminaly Tower Assessment), OML 6.0EPA Required"/>
    <s v="OK"/>
    <m/>
    <m/>
    <m/>
    <s v="monitor BB 12 Hrs NS "/>
    <s v="OK"/>
    <s v="No"/>
    <s v="sharing on the existing slab "/>
    <m/>
    <m/>
    <m/>
    <m/>
    <m/>
    <m/>
    <m/>
    <d v="2019-01-07T15:49:12"/>
    <d v="2019-01-14T17:39:03"/>
    <d v="2019-01-09T11:26:10"/>
    <d v="2019-01-07T15:49:12"/>
    <d v="2019-01-07T16:14:27"/>
    <d v="2019-01-07T10:32:02"/>
    <x v="0"/>
    <n v="16.701843287039082"/>
    <n v="1"/>
    <s v="No File"/>
    <s v="ASMO_0199 (MOW6153)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99 (MOW6153) Application Rev .xlsx"/>
    <m/>
  </r>
  <r>
    <n v="3553"/>
    <s v="AYYN_0373"/>
    <x v="0"/>
    <x v="0"/>
    <s v="YGN1424"/>
    <x v="3"/>
    <s v="Colocation"/>
    <s v="Active"/>
    <s v="New Colocation"/>
    <s v="1"/>
    <x v="10"/>
    <n v="2"/>
    <n v="2"/>
    <n v="3.5"/>
    <s v="EPA"/>
    <s v="17"/>
    <s v="21"/>
    <x v="0"/>
    <m/>
    <s v="OK"/>
    <s v="7-jan-2019: although there is no SAQ it is unlikely that there is enough space on site to accommodate another operator"/>
    <s v="OK"/>
    <m/>
    <s v="OK"/>
    <s v="Existing on tower (Assume ) - TML 3.56 EPA /  New Colo Apps Submission "/>
    <m/>
    <m/>
    <m/>
    <m/>
    <s v="RT Site: Need TSSR and BA for STR validated"/>
    <s v="OK"/>
    <m/>
    <m/>
    <m/>
    <m/>
    <s v="OK"/>
    <s v="No"/>
    <s v="to be determine base on actual TSS"/>
    <m/>
    <m/>
    <m/>
    <m/>
    <m/>
    <s v="OK"/>
    <m/>
    <d v="2019-01-07T15:49:12"/>
    <d v="2019-01-14T17:39:04"/>
    <m/>
    <d v="2019-01-07T15:49:12"/>
    <d v="2019-01-07T16:14:27"/>
    <d v="2019-01-07T10:57:08"/>
    <x v="0"/>
    <n v="16.701843287039082"/>
    <n v="2"/>
    <s v="No File"/>
    <s v="AYYN_0373 (YGN1424)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73 (YGN1424) Application Rev 1.xlsx"/>
    <m/>
  </r>
  <r>
    <n v="3554"/>
    <s v="1-01-14013-003"/>
    <x v="1"/>
    <x v="1"/>
    <s v="SHS00383"/>
    <x v="0"/>
    <s v="MPT  Phase 1b Colo"/>
    <s v="On Air"/>
    <s v="LTE"/>
    <s v="3"/>
    <x v="10"/>
    <n v="3.44"/>
    <n v="4.3"/>
    <n v="5.12"/>
    <s v="SQM"/>
    <s v="47.5"/>
    <s v="52.5"/>
    <x v="1"/>
    <m/>
    <s v="OK"/>
    <m/>
    <s v="OK"/>
    <m/>
    <s v="OK"/>
    <s v="Existing on tower actual - OML - 9.23 Sqm / MPT -3.93 Sqm  / TML - 2.74 sqm / MYTEL - 5.00 Sqm - Increase RF Dimension , Add RRU "/>
    <s v="OK"/>
    <m/>
    <m/>
    <s v="No"/>
    <s v="Strengthened Tower(OML+TML+KSGM(OLD+NEW)): 92.4 %_x000a_Strengthened Tower(OML+TML+KSGM(OLD)): 84.7 %"/>
    <s v="OK"/>
    <s v="15-Feb-19"/>
    <m/>
    <m/>
    <s v="PE systems upgrade required"/>
    <s v="OK"/>
    <s v="No"/>
    <s v="No action needed "/>
    <m/>
    <m/>
    <m/>
    <m/>
    <m/>
    <m/>
    <m/>
    <d v="2019-01-07T15:49:12"/>
    <d v="2019-01-16T12:01:38"/>
    <d v="2019-01-10T11:11:49"/>
    <d v="2019-01-14T16:39:47"/>
    <d v="2019-01-07T15:45:50"/>
    <d v="2019-01-10T23:22:28"/>
    <x v="16"/>
    <n v="9.6304706017981516"/>
    <n v="0"/>
    <s v="Open File"/>
    <s v="1-01-14013-003 (SHS0038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3 (SHS00383) Application Rev 3.xlsx"/>
    <m/>
  </r>
  <r>
    <n v="3555"/>
    <s v="1-01-03007-002"/>
    <x v="1"/>
    <x v="0"/>
    <s v="KA3411"/>
    <x v="4"/>
    <s v="TML Phase 1 Colo"/>
    <s v="Active"/>
    <s v="New Colocation"/>
    <s v="0"/>
    <x v="10"/>
    <m/>
    <m/>
    <n v="2.81"/>
    <s v="SQM"/>
    <s v="42.5"/>
    <s v="47.5"/>
    <x v="1"/>
    <m/>
    <s v="Not Required"/>
    <m/>
    <s v="Not Required"/>
    <m/>
    <s v="OK"/>
    <s v="Existing on tower actual - OML - 8.67 Sqm / MYTEL -4.07 Sqm - New Colocation"/>
    <s v="OK"/>
    <m/>
    <m/>
    <s v="No"/>
    <s v="EXISTING TOWER(OML+TML(NEW)):  91.7 % (old wind zone)_x000a_EXISTING TOWER(OML+TML(NEW)):  137.4 % (new wind zone)_STR later"/>
    <s v="Not Required"/>
    <m/>
    <m/>
    <m/>
    <m/>
    <s v="OK"/>
    <s v="Yes"/>
    <s v="Required New Slab"/>
    <m/>
    <m/>
    <m/>
    <m/>
    <m/>
    <s v="OK"/>
    <s v="OK to proceed, community will provide the feedback on 11 Jan 2019"/>
    <d v="2019-01-07T15:49:12"/>
    <m/>
    <d v="2019-01-10T17:10:32"/>
    <d v="2019-01-07T15:49:12"/>
    <m/>
    <m/>
    <x v="18"/>
    <n v="3.729218055603269"/>
    <n v="0"/>
    <s v="No File"/>
    <s v="1-01-03007-002 (KA341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3007-002 (KA3411) Application Rev 0.xlsx"/>
    <m/>
  </r>
  <r>
    <n v="3556"/>
    <s v="1-03-01014-017"/>
    <x v="1"/>
    <x v="2"/>
    <s v="KC0459"/>
    <x v="4"/>
    <s v="TML Phase 1 Colo"/>
    <s v="Active"/>
    <s v="New Colocation"/>
    <s v="0"/>
    <x v="10"/>
    <m/>
    <m/>
    <n v="4.13"/>
    <s v="SQM"/>
    <s v="42.5"/>
    <s v="47.5"/>
    <x v="1"/>
    <m/>
    <s v="Not Required"/>
    <m/>
    <s v="OK"/>
    <m/>
    <s v="OK"/>
    <s v="Existing on tower actual - MPT- 3.56 Sqm - New Colocation"/>
    <m/>
    <m/>
    <m/>
    <s v="No"/>
    <s v="STRENGTHENED TOWER(KSGM+MYTEL+TML(NEW)):  99.27 %"/>
    <s v="Not Required"/>
    <m/>
    <m/>
    <m/>
    <m/>
    <s v="OK"/>
    <s v="Yes"/>
    <s v="Required New Slab"/>
    <m/>
    <m/>
    <m/>
    <m/>
    <m/>
    <m/>
    <m/>
    <d v="2019-01-07T15:49:13"/>
    <m/>
    <d v="2019-01-11T10:37:25"/>
    <d v="2019-01-07T15:49:13"/>
    <m/>
    <d v="2019-01-10T23:22:28"/>
    <x v="19"/>
    <n v="4.4463650463003432"/>
    <n v="0"/>
    <s v="No File"/>
    <s v="1-03-01014-017 (KC0459)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3-01014-017 (KC0459) Application Rev 0.xlsx"/>
    <m/>
  </r>
  <r>
    <n v="3557"/>
    <s v="1-01-14007-014"/>
    <x v="1"/>
    <x v="2"/>
    <s v="SH4020"/>
    <x v="4"/>
    <s v="TML Phase 1 Colo"/>
    <s v="Active"/>
    <s v="New Colocation"/>
    <s v="0"/>
    <x v="10"/>
    <m/>
    <m/>
    <n v="4.2699999999999996"/>
    <s v="SQM"/>
    <s v="42.5"/>
    <s v="47.5"/>
    <x v="1"/>
    <m/>
    <s v="Not Required"/>
    <m/>
    <s v="Not Required"/>
    <m/>
    <s v="OK"/>
    <s v="Existing on tower actual - OML - 7.03Sqm / MPT - 3.72 Sqm - New Colocation"/>
    <s v="OK"/>
    <m/>
    <m/>
    <s v="No"/>
    <s v="EXISTING TOWER(OML+KSGM+TML(NEW)):  98.30 %"/>
    <s v="Not Required"/>
    <m/>
    <m/>
    <m/>
    <m/>
    <s v="OK"/>
    <s v="Yes"/>
    <s v="Required New Slab"/>
    <m/>
    <m/>
    <m/>
    <m/>
    <m/>
    <s v="OK"/>
    <s v="OK to proceed, community will provide the feedback on 11 Jan 2019"/>
    <d v="2019-01-07T15:49:13"/>
    <m/>
    <d v="2019-01-10T15:54:17"/>
    <d v="2019-01-07T15:49:13"/>
    <m/>
    <m/>
    <x v="18"/>
    <n v="3.7292186342965579"/>
    <n v="0"/>
    <s v="No File"/>
    <s v="1-01-14007-014 (SH4020)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4007-014 (SH4020) Application Rev 0.xlsx"/>
    <m/>
  </r>
  <r>
    <n v="3558"/>
    <s v="1-01-01015-020"/>
    <x v="1"/>
    <x v="2"/>
    <s v="KC0091"/>
    <x v="4"/>
    <s v="TML Phase 1 Colo"/>
    <s v="Active"/>
    <s v="New Colocation"/>
    <s v="0"/>
    <x v="10"/>
    <m/>
    <m/>
    <n v="3.78"/>
    <s v="SQM"/>
    <s v="47"/>
    <s v="52"/>
    <x v="1"/>
    <m/>
    <s v="Not Required"/>
    <m/>
    <s v="Not Required"/>
    <m/>
    <s v="OK"/>
    <s v="Existing on tower actual - OML - 8.10 Sqm / - New Colocation"/>
    <s v="OK"/>
    <m/>
    <m/>
    <s v="No"/>
    <s v="EXISTING TOWER(OML+TML(NEW)):  98.61 %"/>
    <s v="Not Required"/>
    <m/>
    <m/>
    <m/>
    <m/>
    <s v="OK"/>
    <s v="Yes"/>
    <s v="Required New Slab"/>
    <m/>
    <m/>
    <m/>
    <m/>
    <m/>
    <s v="OK"/>
    <s v="OK to proceed, community will provide the feedback on 11 Jan 2019"/>
    <d v="2019-01-07T15:49:13"/>
    <m/>
    <d v="2019-01-10T15:54:17"/>
    <d v="2019-01-07T15:49:13"/>
    <m/>
    <m/>
    <x v="20"/>
    <n v="3.7292189814979793"/>
    <n v="0"/>
    <s v="No File"/>
    <s v="1-01-01015-020 (KC009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1015-020 (KC0091) Application Rev 0.xlsx"/>
    <m/>
  </r>
  <r>
    <n v="3550"/>
    <s v="ASTN_0023"/>
    <x v="0"/>
    <x v="0"/>
    <s v="TNY00315"/>
    <x v="0"/>
    <s v="MPT  Phase 1a Colo"/>
    <s v="On Air"/>
    <s v="LTE"/>
    <s v="3"/>
    <x v="11"/>
    <n v="2.48"/>
    <n v="3.1"/>
    <n v="6.0839999999999996"/>
    <s v="EPA"/>
    <s v="39.5-42.5"/>
    <s v="45.5-47.5"/>
    <x v="0"/>
    <m/>
    <s v="OK"/>
    <m/>
    <s v="OK"/>
    <m/>
    <s v="OK"/>
    <s v="Existing on tower (Assume ) - TML 4.29 EPA / MPT - 4.60 EPA /   Increase RF Dimension and add RRU . "/>
    <s v="Rejected"/>
    <m/>
    <m/>
    <s v="No"/>
    <s v="Existing Tower: TML+KSGM (OLD+NEW) = 129.2%_x000a_(Estimate modification steel weight = 1500 kg)_x000a_Existing Tower: TML+KSGM (OLD) = 124.7%"/>
    <s v="OK"/>
    <m/>
    <m/>
    <m/>
    <s v="As above site ID duplicated"/>
    <s v="OK"/>
    <s v="No"/>
    <s v="No action needed "/>
    <m/>
    <m/>
    <m/>
    <m/>
    <m/>
    <m/>
    <m/>
    <d v="2019-01-07T09:10:22"/>
    <d v="2019-01-14T17:39:03"/>
    <m/>
    <d v="2019-01-07T09:10:22"/>
    <d v="2019-01-07T15:45:50"/>
    <d v="2019-01-07T10:29:24"/>
    <x v="0"/>
    <n v="20.701843287039082"/>
    <n v="2"/>
    <s v="Open File"/>
    <s v="ASTN_0023 (TNY0031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3.xlsx"/>
    <m/>
  </r>
  <r>
    <n v="3548"/>
    <s v="1-01-01010-012"/>
    <x v="1"/>
    <x v="2"/>
    <s v="KCN00455"/>
    <x v="0"/>
    <s v="MPT  Phase 1b Colo"/>
    <s v="RFI"/>
    <s v="TS _ v1"/>
    <s v="2"/>
    <x v="12"/>
    <n v="1.621"/>
    <n v="3.6989999999999998"/>
    <n v="2.5099999999999998"/>
    <s v="SQM"/>
    <s v="21"/>
    <s v="26"/>
    <x v="1"/>
    <m/>
    <s v="OK"/>
    <m/>
    <s v="OK"/>
    <m/>
    <s v="OK"/>
    <s v="Existing on tower actual - OML - 6.64 Sqm / MPT - 2.71 Sqm  / TML - 2.74 sqm / MYTEL - 2.03 Sqm - increase RF Dimension , Add RRU and ODU "/>
    <s v="OK"/>
    <m/>
    <m/>
    <s v="No"/>
    <s v="EXISTING TOWER(OML+TML+Mytel+KSGM(OLD+NEW)):  87.4 %_x000a_EXISTING TOWER(OML+TML+Mytel+KSGM(OLD)): 85.75 %"/>
    <s v="OK"/>
    <s v="2019-01-31"/>
    <m/>
    <m/>
    <s v="New PE system I&amp;C in planning part of 41 site list"/>
    <s v="OK"/>
    <s v="No"/>
    <s v="No action needed "/>
    <m/>
    <m/>
    <m/>
    <m/>
    <m/>
    <m/>
    <m/>
    <d v="2019-01-07T09:10:22"/>
    <d v="2019-01-14T17:39:03"/>
    <d v="2019-01-09T15:41:08"/>
    <d v="2019-01-07T09:10:22"/>
    <d v="2019-01-07T15:45:50"/>
    <d v="2019-01-02T14:17:15"/>
    <x v="13"/>
    <n v="13.437809953698888"/>
    <n v="0"/>
    <s v="Open File"/>
    <s v="1-01-01010-012 (KCN004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2.xlsx"/>
    <m/>
  </r>
  <r>
    <n v="3549"/>
    <s v="ASMO_0155"/>
    <x v="0"/>
    <x v="0"/>
    <s v="MON00618"/>
    <x v="0"/>
    <s v="MPT Phase 2 Colo "/>
    <s v="Active"/>
    <s v="TS"/>
    <s v="0"/>
    <x v="12"/>
    <n v="0.72"/>
    <n v="0.9"/>
    <n v="3.18"/>
    <s v="EPA"/>
    <s v="39.5"/>
    <s v="44.5"/>
    <x v="1"/>
    <m/>
    <s v="OK"/>
    <m/>
    <s v="OK"/>
    <m/>
    <s v="OK"/>
    <s v="Existing on tower (Assume ) - TML 9.08 EPA /  New Colo Apps Submission "/>
    <s v="OK"/>
    <m/>
    <m/>
    <s v="No"/>
    <s v="EXISTING TOWER: TML+KSGM(OLD+NEW)):  96.4%"/>
    <s v="OK"/>
    <m/>
    <m/>
    <m/>
    <m/>
    <s v="OK"/>
    <s v="No"/>
    <s v="sharing on the existing slab "/>
    <m/>
    <m/>
    <m/>
    <m/>
    <m/>
    <m/>
    <m/>
    <d v="2019-01-07T09:10:22"/>
    <d v="2019-01-14T17:39:03"/>
    <d v="2019-01-09T12:02:21"/>
    <d v="2019-01-07T09:10:22"/>
    <d v="2019-01-07T15:45:50"/>
    <d v="2019-01-03T14:46:34"/>
    <x v="13"/>
    <n v="13.437810648101731"/>
    <n v="0"/>
    <s v="No File"/>
    <s v="ASMO_0155 (MON00618)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155 (MON00618) Application Rev 0.xlsx"/>
    <m/>
  </r>
  <r>
    <n v="3536"/>
    <s v="ASKH_0007"/>
    <x v="0"/>
    <x v="1"/>
    <s v="KYH00181"/>
    <x v="0"/>
    <s v="Tower Share"/>
    <s v="Active"/>
    <s v="TS"/>
    <s v="0"/>
    <x v="13"/>
    <n v="0.72"/>
    <n v="0.9"/>
    <n v="3.18"/>
    <s v="EPA"/>
    <s v="55"/>
    <s v="60"/>
    <x v="1"/>
    <m/>
    <s v="OK"/>
    <m/>
    <s v="OK"/>
    <m/>
    <s v="OK"/>
    <s v="Existing on tower (Assume ) - TML 5.47 EPA / OML 12.22 EPA  /  New Colo Apps Submission "/>
    <s v="OK"/>
    <m/>
    <m/>
    <s v="No"/>
    <s v="Existing Tower: OML+TML+KSGM(NEW) = 59.5%"/>
    <s v="OK"/>
    <m/>
    <m/>
    <m/>
    <m/>
    <s v="OK"/>
    <s v="No"/>
    <s v="sharing on the existing slab "/>
    <m/>
    <m/>
    <m/>
    <m/>
    <m/>
    <m/>
    <m/>
    <d v="2018-12-27T10:57:08"/>
    <d v="2019-01-14T17:39:02"/>
    <d v="2019-01-11T16:33:34"/>
    <d v="2018-12-27T10:57:08"/>
    <d v="2019-01-07T15:45:49"/>
    <d v="2018-12-27T10:40:36"/>
    <x v="21"/>
    <n v="19.437805208297505"/>
    <n v="0"/>
    <s v="No File"/>
    <s v="ASKH_0007 (KYH0018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KH_0007 (KYH00181) Application Rev 0.xlsx"/>
    <m/>
  </r>
  <r>
    <n v="3537"/>
    <s v="ANNP_0222"/>
    <x v="0"/>
    <x v="1"/>
    <s v="NPT00514"/>
    <x v="0"/>
    <s v="Colocation"/>
    <s v="New Colocation"/>
    <s v="TS"/>
    <s v="0"/>
    <x v="13"/>
    <n v="0.72"/>
    <n v="0.9"/>
    <n v="3.18"/>
    <s v="EPA"/>
    <s v="48"/>
    <s v="53"/>
    <x v="1"/>
    <m/>
    <s v="OK"/>
    <m/>
    <s v="OK"/>
    <m/>
    <s v="OK"/>
    <s v="Existing on tower (Assume ) - TML 4.29 EPA /New Colo Apps Submission "/>
    <s v="OK"/>
    <m/>
    <m/>
    <s v="No"/>
    <s v="Existing Tower: TML+KSGM (OLD+NEW) = 62.7%"/>
    <s v="OK"/>
    <m/>
    <m/>
    <m/>
    <m/>
    <s v="OK"/>
    <s v="No"/>
    <s v="sharing on the existing slab "/>
    <m/>
    <m/>
    <m/>
    <m/>
    <m/>
    <m/>
    <m/>
    <d v="2018-12-27T10:57:08"/>
    <d v="2019-01-14T17:39:02"/>
    <d v="2019-01-08T14:10:26"/>
    <d v="2018-12-27T10:57:08"/>
    <d v="2019-01-07T15:45:49"/>
    <d v="2018-12-27T10:40:36"/>
    <x v="21"/>
    <n v="19.437806597197778"/>
    <n v="0"/>
    <s v="No File"/>
    <s v="ANNP_0222 (NPT00514)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NP_0222 (NPT00514) Application Rev 0.xlsx"/>
    <m/>
  </r>
  <r>
    <n v="3538"/>
    <s v="3-00-01014-003"/>
    <x v="1"/>
    <x v="2"/>
    <s v="KCN00120"/>
    <x v="0"/>
    <s v="MPT  Phase 1b Colo"/>
    <s v="On Air"/>
    <s v="TS _ v1"/>
    <s v="3"/>
    <x v="13"/>
    <n v="1.054"/>
    <n v="1.46"/>
    <n v="3.59"/>
    <s v="SQM"/>
    <s v="49"/>
    <s v="54"/>
    <x v="1"/>
    <m/>
    <s v="OK"/>
    <m/>
    <s v="OK"/>
    <m/>
    <s v="OK"/>
    <s v="Existing on tower actual - MPT 3.52 Sqm - Add MW and RRU/ODU "/>
    <s v="OK"/>
    <m/>
    <m/>
    <s v="No"/>
    <s v="EXISTING TOWER(KSGM(OLD+NEW)):  82.9%_x000a_EXISTING TOWER(KSGM(OLD)):    79 %"/>
    <s v="Not Required"/>
    <m/>
    <m/>
    <m/>
    <s v="Confirm site ID"/>
    <s v="OK"/>
    <s v="No"/>
    <s v="No action needed "/>
    <m/>
    <m/>
    <m/>
    <m/>
    <m/>
    <m/>
    <m/>
    <d v="2018-12-27T11:37:55"/>
    <m/>
    <d v="2018-12-28T11:56:25"/>
    <d v="2018-12-27T11:37:55"/>
    <d v="2019-01-07T15:45:49"/>
    <d v="2018-12-27T10:32:24"/>
    <x v="22"/>
    <n v="19.577520717597508"/>
    <n v="0"/>
    <s v="Open File"/>
    <s v="3-00-01014-003 (KCN0012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3 (KCN00120) Application Rev 3.xlsx"/>
    <m/>
  </r>
  <r>
    <n v="3539"/>
    <s v="3-00-01014-002"/>
    <x v="1"/>
    <x v="2"/>
    <s v="KCN00121"/>
    <x v="0"/>
    <s v="MPT  Phase 1b Colo"/>
    <s v="On Air"/>
    <s v="TS _ v1"/>
    <s v="3"/>
    <x v="13"/>
    <n v="1.1080000000000001"/>
    <n v="1.52"/>
    <n v="4.25"/>
    <s v="SQM"/>
    <s v="49"/>
    <s v="54"/>
    <x v="1"/>
    <m/>
    <s v="OK"/>
    <m/>
    <s v="OK"/>
    <m/>
    <s v="OK"/>
    <s v="Existing on tower actual - MPT 4.16 Sqm / Mytel Colo Apps - 4.43 sqm -Add MW and Odu"/>
    <s v="OK"/>
    <m/>
    <m/>
    <s v="No"/>
    <s v="Strengthened Tower(OML+MYTEL+KSGM(OLD+NEW)): 103.67 %_x000a_Strengthened Tower(OML+MYTEL+KSGM(OLD)): 100.84 %"/>
    <s v="Not Required"/>
    <m/>
    <m/>
    <m/>
    <s v="Confirm site ID"/>
    <s v="OK"/>
    <s v="No"/>
    <s v="No action needed "/>
    <m/>
    <m/>
    <m/>
    <m/>
    <m/>
    <m/>
    <m/>
    <d v="2018-12-27T11:37:55"/>
    <m/>
    <d v="2018-12-28T16:50:45"/>
    <d v="2018-12-27T11:37:55"/>
    <d v="2019-01-07T15:45:49"/>
    <d v="2018-12-27T10:32:24"/>
    <x v="22"/>
    <n v="19.577521180603071"/>
    <n v="0"/>
    <s v="Open File"/>
    <s v="3-00-01014-002 (KCN001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2 (KCN00121) Application Rev 3.xlsx"/>
    <m/>
  </r>
  <r>
    <n v="3540"/>
    <s v="1-01-05015-002"/>
    <x v="1"/>
    <x v="2"/>
    <s v="SGG00199"/>
    <x v="0"/>
    <s v="MPT  Phase 1b Colo"/>
    <s v="On Air"/>
    <s v="TS _ v1"/>
    <s v="3"/>
    <x v="13"/>
    <n v="1"/>
    <n v="1.4"/>
    <n v="3.61"/>
    <s v="SQM"/>
    <s v="43"/>
    <s v="48"/>
    <x v="1"/>
    <m/>
    <s v="OK"/>
    <m/>
    <s v="OK"/>
    <m/>
    <s v="OK"/>
    <s v="Existing on tower actual - OML - 10.81 Sqm / MPT 3.07 Sqm  /Op2 - 3.87 sqm-Add MW "/>
    <s v="OK"/>
    <m/>
    <m/>
    <s v="No"/>
    <s v="Strengthened Tower(OML+OP2+KSGM(OLD+NEW)): 89.7 %_x000a_Strengthened Tower(OML+OP2+KSGM(OLD)): 91 %"/>
    <s v="OK"/>
    <m/>
    <m/>
    <m/>
    <m/>
    <s v="OK"/>
    <s v="No"/>
    <s v="No action needed "/>
    <m/>
    <m/>
    <m/>
    <m/>
    <m/>
    <m/>
    <m/>
    <d v="2018-12-27T11:37:55"/>
    <d v="2019-01-14T17:39:02"/>
    <d v="2019-01-02T11:37:14"/>
    <d v="2018-12-27T11:37:55"/>
    <d v="2019-01-07T15:45:49"/>
    <d v="2018-12-27T10:32:24"/>
    <x v="13"/>
    <n v="19.437808796297759"/>
    <n v="1"/>
    <s v="Open File"/>
    <s v="1-01-05015-002 (SGG0019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3.xlsx"/>
    <m/>
  </r>
  <r>
    <n v="3541"/>
    <s v="1-01-01002-007"/>
    <x v="1"/>
    <x v="2"/>
    <s v="KCN00293"/>
    <x v="0"/>
    <s v="MPT  Phase 1b Colo"/>
    <s v="On Air"/>
    <s v="LTE_ v1"/>
    <s v="3"/>
    <x v="13"/>
    <n v="2.2999999999999998"/>
    <n v="3.5"/>
    <n v="4.0599999999999996"/>
    <s v="SQM"/>
    <s v="33"/>
    <s v="38"/>
    <x v="1"/>
    <m/>
    <s v="OK"/>
    <m/>
    <s v="OK"/>
    <m/>
    <s v="OK"/>
    <s v="Existing on tower actual - OML - 8.70 Sqm / MPT - 4.25 Sqm / TML - 3.30 sqm -Add RRU and ODU "/>
    <s v="OK"/>
    <m/>
    <m/>
    <s v="No"/>
    <s v="EXISTING TOWER(OML+TML+KSGM(OLD+NEW)):  99.2%_x000a_EXISTING TOWER(OML+TML+KSGM(OLD)): 99.2%"/>
    <s v="OK"/>
    <s v="15-Feb-19"/>
    <m/>
    <m/>
    <s v="PE systems upgrade required - BB DG "/>
    <s v="OK"/>
    <s v="No"/>
    <s v="No action needed "/>
    <m/>
    <m/>
    <m/>
    <m/>
    <m/>
    <m/>
    <m/>
    <d v="2018-12-27T16:51:51"/>
    <d v="2019-01-16T12:01:37"/>
    <d v="2019-01-02T14:50:44"/>
    <d v="2018-12-27T16:51:51"/>
    <d v="2019-01-07T15:45:49"/>
    <d v="2018-12-27T15:12:49"/>
    <x v="23"/>
    <n v="20.630462847198942"/>
    <n v="0"/>
    <s v="Open File"/>
    <s v="1-01-01002-007 (KCN0029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3.xlsx"/>
    <m/>
  </r>
  <r>
    <n v="3542"/>
    <s v="1-01-17008-014"/>
    <x v="1"/>
    <x v="0"/>
    <s v="AYY0016"/>
    <x v="3"/>
    <s v="Mytel Phase 1b Colo"/>
    <s v="On Air"/>
    <s v="Add Equipment"/>
    <s v="2"/>
    <x v="13"/>
    <m/>
    <m/>
    <n v="4.6399999999999997"/>
    <s v="SQM"/>
    <s v="33"/>
    <s v="38"/>
    <x v="1"/>
    <m/>
    <s v="Not Required"/>
    <m/>
    <s v="Not Required"/>
    <m/>
    <s v="OK"/>
    <s v="Existing on tower actual - OML - 6.88 Sqm / MYTEL - 3.39 Sqm - "/>
    <s v="OK"/>
    <m/>
    <m/>
    <s v="No"/>
    <s v="EXISTING TOWER(OML+Mytel(NEW)):  99 %"/>
    <s v="Not Required"/>
    <m/>
    <m/>
    <m/>
    <m/>
    <s v="Not Required"/>
    <m/>
    <m/>
    <s v="Not Required"/>
    <m/>
    <m/>
    <s v="Not Required"/>
    <m/>
    <s v="OK"/>
    <m/>
    <d v="2018-12-27T16:51:51"/>
    <m/>
    <d v="2019-01-07T16:12:08"/>
    <m/>
    <m/>
    <m/>
    <x v="24"/>
    <n v="11.675091666700609"/>
    <n v="0"/>
    <s v="No File"/>
    <s v="1-01-17008-014 (AYY0016)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8-014 (AYY0016) Application Rev 2.xlsx"/>
    <m/>
  </r>
  <r>
    <n v="3543"/>
    <s v="1-01-17019-006"/>
    <x v="1"/>
    <x v="0"/>
    <s v="AYY0333"/>
    <x v="3"/>
    <s v="Mytel Phase 1b Colo"/>
    <s v="On Air"/>
    <s v="Add Equipment"/>
    <s v="2"/>
    <x v="13"/>
    <n v="1.6"/>
    <n v="1.8"/>
    <n v="4.92"/>
    <s v="SQM"/>
    <s v="42.5"/>
    <s v="47.5"/>
    <x v="1"/>
    <m/>
    <s v="Not Required"/>
    <m/>
    <s v="Not Required"/>
    <m/>
    <s v="OK"/>
    <s v="Existing on tower actual - OML - 11.73 Sqm / MPT - 3.33Sqm / TML - 3.02 Sqm / MYTEL - 4.07 Sqm - "/>
    <s v="OK"/>
    <m/>
    <m/>
    <s v="No"/>
    <s v="Strengthened Tower(OML+TML+KSGM+Mytel(NEW)):  103.1 %"/>
    <s v="Not Required"/>
    <m/>
    <m/>
    <m/>
    <m/>
    <s v="Not Required"/>
    <m/>
    <m/>
    <s v="Not Required"/>
    <m/>
    <m/>
    <s v="Not Required"/>
    <m/>
    <s v="OK"/>
    <m/>
    <d v="2018-12-27T16:51:51"/>
    <m/>
    <d v="2019-01-07T16:12:08"/>
    <m/>
    <m/>
    <m/>
    <x v="24"/>
    <n v="11.675092245401174"/>
    <n v="0"/>
    <s v="No File"/>
    <s v="1-01-17019-006 (AYY03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19-006 (AYY0333) Application Rev 2.xlsx"/>
    <m/>
  </r>
  <r>
    <n v="3544"/>
    <s v="1-01-01008-016"/>
    <x v="1"/>
    <x v="2"/>
    <s v="KCN0033"/>
    <x v="3"/>
    <s v="Mytel Phase 1b Colo"/>
    <s v="On Air"/>
    <s v="Add Equipment"/>
    <s v="2"/>
    <x v="13"/>
    <n v="1.5"/>
    <n v="1.7"/>
    <n v="4.07"/>
    <s v="SQM"/>
    <s v="33"/>
    <s v="38"/>
    <x v="1"/>
    <m/>
    <s v="Not Required"/>
    <m/>
    <s v="Not Required"/>
    <m/>
    <s v="OK"/>
    <s v="Existing on tower actual - OML - 7.52 Sqm / MYTEL - 3.79 Sqm - "/>
    <s v="OK"/>
    <m/>
    <m/>
    <s v="No"/>
    <s v="EXISTING TOWER(OML+Mytel(NEW)):  93.5 %"/>
    <s v="Not Required"/>
    <m/>
    <m/>
    <m/>
    <m/>
    <s v="Not Required"/>
    <m/>
    <m/>
    <s v="Not Required"/>
    <m/>
    <m/>
    <s v="Not Required"/>
    <m/>
    <s v="OK"/>
    <m/>
    <d v="2018-12-27T16:51:51"/>
    <m/>
    <d v="2019-01-07T12:15:20"/>
    <m/>
    <m/>
    <m/>
    <x v="25"/>
    <n v="11.510648379597114"/>
    <n v="0"/>
    <s v="No File"/>
    <s v="1-01-01008-016 (KCN00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8-016 (KCN0033) Application Rev 2.xlsx"/>
    <m/>
  </r>
  <r>
    <n v="3545"/>
    <s v="1-01-10030-007"/>
    <x v="1"/>
    <x v="2"/>
    <s v="MDY0162"/>
    <x v="3"/>
    <s v="Mytel Phase 1b Colo"/>
    <s v="On Air"/>
    <s v="Add Equipment"/>
    <s v="2"/>
    <x v="13"/>
    <n v="1.6"/>
    <n v="1.8"/>
    <n v="4.99"/>
    <s v="SQM"/>
    <s v="33"/>
    <s v="38"/>
    <x v="1"/>
    <m/>
    <s v="Not Required"/>
    <m/>
    <s v="Not Required"/>
    <m/>
    <s v="OK"/>
    <s v="Existing on tower actual - OML - 6.63 Sqm / TML - 3.41 sqm / MYTEL - 4.07 Sqm - "/>
    <s v="OK"/>
    <m/>
    <m/>
    <s v="No"/>
    <s v="Existing Tower: OML+TML+MYTEL (OLD+NEW) = 88.9%_x000a_Existing Tower: OML+TML+MYTEL (OLD) = 82.1%"/>
    <s v="Not Required"/>
    <m/>
    <m/>
    <m/>
    <m/>
    <s v="Not Required"/>
    <m/>
    <m/>
    <s v="Not Required"/>
    <m/>
    <m/>
    <s v="Not Required"/>
    <m/>
    <s v="OK"/>
    <m/>
    <d v="2018-12-27T16:51:51"/>
    <m/>
    <d v="2019-01-08T15:47:17"/>
    <m/>
    <m/>
    <m/>
    <x v="26"/>
    <n v="12.657833333301824"/>
    <n v="0"/>
    <s v="No File"/>
    <s v="1-01-10030-007 (MDY0162)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30-007 (MDY0162) Application Rev 2.xlsx"/>
    <m/>
  </r>
  <r>
    <n v="3546"/>
    <s v="1-01-10024-004"/>
    <x v="1"/>
    <x v="2"/>
    <s v="MDY0379"/>
    <x v="3"/>
    <s v="Mytel Phase 1b Colo"/>
    <s v="On Air"/>
    <s v="Add Equipment"/>
    <s v="2"/>
    <x v="13"/>
    <n v="1.6"/>
    <n v="1.7"/>
    <n v="4.3600000000000003"/>
    <s v="SQM"/>
    <s v="41.5"/>
    <s v="46.5"/>
    <x v="1"/>
    <m/>
    <s v="Not Required"/>
    <m/>
    <s v="Not Required"/>
    <m/>
    <s v="OK"/>
    <s v="Existing on tower actual - OML - 8.44 Sqm / TML - 4.83 sqm / MYTEL - 4.07 Sqm - "/>
    <s v="OK"/>
    <m/>
    <m/>
    <s v="No"/>
    <s v="Existing Tower: OML+TML+MYTEL (OLD+NEW) = 99.0%"/>
    <s v="Not Required"/>
    <m/>
    <m/>
    <m/>
    <m/>
    <s v="Not Required"/>
    <m/>
    <m/>
    <s v="Not Required"/>
    <m/>
    <m/>
    <s v="Not Required"/>
    <m/>
    <s v="OK"/>
    <m/>
    <d v="2018-12-27T16:51:51"/>
    <m/>
    <d v="2019-01-09T11:15:39"/>
    <m/>
    <m/>
    <m/>
    <x v="27"/>
    <n v="13.469203240696515"/>
    <n v="0"/>
    <s v="No File"/>
    <s v="1-01-10024-004 (MDY0379)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4-004 (MDY0379) Application Rev 2.xlsx"/>
    <m/>
  </r>
  <r>
    <n v="3547"/>
    <s v="1-01-01001-018"/>
    <x v="1"/>
    <x v="2"/>
    <s v="KCN0063"/>
    <x v="3"/>
    <s v="Colocation"/>
    <s v="Active"/>
    <s v="Other"/>
    <s v="1"/>
    <x v="13"/>
    <n v="2"/>
    <n v="2"/>
    <n v="6"/>
    <s v="SQM"/>
    <s v="45"/>
    <s v="50"/>
    <x v="1"/>
    <m/>
    <s v="Not Required"/>
    <m/>
    <s v="Not Required"/>
    <m/>
    <s v="Not Required"/>
    <m/>
    <s v="Not Required"/>
    <m/>
    <m/>
    <m/>
    <m/>
    <s v="OK"/>
    <s v="2-3 weeks"/>
    <m/>
    <m/>
    <s v="Add rect modules "/>
    <s v="Not Required"/>
    <m/>
    <m/>
    <s v="Not Required"/>
    <m/>
    <m/>
    <s v="Not Required"/>
    <m/>
    <s v="OK"/>
    <m/>
    <m/>
    <d v="2019-01-14T17:39:03"/>
    <m/>
    <m/>
    <m/>
    <m/>
    <x v="28"/>
    <n v="19.463188888898003"/>
    <n v="0"/>
    <s v="No File"/>
    <s v="1-01-01001-018 (KCN006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1-018 (KCN0063) Application Rev 1.xlsx"/>
    <m/>
  </r>
  <r>
    <n v="3528"/>
    <s v="ANMG_0037"/>
    <x v="0"/>
    <x v="1"/>
    <s v="MGW00580"/>
    <x v="0"/>
    <s v="MPT  Phase 1a Colo"/>
    <s v="On Air"/>
    <s v="LTE"/>
    <s v="2"/>
    <x v="14"/>
    <n v="2.3050000000000002"/>
    <n v="4.07"/>
    <n v="6.81"/>
    <s v="EPA"/>
    <s v="18"/>
    <s v="23"/>
    <x v="1"/>
    <m/>
    <s v="OK"/>
    <s v="6-Jan-17: MPT on-air, okay for upgrdation"/>
    <s v="OK"/>
    <m/>
    <s v="OK"/>
    <s v="Existing on tower (Assume ) -TML-8.01 EPA , Mytel 4.24 EPA , Amara - 3.42 EPA  , MPT 1.32 EPA - Need only power confirmation "/>
    <s v="OK"/>
    <m/>
    <m/>
    <s v="No"/>
    <s v="EXISTING TOWER: TML+OML+KSGM(NEW)):  86.79%"/>
    <s v="OK"/>
    <m/>
    <m/>
    <m/>
    <m/>
    <s v="OK"/>
    <s v="No"/>
    <s v="No action needed "/>
    <m/>
    <m/>
    <m/>
    <m/>
    <m/>
    <m/>
    <m/>
    <d v="2018-12-26T16:55:11"/>
    <d v="2019-01-14T17:39:01"/>
    <d v="2018-12-27T14:07:19"/>
    <d v="2018-12-26T16:55:11"/>
    <d v="2018-12-26T14:29:56"/>
    <d v="2018-12-26T10:58:23"/>
    <x v="21"/>
    <n v="20.437797106496873"/>
    <n v="0"/>
    <s v="Open File"/>
    <s v="ANMG_0037 (MGW005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7 (MGW00580) Application Rev 2.xlsx"/>
    <m/>
  </r>
  <r>
    <n v="3529"/>
    <s v="AYYN_0251"/>
    <x v="0"/>
    <x v="0"/>
    <s v="YGN01769"/>
    <x v="0"/>
    <s v="MPT  Phase 1a Colo"/>
    <s v="On Air"/>
    <s v="TS"/>
    <s v="2"/>
    <x v="14"/>
    <n v="1.04"/>
    <n v="1.3"/>
    <n v="1.1479999999999999"/>
    <s v="EPA"/>
    <s v="16"/>
    <s v="21"/>
    <x v="1"/>
    <m/>
    <s v="OK"/>
    <s v="26-Dec-18: Okay for TI installtion"/>
    <s v="OK"/>
    <m/>
    <s v="OK"/>
    <s v="Existing on tower actual -TML- 3.54 EPA , MPT - 1.32 EPA , Mytel - 4.24 EPA ,Amara - 3.42 EPA - Need Power Confirmation "/>
    <s v="OK"/>
    <m/>
    <m/>
    <s v="No"/>
    <s v="EXISTING TOWER: TML+Mytel+Amara+KSGM(OLD+NEW)):  104.2%"/>
    <s v="OK"/>
    <m/>
    <m/>
    <m/>
    <m/>
    <s v="OK"/>
    <s v="No"/>
    <s v="No action needed "/>
    <m/>
    <m/>
    <m/>
    <m/>
    <m/>
    <m/>
    <m/>
    <d v="2018-12-26T16:55:11"/>
    <d v="2019-01-14T17:39:01"/>
    <d v="2018-12-27T16:37:01"/>
    <d v="2018-12-26T16:55:11"/>
    <d v="2018-12-26T14:29:56"/>
    <d v="2018-12-26T10:58:23"/>
    <x v="21"/>
    <n v="20.437797916696582"/>
    <n v="0"/>
    <s v="Open File"/>
    <s v="AYYN_0251 (YGN0176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 Rev 2.xlsx"/>
    <m/>
  </r>
  <r>
    <n v="3530"/>
    <s v="ANMD_0176"/>
    <x v="0"/>
    <x v="2"/>
    <s v="MDY00350"/>
    <x v="0"/>
    <s v="MPT  Phase 1a Colo"/>
    <s v="On Air"/>
    <s v="LTE _ v1"/>
    <s v="2"/>
    <x v="14"/>
    <n v="1.8220000000000001"/>
    <n v="2.93"/>
    <n v="7.31"/>
    <s v="EPA"/>
    <s v="45"/>
    <s v="50"/>
    <x v="0"/>
    <m/>
    <s v="OK"/>
    <s v="26-Dec-18: Site on air from 30-Sep-15 no issue for any upgradation."/>
    <s v="OK"/>
    <m/>
    <s v="OK"/>
    <s v="Existing on tower Assume -TML- 9.82 EPA , OML - 5.85 EPA , MPT - 3.40 EPA , Mytel - 2.81 EPA -Increase RF dimension and add RRU / ODU "/>
    <s v="Rejected"/>
    <m/>
    <m/>
    <s v="No"/>
    <s v="Strengthened Tower: OML+TML+MYTEL+KSGM (OLD+NEW) = 198.7% (Estimate steel weight 1700 kg)_x000a_Strengthened Tower: OML+MYTEL+KSGM (OLD) = 193.0%"/>
    <s v="OK"/>
    <m/>
    <m/>
    <m/>
    <m/>
    <s v="OK"/>
    <s v="No"/>
    <s v="No action needed "/>
    <m/>
    <m/>
    <m/>
    <m/>
    <m/>
    <m/>
    <m/>
    <d v="2018-12-26T16:55:11"/>
    <d v="2019-01-14T17:39:01"/>
    <m/>
    <d v="2018-12-26T16:55:11"/>
    <d v="2018-12-26T14:33:11"/>
    <d v="2018-12-27T09:54:35"/>
    <x v="0"/>
    <n v="28.701843287039082"/>
    <n v="1"/>
    <s v="Open File"/>
    <s v="ANMD_0176 (MDY0035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76 (MDY00350) Application Rev 2.xlsx"/>
    <m/>
  </r>
  <r>
    <n v="3531"/>
    <s v="ANSG_0454"/>
    <x v="0"/>
    <x v="2"/>
    <s v="SGG00785"/>
    <x v="0"/>
    <s v="MPT  Phase 1a Colo"/>
    <s v="On Air"/>
    <s v="LTE"/>
    <s v="4"/>
    <x v="14"/>
    <n v="1.9890000000000001"/>
    <n v="3.5489999999999999"/>
    <n v="6.3"/>
    <s v="EPA"/>
    <s v="36"/>
    <s v="41"/>
    <x v="1"/>
    <m/>
    <s v="OK"/>
    <s v="26-Dec-18: Site on air from 28-Dec-16 no issue for any upgradation."/>
    <s v="OK"/>
    <m/>
    <s v="OK"/>
    <s v="Existing on tower (Assume ) -TMl - 9.82 EPA / OML - 5.85 EPA / MPT - 3.40 EPA / Mytel 2.81 EPA -  Increase RF Dimension and Add RRU"/>
    <s v="OK"/>
    <m/>
    <m/>
    <s v="No"/>
    <s v="EXISTING TOWER: TML+KSGM(OLD+NEW)):  56.22%"/>
    <s v="OK"/>
    <m/>
    <m/>
    <m/>
    <s v="10 hrs NS monitor BB  "/>
    <s v="OK"/>
    <s v="No"/>
    <s v="No action needed "/>
    <m/>
    <m/>
    <m/>
    <m/>
    <m/>
    <m/>
    <m/>
    <d v="2018-12-27T10:57:07"/>
    <d v="2019-01-14T17:39:01"/>
    <d v="2019-01-07T11:31:22"/>
    <d v="2018-12-27T10:57:07"/>
    <d v="2018-12-26T14:33:11"/>
    <d v="2018-12-27T09:54:35"/>
    <x v="21"/>
    <n v="20.43779953700141"/>
    <n v="0"/>
    <s v="Open File"/>
    <s v="ANSG_0454 (SGG0078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4.xlsx"/>
    <m/>
  </r>
  <r>
    <n v="3532"/>
    <s v="ASTN_0023"/>
    <x v="0"/>
    <x v="0"/>
    <s v="TNY00315"/>
    <x v="0"/>
    <s v="MPT  Phase 1a Colo"/>
    <s v="On Air"/>
    <s v="TS _ v1"/>
    <s v="2"/>
    <x v="14"/>
    <n v="1.44"/>
    <n v="1.8"/>
    <n v="3.21"/>
    <s v="EPA"/>
    <s v="39.5-42.5"/>
    <s v="45.5-47.5"/>
    <x v="0"/>
    <m/>
    <s v="OK"/>
    <s v="26-Dec-18: Site on air from 30-Apr-16 no issue for any upgradation."/>
    <s v="OK"/>
    <m/>
    <s v="OK"/>
    <s v="Existing on tower (Assume ) - TML 4.29 EPA / MPT - 4.60 EPA /Add 1  Odu "/>
    <s v="Rejected"/>
    <m/>
    <m/>
    <s v="No"/>
    <s v="Existing Tower: TML+KSGM (OLD+NEW) = 124.7%_x000a_(Estimate modification steel weight = 1500 kg)_x000a_Existing Tower: TML+KSGM (OLD) = 124.7%"/>
    <s v="OK"/>
    <m/>
    <m/>
    <m/>
    <m/>
    <s v="OK"/>
    <s v="No"/>
    <s v="No action needed "/>
    <m/>
    <m/>
    <m/>
    <m/>
    <m/>
    <m/>
    <m/>
    <d v="2018-12-27T10:57:07"/>
    <d v="2019-01-14T17:39:01"/>
    <m/>
    <d v="2018-12-27T10:57:07"/>
    <d v="2018-12-26T14:33:11"/>
    <d v="2018-12-27T09:54:35"/>
    <x v="0"/>
    <n v="28.701843287039082"/>
    <n v="2"/>
    <s v="Open File"/>
    <s v="ASTN_0023 (TNY003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2.xlsx"/>
    <m/>
  </r>
  <r>
    <n v="3533"/>
    <s v="1-01-01004-001"/>
    <x v="1"/>
    <x v="2"/>
    <s v="KCN00148"/>
    <x v="0"/>
    <s v="MPT  Phase 1b Colo"/>
    <s v="On Air"/>
    <s v="UPG"/>
    <s v="2"/>
    <x v="14"/>
    <n v="1.712"/>
    <n v="3.0579999999999998"/>
    <n v="6.88"/>
    <s v="SQM"/>
    <s v="48"/>
    <s v="53"/>
    <x v="1"/>
    <m/>
    <s v="OK"/>
    <m/>
    <s v="OK"/>
    <m/>
    <s v="OK"/>
    <s v="Existing on tower actual - OML - 7.31sqm , MPT 5.99 Sqm - add MW and add RRU / ODU "/>
    <s v="OK"/>
    <m/>
    <m/>
    <s v="No"/>
    <s v="EXISTING TOWER(OML+KSGM(OLD+NEW)):   96.2 %_x000a_EXISTING TOWER(OML+KSGM(OLD)):  92.2 %"/>
    <s v="OK"/>
    <s v="2-3 weeks"/>
    <m/>
    <m/>
    <s v="Confirm site load and PE condition no data available"/>
    <s v="OK"/>
    <s v="No"/>
    <s v="No action needed "/>
    <m/>
    <m/>
    <m/>
    <m/>
    <m/>
    <m/>
    <m/>
    <d v="2018-12-27T10:57:07"/>
    <d v="2019-01-14T17:39:01"/>
    <d v="2018-12-28T11:56:25"/>
    <d v="2018-12-27T10:57:07"/>
    <d v="2019-01-07T15:45:48"/>
    <d v="2018-12-27T10:32:24"/>
    <x v="21"/>
    <n v="20.43780138889997"/>
    <n v="0"/>
    <s v="Open File"/>
    <s v="1-01-01004-001 (KCN001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4-001 (KCN00148) Application Rev 2.xlsx"/>
    <m/>
  </r>
  <r>
    <n v="3534"/>
    <s v="1-01-15013-001"/>
    <x v="1"/>
    <x v="2"/>
    <s v="SHN00055"/>
    <x v="0"/>
    <s v="MPT  Phase 1b Colo"/>
    <s v="On Air"/>
    <s v="LTE"/>
    <s v="1"/>
    <x v="14"/>
    <n v="2.0590000000000002"/>
    <n v="3.6110000000000002"/>
    <n v="7.84"/>
    <s v="SQM"/>
    <s v="48"/>
    <s v="53"/>
    <x v="1"/>
    <m/>
    <s v="OK"/>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m/>
    <m/>
    <s v="No"/>
    <s v="EXISTING TOWER(OML+KSGM(OLD+NEW)):   94.3 %_x000a_EXISTING TOWER(OML+KSGM(OLD)):92.3 %"/>
    <s v="OK"/>
    <m/>
    <m/>
    <m/>
    <m/>
    <s v="OK"/>
    <s v="No"/>
    <s v="No action needed "/>
    <m/>
    <m/>
    <m/>
    <m/>
    <m/>
    <m/>
    <m/>
    <d v="2018-12-27T10:57:08"/>
    <d v="2019-01-14T17:39:01"/>
    <d v="2018-12-28T11:56:25"/>
    <d v="2018-12-27T10:57:08"/>
    <d v="2019-01-07T15:45:49"/>
    <d v="2018-12-27T10:32:24"/>
    <x v="21"/>
    <n v="20.437802893502521"/>
    <n v="0"/>
    <s v="Open File"/>
    <s v="1-01-15013-001 (SHN000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1 (SHN00055) Application Rev 1.xlsx"/>
    <m/>
  </r>
  <r>
    <n v="3535"/>
    <s v="1-01-14007-016"/>
    <x v="1"/>
    <x v="2"/>
    <s v="SHN00079"/>
    <x v="0"/>
    <s v="MPT  Phase 1b Colo"/>
    <s v="On Air"/>
    <s v="Exchange"/>
    <s v="3"/>
    <x v="14"/>
    <n v="1.399"/>
    <n v="2.1989999999999998"/>
    <n v="5.13"/>
    <s v="SQM"/>
    <s v="48"/>
    <s v="53"/>
    <x v="1"/>
    <m/>
    <s v="OK"/>
    <m/>
    <s v="OK"/>
    <m/>
    <s v="OK"/>
    <s v="Existing on tower actual - OML - 8.09 sqm , MPT 4.97 Sqm , TML -2.87 sqm -Add 1 Odu "/>
    <s v="OK"/>
    <m/>
    <m/>
    <s v="No"/>
    <s v="EXISTING TOWER(OML+TML+KSGM(OLD+NEW)):  97%_x000a_EXISTING TOWER(OML+TML+KSGM(OLD)): 96.8  %"/>
    <s v="OK"/>
    <m/>
    <m/>
    <m/>
    <m/>
    <s v="OK"/>
    <s v="No"/>
    <s v="No action needed "/>
    <m/>
    <m/>
    <m/>
    <m/>
    <m/>
    <m/>
    <m/>
    <d v="2018-12-27T10:57:08"/>
    <d v="2019-01-14T17:39:02"/>
    <d v="2018-12-28T11:56:25"/>
    <d v="2018-12-27T10:57:08"/>
    <d v="2019-01-07T15:45:49"/>
    <d v="2018-12-27T10:32:24"/>
    <x v="21"/>
    <n v="20.437804282402794"/>
    <n v="0"/>
    <s v="Open File"/>
    <s v="1-01-14007-016 (SHN0007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3.xlsx"/>
    <m/>
  </r>
  <r>
    <n v="3522"/>
    <s v="1-01-10029-005"/>
    <x v="1"/>
    <x v="2"/>
    <s v="MDY0382"/>
    <x v="3"/>
    <s v="Colocation"/>
    <s v="Active"/>
    <s v="Other"/>
    <s v="1"/>
    <x v="15"/>
    <n v="2"/>
    <n v="2"/>
    <n v="6"/>
    <s v="SQM"/>
    <s v="42.5"/>
    <s v="47.5"/>
    <x v="1"/>
    <m/>
    <s v="Not Required"/>
    <m/>
    <s v="Not Required"/>
    <m/>
    <s v="Not Required"/>
    <m/>
    <s v="Not Required"/>
    <m/>
    <m/>
    <m/>
    <m/>
    <s v="OK"/>
    <s v="1-2 weeks"/>
    <m/>
    <m/>
    <s v="Add rectifier modules confirm DG SOH - DG NS"/>
    <s v="Not Required"/>
    <m/>
    <m/>
    <s v="Not Required"/>
    <m/>
    <m/>
    <s v="Not Required"/>
    <m/>
    <s v="OK"/>
    <m/>
    <m/>
    <d v="2019-01-14T17:39:00"/>
    <m/>
    <m/>
    <m/>
    <m/>
    <x v="29"/>
    <n v="22.463186226901598"/>
    <n v="0"/>
    <s v="No File"/>
    <s v="1-01-10029-005 (MDY0382)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9-005 (MDY0382) Application Rev 1.xlsx"/>
    <m/>
  </r>
  <r>
    <n v="3523"/>
    <s v="1-01-12007-001"/>
    <x v="1"/>
    <x v="1"/>
    <s v="RKE0013"/>
    <x v="3"/>
    <s v="Mytel Phase 1b Colo"/>
    <s v="RFI"/>
    <s v="Other"/>
    <s v="1"/>
    <x v="15"/>
    <n v="2"/>
    <n v="2"/>
    <n v="6"/>
    <s v="SQM"/>
    <s v="42.5"/>
    <s v="47.5"/>
    <x v="2"/>
    <m/>
    <s v="Not Required"/>
    <m/>
    <s v="Not Required"/>
    <m/>
    <s v="Not Required"/>
    <m/>
    <s v="Not Required"/>
    <m/>
    <m/>
    <m/>
    <m/>
    <s v="OK"/>
    <s v="1-2 weeks"/>
    <m/>
    <m/>
    <s v="Confirm PE system status "/>
    <s v="Not Required"/>
    <m/>
    <m/>
    <s v="Not Required"/>
    <m/>
    <m/>
    <s v="Not Required"/>
    <m/>
    <s v="OK"/>
    <m/>
    <m/>
    <d v="2019-01-14T17:39:00"/>
    <m/>
    <m/>
    <m/>
    <m/>
    <x v="30"/>
    <n v="18.700147453702812"/>
    <n v="0"/>
    <s v="No File"/>
    <s v="1-01-12007-001 (RKE001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2007-001 (RKE0013) Application Rev 1.xlsx"/>
    <m/>
  </r>
  <r>
    <n v="3524"/>
    <s v="1-01-03005-004"/>
    <x v="1"/>
    <x v="0"/>
    <s v="KYN0185"/>
    <x v="3"/>
    <s v="Mytel Phase 1b Colo"/>
    <s v="On Air"/>
    <s v="Other"/>
    <s v="1"/>
    <x v="15"/>
    <n v="2"/>
    <n v="2"/>
    <n v="6"/>
    <s v="SQM"/>
    <s v="42.5"/>
    <s v="47.5"/>
    <x v="1"/>
    <m/>
    <s v="Not Required"/>
    <m/>
    <s v="Not Required"/>
    <m/>
    <s v="Not Required"/>
    <m/>
    <s v="Not Required"/>
    <m/>
    <m/>
    <m/>
    <m/>
    <s v="OK"/>
    <m/>
    <m/>
    <m/>
    <m/>
    <s v="Not Required"/>
    <m/>
    <m/>
    <s v="Not Required"/>
    <m/>
    <m/>
    <s v="Not Required"/>
    <m/>
    <s v="OK"/>
    <m/>
    <m/>
    <d v="2019-01-14T17:39:00"/>
    <m/>
    <m/>
    <m/>
    <m/>
    <x v="30"/>
    <n v="18.700148148098378"/>
    <n v="0"/>
    <s v="No File"/>
    <s v="1-01-03005-004 (KYN0185)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3005-004 (KYN0185) Application Rev 1.xlsx"/>
    <m/>
  </r>
  <r>
    <n v="3525"/>
    <s v="1-01-17026-003"/>
    <x v="1"/>
    <x v="0"/>
    <s v="AYY0879"/>
    <x v="3"/>
    <s v="Mytel Phase 1b Colo"/>
    <s v="On Air"/>
    <s v="Other"/>
    <s v="1"/>
    <x v="15"/>
    <n v="2"/>
    <n v="2"/>
    <n v="6"/>
    <s v="SQM"/>
    <s v="42.5"/>
    <s v="47.5"/>
    <x v="1"/>
    <m/>
    <s v="Not Required"/>
    <m/>
    <s v="Not Required"/>
    <m/>
    <s v="Not Required"/>
    <m/>
    <s v="Not Required"/>
    <m/>
    <m/>
    <m/>
    <m/>
    <s v="OK"/>
    <m/>
    <m/>
    <m/>
    <m/>
    <s v="Not Required"/>
    <m/>
    <m/>
    <s v="Not Required"/>
    <m/>
    <m/>
    <s v="Not Required"/>
    <m/>
    <s v="OK"/>
    <m/>
    <m/>
    <d v="2019-01-14T17:39:00"/>
    <m/>
    <m/>
    <m/>
    <m/>
    <x v="30"/>
    <n v="18.700148958298087"/>
    <n v="0"/>
    <s v="No File"/>
    <s v="1-01-17026-003 (AYY0879)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26-003 (AYY0879) Application Rev 1.xlsx"/>
    <m/>
  </r>
  <r>
    <n v="3526"/>
    <s v="1-01-17004-007"/>
    <x v="1"/>
    <x v="0"/>
    <s v="AYY0207"/>
    <x v="3"/>
    <s v="Mytel Phase 1b Colo"/>
    <s v="On Air"/>
    <s v="Other"/>
    <s v="1"/>
    <x v="15"/>
    <n v="2"/>
    <n v="2"/>
    <n v="6"/>
    <s v="SQM"/>
    <s v="42.5"/>
    <s v="47.5"/>
    <x v="1"/>
    <m/>
    <s v="Not Required"/>
    <m/>
    <s v="Not Required"/>
    <m/>
    <s v="Not Required"/>
    <m/>
    <s v="Not Required"/>
    <m/>
    <m/>
    <m/>
    <m/>
    <s v="OK"/>
    <s v="1-2 weeks"/>
    <m/>
    <m/>
    <s v="DG SOH TBA"/>
    <s v="Not Required"/>
    <m/>
    <m/>
    <s v="Not Required"/>
    <m/>
    <m/>
    <s v="Not Required"/>
    <m/>
    <s v="OK"/>
    <m/>
    <m/>
    <d v="2019-01-14T17:39:00"/>
    <m/>
    <m/>
    <m/>
    <m/>
    <x v="29"/>
    <n v="22.463187615700008"/>
    <n v="0"/>
    <s v="No File"/>
    <s v="1-01-17004-007 (AYY0207)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4-007 (AYY0207) Application Rev 1.xlsx"/>
    <m/>
  </r>
  <r>
    <n v="3521"/>
    <s v="1-01-10020-003"/>
    <x v="1"/>
    <x v="2"/>
    <s v="MDY0280"/>
    <x v="3"/>
    <s v="Colocation"/>
    <s v="Active"/>
    <s v="New Colocation"/>
    <s v="0"/>
    <x v="16"/>
    <n v="2"/>
    <n v="2"/>
    <n v="6"/>
    <s v="SQM"/>
    <s v="36 - 39"/>
    <s v="40 - 42"/>
    <x v="0"/>
    <m/>
    <s v="OK"/>
    <m/>
    <s v="OK"/>
    <m/>
    <s v="OK"/>
    <s v="Existing on tower actual -OML - 7.36sqm , MPT 2.71 Sqm , OP2 - 2.93 Sqm - New Colocation Colo Apps "/>
    <s v="OK"/>
    <m/>
    <m/>
    <s v="No"/>
    <s v="EXISTING TOWER(OML+OP2+KSGM+MYTEL(NEW)):  92.7%"/>
    <s v="OK"/>
    <s v="1-2 weeks"/>
    <m/>
    <m/>
    <s v="Add rectifier modules confirm DG SOH"/>
    <s v="OK"/>
    <s v="Yes"/>
    <s v="Need new slab "/>
    <m/>
    <m/>
    <m/>
    <m/>
    <m/>
    <s v="OK"/>
    <m/>
    <d v="2018-12-22T11:27:28"/>
    <d v="2019-01-14T17:39:00"/>
    <d v="2018-12-24T11:07:14"/>
    <d v="2018-12-22T11:27:28"/>
    <d v="2019-01-07T16:14:25"/>
    <d v="2018-12-27T10:32:23"/>
    <x v="0"/>
    <n v="34.701843287039082"/>
    <n v="1"/>
    <s v="No File"/>
    <s v="1-01-10020-003 (MDY0280) Application Rev 0.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0-003 (MDY0280) Application Rev 0.xlsx"/>
    <m/>
  </r>
  <r>
    <n v="3516"/>
    <s v="1-01-14001-033"/>
    <x v="1"/>
    <x v="1"/>
    <s v="SHS00466"/>
    <x v="0"/>
    <s v="MPT  Phase 1b Colo"/>
    <s v="On Air"/>
    <s v="Other"/>
    <s v=""/>
    <x v="17"/>
    <n v="1.68"/>
    <n v="2.1"/>
    <m/>
    <s v="SQM"/>
    <s v="48"/>
    <s v="53"/>
    <x v="1"/>
    <m/>
    <s v="Not Required"/>
    <m/>
    <s v="Not Required"/>
    <m/>
    <s v="Not Required"/>
    <m/>
    <s v="Not Required"/>
    <m/>
    <m/>
    <m/>
    <m/>
    <s v="OK"/>
    <m/>
    <m/>
    <m/>
    <s v="Monitor BB performance DG 24/7 NS"/>
    <s v="Not Required"/>
    <m/>
    <m/>
    <m/>
    <m/>
    <m/>
    <m/>
    <m/>
    <m/>
    <m/>
    <m/>
    <d v="2019-01-14T17:38:59"/>
    <m/>
    <m/>
    <m/>
    <m/>
    <x v="31"/>
    <n v="28.442146759298339"/>
    <n v="0"/>
    <s v="No File"/>
    <s v="1-01-14001-033 (SHS0046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xlsx"/>
    <m/>
  </r>
  <r>
    <n v="3517"/>
    <s v="ACAY_0122"/>
    <x v="0"/>
    <x v="0"/>
    <s v="AWD00530"/>
    <x v="0"/>
    <s v="MPT  Phase 1a Colo"/>
    <s v="On Air"/>
    <s v="Refarming _ UL2100"/>
    <s v="3"/>
    <x v="17"/>
    <n v="2.16"/>
    <n v="2.7"/>
    <n v="6.0010000000000003"/>
    <s v="EPA"/>
    <s v="30"/>
    <s v="35"/>
    <x v="1"/>
    <m/>
    <s v="Not Required"/>
    <m/>
    <s v="Not Required"/>
    <m/>
    <s v="OK"/>
    <s v="Existing on tower - ( Assume ) TML with 5.74 EPA , OML with 9.87 EPA , MPT with 4.69 EPA - Add RRU "/>
    <s v="Rejected"/>
    <m/>
    <m/>
    <s v="No"/>
    <s v="Existing Tower: OML+TML+KSGM (OLD+NEW) = FDN Unstale due to soil condition is submerged_x000a_(Estimate volume of concrete = 16 cb.m;  extend pad of foundation to 9.6m)"/>
    <s v="OK"/>
    <m/>
    <m/>
    <m/>
    <m/>
    <s v="OK"/>
    <s v="No"/>
    <s v="No action needed "/>
    <m/>
    <m/>
    <m/>
    <m/>
    <m/>
    <s v="Approved by Management"/>
    <s v="ACAY_0122 with MPT Colo App rev. 3 Reject because Foundation is unstable - As discussed specific case for your evaluation// email by mark //Wednesday, 9 January 2019 "/>
    <d v="2018-12-19T09:56:23"/>
    <d v="2019-01-15T13:37:34"/>
    <m/>
    <d v="2018-12-19T09:56:23"/>
    <m/>
    <m/>
    <x v="14"/>
    <n v="29.412547916697804"/>
    <n v="0"/>
    <s v="Open File"/>
    <s v="ACAY_0122 (AWD0053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3.xlsx"/>
    <m/>
  </r>
  <r>
    <n v="3518"/>
    <s v="ANMD_0136"/>
    <x v="0"/>
    <x v="2"/>
    <s v="MDY01437"/>
    <x v="0"/>
    <s v="MPT  Phase 1a Colo"/>
    <s v="RFI"/>
    <s v="TS"/>
    <s v="2"/>
    <x v="17"/>
    <n v="1.175"/>
    <n v="2.1389999999999998"/>
    <n v="4.29"/>
    <s v="EPA"/>
    <s v="45"/>
    <s v="50"/>
    <x v="1"/>
    <m/>
    <s v="OK"/>
    <s v="26-Dec-18: Okay for survey and TI installtion"/>
    <s v="OK"/>
    <m/>
    <s v="OK"/>
    <s v="Existing on tower - ( Assume ) TML with 7.74 EPA - Add 2 RRU"/>
    <s v="OK"/>
    <m/>
    <m/>
    <s v="No"/>
    <s v="Existing Tower: TML+KSGM (OLD+NEW) = 76.4%"/>
    <s v="OK"/>
    <m/>
    <m/>
    <m/>
    <m/>
    <s v="OK"/>
    <s v="No"/>
    <s v="No action needed "/>
    <m/>
    <m/>
    <m/>
    <m/>
    <m/>
    <m/>
    <m/>
    <d v="2018-12-19T09:56:23"/>
    <d v="2019-01-14T17:38:59"/>
    <d v="2018-12-19T15:55:06"/>
    <d v="2018-12-19T09:56:23"/>
    <d v="2018-12-26T14:29:56"/>
    <d v="2018-12-19T16:04:46"/>
    <x v="21"/>
    <n v="28.437795254598313"/>
    <n v="0"/>
    <s v="Open File"/>
    <s v="ANMD_0136 (MDY0143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6 (MDY01437) Application Rev 2.xlsx"/>
    <m/>
  </r>
  <r>
    <n v="3519"/>
    <s v="1-01-01010-003"/>
    <x v="1"/>
    <x v="2"/>
    <s v="KCN00441"/>
    <x v="0"/>
    <s v="MPT  Phase 1b Colo"/>
    <s v="RFI"/>
    <s v="TS"/>
    <s v="1"/>
    <x v="17"/>
    <n v="1.175"/>
    <n v="2.1389999999999998"/>
    <n v="5.64"/>
    <s v="SQM"/>
    <s v="36"/>
    <s v="41"/>
    <x v="1"/>
    <m/>
    <s v="OK"/>
    <m/>
    <s v="OK"/>
    <m/>
    <s v="OK"/>
    <s v="Existing on tower Actual -9.17Sqm /  MPT prev colo apps - 5.32 Sqm / TML - 5.00 Sqm / Mytel 5.28 Sqm . Add 1 RRU "/>
    <s v="OK"/>
    <m/>
    <m/>
    <s v="No"/>
    <s v="Strengthened Tower(OML+TML+Mytel+KSGM(OLD+NEW)):  97.51 %_x000a_Strengthened Tower(OML+TML+Mytel+KSGM(OLD)): 97.51 %"/>
    <s v="OK"/>
    <m/>
    <m/>
    <m/>
    <s v="Monitor DG cap increase maybe required DG SOH TBA"/>
    <s v="OK"/>
    <s v="No"/>
    <s v="No action needed "/>
    <m/>
    <m/>
    <m/>
    <m/>
    <m/>
    <m/>
    <m/>
    <d v="2018-12-19T09:56:23"/>
    <d v="2019-01-14T17:39:00"/>
    <d v="2018-12-20T16:01:31"/>
    <d v="2018-12-19T09:56:23"/>
    <d v="2019-01-07T15:45:48"/>
    <d v="2018-12-18T17:33:05"/>
    <x v="21"/>
    <n v="28.437795833298878"/>
    <n v="0"/>
    <s v="Open File"/>
    <s v="1-01-01010-003 (KCN0044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03 (KCN00441) Application Rev 1.xlsx"/>
    <m/>
  </r>
  <r>
    <n v="3520"/>
    <s v="ANKC_0017"/>
    <x v="0"/>
    <x v="2"/>
    <s v="KCN00564"/>
    <x v="0"/>
    <s v="MPT  Phase 1a Colo"/>
    <s v="RFI"/>
    <s v="TS "/>
    <s v="2"/>
    <x v="17"/>
    <n v="1.175"/>
    <n v="2.1389999999999998"/>
    <n v="4.32"/>
    <s v="EPA"/>
    <s v="38"/>
    <s v="43"/>
    <x v="1"/>
    <m/>
    <s v="OK"/>
    <s v="26-Dec-18: Okay for survey and TI installtion"/>
    <s v="OK"/>
    <m/>
    <s v="OK"/>
    <s v="Existing on tower - ( Assume ) TML with 3.84 EPA - MPT previous Colo Apps 3.924 EPA - Mytel Colo Apps - 5.46 EPA  - Add 2 RRU"/>
    <s v="OK"/>
    <m/>
    <m/>
    <s v="No"/>
    <s v="EXISTING TOWER: TML+MYTEL+KSGM(OLD+NEW)):  57.69%"/>
    <s v="OK"/>
    <m/>
    <m/>
    <m/>
    <m/>
    <s v="OK"/>
    <s v="No"/>
    <s v="No action needed "/>
    <m/>
    <m/>
    <m/>
    <m/>
    <m/>
    <m/>
    <m/>
    <d v="2018-12-19T09:56:23"/>
    <d v="2019-01-14T17:39:00"/>
    <d v="2018-12-20T16:01:31"/>
    <d v="2018-12-19T09:56:23"/>
    <d v="2018-12-26T14:29:56"/>
    <d v="2018-12-19T16:04:47"/>
    <x v="21"/>
    <n v="28.437796527803584"/>
    <n v="0"/>
    <s v="Open File"/>
    <s v="ANKC_0017 (KCN0056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17 (KCN00564) Application Rev 2.xlsx"/>
    <m/>
  </r>
  <r>
    <n v="3512"/>
    <s v="1-01-14001-010"/>
    <x v="1"/>
    <x v="1"/>
    <s v="SHS00100"/>
    <x v="0"/>
    <s v="MPT  Phase 1b Colo"/>
    <s v="On Air"/>
    <s v="LTE"/>
    <s v="3"/>
    <x v="18"/>
    <n v="3.44"/>
    <n v="4.3"/>
    <n v="7.63"/>
    <s v="SQM"/>
    <s v="45"/>
    <s v="52"/>
    <x v="1"/>
    <m/>
    <s v="Not Required"/>
    <m/>
    <s v="OK"/>
    <m/>
    <s v="OK"/>
    <s v="Existing on tower Actual - OML - 8.44 Sqm / MPT - 7.68 Sqm  - Increase Rf Dimension add RRU / Change MW dimesion and add ODU "/>
    <s v="OK"/>
    <m/>
    <m/>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32"/>
    <n v="2.6638353008966078"/>
    <n v="0"/>
    <s v="Open File"/>
    <s v="1-01-14001-010 (SHS001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0 (SHS00100) Application Rev 3.xlsx"/>
    <m/>
  </r>
  <r>
    <n v="3513"/>
    <s v="1-01-04007-009"/>
    <x v="1"/>
    <x v="1"/>
    <s v="CHN00225"/>
    <x v="0"/>
    <s v="MPT Phase 2 Colo"/>
    <s v="RFI"/>
    <s v="Relo-TS"/>
    <s v="4"/>
    <x v="18"/>
    <n v="0.58399999999999996"/>
    <n v="0.879"/>
    <m/>
    <s v="SQM"/>
    <s v="42.5"/>
    <s v="47.5"/>
    <x v="1"/>
    <m/>
    <s v="Not Required"/>
    <m/>
    <s v="Not Required"/>
    <m/>
    <s v="Not Required"/>
    <m/>
    <s v="Not Required"/>
    <m/>
    <m/>
    <m/>
    <m/>
    <s v="OK"/>
    <s v="ready"/>
    <m/>
    <m/>
    <m/>
    <s v="Not Required"/>
    <m/>
    <m/>
    <m/>
    <m/>
    <m/>
    <m/>
    <m/>
    <m/>
    <m/>
    <m/>
    <d v="2018-12-18T12:10:35"/>
    <m/>
    <m/>
    <m/>
    <m/>
    <x v="33"/>
    <n v="1.5841789351979969"/>
    <n v="0"/>
    <s v="Open File"/>
    <s v="1-01-04007-009 (CHN0022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4.xlsx"/>
    <m/>
  </r>
  <r>
    <n v="3514"/>
    <s v="1-01-10009-003"/>
    <x v="1"/>
    <x v="2"/>
    <s v="MDY01362"/>
    <x v="0"/>
    <s v="MPT  Phase 1b Colo"/>
    <s v="RFI"/>
    <s v="Other"/>
    <s v="1"/>
    <x v="18"/>
    <n v="1"/>
    <n v="1.4"/>
    <m/>
    <s v="SQM"/>
    <s v="37"/>
    <s v="42"/>
    <x v="1"/>
    <m/>
    <s v="Not Required"/>
    <m/>
    <s v="Not Required"/>
    <m/>
    <s v="Not Required"/>
    <m/>
    <s v="Not Required"/>
    <m/>
    <m/>
    <m/>
    <m/>
    <s v="OK"/>
    <s v="2019-01-30"/>
    <m/>
    <m/>
    <s v="DG &amp; BB upgrade"/>
    <s v="Not Required"/>
    <m/>
    <m/>
    <m/>
    <m/>
    <m/>
    <m/>
    <m/>
    <m/>
    <m/>
    <m/>
    <d v="2018-12-18T12:10:35"/>
    <m/>
    <m/>
    <m/>
    <m/>
    <x v="33"/>
    <n v="1.5841826389005291"/>
    <n v="0"/>
    <s v="Open File"/>
    <s v="1-01-10009-003 (MDY013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09-003 (MDY01362) Application Rev 1.xlsx"/>
    <m/>
  </r>
  <r>
    <n v="3515"/>
    <s v="1-01-14007-016"/>
    <x v="1"/>
    <x v="2"/>
    <s v="SHN00079"/>
    <x v="0"/>
    <s v="MPT  Phase 1b Colo"/>
    <s v="On Air"/>
    <s v="TS_v1"/>
    <s v="2"/>
    <x v="18"/>
    <n v="1"/>
    <n v="1.4"/>
    <n v="4.97"/>
    <s v="SQM"/>
    <s v="48"/>
    <s v="53"/>
    <x v="1"/>
    <m/>
    <s v="Not Required"/>
    <m/>
    <s v="OK"/>
    <m/>
    <s v="OK"/>
    <s v="Existing on tower Actual - OML - 8.09 Sqm / MPT - 4.97 Sqm / TML 2.87 sqm  - Same loading as before - Change height only "/>
    <s v="OK"/>
    <m/>
    <m/>
    <s v="No"/>
    <s v="EXISTING TOWER(OML+TML+KSGM(OLD+NEW)):  96.9%_x000a_EXISTING TOWER(OML+TML+KSGM(OLD)): 96.9  %"/>
    <s v="Not Required"/>
    <m/>
    <m/>
    <m/>
    <m/>
    <s v="OK"/>
    <s v="No"/>
    <s v="No action needed "/>
    <m/>
    <m/>
    <m/>
    <m/>
    <m/>
    <m/>
    <m/>
    <d v="2018-12-18T10:33:03"/>
    <m/>
    <d v="2018-12-18T15:28:33"/>
    <d v="2018-12-18T10:33:03"/>
    <m/>
    <d v="2018-12-17T17:26:58"/>
    <x v="34"/>
    <n v="1.7045194443999208"/>
    <n v="0"/>
    <s v="Open File"/>
    <s v="1-01-14007-016 (SHN0007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2.xlsx"/>
    <m/>
  </r>
  <r>
    <n v="3498"/>
    <s v="1-01-17007-005"/>
    <x v="1"/>
    <x v="0"/>
    <s v="AWD00484"/>
    <x v="0"/>
    <s v="MPT  Phase 1b Colo"/>
    <s v="On Air"/>
    <s v="Refarmaing_UL2100"/>
    <s v="4"/>
    <x v="19"/>
    <n v="1.68"/>
    <n v="2.1"/>
    <n v="2.9449999999999998"/>
    <s v="SQM"/>
    <s v="48"/>
    <s v="53"/>
    <x v="1"/>
    <m/>
    <s v="Not Required"/>
    <m/>
    <s v="OK"/>
    <m/>
    <s v="OK"/>
    <s v="Existing on tower Actual - OML - 10.60 Sqm / MPT - 2.61 Sqm / Mytel 1.75 Sqm - Add MW and ODU "/>
    <s v="OK"/>
    <m/>
    <m/>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35"/>
    <n v="4.4114646991001791"/>
    <n v="0"/>
    <s v="Open File"/>
    <s v="1-01-17007-005 (AWD00484)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7-005 (AWD00484) Application Rev 4.xlsx"/>
    <m/>
  </r>
  <r>
    <n v="3499"/>
    <s v="1-01-02003-003"/>
    <x v="1"/>
    <x v="1"/>
    <s v="KYH00055"/>
    <x v="0"/>
    <s v="MPT  Phase 1b Colo"/>
    <s v="On Air"/>
    <s v="Refarmaing_UL2100"/>
    <s v="2"/>
    <x v="19"/>
    <n v="2.16"/>
    <n v="2.7"/>
    <n v="4.45"/>
    <s v="SQM"/>
    <s v="48"/>
    <s v="53"/>
    <x v="1"/>
    <m/>
    <s v="Not Required"/>
    <m/>
    <s v="OK"/>
    <m/>
    <s v="OK"/>
    <s v="Existing on tower Actual - OML - 8.44 Sqm / MPT latest Colo Apps - 4.09 Sqm /TML Colo Apps - 4.05 sqm/ Mytel  Colo Apps 4.07 Sqm - Add 3 RRU "/>
    <s v="OK"/>
    <m/>
    <m/>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35"/>
    <n v="4.4114653935030219"/>
    <n v="0"/>
    <s v="Open File"/>
    <s v="1-01-02003-003 (KYH000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2003-003 (KYH00055) Application Rev 2.xlsx"/>
    <m/>
  </r>
  <r>
    <n v="3500"/>
    <s v="1-01-03001-001"/>
    <x v="1"/>
    <x v="0"/>
    <s v="KYN00267"/>
    <x v="0"/>
    <s v="MPT  Phase 1b Colo"/>
    <s v="On Air"/>
    <s v="MS"/>
    <s v="2"/>
    <x v="19"/>
    <n v="3.36"/>
    <n v="4.8"/>
    <n v="4.8600000000000003"/>
    <s v="SQM"/>
    <s v="26"/>
    <s v="31"/>
    <x v="1"/>
    <m/>
    <s v="Not Required"/>
    <m/>
    <s v="OK"/>
    <m/>
    <s v="OK"/>
    <s v="Existing on tower Actual - OML - 7.02 Sqm / MPT latest Colo Apps - 3.99 Sqm /TML  - 2.67 sqm/ - Increase RF Dimension "/>
    <s v="OK"/>
    <m/>
    <m/>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33"/>
    <n v="5.584172800903616"/>
    <n v="0"/>
    <s v="Open File"/>
    <s v="1-01-03001-001 (KYN0026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3001-001 (KYN00267) Application Rev 2.xlsx"/>
    <m/>
  </r>
  <r>
    <n v="3501"/>
    <s v="1-01-09001-003"/>
    <x v="1"/>
    <x v="1"/>
    <s v="MGW00148"/>
    <x v="0"/>
    <s v="MPT  Phase 1b Colo"/>
    <s v="On Air"/>
    <s v="TS _ v1"/>
    <s v="1"/>
    <x v="19"/>
    <n v="1.054"/>
    <n v="1.522"/>
    <n v="4.6900000000000004"/>
    <s v="SQM"/>
    <s v="43"/>
    <s v="48"/>
    <x v="1"/>
    <m/>
    <s v="Not Required"/>
    <m/>
    <s v="OK"/>
    <m/>
    <s v="OK"/>
    <s v="Existing on tower Actual - OML - 8.34 Sqm / MPT  - 4.69 Sqm - Add  MW and ODU as per actual "/>
    <s v="OK"/>
    <m/>
    <m/>
    <s v="No"/>
    <s v="EXISTING TOWER(OP1+OP3(OLD+NEW)):   93.8%_x000a_EXISTING TOWER(OP1+OP3(OLD)):   92.63%"/>
    <s v="OK"/>
    <m/>
    <m/>
    <m/>
    <m/>
    <s v="OK"/>
    <s v="No"/>
    <s v="No action needed "/>
    <m/>
    <m/>
    <m/>
    <m/>
    <m/>
    <m/>
    <m/>
    <d v="2018-12-13T18:06:57"/>
    <d v="2018-12-13T17:12:26"/>
    <d v="2018-12-14T13:57:38"/>
    <d v="2018-12-13T18:06:57"/>
    <m/>
    <d v="2018-12-13T17:10:04"/>
    <x v="36"/>
    <n v="1.7279564815034973"/>
    <n v="0"/>
    <s v="Open File"/>
    <s v="1-01-09001-003 (MGW0014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1-003 (MGW00148) Application Rev 1.xlsx"/>
    <m/>
  </r>
  <r>
    <n v="3502"/>
    <s v="1-01-09017-004"/>
    <x v="1"/>
    <x v="1"/>
    <s v="MGW00413"/>
    <x v="0"/>
    <s v="MPT  Phase 1b Colo"/>
    <s v="On Air"/>
    <s v="LTE"/>
    <s v="1"/>
    <x v="19"/>
    <n v="2.3180000000000001"/>
    <n v="4.3479999999999999"/>
    <n v="3.56"/>
    <s v="SQM"/>
    <s v="43"/>
    <s v="48"/>
    <x v="1"/>
    <m/>
    <s v="Not Required"/>
    <m/>
    <s v="OK"/>
    <m/>
    <s v="OK"/>
    <s v="Existing on tower Actual - OML - 8.34 Sqm / MPT Colo Apps - 4.29 Sqm - Add MW and ODU "/>
    <s v="OK"/>
    <m/>
    <m/>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35"/>
    <n v="4.411466898098297"/>
    <n v="0"/>
    <s v="Open Fil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r>
  <r>
    <n v="3503"/>
    <s v="1-01-05009-001"/>
    <x v="1"/>
    <x v="2"/>
    <s v="SGG00235"/>
    <x v="0"/>
    <s v="MPT  Phase 1b Colo"/>
    <s v="On Air"/>
    <s v="Exchange"/>
    <s v="1"/>
    <x v="19"/>
    <n v="1.1080000000000001"/>
    <n v="1.52"/>
    <n v="3.11"/>
    <s v="SQM"/>
    <s v="48"/>
    <s v="53"/>
    <x v="1"/>
    <m/>
    <s v="Not Required"/>
    <m/>
    <s v="OK"/>
    <m/>
    <s v="OK"/>
    <s v="Existing on tower Actual - OML - 9.26 Sqm / MPT Colo Apps - 2.29 Sqm - Add MW and ODU "/>
    <s v="OK"/>
    <m/>
    <m/>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35"/>
    <n v="4.4114677082980052"/>
    <n v="0"/>
    <s v="Open File"/>
    <s v="1-01-05009-001 (SGG0023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1 (SGG00235) Application Rev 1.xlsx"/>
    <m/>
  </r>
  <r>
    <n v="3504"/>
    <s v="1-01-05015-004"/>
    <x v="1"/>
    <x v="2"/>
    <s v="SGG00765"/>
    <x v="0"/>
    <s v="MPT  Phase 1b Colo"/>
    <s v="On Air"/>
    <s v="Exchange"/>
    <s v="1"/>
    <x v="19"/>
    <n v="1.399"/>
    <n v="2.1989999999999998"/>
    <n v="2.87"/>
    <s v="SQM"/>
    <s v="33"/>
    <s v="38"/>
    <x v="1"/>
    <m/>
    <s v="Not Required"/>
    <m/>
    <s v="OK"/>
    <m/>
    <s v="OK"/>
    <s v="Existing on tower Actual - OML - 6.18 Sqm / MPT - 2.71 Sqm / TML 3.51 sqm  - Add 1 RRU "/>
    <s v="OK"/>
    <m/>
    <m/>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37"/>
    <n v="4.712500462999742"/>
    <n v="0"/>
    <s v="Open File"/>
    <s v="1-01-05015-004 (SGG0076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4 (SGG00765) Application Rev 1.xlsx"/>
    <m/>
  </r>
  <r>
    <n v="3505"/>
    <s v="1-01-16011-001"/>
    <x v="1"/>
    <x v="1"/>
    <s v="SHE00089"/>
    <x v="0"/>
    <s v="MPT  Phase 1b Colo"/>
    <s v="On Air"/>
    <s v="Refarmaing_UL2100"/>
    <s v="6"/>
    <x v="19"/>
    <n v="3.44"/>
    <n v="4.3"/>
    <n v="4.55"/>
    <s v="SQM"/>
    <s v="48"/>
    <s v="53"/>
    <x v="1"/>
    <m/>
    <s v="Not Required"/>
    <m/>
    <s v="OK"/>
    <m/>
    <s v="OK"/>
    <s v="Existing on tower Actual - OML - 6.43 Sqm / MPT prev colo apps - 4.55 Sqm / TML 3.23sqm  - NO Data Changed - Only need to checkwith  power team"/>
    <s v="OK"/>
    <m/>
    <m/>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35"/>
    <n v="4.4114694443996996"/>
    <n v="0"/>
    <s v="Open File"/>
    <s v="1-01-16011-001 (SHE00089) Application Rev 6.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6.xlsx"/>
    <m/>
  </r>
  <r>
    <n v="3506"/>
    <s v="1-01-15012-004"/>
    <x v="1"/>
    <x v="2"/>
    <s v="SHN00053"/>
    <x v="0"/>
    <s v="MPT  Phase 1b Colo"/>
    <s v="On Air"/>
    <s v="LTE"/>
    <s v="4"/>
    <x v="19"/>
    <n v="1.1080000000000001"/>
    <n v="1.5820000000000001"/>
    <n v="5.87"/>
    <s v="SQM"/>
    <s v="44"/>
    <s v="49"/>
    <x v="1"/>
    <m/>
    <s v="Not Required"/>
    <m/>
    <s v="OK"/>
    <m/>
    <s v="OK"/>
    <s v="Existing on tower Actual - OML - 11.46 Sqm / MPT prev colo apps - 5.42 Sqm /Decrease RF Dimension and add MW and Odu "/>
    <s v="OK"/>
    <m/>
    <m/>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37"/>
    <n v="4.7125013889017282"/>
    <n v="0"/>
    <s v="Open File"/>
    <s v="1-01-15012-004 (SHN0005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4.xlsx"/>
    <m/>
  </r>
  <r>
    <n v="3507"/>
    <s v="1-01-15013-008"/>
    <x v="1"/>
    <x v="2"/>
    <s v="SHN00087"/>
    <x v="0"/>
    <s v="MPT  Phase 1b Colo"/>
    <s v="On Air"/>
    <s v="Exchange"/>
    <s v="1"/>
    <x v="19"/>
    <n v="1.399"/>
    <n v="2.2610000000000001"/>
    <n v="5.6059999999999999"/>
    <s v="SQM"/>
    <s v="48"/>
    <s v="53"/>
    <x v="1"/>
    <m/>
    <s v="Not Required"/>
    <m/>
    <s v="OK"/>
    <m/>
    <s v="OK"/>
    <s v="Existing on tower Actual - OML - 14.06 Sqm / MPT prev colo apps - 8.15 Sqm / TML 4.93 sqm / Decrease RF and MW Dimension , add RRU and ODU ."/>
    <s v="OK"/>
    <m/>
    <m/>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37"/>
    <n v="4.7125021991014364"/>
    <n v="0"/>
    <s v="Open File"/>
    <s v="1-01-15013-008 (SHN0008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8 (SHN00087) Application Rev 1.xlsx"/>
    <m/>
  </r>
  <r>
    <n v="3508"/>
    <s v="1-01-17016-011"/>
    <x v="1"/>
    <x v="0"/>
    <s v="AWD00293"/>
    <x v="0"/>
    <s v="MPT  Phase 1b Colo"/>
    <s v="On Air"/>
    <s v="LTE"/>
    <s v="2"/>
    <x v="19"/>
    <n v="2.48"/>
    <n v="3.1"/>
    <n v="3.86"/>
    <s v="SQM"/>
    <s v="48"/>
    <s v="53"/>
    <x v="1"/>
    <m/>
    <s v="Not Required"/>
    <m/>
    <s v="OK"/>
    <m/>
    <s v="OK"/>
    <s v="Existing on tower Actual - OML - 7.56 Sqm / MPT - 2.86 Sqm / TML- 3.87sqm / Increase RF Dimension and add RRU "/>
    <s v="OK"/>
    <m/>
    <m/>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37"/>
    <n v="4.7125030093011446"/>
    <n v="0"/>
    <s v="Open File"/>
    <s v="1-01-17016-011 (AWD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11 (AWD00293) Application Rev 2.xlsx"/>
    <m/>
  </r>
  <r>
    <n v="3509"/>
    <s v="1-01-17017-001"/>
    <x v="1"/>
    <x v="0"/>
    <s v="AWD00871"/>
    <x v="0"/>
    <s v="MPT  Phase 1b Colo"/>
    <s v="On Air"/>
    <s v="MS"/>
    <s v="1"/>
    <x v="19"/>
    <n v="2.64"/>
    <n v="3.3"/>
    <n v="4.0949999999999998"/>
    <s v="SQM"/>
    <s v="42.5"/>
    <s v="47.5"/>
    <x v="1"/>
    <m/>
    <s v="Not Required"/>
    <m/>
    <s v="OK"/>
    <m/>
    <s v="OK"/>
    <s v="Existing on tower Actual - OML - 10.88 Sqm / MPT Colo Apps  - 2.35 Sqm / Mytel - 6.13 sqm / Increase RF Dimension and add RRU "/>
    <s v="OK"/>
    <m/>
    <m/>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35"/>
    <n v="4.4114726851985324"/>
    <n v="0"/>
    <s v="Open File"/>
    <s v="1-01-17017-001 (AWD0087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7-001 (AWD00871) Application Rev 1.xlsx"/>
    <m/>
  </r>
  <r>
    <n v="3510"/>
    <s v="1-01-01014-005"/>
    <x v="1"/>
    <x v="2"/>
    <s v="KCN00119"/>
    <x v="0"/>
    <s v="MPT  Phase 1b Colo"/>
    <s v="On Air"/>
    <s v="UPG _ v1"/>
    <s v="4"/>
    <x v="19"/>
    <n v="1.1080000000000001"/>
    <n v="1.52"/>
    <n v="3.1070000000000002"/>
    <s v="SQM"/>
    <s v="48"/>
    <s v="53"/>
    <x v="1"/>
    <m/>
    <s v="Not Required"/>
    <m/>
    <s v="OK"/>
    <m/>
    <s v="OK"/>
    <s v="Existing on tower Actual - OML - 8.43 Sqm / MPT  - 3.03 Sqm / Mytel - 4.99 sqm / add RRU "/>
    <s v="OK"/>
    <m/>
    <m/>
    <s v="No"/>
    <s v="Strengthened Tower: OML+MYTEL+KSGM (OLD+NEW) = 92.4%_x000a_Strengthened Tower: OML+MYTEL+KSGM (OLD) = 91.7%"/>
    <s v="Not Required"/>
    <s v="N/A"/>
    <m/>
    <m/>
    <m/>
    <s v="OK"/>
    <s v="No"/>
    <s v="No action needed "/>
    <m/>
    <m/>
    <m/>
    <m/>
    <m/>
    <m/>
    <m/>
    <d v="2018-12-14T11:14:57"/>
    <m/>
    <d v="2018-12-17T13:27:23"/>
    <d v="2018-12-14T11:14:57"/>
    <m/>
    <d v="2018-12-13T17:10:09"/>
    <x v="37"/>
    <n v="4.7125037036967115"/>
    <n v="0"/>
    <s v="Open File"/>
    <s v="1-01-01014-005 (KCN0011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4.xlsx"/>
    <m/>
  </r>
  <r>
    <n v="3511"/>
    <s v="1-01-01014-005"/>
    <x v="1"/>
    <x v="2"/>
    <s v="KCN00119"/>
    <x v="0"/>
    <s v="MPT  Phase 1b Colo"/>
    <s v="On Air"/>
    <s v="Expansion_L2100"/>
    <s v="5"/>
    <x v="19"/>
    <n v="1.399"/>
    <n v="2.1989999999999998"/>
    <n v="3.2650000000000001"/>
    <s v="SQM"/>
    <s v="48"/>
    <s v="53"/>
    <x v="1"/>
    <m/>
    <s v="Not Required"/>
    <m/>
    <s v="OK"/>
    <m/>
    <s v="OK"/>
    <s v="Existing on tower Actual - OML - 8.43 Sqm / MPT  - 3.03 Sqm / Mytel - 4.99 sqm / Add 1 RRU "/>
    <s v="OK"/>
    <m/>
    <m/>
    <s v="No"/>
    <s v="Strengthened Tower: OML+MYTEL+KSGM (OLD+NEW) = 92.5%_x000a_Strengthened Tower: OML+MYTEL+KSGM (OLD) = 92.4"/>
    <s v="Not Required"/>
    <s v="N/A"/>
    <m/>
    <m/>
    <m/>
    <s v="OK"/>
    <s v="No"/>
    <s v="No action needed "/>
    <m/>
    <m/>
    <m/>
    <m/>
    <m/>
    <m/>
    <m/>
    <d v="2018-12-14T11:14:57"/>
    <m/>
    <d v="2018-12-17T13:27:23"/>
    <d v="2018-12-14T11:14:57"/>
    <m/>
    <d v="2018-12-13T17:10:09"/>
    <x v="37"/>
    <n v="4.7125043982014176"/>
    <n v="0"/>
    <s v="Open Fil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r>
  <r>
    <n v="3496"/>
    <s v="ANSG_0483"/>
    <x v="0"/>
    <x v="2"/>
    <s v="SGG00406"/>
    <x v="0"/>
    <s v="MPT  Phase 1a Colo"/>
    <s v="On Air"/>
    <s v="TS _ v1"/>
    <s v="0"/>
    <x v="20"/>
    <n v="1"/>
    <n v="1.4"/>
    <n v="6.52"/>
    <s v="EPA"/>
    <s v="36"/>
    <s v="41"/>
    <x v="1"/>
    <m/>
    <s v="Not Required"/>
    <m/>
    <s v="OK"/>
    <m/>
    <s v="OK"/>
    <s v="Existing on tower - ( Assume ) TML with 5.65 EPA , MPT with 4.84 EPA - Add RRUand ODU"/>
    <s v="OK"/>
    <m/>
    <m/>
    <s v="No"/>
    <s v="Existing Tower: TML+MYTEL+KSGM (OLD+NEW) = 74.9%"/>
    <s v="OK"/>
    <m/>
    <m/>
    <m/>
    <m/>
    <s v="OK"/>
    <s v="No"/>
    <s v="No action needed "/>
    <m/>
    <m/>
    <m/>
    <m/>
    <m/>
    <m/>
    <m/>
    <d v="2018-12-12T13:52:41"/>
    <d v="2018-12-13T17:12:25"/>
    <d v="2018-12-13T10:09:25"/>
    <d v="2018-12-12T13:52:41"/>
    <m/>
    <d v="2018-12-12T13:01:19"/>
    <x v="36"/>
    <n v="2.7279530093001085"/>
    <n v="0"/>
    <s v="No File"/>
    <s v="ANSG_0483 (SGG0040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0.xlsx"/>
    <m/>
  </r>
  <r>
    <n v="3497"/>
    <s v="AYYN_0300"/>
    <x v="0"/>
    <x v="0"/>
    <s v="YGN00953"/>
    <x v="0"/>
    <s v="MPT  Phase 1a Colo"/>
    <s v="On Air"/>
    <s v="MS _ v1"/>
    <s v="0"/>
    <x v="20"/>
    <n v="2.16"/>
    <n v="2.7"/>
    <n v="5.41"/>
    <s v="EPA"/>
    <s v="18"/>
    <s v="23"/>
    <x v="1"/>
    <m/>
    <s v="Not Required"/>
    <m/>
    <s v="OK"/>
    <m/>
    <s v="OK"/>
    <s v="Existing on tower - ( Assume ) TML with 5.67 EPA , OML with 9.80 EPA , MPT with 6.13 EPA -, Mytel with 2.91 EPA  , Amara  with 2.88 EPA ( Increase RF dimension and add RRU )"/>
    <s v="OK"/>
    <m/>
    <m/>
    <s v="No"/>
    <s v="EXISTING TOWER: TML+OML+KSGM+MYTEL+Amara(NEW)):  69.33%"/>
    <s v="OK"/>
    <m/>
    <m/>
    <m/>
    <m/>
    <s v="OK"/>
    <s v="No"/>
    <s v="No action needed "/>
    <m/>
    <m/>
    <m/>
    <m/>
    <m/>
    <m/>
    <m/>
    <d v="2018-12-12T13:52:41"/>
    <d v="2018-12-13T17:12:25"/>
    <d v="2018-12-13T15:07:07"/>
    <d v="2018-12-12T13:52:41"/>
    <m/>
    <d v="2018-12-13T15:23:16"/>
    <x v="36"/>
    <n v="2.7279540508970967"/>
    <n v="0"/>
    <s v="No File"/>
    <s v="AYYN_0300 (YGN0095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300 (YGN00953) Application Rev 0.xlsx"/>
    <m/>
  </r>
  <r>
    <n v="3493"/>
    <s v="ANMD_0022"/>
    <x v="0"/>
    <x v="2"/>
    <s v="MDY00913"/>
    <x v="0"/>
    <s v="MPT  Phase 1a Colo"/>
    <s v="On Air"/>
    <s v="Refarming UL2100"/>
    <s v="0"/>
    <x v="21"/>
    <n v="1.399"/>
    <n v="2.1989999999999998"/>
    <n v="4.13"/>
    <s v="EPA"/>
    <s v="19"/>
    <s v="24"/>
    <x v="1"/>
    <m/>
    <s v="Not Required"/>
    <m/>
    <s v="OK"/>
    <m/>
    <s v="OK"/>
    <s v="Existing on tower - ( Assume ) TML with 4.80 EPA , OML with 11.81 EPA , MPT with 3.58 EPA - Add RRU"/>
    <s v="OK"/>
    <m/>
    <m/>
    <s v="No"/>
    <s v="EXISTING TOWER: TML+OML+KSGM(OLD+NEW)):   86.85 %"/>
    <s v="OK"/>
    <m/>
    <m/>
    <m/>
    <m/>
    <s v="OK"/>
    <s v="No"/>
    <s v="No action needed "/>
    <m/>
    <m/>
    <m/>
    <m/>
    <m/>
    <m/>
    <m/>
    <d v="2018-12-12T11:20:36"/>
    <d v="2018-12-11T15:21:02"/>
    <d v="2018-12-12T14:40:41"/>
    <d v="2018-12-12T11:20:36"/>
    <m/>
    <d v="2018-12-11T10:25:40"/>
    <x v="38"/>
    <n v="2.4254366898021544"/>
    <n v="0"/>
    <s v="No File"/>
    <s v="ANMD_0022 (MDY0091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022 (MDY00913) Application Rev 0.xlsx"/>
    <m/>
  </r>
  <r>
    <n v="3494"/>
    <s v="ANSG_0454"/>
    <x v="0"/>
    <x v="2"/>
    <s v="SGG00785"/>
    <x v="0"/>
    <s v="MPT  Phase 1a Colo"/>
    <s v="On Air"/>
    <s v="TS _ v1"/>
    <s v="2"/>
    <x v="21"/>
    <n v="1"/>
    <n v="1.4"/>
    <n v="4.51"/>
    <s v="EPA"/>
    <s v="36"/>
    <s v="41"/>
    <x v="1"/>
    <m/>
    <s v="Not Required"/>
    <m/>
    <s v="OK"/>
    <m/>
    <s v="OK"/>
    <s v="Existing on tower - ( Assume ) TML with 7.55 EPA , MPT with 4.20 EPA - Add RRU"/>
    <s v="OK"/>
    <m/>
    <m/>
    <s v="No"/>
    <s v="Existing Tower: TML+KSGM (OLD+NEW) = 64.0%"/>
    <s v="OK"/>
    <m/>
    <m/>
    <m/>
    <m/>
    <s v="OK"/>
    <s v="No"/>
    <s v="No action needed "/>
    <m/>
    <m/>
    <m/>
    <m/>
    <m/>
    <m/>
    <m/>
    <d v="2018-12-12T11:20:36"/>
    <d v="2018-12-11T15:21:02"/>
    <d v="2018-12-12T14:10:44"/>
    <d v="2018-12-12T11:20:36"/>
    <m/>
    <d v="2018-12-18T12:19:41"/>
    <x v="39"/>
    <n v="7.5841695601993706"/>
    <n v="0"/>
    <s v="Open File"/>
    <s v="ANSG_0454 (SGG007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2.xlsx"/>
    <m/>
  </r>
  <r>
    <n v="3495"/>
    <s v="1-01-09022-005"/>
    <x v="1"/>
    <x v="1"/>
    <s v="MGW00780"/>
    <x v="0"/>
    <s v="MPT  Phase 1b Colo"/>
    <s v="RFI"/>
    <s v="Other"/>
    <s v="0"/>
    <x v="21"/>
    <n v="1"/>
    <n v="1.462"/>
    <m/>
    <s v="SQM"/>
    <s v="48"/>
    <s v="53"/>
    <x v="1"/>
    <m/>
    <s v="Not Required"/>
    <m/>
    <s v="Not Required"/>
    <m/>
    <s v="Not Required"/>
    <m/>
    <s v="Not Required"/>
    <m/>
    <m/>
    <m/>
    <m/>
    <s v="OK"/>
    <m/>
    <m/>
    <m/>
    <m/>
    <s v="Not Required"/>
    <m/>
    <m/>
    <m/>
    <m/>
    <m/>
    <m/>
    <m/>
    <m/>
    <m/>
    <m/>
    <d v="2018-12-11T15:21:02"/>
    <m/>
    <m/>
    <m/>
    <m/>
    <x v="40"/>
    <n v="0.71463587960170116"/>
    <n v="0"/>
    <s v="No File"/>
    <s v="1-01-09022-005 (MGW0078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5 (MGW00780) Application Rev 0.xlsx"/>
    <m/>
  </r>
  <r>
    <n v="3487"/>
    <s v="1-01-01010-012"/>
    <x v="1"/>
    <x v="2"/>
    <s v="KCN00455"/>
    <x v="0"/>
    <s v="MPT  Phase 1b Colo"/>
    <s v="RFI"/>
    <s v="TS"/>
    <s v="1"/>
    <x v="22"/>
    <n v="1"/>
    <n v="1.462"/>
    <m/>
    <s v="SQM"/>
    <s v="21"/>
    <s v="26"/>
    <x v="1"/>
    <m/>
    <s v="Not Required"/>
    <m/>
    <s v="Not Required"/>
    <m/>
    <s v="Not Required"/>
    <m/>
    <s v="Not Required"/>
    <m/>
    <m/>
    <m/>
    <m/>
    <s v="OK"/>
    <s v="1-2 weeks"/>
    <m/>
    <m/>
    <s v="upgrade DG to 20Kva"/>
    <s v="Not Required"/>
    <m/>
    <m/>
    <m/>
    <m/>
    <m/>
    <m/>
    <m/>
    <m/>
    <m/>
    <m/>
    <d v="2018-12-10T16:19:50"/>
    <m/>
    <m/>
    <m/>
    <m/>
    <x v="41"/>
    <n v="1.4839348379973671"/>
    <n v="0"/>
    <s v="Open File"/>
    <s v="1-01-01010-012 (KCN004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1.xlsx"/>
    <m/>
  </r>
  <r>
    <n v="3488"/>
    <s v="1-01-17003-008"/>
    <x v="1"/>
    <x v="0"/>
    <s v="AY0830"/>
    <x v="4"/>
    <s v="TML Phase 1 Colo"/>
    <s v="On Air"/>
    <s v="Add Equipment"/>
    <s v="1"/>
    <x v="22"/>
    <m/>
    <m/>
    <n v="4.6100000000000003"/>
    <s v="SQM"/>
    <s v="46"/>
    <s v="51"/>
    <x v="1"/>
    <m/>
    <s v="Not Required"/>
    <m/>
    <s v="Not Required"/>
    <m/>
    <s v="OK"/>
    <s v="Existing on tower actual - OML - 9.82 sqm / TML - 4.50 Sqm - Decrease MW dimension "/>
    <s v="OK"/>
    <m/>
    <m/>
    <s v="No"/>
    <s v="Strengthened Tower(OP1+OP4(OLD+NEW)):   94.75%_x000a_Strengthened Tower(OP1+OP4(OLD)): 95.8  %"/>
    <s v="Not Required"/>
    <m/>
    <m/>
    <m/>
    <m/>
    <s v="OK"/>
    <s v="No"/>
    <s v="No action needed "/>
    <m/>
    <m/>
    <m/>
    <m/>
    <m/>
    <m/>
    <m/>
    <d v="2018-12-10T14:26:08"/>
    <m/>
    <d v="2018-12-10T16:49:35"/>
    <d v="2018-12-10T14:26:08"/>
    <m/>
    <m/>
    <x v="42"/>
    <n v="1.5889107639013673"/>
    <n v="0"/>
    <s v="Open File"/>
    <s v="1-01-17003-008 (AY0830)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7003-008 (AY0830) Application Rev 1.xlsx"/>
    <m/>
  </r>
  <r>
    <n v="3489"/>
    <s v="1-01-01010-013"/>
    <x v="1"/>
    <x v="2"/>
    <s v="KCN00442"/>
    <x v="0"/>
    <s v="MPT  Phase 1b Colo"/>
    <s v="RFI"/>
    <s v="Other"/>
    <s v="0"/>
    <x v="22"/>
    <n v="1"/>
    <n v="1.462"/>
    <m/>
    <s v="SQM"/>
    <s v="16"/>
    <s v="21"/>
    <x v="1"/>
    <m/>
    <s v="Not Required"/>
    <m/>
    <s v="Not Required"/>
    <m/>
    <s v="Not Required"/>
    <m/>
    <s v="Not Required"/>
    <m/>
    <m/>
    <m/>
    <m/>
    <s v="OK"/>
    <s v="1-2 weeks"/>
    <m/>
    <m/>
    <s v="Add rectifier modules upgrade DG to 20Kva"/>
    <s v="Not Required"/>
    <m/>
    <m/>
    <m/>
    <m/>
    <m/>
    <m/>
    <m/>
    <m/>
    <m/>
    <m/>
    <d v="2018-12-10T16:19:50"/>
    <m/>
    <m/>
    <m/>
    <m/>
    <x v="41"/>
    <n v="1.4839356481024879"/>
    <n v="0"/>
    <s v="No File"/>
    <s v="1-01-01010-013 (KCN0044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0.xlsx"/>
    <m/>
  </r>
  <r>
    <n v="3490"/>
    <s v="ANMD_0169"/>
    <x v="0"/>
    <x v="2"/>
    <s v="MDYPGTG007ML"/>
    <x v="1"/>
    <s v="Amara Colocation"/>
    <s v="New Tenant"/>
    <s v="New Colocation"/>
    <s v="0"/>
    <x v="22"/>
    <m/>
    <n v="2"/>
    <n v="3"/>
    <s v="EPA"/>
    <s v="5"/>
    <s v="10"/>
    <x v="1"/>
    <m/>
    <s v="OK"/>
    <s v="26-Dec-18: Already 4 opco at site (TN/MPT/OML/Mytel) possible for lease hike during TI installtion "/>
    <s v="OK"/>
    <m/>
    <s v="OK"/>
    <s v="Existing on tower - ( Assume ) TML with 4.96 EPA , OML with 8.95 EPA , MPT with 1.02 EPA , Mytel colo apps 4.07 EPA "/>
    <s v="OK"/>
    <m/>
    <m/>
    <s v="No"/>
    <s v="EXISTING TOWER: TML+OML+KSGM+MYTEL+Amara(NEW)):  86.79%"/>
    <s v="OK"/>
    <s v="1 week"/>
    <m/>
    <m/>
    <s v="AC connect"/>
    <s v="OK"/>
    <s v="Yes"/>
    <s v="If Amara can share the existing slab , no need to construct new slab- Space to reconfirm base on TSS "/>
    <m/>
    <m/>
    <m/>
    <m/>
    <m/>
    <m/>
    <m/>
    <d v="2018-12-10T14:26:08"/>
    <d v="2018-12-10T16:19:51"/>
    <d v="2018-12-11T16:31:14"/>
    <d v="2018-12-10T14:26:08"/>
    <d v="2018-12-26T14:29:55"/>
    <d v="2018-12-10T16:02:20"/>
    <x v="43"/>
    <n v="32.38287083330215"/>
    <n v="0"/>
    <s v="No File"/>
    <s v="ANMD_0169 (MDYPGTG007ML)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9 (MDYPGTG007ML) Application Rev 0.xlsx"/>
    <m/>
  </r>
  <r>
    <n v="3491"/>
    <s v="1-01-01009-002"/>
    <x v="1"/>
    <x v="2"/>
    <s v="KCN00139"/>
    <x v="0"/>
    <s v="MPT  Phase 1b Colo"/>
    <s v="On Air"/>
    <s v="Other"/>
    <s v="1"/>
    <x v="22"/>
    <n v="1.39"/>
    <n v="1.7949999999999999"/>
    <m/>
    <s v="SQM"/>
    <s v="45"/>
    <s v="50"/>
    <x v="1"/>
    <m/>
    <s v="Not Required"/>
    <m/>
    <s v="Not Required"/>
    <m/>
    <s v="Not Required"/>
    <m/>
    <s v="Not Required"/>
    <m/>
    <m/>
    <m/>
    <m/>
    <s v="OK"/>
    <s v="1-2 weeks"/>
    <m/>
    <m/>
    <s v="Add rectifier modules upgrade DG to 20Kva"/>
    <s v="Not Required"/>
    <m/>
    <m/>
    <m/>
    <m/>
    <m/>
    <m/>
    <m/>
    <m/>
    <m/>
    <m/>
    <d v="2018-12-10T16:19:51"/>
    <m/>
    <m/>
    <m/>
    <m/>
    <x v="41"/>
    <n v="1.4839370370027609"/>
    <n v="0"/>
    <s v="Open File"/>
    <s v="1-01-01009-002 (KCN0013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02 (KCN00139) Application Rev 1.xlsx"/>
    <m/>
  </r>
  <r>
    <n v="3492"/>
    <s v="ANMD_0195"/>
    <x v="0"/>
    <x v="2"/>
    <s v="MDY00607"/>
    <x v="0"/>
    <s v="MPT  Phase 1a Colo"/>
    <s v="On Air"/>
    <s v="Refarming UL2100"/>
    <s v="0"/>
    <x v="22"/>
    <n v="1.399"/>
    <n v="2.1989999999999998"/>
    <n v="4.13"/>
    <s v="EPA"/>
    <s v="45"/>
    <s v="50"/>
    <x v="1"/>
    <m/>
    <s v="Not Required"/>
    <m/>
    <s v="OK"/>
    <m/>
    <s v="OK"/>
    <s v="Existing on tower - ( Assume ) TML with 5.75 EPA , MPT with 3.74 EPA , MPT with 1.02 EPA - Add RRU "/>
    <s v="OK"/>
    <m/>
    <m/>
    <s v="No"/>
    <s v="Existing Tower: TML+KSGM (OLD+NEW) = 90.2%"/>
    <s v="OK"/>
    <m/>
    <m/>
    <m/>
    <s v="Monitor battery back up,  BB @ EoL swap"/>
    <s v="OK"/>
    <s v="No"/>
    <s v="No action needed "/>
    <m/>
    <m/>
    <m/>
    <m/>
    <m/>
    <m/>
    <m/>
    <d v="2018-12-12T11:20:36"/>
    <d v="2018-12-11T15:21:02"/>
    <d v="2018-12-12T13:00:37"/>
    <d v="2018-12-12T11:20:36"/>
    <m/>
    <d v="2018-12-11T10:25:40"/>
    <x v="38"/>
    <n v="3.4254353009018814"/>
    <n v="0"/>
    <s v="No File"/>
    <s v="ANMD_0195 (MDY00607)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95 (MDY00607) Application Rev 0.xlsx"/>
    <m/>
  </r>
  <r>
    <n v="3483"/>
    <s v="AYYN_0225"/>
    <x v="0"/>
    <x v="0"/>
    <s v="YGN00526"/>
    <x v="0"/>
    <s v="MPT  Phase 1a Colo"/>
    <s v="On Air"/>
    <s v="MW Exp"/>
    <s v="1"/>
    <x v="23"/>
    <n v="3.28"/>
    <n v="4.0999999999999996"/>
    <n v="5"/>
    <s v="EPA"/>
    <s v="34"/>
    <s v="39"/>
    <x v="1"/>
    <m/>
    <s v="Not Required"/>
    <m/>
    <s v="Not Required"/>
    <m/>
    <s v="OK"/>
    <s v="Existing on tower - ( Assume ) TML with 4.73 EPA , MPT with 5.34EPA , Mytel with 2.55EPA ( Decrease MW Dimension ) "/>
    <s v="OK"/>
    <m/>
    <m/>
    <s v="No"/>
    <s v="Total EPA is 4.86+2.55+4.73 =12.09 &lt; 25 EPA Design - OK (Preliminaly Tower Assessment), MPT is 4.86EPA Required"/>
    <s v="OK"/>
    <m/>
    <m/>
    <m/>
    <s v="Capacity available "/>
    <s v="OK"/>
    <s v="No"/>
    <s v="No action needed "/>
    <m/>
    <m/>
    <m/>
    <m/>
    <m/>
    <m/>
    <m/>
    <d v="2018-12-09T22:19:22"/>
    <d v="2018-12-10T16:19:49"/>
    <d v="2018-12-11T14:23:01"/>
    <d v="2018-12-09T22:19:22"/>
    <m/>
    <m/>
    <x v="44"/>
    <n v="4.6823525462968973"/>
    <n v="0"/>
    <s v="Open File"/>
    <s v="AYYN_0225 (YGN0052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25 (YGN00526) Application Rev 1.xlsx"/>
    <m/>
  </r>
  <r>
    <n v="3484"/>
    <s v="1-01-17019-002"/>
    <x v="1"/>
    <x v="0"/>
    <s v="AWD00413"/>
    <x v="0"/>
    <s v="MPT  Phase 1b Colo"/>
    <s v="On Air"/>
    <s v="LTE"/>
    <s v="2"/>
    <x v="23"/>
    <n v="2.96"/>
    <n v="3.7"/>
    <m/>
    <s v="SQM"/>
    <s v="33"/>
    <s v="38"/>
    <x v="1"/>
    <m/>
    <s v="Not Required"/>
    <m/>
    <s v="Not Required"/>
    <m/>
    <s v="Not Required"/>
    <m/>
    <s v="Not Required"/>
    <m/>
    <m/>
    <m/>
    <m/>
    <s v="OK"/>
    <s v="1-2 weeks"/>
    <m/>
    <m/>
    <s v="PE capacity expansion PE system to be re ordered"/>
    <s v="Not Required"/>
    <m/>
    <m/>
    <m/>
    <m/>
    <m/>
    <m/>
    <m/>
    <m/>
    <m/>
    <m/>
    <d v="2018-12-10T16:19:49"/>
    <m/>
    <m/>
    <m/>
    <m/>
    <x v="41"/>
    <n v="4.4839324073982425"/>
    <n v="0"/>
    <s v="Open File"/>
    <s v="1-01-17019-002 (AWD004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2 (AWD00413) Application Rev 2.xlsx"/>
    <m/>
  </r>
  <r>
    <n v="3485"/>
    <s v="1-01-17011-006"/>
    <x v="1"/>
    <x v="0"/>
    <s v="AWD00287"/>
    <x v="0"/>
    <s v="MPT  Phase 1b Colo"/>
    <s v="On Air"/>
    <s v="LTE"/>
    <s v="3"/>
    <x v="23"/>
    <n v="2.96"/>
    <n v="3.7"/>
    <m/>
    <s v="SQM"/>
    <s v="48"/>
    <s v="53"/>
    <x v="1"/>
    <m/>
    <s v="Not Required"/>
    <m/>
    <s v="Not Required"/>
    <m/>
    <s v="Not Required"/>
    <m/>
    <s v="Not Required"/>
    <m/>
    <m/>
    <m/>
    <m/>
    <s v="OK"/>
    <s v="1-2 weeks"/>
    <m/>
    <m/>
    <s v="PE capacity expansion PE system to be re ordered"/>
    <s v="Not Required"/>
    <m/>
    <m/>
    <m/>
    <m/>
    <m/>
    <m/>
    <m/>
    <m/>
    <m/>
    <m/>
    <d v="2018-12-10T16:19:49"/>
    <m/>
    <m/>
    <m/>
    <m/>
    <x v="41"/>
    <n v="4.4839334490970941"/>
    <n v="0"/>
    <s v="Open File"/>
    <s v="1-01-17011-006 (AWD0028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1-006 (AWD00287) Application Rev 3.xlsx"/>
    <m/>
  </r>
  <r>
    <n v="3486"/>
    <s v="1-03-06008-014"/>
    <x v="1"/>
    <x v="0"/>
    <s v="TNY00361"/>
    <x v="0"/>
    <s v="MPT  Phase 1b Colo"/>
    <s v="RFI"/>
    <s v="Other"/>
    <s v=""/>
    <x v="23"/>
    <n v="1.5"/>
    <m/>
    <m/>
    <s v="SQM"/>
    <s v="40"/>
    <s v="45"/>
    <x v="1"/>
    <m/>
    <s v="Not Required"/>
    <m/>
    <s v="Not Required"/>
    <m/>
    <s v="Not Required"/>
    <m/>
    <s v="Not Required"/>
    <m/>
    <m/>
    <m/>
    <m/>
    <s v="OK"/>
    <s v="2019-01-12"/>
    <m/>
    <m/>
    <s v="Needs PE system none installed  on site "/>
    <s v="Not Required"/>
    <m/>
    <m/>
    <m/>
    <m/>
    <m/>
    <m/>
    <m/>
    <m/>
    <m/>
    <m/>
    <d v="2018-12-17T08:53:29"/>
    <m/>
    <m/>
    <m/>
    <m/>
    <x v="45"/>
    <n v="10.411462500000198"/>
    <n v="0"/>
    <s v="No File"/>
    <s v="1-03-06008-014 (TNY00361)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3-06008-014 (TNY00361) Application Rev .xlsx"/>
    <m/>
  </r>
  <r>
    <n v="3477"/>
    <s v="ANMD_0004"/>
    <x v="0"/>
    <x v="2"/>
    <s v="MDYAMTZ010"/>
    <x v="1"/>
    <s v="Amara Colocation"/>
    <s v="New Tenant"/>
    <s v="New Colocation"/>
    <s v="0"/>
    <x v="24"/>
    <m/>
    <n v="2"/>
    <n v="3"/>
    <s v="EPA"/>
    <s v="23"/>
    <s v="27"/>
    <x v="1"/>
    <m/>
    <s v="Not Required"/>
    <s v="26-Dec-18: Re-negotation has to be done with owner as we have to install new slab for Amara. Note: Mytel is already present on the same roof."/>
    <s v="OK"/>
    <m/>
    <s v="OK"/>
    <s v="Existing on tower - ( Assume ) TML with 4.10 EPA "/>
    <s v="OK"/>
    <m/>
    <m/>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46"/>
    <n v="42.75629224540171"/>
    <n v="1"/>
    <s v="No File"/>
    <s v="ANMD_0004 (MDYAMTZ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0.xlsx"/>
    <m/>
  </r>
  <r>
    <n v="3478"/>
    <s v="ANMD_0173"/>
    <x v="0"/>
    <x v="2"/>
    <s v="MDYPGTG007"/>
    <x v="1"/>
    <s v="Amara Colocation"/>
    <s v="New Tenant"/>
    <s v="New Colocation"/>
    <s v="0"/>
    <x v="24"/>
    <m/>
    <n v="2"/>
    <n v="3"/>
    <s v="EPA"/>
    <s v="18"/>
    <s v="23"/>
    <x v="1"/>
    <m/>
    <s v="OK"/>
    <s v="26-Dec-18: Already 4 opco at site (TN/MPT/OML/Mytel) possible for lease hike during TI installtion "/>
    <s v="OK"/>
    <m/>
    <s v="OK"/>
    <s v="Existing on tower - ( Assume ) TML with 4.83 EPA , OML with 9.22 EPA , MPT with 3.48 EPA ,Mytel with 5.467 EPA"/>
    <s v="OK"/>
    <m/>
    <m/>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47"/>
    <n v="35.681592013897898"/>
    <n v="0"/>
    <s v="No File"/>
    <s v="ANMD_0173 (MDYPGTG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3 (MDYPGTG007) Application Rev 0.xlsx"/>
    <m/>
  </r>
  <r>
    <n v="3479"/>
    <s v="ANMD_0164"/>
    <x v="0"/>
    <x v="2"/>
    <s v="MDYPGTG010"/>
    <x v="1"/>
    <s v="Amara Colocation"/>
    <s v="New Tenant"/>
    <s v="New Colocation"/>
    <s v="0"/>
    <x v="24"/>
    <m/>
    <n v="2"/>
    <n v="3"/>
    <s v="EPA"/>
    <s v="22"/>
    <s v="25"/>
    <x v="1"/>
    <m/>
    <s v="OK"/>
    <s v="26-Dec-18: Okay for survey and TI installtion"/>
    <s v="OK"/>
    <m/>
    <s v="OK"/>
    <s v="Existing on tower - ( Assume ) TML with 4.74 EPA "/>
    <s v="OK"/>
    <m/>
    <m/>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47"/>
    <n v="35.681592708300741"/>
    <n v="0"/>
    <s v="No File"/>
    <s v="ANMD_0164 (MDYPGTG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4 (MDYPGTG010) Application Rev 0.xlsx"/>
    <m/>
  </r>
  <r>
    <n v="3480"/>
    <s v="ANMD_0010"/>
    <x v="0"/>
    <x v="2"/>
    <s v="MDYMHAM065"/>
    <x v="1"/>
    <s v="Amara Colocation"/>
    <s v="New Tenant"/>
    <s v="New Colocation"/>
    <s v="0"/>
    <x v="24"/>
    <m/>
    <n v="2"/>
    <n v="3"/>
    <s v="EPA"/>
    <s v="15"/>
    <s v="18"/>
    <x v="2"/>
    <m/>
    <s v="Review"/>
    <s v="26-Dec-18: Amara want to share a pole with MPT or not any new operator/ISP will incur an additional cost of 300,000 MMK/month"/>
    <s v="OK"/>
    <m/>
    <s v="OK"/>
    <s v="Existing on tower - ( Assume ) TML with 3.93 EPA "/>
    <m/>
    <m/>
    <m/>
    <m/>
    <s v="Waiting for review TSS report"/>
    <s v="OK"/>
    <s v="1-2 weeks"/>
    <m/>
    <m/>
    <s v="AC connect"/>
    <s v="OK"/>
    <s v="No"/>
    <s v="sharing on the existing slab "/>
    <m/>
    <m/>
    <m/>
    <m/>
    <m/>
    <m/>
    <m/>
    <d v="2018-12-06T11:57:01"/>
    <d v="2018-12-10T16:19:48"/>
    <m/>
    <d v="2018-12-06T11:57:01"/>
    <m/>
    <d v="2018-12-28T11:38:00"/>
    <x v="48"/>
    <n v="35.703753472196695"/>
    <n v="0"/>
    <s v="No File"/>
    <s v="ANMD_0010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0 (MDYMHAM065) Application Rev 0.xlsx"/>
    <m/>
  </r>
  <r>
    <n v="3481"/>
    <s v="1-01-10006-004"/>
    <x v="1"/>
    <x v="2"/>
    <s v="MDYAMPR005"/>
    <x v="1"/>
    <s v="Amara Colocation"/>
    <s v="New Tenant"/>
    <s v="New Colocation"/>
    <s v="0"/>
    <x v="24"/>
    <m/>
    <n v="2"/>
    <n v="3"/>
    <s v="EPA"/>
    <s v="25"/>
    <s v="30"/>
    <x v="1"/>
    <m/>
    <s v="OK"/>
    <m/>
    <s v="OK"/>
    <m/>
    <s v="OK"/>
    <s v="Existing on tower actual - OML - 6.70 sqm "/>
    <s v="OK"/>
    <m/>
    <m/>
    <s v="No"/>
    <s v="EXISTING TOWER(OP1+OP6(NEW)):   71.8%"/>
    <s v="OK"/>
    <s v="1-2 weeks"/>
    <m/>
    <m/>
    <s v="AC connect"/>
    <s v="OK"/>
    <s v="Yes"/>
    <s v="Need new slab "/>
    <m/>
    <m/>
    <m/>
    <m/>
    <m/>
    <m/>
    <m/>
    <d v="2018-12-07T08:37:19"/>
    <d v="2018-12-10T16:19:48"/>
    <d v="2018-12-10T10:50:56"/>
    <d v="2018-12-07T08:37:19"/>
    <d v="2019-01-07T15:45:47"/>
    <d v="2019-01-14T09:48:14"/>
    <x v="49"/>
    <n v="39.610190277802758"/>
    <n v="0"/>
    <s v="No File"/>
    <s v="1-01-10006-004 (MDYAMPR00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4 (MDYAMPR005) Application Rev 0.xlsx"/>
    <m/>
  </r>
  <r>
    <n v="3482"/>
    <s v="1-01-10006-001"/>
    <x v="1"/>
    <x v="2"/>
    <s v="MDYAMPR007"/>
    <x v="1"/>
    <s v="Amarra Colocation"/>
    <s v="New Tenant"/>
    <s v="New Colocation"/>
    <s v="0"/>
    <x v="24"/>
    <m/>
    <n v="2"/>
    <n v="3"/>
    <s v="EPA"/>
    <s v="25"/>
    <s v="30"/>
    <x v="0"/>
    <m/>
    <s v="OK"/>
    <m/>
    <s v="OK"/>
    <m/>
    <s v="Rejected"/>
    <s v="Requested space 25 -30 m is occupied by other operator - Highest Window Availablities - 21.5 -16.5"/>
    <m/>
    <m/>
    <m/>
    <m/>
    <m/>
    <s v="OK"/>
    <s v="1-2 weeks after approval"/>
    <m/>
    <m/>
    <s v="AC connect"/>
    <s v="OK"/>
    <s v="Yes"/>
    <s v="Need new slab "/>
    <m/>
    <m/>
    <m/>
    <m/>
    <m/>
    <m/>
    <m/>
    <m/>
    <d v="2018-12-10T16:19:48"/>
    <m/>
    <d v="2018-12-06T17:34:01"/>
    <d v="2019-01-07T15:45:48"/>
    <d v="2019-01-14T09:48:14"/>
    <x v="0"/>
    <n v="48.701843287039082"/>
    <n v="1"/>
    <s v="No File"/>
    <s v="1-01-10006-001 (MDYAMPR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1 (MDYAMPR007) Application Rev 0.xlsx"/>
    <m/>
  </r>
  <r>
    <n v="3462"/>
    <s v="ANMD_0069"/>
    <x v="0"/>
    <x v="2"/>
    <s v="MDYAMPR004"/>
    <x v="1"/>
    <s v="Amara Colocation"/>
    <s v="New Tenant"/>
    <s v="New Colocation"/>
    <s v="0"/>
    <x v="25"/>
    <m/>
    <n v="2"/>
    <n v="3"/>
    <s v="EPA"/>
    <s v="35"/>
    <s v="40"/>
    <x v="1"/>
    <m/>
    <s v="OK"/>
    <s v="4-Dec-18: Considering this site as GBT okay to go ahead."/>
    <s v="OK"/>
    <m/>
    <s v="OK"/>
    <s v="Existing on tower - ( Assume ) TML with 8.18 EPA "/>
    <s v="OK"/>
    <m/>
    <m/>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50"/>
    <n v="4.3897280093005975"/>
    <n v="0"/>
    <s v="No File"/>
    <s v="ANMD_0069 (MDYAMPR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9 (MDYAMPR004) Application Rev 0.xlsx"/>
    <m/>
  </r>
  <r>
    <n v="3463"/>
    <s v="ANMD_0066"/>
    <x v="0"/>
    <x v="2"/>
    <s v="MDYAMPR011"/>
    <x v="1"/>
    <s v="Amara Colocation"/>
    <s v="New Tenant"/>
    <s v="New Colocation"/>
    <s v="0"/>
    <x v="25"/>
    <m/>
    <n v="1.9"/>
    <n v="3"/>
    <s v="EPA"/>
    <s v="20"/>
    <s v="25"/>
    <x v="1"/>
    <m/>
    <s v="OK"/>
    <s v="4-Dec-18: Considering this site as GBT okay to go ahead."/>
    <s v="OK"/>
    <m/>
    <s v="OK"/>
    <s v="Existing on tower - ( Assume ) TML with 4.20 EPA "/>
    <s v="OK"/>
    <m/>
    <m/>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50"/>
    <n v="4.3897284721970209"/>
    <n v="0"/>
    <s v="No File"/>
    <s v="ANMD_0066 (MDYAMPR011)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0.xlsx"/>
    <m/>
  </r>
  <r>
    <n v="3464"/>
    <s v="ANMD_0067"/>
    <x v="0"/>
    <x v="2"/>
    <s v="MDYAMPR012"/>
    <x v="1"/>
    <s v="Amara Colocation"/>
    <s v="New Tenant"/>
    <s v="New Colocation"/>
    <s v="0"/>
    <x v="25"/>
    <m/>
    <n v="2.5"/>
    <n v="3"/>
    <s v="EPA"/>
    <s v="20"/>
    <s v="25"/>
    <x v="1"/>
    <m/>
    <s v="OK"/>
    <s v="4-Dec-18: Considering this site as GBT okay to go ahead."/>
    <s v="OK"/>
    <m/>
    <s v="OK"/>
    <s v="Existing on tower - ( Assume ) TML with 4.26 EPA "/>
    <s v="OK"/>
    <m/>
    <m/>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50"/>
    <n v="4.3897299769014353"/>
    <n v="0"/>
    <s v="No File"/>
    <s v="ANMD_0067 (MDYAMPR012)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0.xlsx"/>
    <m/>
  </r>
  <r>
    <n v="3465"/>
    <s v="ANMD_0070"/>
    <x v="0"/>
    <x v="2"/>
    <s v="MDYAMPR013"/>
    <x v="1"/>
    <s v="Amara Colocation"/>
    <s v="New Tenant"/>
    <s v="New Colocation"/>
    <s v="0"/>
    <x v="25"/>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m/>
    <m/>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50"/>
    <n v="4.3897309028034215"/>
    <n v="0"/>
    <s v="No File"/>
    <s v="ANMD_0070 (MDYAMPR01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0 (MDYAMPR013) Application Rev 0.xlsx"/>
    <m/>
  </r>
  <r>
    <n v="3466"/>
    <s v="ANMD_0071"/>
    <x v="0"/>
    <x v="2"/>
    <s v="MDYAMPR014"/>
    <x v="1"/>
    <s v="Amara Colocation"/>
    <s v="New Tenant"/>
    <s v="New Colocation"/>
    <s v="0"/>
    <x v="25"/>
    <m/>
    <n v="2"/>
    <n v="3"/>
    <s v="EPA"/>
    <s v="30"/>
    <s v="35"/>
    <x v="1"/>
    <m/>
    <s v="OK"/>
    <s v="4-Dec-18: Considering this site as GBT okay to go ahead. But lese hike may raise while TI installation as already 3 opco exisiting on site."/>
    <s v="OK"/>
    <m/>
    <s v="OK"/>
    <s v="Existing on tower - ( Assume ) TML with 4.38 EPA ,OML with 11.07 EPA "/>
    <s v="OK"/>
    <m/>
    <m/>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50"/>
    <n v="4.3897325231009745"/>
    <n v="0"/>
    <s v="No File"/>
    <s v="ANMD_0071 (MDYAMPR01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1 (MDYAMPR014) Application Rev 0.xlsx"/>
    <m/>
  </r>
  <r>
    <n v="3467"/>
    <s v="ANMD_0077"/>
    <x v="0"/>
    <x v="2"/>
    <s v="MDYAMPR015"/>
    <x v="1"/>
    <s v="Amara Colocation"/>
    <s v="New Tenant"/>
    <s v="New Colocation"/>
    <s v="0"/>
    <x v="25"/>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m/>
    <m/>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50"/>
    <n v="4.3897332175984047"/>
    <n v="0"/>
    <s v="No File"/>
    <s v="ANMD_0077 (MDYAMPR01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7 (MDYAMPR015) Application Rev 0.xlsx"/>
    <m/>
  </r>
  <r>
    <n v="3468"/>
    <s v="ANMD_0266"/>
    <x v="0"/>
    <x v="2"/>
    <s v="MDYPGTG020"/>
    <x v="1"/>
    <s v="Amara Colocation"/>
    <s v="New Tenant"/>
    <s v="New Colocation"/>
    <s v="0"/>
    <x v="25"/>
    <m/>
    <n v="2"/>
    <n v="3"/>
    <s v="EPA"/>
    <s v="29"/>
    <s v="34"/>
    <x v="1"/>
    <m/>
    <s v="OK"/>
    <s v="4-Dec-18: Considering this site as GBT okay to go ahead."/>
    <s v="OK"/>
    <m/>
    <s v="OK"/>
    <s v="Existing on tower - ( Assume ) TML with 3.93 EPA "/>
    <s v="OK"/>
    <m/>
    <m/>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50"/>
    <n v="4.3897347222009557"/>
    <n v="0"/>
    <s v="No File"/>
    <s v="ANMD_0266 (MDYPGTG02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66 (MDYPGTG020) Application Rev 0.xlsx"/>
    <m/>
  </r>
  <r>
    <n v="3469"/>
    <s v="ANMD_0165"/>
    <x v="0"/>
    <x v="2"/>
    <s v="MDYPGTG033"/>
    <x v="1"/>
    <s v="Amara Colocation"/>
    <s v="New Tenant"/>
    <s v="New Colocation"/>
    <s v="0"/>
    <x v="25"/>
    <m/>
    <n v="2"/>
    <n v="3"/>
    <s v="EPA"/>
    <s v="19"/>
    <s v="24"/>
    <x v="1"/>
    <m/>
    <s v="OK"/>
    <s v="4-Dec-18: Considering this site as GBT okay to go ahead."/>
    <s v="OK"/>
    <m/>
    <s v="OK"/>
    <s v="Existing on tower - ( Assume ) TML with 4.56 EPA "/>
    <s v="OK"/>
    <m/>
    <m/>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50"/>
    <n v="4.3897363426003722"/>
    <n v="0"/>
    <s v="No File"/>
    <s v="ANMD_0165 (MDYPGTG03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0.xlsx"/>
    <m/>
  </r>
  <r>
    <n v="3470"/>
    <s v="ANMD_0167"/>
    <x v="0"/>
    <x v="2"/>
    <s v="MDYPGTG036"/>
    <x v="1"/>
    <s v="Amara Colocation"/>
    <s v="New Tenant"/>
    <s v="New Colocation"/>
    <s v="0"/>
    <x v="25"/>
    <m/>
    <n v="2"/>
    <n v="3"/>
    <s v="EPA"/>
    <s v="19"/>
    <s v="24"/>
    <x v="1"/>
    <m/>
    <s v="OK"/>
    <s v="4-Dec-18: Considering this site as GBT okay to go ahead."/>
    <s v="OK"/>
    <m/>
    <s v="OK"/>
    <s v="Existing on tower - ( Assume ) TML with 6.77 EPA "/>
    <s v="OK"/>
    <m/>
    <m/>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50"/>
    <n v="4.3897370370032149"/>
    <n v="0"/>
    <s v="No File"/>
    <s v="ANMD_0167 (MDYPGTG036)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7 (MDYPGTG036) Application Rev 0.xlsx"/>
    <m/>
  </r>
  <r>
    <n v="3471"/>
    <s v="ANMD_0172"/>
    <x v="0"/>
    <x v="2"/>
    <s v="MDYPGTG039"/>
    <x v="1"/>
    <s v="Amara Colocation"/>
    <s v="New Tenant"/>
    <s v="New Colocation"/>
    <s v="0"/>
    <x v="25"/>
    <m/>
    <n v="2.5"/>
    <n v="5"/>
    <s v="EPA"/>
    <s v="14"/>
    <s v="17"/>
    <x v="1"/>
    <m/>
    <s v="OK"/>
    <s v="4-Dec-18: Considering this site as GBT okay to go ahead."/>
    <s v="OK"/>
    <m/>
    <s v="OK"/>
    <s v="Existing on tower - ( Assume ) TML with 5.10 EPA "/>
    <s v="OK"/>
    <m/>
    <m/>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50"/>
    <n v="4.3897377315006452"/>
    <n v="0"/>
    <s v="No File"/>
    <s v="ANMD_0172 (MDYPGTG039)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0.xlsx"/>
    <m/>
  </r>
  <r>
    <n v="3472"/>
    <s v="ACAY_0122"/>
    <x v="0"/>
    <x v="0"/>
    <s v="AWD00530"/>
    <x v="0"/>
    <s v="MPT  Phase 1a Colo"/>
    <s v="On Air"/>
    <s v="TS _v1"/>
    <s v="2"/>
    <x v="25"/>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m/>
    <m/>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37"/>
    <n v="14.712499189801747"/>
    <n v="0"/>
    <s v="Open File"/>
    <s v="ACAY_0122 (AWD005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2.xlsx"/>
    <m/>
  </r>
  <r>
    <n v="3473"/>
    <s v="ANMD_0153"/>
    <x v="0"/>
    <x v="2"/>
    <s v="MDYPTGI008"/>
    <x v="1"/>
    <s v="Amara Colocation"/>
    <s v="New Tenant"/>
    <s v="New Colocation"/>
    <s v="0"/>
    <x v="25"/>
    <m/>
    <n v="2.5"/>
    <n v="3"/>
    <s v="EPA"/>
    <s v="15"/>
    <s v="20"/>
    <x v="1"/>
    <m/>
    <s v="Not Required"/>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m/>
    <m/>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51"/>
    <n v="45.756289814802585"/>
    <n v="0"/>
    <s v="No File"/>
    <s v="ANMD_0153 (MDYPTGI008)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53 (MDYPTGI008) Application Rev 0.xlsx"/>
    <m/>
  </r>
  <r>
    <n v="3474"/>
    <s v="1-01-05012-001"/>
    <x v="1"/>
    <x v="2"/>
    <s v="SGG00200"/>
    <x v="0"/>
    <s v="MPT  Phase 1b Colo"/>
    <s v="On Air"/>
    <s v="Exchange"/>
    <s v="3"/>
    <x v="25"/>
    <n v="1.329"/>
    <n v="2.1989999999999998"/>
    <m/>
    <s v="SQM"/>
    <s v="46.5-48.5"/>
    <s v="53-56"/>
    <x v="1"/>
    <m/>
    <s v="OK"/>
    <s v="Based on history, no issues noted"/>
    <s v="OK"/>
    <m/>
    <s v="OK"/>
    <s v="Existing on tower actual - OML - 8.63 sqm  / MPT - 4.73 Sqm / TML - 3.51 Sqm /  / Added 1 RRU"/>
    <s v="OK"/>
    <m/>
    <m/>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45"/>
    <n v="14.411460879600781"/>
    <n v="0"/>
    <s v="Open File"/>
    <s v="1-01-05012-001 (SGG002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2-001 (SGG00200) Application Rev 3.xlsx"/>
    <m/>
  </r>
  <r>
    <n v="3475"/>
    <s v="1-01-05009-003"/>
    <x v="1"/>
    <x v="2"/>
    <s v="SGG00236"/>
    <x v="0"/>
    <s v="MPT  Phase 1b Colo"/>
    <s v="On Air"/>
    <s v="LTE"/>
    <s v="3"/>
    <x v="25"/>
    <n v="2.673"/>
    <n v="4.556"/>
    <m/>
    <s v="SQM"/>
    <s v="46"/>
    <s v="51"/>
    <x v="1"/>
    <m/>
    <s v="OK"/>
    <s v="Based on history, no issues noted"/>
    <s v="OK"/>
    <m/>
    <s v="OK"/>
    <s v="Existing on tower actual - OML - 7.72 sqm  / MPT - 4.67 Sqm actual and 7.24 sqm on previous colo apps  - Added RRU . "/>
    <s v="OK"/>
    <m/>
    <m/>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45"/>
    <n v="14.41146168980049"/>
    <n v="0"/>
    <s v="Open File"/>
    <s v="1-01-05009-003 (SGG0023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3.xlsx"/>
    <m/>
  </r>
  <r>
    <n v="3453"/>
    <s v="1-01-04002-004"/>
    <x v="1"/>
    <x v="1"/>
    <s v="CHN00147"/>
    <x v="0"/>
    <s v="MPT  Phase 1b Colo"/>
    <s v="On Air"/>
    <s v="MW Exp"/>
    <s v="1"/>
    <x v="26"/>
    <n v="1"/>
    <n v="1.44"/>
    <n v="2.82"/>
    <s v="SQM"/>
    <s v="48"/>
    <s v="53"/>
    <x v="1"/>
    <m/>
    <s v="OK"/>
    <s v="Based on history, no issues noted"/>
    <s v="OK"/>
    <m/>
    <s v="OK"/>
    <s v="Existing on tower actual - OML - 6.63 sqm  / MPT - 2.41 Sqm actual and 3.18sqm for Colo Apps  /Decrease MW Dimension "/>
    <s v="OK"/>
    <m/>
    <m/>
    <s v="No"/>
    <s v="Strengthened Tower(OP1+OP3(OLD+NEW)): 92.4%_x000a_Strengthened Tower(OP1+OP3(OLD)): 95.1 %"/>
    <s v="OK"/>
    <m/>
    <m/>
    <m/>
    <m/>
    <s v="OK"/>
    <s v="No"/>
    <s v="No action needed "/>
    <m/>
    <m/>
    <m/>
    <m/>
    <m/>
    <m/>
    <m/>
    <d v="2018-12-03T14:46:27"/>
    <d v="2018-12-05T15:19:16"/>
    <d v="2018-12-06T16:55:54"/>
    <d v="2018-12-03T14:46:27"/>
    <d v="2018-12-04T15:27:38"/>
    <d v="2018-11-30T16:11:53"/>
    <x v="52"/>
    <n v="7.4197810184996342"/>
    <n v="0"/>
    <s v="Open File"/>
    <s v="1-01-04002-004 (CHN0014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4 (CHN00147) Application Rev 1.xlsx"/>
    <m/>
  </r>
  <r>
    <n v="3454"/>
    <s v="1-01-08009-002"/>
    <x v="1"/>
    <x v="1"/>
    <s v="MGW00400"/>
    <x v="0"/>
    <s v="MPT  Phase 1b Colo"/>
    <s v="On Air"/>
    <s v="TS _ v1"/>
    <s v="2"/>
    <x v="26"/>
    <n v="1"/>
    <n v="1.4"/>
    <n v="3.59"/>
    <s v="SQM"/>
    <s v="41.5"/>
    <s v="46.5"/>
    <x v="1"/>
    <m/>
    <s v="OK"/>
    <s v="Based on history, no issues noted"/>
    <s v="OK"/>
    <m/>
    <s v="OK"/>
    <s v="Existing on tower actual - OML - 8.34 sqm  / MPT - 3.59 Sqm / Change MW and RF height "/>
    <s v="OK"/>
    <m/>
    <m/>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45"/>
    <n v="17.41145844910352"/>
    <n v="0"/>
    <s v="Open File"/>
    <s v="1-01-08009-002 (MGW0040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9-002 (MGW00400) Application Rev 2.xlsx"/>
    <m/>
  </r>
  <r>
    <n v="3455"/>
    <s v="1-01-09017-004"/>
    <x v="1"/>
    <x v="1"/>
    <s v="MGW00413"/>
    <x v="0"/>
    <s v="MPT  Phase 1b Colo"/>
    <s v="On Air"/>
    <s v="TS _ v1"/>
    <s v="1"/>
    <x v="26"/>
    <n v="1"/>
    <n v="1.4"/>
    <n v="4.29"/>
    <s v="SQM"/>
    <s v="43"/>
    <s v="48"/>
    <x v="1"/>
    <m/>
    <s v="OK"/>
    <s v="Based on history, no issues noted"/>
    <s v="OK"/>
    <m/>
    <s v="OK"/>
    <s v="Existing on tower actual - OML - 8.34 sqm  / MPT - 3.52 Sqm / change MW and ODU height "/>
    <s v="OK"/>
    <m/>
    <m/>
    <s v="No"/>
    <s v="EXISTING TOWER(OP1+OP3(OLD+NEW)):   88.7%_x000a_EXISTING TOWER(OP1+OP3(OLD)):   89.1%"/>
    <s v="OK"/>
    <m/>
    <m/>
    <m/>
    <m/>
    <s v="OK"/>
    <s v="No"/>
    <s v="No action needed "/>
    <m/>
    <m/>
    <m/>
    <m/>
    <m/>
    <m/>
    <m/>
    <d v="2018-12-03T14:46:27"/>
    <d v="2018-12-06T10:16:22"/>
    <d v="2018-12-06T11:51:55"/>
    <d v="2018-12-03T14:46:27"/>
    <d v="2018-12-04T15:27:38"/>
    <d v="2018-11-30T16:11:53"/>
    <x v="52"/>
    <n v="7.4197822916976293"/>
    <n v="0"/>
    <s v="Open Fil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r>
  <r>
    <n v="3456"/>
    <s v="1-01-05010-002"/>
    <x v="1"/>
    <x v="2"/>
    <s v="SGG00209"/>
    <x v="0"/>
    <s v="MPT  Phase 1b Colo"/>
    <s v="On Air"/>
    <s v="LTE"/>
    <s v="2"/>
    <x v="26"/>
    <n v="2.0590000000000002"/>
    <n v="3.5489999999999999"/>
    <n v="5.56"/>
    <s v="SQM"/>
    <s v="48"/>
    <s v="53"/>
    <x v="1"/>
    <m/>
    <s v="OK"/>
    <s v="Based on history, no issues noted"/>
    <s v="OK"/>
    <m/>
    <s v="OK"/>
    <s v="Existing on tower actual - OML - 7.23 sqm  / MPT - 3.70 Sqm / Increase RF dimension and add RRU "/>
    <s v="OK"/>
    <m/>
    <m/>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52"/>
    <n v="7.419782986100472"/>
    <n v="0"/>
    <s v="Open File"/>
    <s v="1-01-05010-002 (SGG0020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2.xlsx"/>
    <m/>
  </r>
  <r>
    <n v="3457"/>
    <s v="1-01-05005-002"/>
    <x v="1"/>
    <x v="2"/>
    <s v="SGG00219"/>
    <x v="0"/>
    <s v="MPT  Phase 1b Colo"/>
    <s v="On Air"/>
    <s v="TS _ v1"/>
    <s v="2"/>
    <x v="26"/>
    <n v="1"/>
    <n v="1.462"/>
    <n v="4.24"/>
    <s v="SQM"/>
    <s v="48"/>
    <s v="53"/>
    <x v="1"/>
    <m/>
    <s v="OK"/>
    <s v="Based on history, no issues noted"/>
    <s v="OK"/>
    <m/>
    <s v="OK"/>
    <s v="Existing on tower actual - OML - 7.72 sqm  / MPT - 4.16 Sqm / TML 2.83 /  Change RF and MW height "/>
    <s v="OK"/>
    <m/>
    <m/>
    <s v="No"/>
    <s v="EXISTING TOWER(OP1+OP4+OP3(OLD+NEW)):   102.3%_x000a_EXISTING TOWER(OP1+OP4+OP3(OLD)):   102.5 %"/>
    <s v="OK"/>
    <m/>
    <m/>
    <m/>
    <m/>
    <s v="OK"/>
    <s v="No"/>
    <s v="No action needed "/>
    <m/>
    <m/>
    <m/>
    <m/>
    <m/>
    <m/>
    <m/>
    <d v="2018-12-03T14:46:28"/>
    <d v="2018-12-06T16:29:56"/>
    <d v="2018-12-06T16:55:55"/>
    <d v="2018-12-03T14:46:28"/>
    <d v="2018-12-04T15:27:38"/>
    <d v="2018-11-30T16:11:54"/>
    <x v="52"/>
    <n v="7.4197839120024582"/>
    <n v="0"/>
    <s v="Open File"/>
    <s v="1-01-05005-002 (SGG0021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2.xlsx"/>
    <m/>
  </r>
  <r>
    <n v="3458"/>
    <s v="1-01-05010-006"/>
    <x v="1"/>
    <x v="2"/>
    <s v="SGG00232"/>
    <x v="0"/>
    <s v="MPT  Phase 1b Colo"/>
    <s v="On Air"/>
    <s v="LTE"/>
    <s v="3"/>
    <x v="26"/>
    <n v="2.0590000000000002"/>
    <n v="3.649"/>
    <n v="11.26"/>
    <s v="SQM"/>
    <s v="45.5"/>
    <s v="53.5"/>
    <x v="1"/>
    <m/>
    <s v="OK"/>
    <s v="Based on history, no issues noted"/>
    <s v="OK"/>
    <m/>
    <s v="OK"/>
    <s v="Existing on tower actual - OML - 10.25 sqm  / MPT - 9.26 Sqm / Increase RF Dimension and "/>
    <s v="OK"/>
    <m/>
    <m/>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52"/>
    <n v="7.4197846064998885"/>
    <n v="0"/>
    <s v="Open File"/>
    <s v="1-01-05010-006 (SGG0023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3.xlsx"/>
    <m/>
  </r>
  <r>
    <n v="3459"/>
    <s v="1-01-05007-006"/>
    <x v="1"/>
    <x v="2"/>
    <s v="SGG00780"/>
    <x v="0"/>
    <s v="MPT  Phase 1b Colo"/>
    <s v="On Air"/>
    <s v="TS _ v1"/>
    <s v="2"/>
    <x v="26"/>
    <n v="1"/>
    <n v="1.4"/>
    <n v="3.56"/>
    <s v="SQM"/>
    <s v="48"/>
    <s v="53"/>
    <x v="1"/>
    <m/>
    <s v="OK"/>
    <s v="Based on history, no issues noted"/>
    <s v="OK"/>
    <m/>
    <s v="OK"/>
    <s v="Existing on tower actual - OML - 10.25 sqm  / MPT - 3.56 Sqm / TML - 3.90 sqm- Change RF and MW height "/>
    <s v="OK"/>
    <m/>
    <m/>
    <s v="No"/>
    <s v="EXISTING TOWER(OP1+OP4+OP3(OLD+NEW)):   99.5%_x000a_EXISTING TOWER(OP1+OP4+OP3(OLD)):    92   %"/>
    <s v="OK"/>
    <m/>
    <m/>
    <m/>
    <m/>
    <s v="OK"/>
    <s v="No"/>
    <s v="No action needed "/>
    <m/>
    <m/>
    <m/>
    <m/>
    <m/>
    <m/>
    <m/>
    <d v="2018-12-03T14:46:28"/>
    <d v="2018-12-06T16:29:57"/>
    <d v="2018-12-05T16:58:47"/>
    <d v="2018-12-03T14:46:28"/>
    <d v="2018-12-04T15:27:39"/>
    <d v="2018-11-30T16:11:54"/>
    <x v="52"/>
    <n v="7.4197855324018747"/>
    <n v="0"/>
    <s v="Open File"/>
    <s v="1-01-05007-006 (SGG007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06 (SGG00780) Application Rev 2.xlsx"/>
    <m/>
  </r>
  <r>
    <n v="3460"/>
    <s v="1-01-15009-006"/>
    <x v="1"/>
    <x v="2"/>
    <s v="SHN00051"/>
    <x v="0"/>
    <s v="MPT  Phase 1b Colo"/>
    <s v="On Air"/>
    <s v="TS _ v1"/>
    <s v="3"/>
    <x v="26"/>
    <n v="1"/>
    <n v="1.462"/>
    <n v="3.56"/>
    <s v="SQM"/>
    <s v="46"/>
    <s v="51"/>
    <x v="1"/>
    <m/>
    <s v="OK"/>
    <s v="Based on history, no issues noted"/>
    <s v="OK"/>
    <m/>
    <s v="OK"/>
    <s v="Existing on tower actual - OML - 6.46 sqm  / MPT - 3.56 Sqm / TML - 3.51 sqm . Change RF and MW height "/>
    <s v="OK"/>
    <m/>
    <m/>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45"/>
    <n v="17.411459259303228"/>
    <n v="0"/>
    <s v="Open File"/>
    <s v="1-01-15009-006 (SHN0005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3.xlsx"/>
    <m/>
  </r>
  <r>
    <n v="3461"/>
    <s v="1-01-15012-004"/>
    <x v="1"/>
    <x v="2"/>
    <s v="SHN00053"/>
    <x v="0"/>
    <s v="MPT  Phase 1b Colo"/>
    <s v="On Air"/>
    <s v="TS _ v1"/>
    <s v="3"/>
    <x v="26"/>
    <n v="1"/>
    <n v="1.462"/>
    <n v="4.1900000000000004"/>
    <s v="SQM"/>
    <s v="44"/>
    <s v="49"/>
    <x v="1"/>
    <m/>
    <s v="OK"/>
    <s v="Based on history, no issues noted"/>
    <s v="OK"/>
    <m/>
    <s v="OK"/>
    <s v="Existing on tower actual - OML - 11.16 sqm  / MPT - 3.52 Sqm Actual and 5.42 ( Colo Apps ) / Increase RF Dimension "/>
    <s v="OK"/>
    <m/>
    <m/>
    <s v="No"/>
    <s v="Strengthened Tower(OP1+OP3(OLD+NEW)): 95.3%_x000a_Strengthened Tower(OP1+OP3(OLD)): 99.9 %"/>
    <s v="OK"/>
    <s v="Wk52"/>
    <m/>
    <m/>
    <m/>
    <s v="OK"/>
    <s v="No"/>
    <s v="No action needed "/>
    <m/>
    <m/>
    <m/>
    <m/>
    <m/>
    <m/>
    <m/>
    <d v="2018-12-03T14:46:29"/>
    <d v="2018-12-06T16:29:57"/>
    <d v="2018-12-06T11:51:55"/>
    <d v="2018-12-03T14:46:29"/>
    <d v="2018-12-04T15:27:39"/>
    <d v="2018-11-30T16:11:54"/>
    <x v="53"/>
    <n v="7.4197872685035691"/>
    <n v="0"/>
    <s v="Open File"/>
    <s v="1-01-15012-004 (SHN0005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3.xlsx"/>
    <m/>
  </r>
  <r>
    <n v="3446"/>
    <s v="1-01-15013-004"/>
    <x v="1"/>
    <x v="2"/>
    <s v="SHN00327"/>
    <x v="0"/>
    <s v="MPT  Phase 1b Colo"/>
    <s v="On Air"/>
    <s v="TS _ v1"/>
    <s v="2"/>
    <x v="27"/>
    <n v="1"/>
    <n v="1.4"/>
    <n v="3.56"/>
    <s v="SQM"/>
    <s v="46"/>
    <s v="51"/>
    <x v="1"/>
    <m/>
    <s v="OK"/>
    <s v="Based on history, no issues noted"/>
    <s v="OK"/>
    <m/>
    <s v="OK"/>
    <s v="Existing on tower actual - OML - 11.75 sqm  / MPT - 3.56 Sqm / Change RF Height 49.5 to 50 m "/>
    <s v="OK"/>
    <m/>
    <m/>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54"/>
    <n v="7.6341701389028458"/>
    <n v="0"/>
    <s v="Open File"/>
    <s v="1-01-15013-004 (SHN003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2.xlsx"/>
    <m/>
  </r>
  <r>
    <n v="3447"/>
    <s v="1-01-11009-002"/>
    <x v="1"/>
    <x v="0"/>
    <s v="MON00311"/>
    <x v="0"/>
    <s v="MPT  Phase 1b Colo"/>
    <s v="On Air"/>
    <s v="LTE _ v1"/>
    <s v="1"/>
    <x v="27"/>
    <n v="3.36"/>
    <n v="4.2"/>
    <n v="3.98"/>
    <s v="SQM"/>
    <s v="4"/>
    <s v="9"/>
    <x v="1"/>
    <m/>
    <s v="OK"/>
    <s v="Based on history, no issues noted"/>
    <s v="OK"/>
    <m/>
    <s v="OK"/>
    <s v="Existing on tower actual - OML - 8.01 sqm  / MPT - 2.56 Sqm / Increase RF dimension and add RRU ."/>
    <s v="OK"/>
    <m/>
    <m/>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45"/>
    <n v="19.411454282402701"/>
    <n v="0"/>
    <s v="Open File"/>
    <s v="1-01-11009-002 (MON0031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2 (MON00311) Application Rev 1.xlsx"/>
    <m/>
  </r>
  <r>
    <n v="3448"/>
    <s v="1-01-14001-015"/>
    <x v="1"/>
    <x v="1"/>
    <s v="SHS00057"/>
    <x v="0"/>
    <s v="MPT  Phase 1b Colo"/>
    <s v="On Air"/>
    <s v="LTE _ v1"/>
    <s v="5"/>
    <x v="27"/>
    <n v="3.12"/>
    <n v="3.9"/>
    <n v="4.21"/>
    <s v="SQM"/>
    <s v="33"/>
    <s v="38"/>
    <x v="1"/>
    <m/>
    <s v="OK"/>
    <s v="Based on history, no issues noted"/>
    <s v="OK"/>
    <m/>
    <s v="OK"/>
    <s v="Existing on tower actual - OML - 9.84 sqm  / MPT - 3.50 Sqm / TML - 3.00Sqm / Mytel Actual 1.73 - Colo apps 4.73 Sqm Increase RF dimension "/>
    <s v="OK"/>
    <m/>
    <m/>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45"/>
    <n v="19.411455208297411"/>
    <n v="0"/>
    <s v="Open File"/>
    <s v="1-01-14001-015 (SHS00057)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5.xlsx"/>
    <m/>
  </r>
  <r>
    <n v="3449"/>
    <s v="1-01-14001-026"/>
    <x v="1"/>
    <x v="1"/>
    <s v="SHS00070"/>
    <x v="0"/>
    <s v="MPT  Phase 1b Colo"/>
    <s v="On Air"/>
    <s v="MS _ v1"/>
    <s v="4"/>
    <x v="27"/>
    <n v="2.3199999999999998"/>
    <n v="2.9"/>
    <n v="2.88"/>
    <s v="SQM"/>
    <s v="48"/>
    <s v="53"/>
    <x v="1"/>
    <m/>
    <s v="OK"/>
    <s v="Based on history, no issues noted"/>
    <s v="OK"/>
    <m/>
    <s v="OK"/>
    <s v="Existing on tower actual - OML - 7.99 sqm  / MPT - 2.61 Sqm / Increase RF dimension and add RRU"/>
    <s v="OK"/>
    <m/>
    <m/>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55"/>
    <n v="7.6341743055963889"/>
    <n v="0"/>
    <s v="Open File"/>
    <s v="1-01-14001-026 (SHS00070)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4.xlsx"/>
    <m/>
  </r>
  <r>
    <n v="3450"/>
    <s v="1-01-06002-003"/>
    <x v="1"/>
    <x v="0"/>
    <s v="TNY00206"/>
    <x v="0"/>
    <s v="MPT  Phase 1b Colo"/>
    <s v="On Air"/>
    <s v="LTE _ v1"/>
    <s v="4"/>
    <x v="27"/>
    <n v="3.28"/>
    <n v="4.0999999999999996"/>
    <n v="4.42"/>
    <s v="SQM"/>
    <s v="44"/>
    <s v="49"/>
    <x v="1"/>
    <m/>
    <s v="OK"/>
    <s v="Based on history, no issues noted"/>
    <s v="OK"/>
    <m/>
    <s v="OK"/>
    <s v="Existing on tower actual - OML - 7.16 sqm  / MPT - 3.14 Sqm / Mytel -1.47 actual . 4.07 Colo Apps - Increase RF Dimension and add RRU"/>
    <s v="OK"/>
    <m/>
    <m/>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45"/>
    <n v="19.411456481502682"/>
    <n v="0"/>
    <s v="Open File"/>
    <s v="1-01-06002-003 (TNY002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4.xlsx"/>
    <m/>
  </r>
  <r>
    <n v="3451"/>
    <s v="1-01-06001-002"/>
    <x v="1"/>
    <x v="0"/>
    <s v="TNY00288"/>
    <x v="0"/>
    <s v="MPT  Phase 1b Colo"/>
    <s v="On Air"/>
    <s v="MS _ v1"/>
    <s v="4"/>
    <x v="27"/>
    <n v="1.92"/>
    <n v="2.4"/>
    <n v="3.72"/>
    <s v="SQM"/>
    <s v="21"/>
    <s v="26"/>
    <x v="1"/>
    <m/>
    <s v="OK"/>
    <s v="Based on history, no issues noted"/>
    <s v="OK"/>
    <m/>
    <s v="OK"/>
    <s v="Existing on tower actual - OML - 6.00 sqm  / MPT - 2.90 Sqm - Add RRU "/>
    <s v="OK"/>
    <m/>
    <m/>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45"/>
    <n v="19.411457754598814"/>
    <n v="1"/>
    <s v="Open File"/>
    <s v="1-01-06001-002 (TNY00288)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4.xlsx"/>
    <m/>
  </r>
  <r>
    <n v="3452"/>
    <s v="1-01-13004-006"/>
    <x v="1"/>
    <x v="0"/>
    <s v="YGN00927"/>
    <x v="0"/>
    <s v="MPT  Phase 1b Colo"/>
    <s v="On Air"/>
    <s v="MS _ v1"/>
    <s v="2"/>
    <x v="27"/>
    <n v="2.16"/>
    <n v="2.7"/>
    <n v="3.47"/>
    <s v="SQM"/>
    <s v="33"/>
    <s v="38"/>
    <x v="1"/>
    <m/>
    <s v="OK"/>
    <s v="Based on history, no issues noted"/>
    <s v="OK"/>
    <m/>
    <s v="OK"/>
    <s v="Existing on tower actual - OML - 7.44 sqm  / MPT - 2.56 Sqm / TML -3.30 actual -Increase RF Dimension and add  RRU ."/>
    <s v="OK"/>
    <m/>
    <m/>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55"/>
    <n v="7.6341788193967659"/>
    <n v="0"/>
    <s v="Open File"/>
    <s v="1-01-13004-006 (YGN009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6 (YGN00927) Application Rev 2.xlsx"/>
    <m/>
  </r>
  <r>
    <n v="3445"/>
    <s v="1-01-05007-011"/>
    <x v="1"/>
    <x v="2"/>
    <s v="SG1093"/>
    <x v="4"/>
    <s v="TML Phase 1 Colo"/>
    <s v="On Air"/>
    <s v="Move Equipment"/>
    <s v="1"/>
    <x v="28"/>
    <m/>
    <m/>
    <n v="4.8"/>
    <s v="SQM"/>
    <s v="42.5"/>
    <s v="47.5"/>
    <x v="1"/>
    <m/>
    <s v="Not Required"/>
    <m/>
    <s v="OK"/>
    <s v="OK"/>
    <s v="OK"/>
    <s v="Existing on tower actual - OML - 8.92sqm  / MPT - 4.49 Sqm / TML 3.23 Sqm / Decrease MW dimension "/>
    <s v="OK"/>
    <m/>
    <m/>
    <s v="No"/>
    <s v="EXISTING TOWER(OP1+OP3+OP4(OLD+NEW)):    103.5%_x000a_EXISTING TOWER(OP1+OP3+OP4(OLD)):  102.2%"/>
    <s v="Not Required"/>
    <m/>
    <m/>
    <m/>
    <m/>
    <s v="OK"/>
    <s v="No"/>
    <s v="No action needed "/>
    <m/>
    <m/>
    <m/>
    <m/>
    <m/>
    <m/>
    <m/>
    <d v="2018-11-27T15:09:04"/>
    <m/>
    <d v="2018-11-30T10:19:15"/>
    <d v="2018-11-27T15:09:04"/>
    <m/>
    <d v="2018-11-27T15:32:30"/>
    <x v="56"/>
    <n v="3.4300329860998318"/>
    <n v="0"/>
    <s v="Open File"/>
    <s v="1-01-05007-011 (SG1093)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5007-011 (SG1093) Application Rev 1.xlsx"/>
    <m/>
  </r>
  <r>
    <n v="3435"/>
    <s v="1-01-05011-004"/>
    <x v="1"/>
    <x v="2"/>
    <s v="SGG00215"/>
    <x v="0"/>
    <s v="MPT  Phase 1b Colo"/>
    <s v="On Air"/>
    <s v="LTE"/>
    <s v="1"/>
    <x v="29"/>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m/>
    <m/>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57"/>
    <n v="21.389660300897958"/>
    <n v="0"/>
    <s v="Open File"/>
    <s v="1-01-05011-004 (SGG0021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4 (SGG00215) Application Rev 1.xlsx"/>
    <m/>
  </r>
  <r>
    <n v="3436"/>
    <s v="1-01-05010-004"/>
    <x v="1"/>
    <x v="2"/>
    <s v="SGG00233"/>
    <x v="0"/>
    <s v="MPT  Phase 1b Colo"/>
    <s v="On Air"/>
    <s v="Exchange"/>
    <s v="3"/>
    <x v="29"/>
    <n v="1.399"/>
    <n v="2.2610000000000001"/>
    <n v="2.87"/>
    <s v="SQM"/>
    <s v="48"/>
    <s v="53"/>
    <x v="1"/>
    <m/>
    <s v="OK"/>
    <s v="Based on history, no issues noted"/>
    <s v="OK"/>
    <m/>
    <s v="OK"/>
    <s v="Existing on tower actual - OML - 9.49 Sqm / MPT - 2.69 Sqm / Mytel Colo Apps - 5.20Sqm  - add one RRU "/>
    <s v="OK"/>
    <m/>
    <m/>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57"/>
    <n v="21.389661458299088"/>
    <n v="0"/>
    <s v="Open File"/>
    <s v="1-01-05010-004 (SGG0023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4 (SGG00233) Application Rev 3.xlsx"/>
    <m/>
  </r>
  <r>
    <n v="3437"/>
    <s v="1-01-01002-008"/>
    <x v="1"/>
    <x v="2"/>
    <s v="KCN00372"/>
    <x v="0"/>
    <s v="MPT  Phase 1b Colo"/>
    <s v="On Air"/>
    <s v="LTE"/>
    <s v="3"/>
    <x v="29"/>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m/>
    <m/>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57"/>
    <n v="21.389662268498796"/>
    <n v="0"/>
    <s v="Open File"/>
    <s v="1-01-01002-008 (KCN0037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3.xlsx"/>
    <m/>
  </r>
  <r>
    <n v="3439"/>
    <s v="1-01-11007-003"/>
    <x v="1"/>
    <x v="0"/>
    <s v="MON00275"/>
    <x v="0"/>
    <s v="MPT  Phase 1b Colo"/>
    <s v="On Air"/>
    <s v="UPG"/>
    <s v="3"/>
    <x v="29"/>
    <n v="1.68"/>
    <n v="2.1"/>
    <n v="4.59"/>
    <s v="SQM"/>
    <s v="46"/>
    <s v="51"/>
    <x v="1"/>
    <m/>
    <s v="OK"/>
    <s v="Based on history, no issues noted"/>
    <s v="OK"/>
    <m/>
    <s v="OK"/>
    <s v="Existing on tower actual - OML - 9.33sqm  / MPT - 4.69 Sqm  - Decrease RF dimension and add RRU "/>
    <s v="OK"/>
    <m/>
    <m/>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57"/>
    <n v="21.389663425899926"/>
    <n v="0"/>
    <s v="Open File"/>
    <s v="1-01-11007-003 (MON0027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7-003 (MON00275) Application Rev 3.xlsx"/>
    <m/>
  </r>
  <r>
    <n v="3440"/>
    <s v="1-01-16001-003"/>
    <x v="1"/>
    <x v="1"/>
    <s v="SHE00021"/>
    <x v="0"/>
    <s v="MPT  Phase 1b Colo"/>
    <s v="On Air"/>
    <s v="LTE"/>
    <s v="3"/>
    <x v="29"/>
    <n v="3.44"/>
    <n v="4.3"/>
    <n v="4.55"/>
    <s v="SQM"/>
    <s v="33"/>
    <s v="38"/>
    <x v="1"/>
    <m/>
    <s v="OK"/>
    <s v="Based on history, no issues noted"/>
    <s v="OK"/>
    <m/>
    <s v="OK"/>
    <s v="Existing on tower actual - OML - 7.76sqm  / MPT - 2.61 Sqm  - Increase RF dimension and add RRU "/>
    <s v="OK"/>
    <m/>
    <m/>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57"/>
    <n v="21.389664467598777"/>
    <n v="0"/>
    <s v="Open Fil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r>
  <r>
    <n v="3441"/>
    <s v="1-01-15012-002"/>
    <x v="1"/>
    <x v="2"/>
    <s v="SHN00218"/>
    <x v="0"/>
    <s v="MPT  Phase 1b Colo"/>
    <s v="On Air"/>
    <s v="LTE"/>
    <s v="2"/>
    <x v="29"/>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m/>
    <m/>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34"/>
    <n v="22.704516782403516"/>
    <n v="0"/>
    <s v="Open File"/>
    <s v="1-01-15012-002 (SHN002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2.xlsx"/>
    <m/>
  </r>
  <r>
    <n v="3442"/>
    <s v="1-01-06008-002"/>
    <x v="1"/>
    <x v="0"/>
    <s v="TNY00033"/>
    <x v="0"/>
    <s v="MPT  Phase 1b Colo"/>
    <s v="On Air"/>
    <s v="MS"/>
    <s v="5"/>
    <x v="29"/>
    <n v="2.64"/>
    <n v="3.3"/>
    <n v="4.4400000000000004"/>
    <s v="SQM"/>
    <s v="48"/>
    <s v="53"/>
    <x v="1"/>
    <m/>
    <s v="OK"/>
    <s v="Based on history, no issues noted"/>
    <s v="OK"/>
    <m/>
    <s v="OK"/>
    <s v="Existing on tower actual - OML - 7.35sqm  / MPT - 4.10 Sqm / TML 4.64 Sqm / Mytel - 2.33 sqm - Increase RF dimension and add RRU "/>
    <s v="OK"/>
    <m/>
    <m/>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57"/>
    <n v="21.38966631940275"/>
    <n v="0"/>
    <s v="Open File"/>
    <s v="1-01-06008-002 (TNY00033)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5.xlsx"/>
    <m/>
  </r>
  <r>
    <n v="3443"/>
    <s v="ANSG_0393"/>
    <x v="0"/>
    <x v="2"/>
    <s v="SGG00203"/>
    <x v="0"/>
    <s v="MPT  Phase 1a Colo"/>
    <s v="On Air"/>
    <s v="LTE"/>
    <s v="2"/>
    <x v="29"/>
    <n v="2.097"/>
    <n v="3.669"/>
    <n v="9.01"/>
    <s v="EPA"/>
    <s v="30"/>
    <s v="35"/>
    <x v="1"/>
    <m/>
    <s v="OK"/>
    <s v="Based on records, no issues noted"/>
    <s v="OK"/>
    <s v="OK"/>
    <s v="OK"/>
    <s v="Existing on tower ( Assume ) - TML - 5.92 EPA  / MPT - 3.34 EPA / TML 4.64 Sqm / Mytel -5.47 EPA  - Increase RF dimension and add MW and RRU "/>
    <s v="OK"/>
    <m/>
    <m/>
    <s v="No"/>
    <s v="Existing Tower: TML+MYTEL+KSGM (OLD+NEW) = 68.6%"/>
    <s v="OK"/>
    <m/>
    <m/>
    <m/>
    <m/>
    <s v="OK"/>
    <s v="No"/>
    <s v="No action needed "/>
    <m/>
    <m/>
    <m/>
    <m/>
    <m/>
    <m/>
    <m/>
    <d v="2018-11-27T09:22:12"/>
    <d v="2018-11-27T17:50:08"/>
    <d v="2018-11-29T13:24:49"/>
    <d v="2018-11-27T15:09:04"/>
    <d v="2018-11-27T16:24:56"/>
    <d v="2018-11-27T15:32:30"/>
    <x v="58"/>
    <n v="3.5589003471977776"/>
    <n v="0"/>
    <s v="Open File"/>
    <s v="ANSG_0393 (SGG002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93 (SGG00203) Application Rev 2.xlsx"/>
    <m/>
  </r>
  <r>
    <n v="3444"/>
    <s v="ANMD_3001"/>
    <x v="0"/>
    <x v="2"/>
    <s v="MDY01695"/>
    <x v="0"/>
    <s v="MPT  Phase 1a B2S"/>
    <s v="RFI"/>
    <s v="BTS"/>
    <s v="0"/>
    <x v="29"/>
    <n v="0.98299999999999998"/>
    <n v="1.6779999999999999"/>
    <n v="3.91"/>
    <s v="EPA"/>
    <s v="45"/>
    <s v="50"/>
    <x v="1"/>
    <m/>
    <s v="OK"/>
    <s v="Based on records, no issues noted"/>
    <s v="OK"/>
    <m/>
    <s v="OK"/>
    <s v="MPT BTS New Colo Application - For Regional Team - RF Pole to install and MW pole not require "/>
    <s v="OK"/>
    <m/>
    <m/>
    <s v="No"/>
    <s v="Existing Tower: KSGM (NEW) = 93.4%"/>
    <s v="OK"/>
    <m/>
    <m/>
    <m/>
    <m/>
    <s v="OK"/>
    <s v="Yes"/>
    <s v="Required to construct the Slab "/>
    <m/>
    <m/>
    <m/>
    <m/>
    <m/>
    <m/>
    <m/>
    <d v="2018-11-27T09:22:12"/>
    <d v="2018-11-27T17:50:09"/>
    <d v="2018-11-29T16:27:14"/>
    <d v="2018-11-27T09:22:12"/>
    <d v="2018-11-27T16:24:56"/>
    <d v="2018-11-26T19:55:45"/>
    <x v="59"/>
    <n v="3.6855792823989759"/>
    <n v="0"/>
    <s v="No File"/>
    <s v="ANMD_3001 (MDY0169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3001 (MDY01695) Application Rev 0.xlsx"/>
    <m/>
  </r>
  <r>
    <n v="3429"/>
    <s v="1-01-05010-002"/>
    <x v="1"/>
    <x v="2"/>
    <s v="SGG00209"/>
    <x v="0"/>
    <s v="MPT  Phase 1b Colo"/>
    <s v="On Air"/>
    <s v="TS _ v1"/>
    <s v="1"/>
    <x v="30"/>
    <n v="1"/>
    <n v="1.4"/>
    <n v="3.7429999999999999"/>
    <s v="SQM"/>
    <s v="48"/>
    <s v="53"/>
    <x v="1"/>
    <m/>
    <s v="OK"/>
    <s v="Based on history, no issues noted"/>
    <s v="OK"/>
    <m/>
    <s v="OK"/>
    <s v="Existing on tower actual - OML - 7.23 Sqm / MPT - 3.70Sqm / TML Colo Apps - 3.90 Sqm  change RF and RRU height 51 to 51.5 as per actual "/>
    <s v="OK"/>
    <m/>
    <m/>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60"/>
    <n v="6.843723842597683"/>
    <n v="0"/>
    <s v="Open File"/>
    <s v="1-01-05010-002 (SGG002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1.xlsx"/>
    <m/>
  </r>
  <r>
    <n v="3430"/>
    <s v="1-01-05010-006"/>
    <x v="1"/>
    <x v="2"/>
    <s v="SGG00232"/>
    <x v="0"/>
    <s v="MPT  Phase 1b Colo"/>
    <s v="On Air"/>
    <s v="TS _ v1"/>
    <s v="2"/>
    <x v="30"/>
    <n v="1.1619999999999999"/>
    <n v="1.68"/>
    <n v="10.129"/>
    <s v="SQM"/>
    <s v="45.5"/>
    <s v="53.5"/>
    <x v="1"/>
    <m/>
    <s v="OK"/>
    <s v="Based on history, no issues noted"/>
    <s v="OK"/>
    <m/>
    <s v="OK"/>
    <s v="Existing on tower actual -  OML 10.25 Sqm / MPT - 9.25 Sqm  - Add MW ( 2x0.6) and change RF and RRU height "/>
    <s v="OK"/>
    <m/>
    <m/>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61"/>
    <n v="7.4816129629980423"/>
    <n v="0"/>
    <s v="Open File"/>
    <s v="1-01-05010-006 (SGG0023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2.xlsx"/>
    <m/>
  </r>
  <r>
    <n v="3431"/>
    <s v="1-01-05009-003"/>
    <x v="1"/>
    <x v="2"/>
    <s v="SGG00236"/>
    <x v="0"/>
    <s v="MPT  Phase 1b Colo"/>
    <s v="On Air"/>
    <s v="TS _ v1"/>
    <s v="2"/>
    <x v="30"/>
    <n v="1"/>
    <n v="1.4"/>
    <n v="4.6900000000000004"/>
    <s v="SQM"/>
    <s v="46"/>
    <s v="51"/>
    <x v="1"/>
    <m/>
    <s v="OK"/>
    <s v="There should be no rental increase as PAT already granted rental increase sometime in Feb-17"/>
    <s v="OK"/>
    <m/>
    <s v="OK"/>
    <s v="Existing on tower actual -  OML 7.72 Sqm / MPT - 4.67 actual   - Removed 1.8 MW ( the actual on tower )"/>
    <s v="OK"/>
    <m/>
    <m/>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62"/>
    <n v="7.5773879629996372"/>
    <n v="0"/>
    <s v="Open File"/>
    <s v="1-01-05009-003 (SGG0023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2.xlsx"/>
    <m/>
  </r>
  <r>
    <n v="3432"/>
    <s v="1-01-14007-014"/>
    <x v="1"/>
    <x v="2"/>
    <s v="SHN00080"/>
    <x v="0"/>
    <s v="MPT  Phase 1b Colo"/>
    <s v="On Air"/>
    <s v="TS _ v1"/>
    <s v="2"/>
    <x v="30"/>
    <n v="1"/>
    <n v="1.462"/>
    <n v="3.72"/>
    <s v="SQM"/>
    <s v="48"/>
    <s v="53"/>
    <x v="1"/>
    <m/>
    <s v="OK"/>
    <s v="Based on history, no issues noted"/>
    <s v="OK"/>
    <m/>
    <s v="OK"/>
    <s v="Existing on tower actual -   OML - 7.03sqm / KSGM -  3.72 sqm - Change RF and RRU height from 51 - 51.5"/>
    <s v="OK"/>
    <m/>
    <m/>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63"/>
    <n v="7.6075696758998674"/>
    <n v="0"/>
    <s v="Open File"/>
    <s v="1-01-14007-014 (SHN000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4 (SHN00080) Application Rev 2.xlsx"/>
    <m/>
  </r>
  <r>
    <n v="3433"/>
    <s v="1-01-15013-007"/>
    <x v="1"/>
    <x v="2"/>
    <s v="SHN00086"/>
    <x v="0"/>
    <s v="MPT  Phase 1b Colo"/>
    <s v="On Air"/>
    <s v="LTE"/>
    <s v="2"/>
    <x v="30"/>
    <n v="2.0590000000000002"/>
    <n v="3.6110000000000002"/>
    <n v="4.51"/>
    <s v="SQM"/>
    <s v="48"/>
    <s v="53"/>
    <x v="1"/>
    <m/>
    <s v="OK"/>
    <s v="Based on history, no issues noted"/>
    <s v="OK"/>
    <m/>
    <s v="OK"/>
    <s v="Existing on tower actual -   OML - 11.02sqm ( UE Split -59.50 - 54.00 / 48.00 - 46.00 ) / KSGM -  3.80 sqm / TML 3.51 - Add RRU"/>
    <s v="OK"/>
    <m/>
    <m/>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64"/>
    <n v="27.38965833329712"/>
    <n v="0"/>
    <s v="Open File"/>
    <s v="1-01-15013-007 (SHN0008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7 (SHN00086) Application Rev 2.xlsx"/>
    <m/>
  </r>
  <r>
    <n v="3434"/>
    <s v="1-01-14007-002"/>
    <x v="1"/>
    <x v="1"/>
    <s v="SHS00093"/>
    <x v="0"/>
    <s v="MPT  Phase 1b Colo"/>
    <s v="On Air"/>
    <s v="Exchange"/>
    <s v="2"/>
    <x v="30"/>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m/>
    <m/>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57"/>
    <n v="27.389659375003248"/>
    <n v="0"/>
    <s v="Open File"/>
    <s v="1-01-14007-002 (SHS000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2 (SHS00093) Application Rev 2.xlsx"/>
    <m/>
  </r>
  <r>
    <n v="3428"/>
    <s v="ANMD_0132"/>
    <x v="0"/>
    <x v="2"/>
    <s v="MDY00422"/>
    <x v="0"/>
    <s v="MPT  Phase 1a Colo"/>
    <s v="On Air"/>
    <s v="LTE"/>
    <s v="1"/>
    <x v="31"/>
    <n v="1.66"/>
    <n v="2.75"/>
    <n v="3.4"/>
    <s v="EPA"/>
    <s v="17"/>
    <s v="22"/>
    <x v="1"/>
    <m/>
    <s v="OK"/>
    <m/>
    <s v="OK"/>
    <m/>
    <s v="OK"/>
    <s v="Existing on tower - ( Assume ) TML with 6.19 EPA/ OML with  12.24 EPA /   MPT with 3.86 EPA  ( Change 1 RF Bigger Dimension and add RRU )"/>
    <s v="OK"/>
    <m/>
    <m/>
    <s v="No"/>
    <s v="EXISTING TOWER(OML+TML+KSGM (OLD+NEW)): 89.26%"/>
    <s v="OK"/>
    <s v="N/A"/>
    <m/>
    <m/>
    <s v="Monitor PE poss candiate for PE upgrade"/>
    <s v="OK"/>
    <s v="No"/>
    <s v="No action needed "/>
    <m/>
    <m/>
    <m/>
    <m/>
    <m/>
    <m/>
    <m/>
    <d v="2018-11-19T12:07:25"/>
    <d v="2018-11-19T17:29:11"/>
    <d v="2018-11-26T11:19:08"/>
    <d v="2018-11-19T12:07:25"/>
    <d v="2018-11-20T08:50:55"/>
    <d v="2018-11-19T18:23:28"/>
    <x v="65"/>
    <n v="10.471621875003621"/>
    <n v="0"/>
    <s v="Open File"/>
    <s v="ANMD_0132 (MDY0042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1.xlsx"/>
    <m/>
  </r>
  <r>
    <n v="3416"/>
    <s v="AYYN_0264"/>
    <x v="0"/>
    <x v="0"/>
    <s v="YGNINSN003"/>
    <x v="1"/>
    <s v="Amara Phase 1"/>
    <s v="On Air"/>
    <s v="Remove Equipment"/>
    <s v="1"/>
    <x v="32"/>
    <m/>
    <m/>
    <n v="3"/>
    <s v="SQM"/>
    <s v="18"/>
    <s v="23"/>
    <x v="1"/>
    <m/>
    <s v="Not Required"/>
    <m/>
    <s v="Not Required"/>
    <m/>
    <s v="OK"/>
    <s v="Existing on tower - ( Assume ) TML with 4.93 EPA/ OML with 10.14 EPA / Mytel with 2.55 EPA/ Amara with 2.97 EPA  ( Remove MW )"/>
    <s v="Not Required"/>
    <m/>
    <m/>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m/>
    <s v="Not Required"/>
    <m/>
    <s v="OK"/>
    <m/>
    <d v="2018-11-15T17:36:57"/>
    <m/>
    <m/>
    <m/>
    <m/>
    <m/>
    <x v="66"/>
    <n v="28.656926504598232"/>
    <n v="0"/>
    <s v="No File"/>
    <s v="AYYN_0264 (YGNINSN00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4 (YGNINSN003) Application Rev 1.xlsx"/>
    <m/>
  </r>
  <r>
    <n v="3417"/>
    <s v="AYYN_0334"/>
    <x v="0"/>
    <x v="0"/>
    <s v="YGNMYGE005"/>
    <x v="1"/>
    <s v="Amara Phase 1"/>
    <s v="On Air"/>
    <s v="Remove Equipment"/>
    <s v="1"/>
    <x v="32"/>
    <m/>
    <m/>
    <n v="3.1"/>
    <s v="SQM"/>
    <s v="17.4"/>
    <s v="22.4"/>
    <x v="1"/>
    <m/>
    <s v="Not Required"/>
    <m/>
    <s v="Not Required"/>
    <m/>
    <s v="OK"/>
    <s v="Existing on tower - ( Assume ) TML with 4.02 EPA/  Amara Colo Apps with  EPA 3.19  ( Remove MW )"/>
    <s v="Not Required"/>
    <m/>
    <m/>
    <m/>
    <m/>
    <s v="Not Required"/>
    <m/>
    <m/>
    <m/>
    <m/>
    <s v="Not Required"/>
    <m/>
    <m/>
    <s v="Not Required"/>
    <m/>
    <m/>
    <s v="Not Required"/>
    <m/>
    <s v="OK"/>
    <m/>
    <d v="2018-11-15T17:36:57"/>
    <m/>
    <m/>
    <m/>
    <m/>
    <m/>
    <x v="67"/>
    <n v="28.656927777803503"/>
    <n v="0"/>
    <s v="No File"/>
    <s v="AYYN_0334 (YGNMYGE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4 (YGNMYGE005) Application Rev 1.xlsx"/>
    <m/>
  </r>
  <r>
    <n v="3418"/>
    <s v="AYYN_0579"/>
    <x v="0"/>
    <x v="0"/>
    <s v="YGNSPTR024"/>
    <x v="1"/>
    <s v="Amara Phase 1"/>
    <s v="On Air"/>
    <s v="Remove Equipment"/>
    <s v="1"/>
    <x v="32"/>
    <m/>
    <m/>
    <n v="2.97"/>
    <s v="SQM"/>
    <s v="31"/>
    <s v="35"/>
    <x v="1"/>
    <m/>
    <s v="Not Required"/>
    <m/>
    <s v="Not Required"/>
    <m/>
    <s v="OK"/>
    <s v="Existing on tower - ( Assume ) TML with 4.96 EPA/ OML with 11.43 /   Amara Colo Apps with 3.35 EPA  ( Remove MW )"/>
    <s v="OK"/>
    <m/>
    <m/>
    <s v="Yes"/>
    <s v="Strengthened Tower : OML+TML+MYTEL+AMARA (OLD+NEW) = 88.2%_x000a_(FDN Retrofitting but it was not installed yet. However, it was considered in the analysis already)"/>
    <s v="Not Required"/>
    <m/>
    <m/>
    <m/>
    <m/>
    <s v="Not Required"/>
    <m/>
    <m/>
    <s v="Not Required"/>
    <m/>
    <m/>
    <s v="Not Required"/>
    <m/>
    <s v="OK"/>
    <m/>
    <d v="2018-11-15T17:36:57"/>
    <m/>
    <d v="2018-12-07T17:28:48"/>
    <m/>
    <m/>
    <m/>
    <x v="67"/>
    <n v="28.656928935197357"/>
    <n v="0"/>
    <s v="No File"/>
    <s v="AYYN_0579 (YGNSPTR02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9 (YGNSPTR024) Application Rev 1.xlsx"/>
    <m/>
  </r>
  <r>
    <n v="3419"/>
    <s v="AYYN_0553"/>
    <x v="0"/>
    <x v="0"/>
    <s v="YGNTKTA010"/>
    <x v="1"/>
    <s v="Amara Phase 1"/>
    <s v="On Air"/>
    <s v="Remove Equipment"/>
    <s v="1"/>
    <x v="32"/>
    <m/>
    <m/>
    <n v="3"/>
    <s v="SQM"/>
    <m/>
    <s v="4.5"/>
    <x v="1"/>
    <m/>
    <s v="Not Required"/>
    <m/>
    <s v="Not Required"/>
    <m/>
    <s v="OK"/>
    <s v="Existing on tower - ( Assume ) TML with 4.96 EPA/ OML with 11.43 /   Amara Colo Apps with 2.97 EPA  ( Remove MW )"/>
    <s v="Not Required"/>
    <m/>
    <m/>
    <m/>
    <m/>
    <s v="Not Required"/>
    <m/>
    <m/>
    <m/>
    <m/>
    <s v="Not Required"/>
    <m/>
    <m/>
    <s v="Not Required"/>
    <m/>
    <m/>
    <s v="Not Required"/>
    <m/>
    <s v="OK"/>
    <m/>
    <d v="2018-11-15T17:36:57"/>
    <m/>
    <m/>
    <m/>
    <m/>
    <m/>
    <x v="67"/>
    <n v="28.656929861099343"/>
    <n v="0"/>
    <s v="No File"/>
    <s v="AYYN_0553 (YGNTKTA010)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53 (YGNTKTA010) Application Rev 1.xlsx"/>
    <m/>
  </r>
  <r>
    <n v="3420"/>
    <s v="ASMO_0202"/>
    <x v="0"/>
    <x v="0"/>
    <s v="MOW6163"/>
    <x v="2"/>
    <s v="Colocation"/>
    <m/>
    <s v="New Colocation"/>
    <s v="1"/>
    <x v="32"/>
    <n v="3"/>
    <n v="3.6"/>
    <n v="4.5"/>
    <s v="EPA"/>
    <s v="49"/>
    <s v="54"/>
    <x v="3"/>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m/>
    <m/>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68"/>
    <n v="5.3686880786990514"/>
    <n v="0"/>
    <s v="No File"/>
    <s v="ASMO_0202 (MOW61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 Rev 1.xlsx"/>
    <m/>
  </r>
  <r>
    <n v="3421"/>
    <s v="AYYN_0508"/>
    <x v="0"/>
    <x v="0"/>
    <s v="YAW7800"/>
    <x v="2"/>
    <s v="Colocation"/>
    <m/>
    <s v="New Colocation"/>
    <s v="1"/>
    <x v="32"/>
    <n v="3"/>
    <n v="3.6"/>
    <n v="4.5"/>
    <s v="EPA"/>
    <s v="21"/>
    <s v="26"/>
    <x v="3"/>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m/>
    <m/>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69"/>
    <n v="5.3915124999984982"/>
    <n v="0"/>
    <s v="No File"/>
    <s v="AYYN_0508 (YAW7800)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 Rev 1.xlsx"/>
    <m/>
  </r>
  <r>
    <n v="3422"/>
    <s v="AYYN_0534"/>
    <x v="0"/>
    <x v="0"/>
    <s v="YAW7825"/>
    <x v="2"/>
    <s v="Colocation"/>
    <m/>
    <s v="New Colocation"/>
    <s v="1"/>
    <x v="32"/>
    <n v="3"/>
    <n v="3.6"/>
    <n v="4.5"/>
    <s v="EPA"/>
    <s v="22"/>
    <s v="27"/>
    <x v="0"/>
    <m/>
    <s v="OK"/>
    <s v="19-Oct-18: Okay with easy micro solution_x000a_16-July-18: Tower already strengthening without consider OML (Information from Alvin)"/>
    <s v="OK"/>
    <m/>
    <s v="Rejected"/>
    <s v="Proposed highest Available window - 30- 32 / 16 - 13 - Requested OML EPA - 3.78 EPA ( Require Colo Apps for more details )- Existing on tower ( assume ) TML - 3.22 EPA / MPT - 5.47 EPA / Mytel - 2.45 / Amara 3.60 EPA "/>
    <m/>
    <m/>
    <m/>
    <m/>
    <m/>
    <s v="OK"/>
    <s v="1 week"/>
    <m/>
    <m/>
    <s v="PE capacity ready"/>
    <s v="OK"/>
    <s v="No"/>
    <s v="Can use the existing slab - Space to reconfirm base on TSS "/>
    <m/>
    <m/>
    <m/>
    <m/>
    <m/>
    <m/>
    <m/>
    <m/>
    <d v="2018-11-16T09:37:50"/>
    <m/>
    <d v="2018-11-15T17:36:58"/>
    <d v="2018-11-20T08:50:55"/>
    <d v="2018-11-15T15:47:16"/>
    <x v="0"/>
    <n v="69.701843287039082"/>
    <n v="1"/>
    <s v="No File"/>
    <s v="AYYN_0534 (YAW7825)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 Rev 1.xlsx"/>
    <m/>
  </r>
  <r>
    <n v="3423"/>
    <s v="AYYN_0611"/>
    <x v="0"/>
    <x v="0"/>
    <s v="YAW4436"/>
    <x v="2"/>
    <s v="Colocation"/>
    <m/>
    <s v="New Colocation"/>
    <s v="1"/>
    <x v="32"/>
    <n v="3"/>
    <n v="3.6"/>
    <n v="4.5"/>
    <s v="EPA"/>
    <s v="15"/>
    <s v="20"/>
    <x v="3"/>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m/>
    <m/>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69"/>
    <n v="5.3915137731019058"/>
    <n v="0"/>
    <s v="No File"/>
    <s v="AYYN_0611 (YAW4436)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 Rev 1.xlsx"/>
    <m/>
  </r>
  <r>
    <n v="3424"/>
    <s v="AYYN_0306"/>
    <x v="0"/>
    <x v="0"/>
    <s v="YAW7763"/>
    <x v="2"/>
    <s v="Colocation"/>
    <m/>
    <s v="New Colocation"/>
    <s v="1"/>
    <x v="32"/>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m/>
    <m/>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70"/>
    <n v="28.556885532401793"/>
    <n v="0"/>
    <s v="No File"/>
    <s v="AYYN_0306 (YAW77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 Rev 1.xlsx"/>
    <m/>
  </r>
  <r>
    <n v="3425"/>
    <s v="AYYN_0529"/>
    <x v="0"/>
    <x v="0"/>
    <s v="YAW4447"/>
    <x v="2"/>
    <m/>
    <m/>
    <s v="New Colocation"/>
    <s v="1"/>
    <x v="32"/>
    <n v="3"/>
    <n v="3.6"/>
    <n v="4.5"/>
    <s v="EPA"/>
    <s v="22"/>
    <s v="27"/>
    <x v="3"/>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m/>
    <m/>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71"/>
    <n v="20.38421956019738"/>
    <n v="0"/>
    <s v="No File"/>
    <s v="AYYN_0529 (YAW4447)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 Rev 1.xlsx"/>
    <m/>
  </r>
  <r>
    <n v="3426"/>
    <s v="1-01-05027-009"/>
    <x v="1"/>
    <x v="2"/>
    <s v="SGG00227"/>
    <x v="0"/>
    <s v="MPT  Phase 1b Colo"/>
    <s v="On Air"/>
    <s v="MS"/>
    <s v="3"/>
    <x v="32"/>
    <n v="2.1259999999999999"/>
    <n v="4.0149999999999997"/>
    <n v="3.3250000000000002"/>
    <s v="SQM"/>
    <s v="33"/>
    <s v="38"/>
    <x v="1"/>
    <m/>
    <s v="OK"/>
    <m/>
    <s v="Not Required"/>
    <m/>
    <s v="OK"/>
    <s v="Existing on tower actual - OML 9.18 sqm /MPT - 2.69 sqm / TML - 3.20 sqm  ) change 1 RF to smaller dimension "/>
    <s v="OK"/>
    <m/>
    <m/>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64"/>
    <n v="32.389657291700132"/>
    <n v="0"/>
    <s v="Open File"/>
    <s v="1-01-05027-009 (SGG002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3.xlsx"/>
    <m/>
  </r>
  <r>
    <n v="3427"/>
    <s v="1-01-15011-001"/>
    <x v="1"/>
    <x v="2"/>
    <s v="SHN00043"/>
    <x v="0"/>
    <s v="MPT  Phase 1b Colo"/>
    <s v="On Air"/>
    <s v="LTE"/>
    <s v="3"/>
    <x v="32"/>
    <n v="1.9890000000000001"/>
    <n v="3.6110000000000002"/>
    <n v="4.37"/>
    <s v="SQM"/>
    <s v="33"/>
    <s v="38"/>
    <x v="1"/>
    <m/>
    <s v="OK"/>
    <m/>
    <s v="Not Required"/>
    <m/>
    <s v="OK"/>
    <s v="Existing on tower actual - OML 6.29 sqm /MPT - 2.71 sqm  )- Increase 3 RF dimension and add RRU "/>
    <s v="OK"/>
    <m/>
    <m/>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68"/>
    <n v="5.3686964119988261"/>
    <n v="0"/>
    <s v="Open File"/>
    <s v="1-01-15011-001 (SHN0004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3.xlsx"/>
    <m/>
  </r>
  <r>
    <n v="3415"/>
    <s v="AYYN_0583"/>
    <x v="0"/>
    <x v="0"/>
    <s v="YGNSPTR021"/>
    <x v="1"/>
    <s v="Amara Phase 1"/>
    <s v="On Air"/>
    <s v="r-remove"/>
    <s v="1"/>
    <x v="33"/>
    <m/>
    <m/>
    <n v="6"/>
    <s v="EPA"/>
    <s v="32"/>
    <s v="35"/>
    <x v="1"/>
    <m/>
    <s v="Not Required"/>
    <m/>
    <s v="Not Required"/>
    <m/>
    <s v="OK"/>
    <s v="Existing on tower - ( Assume ) TML with 4.48 EPA/ OML with 7.13 EPA / MPT with 1.02 EPA /Mytel with 2.09 EPA/ Amara with 3.52 EPA  ( Remove MW )"/>
    <s v="OK"/>
    <m/>
    <m/>
    <s v="No"/>
    <s v="Existing Tower(TML+OML+MPT+MYTEL+AMARA) : 102.44%"/>
    <s v="Not Required"/>
    <m/>
    <m/>
    <m/>
    <m/>
    <s v="Not Required"/>
    <m/>
    <m/>
    <s v="Not Required"/>
    <m/>
    <m/>
    <s v="Not Required"/>
    <m/>
    <m/>
    <m/>
    <d v="2018-11-15T17:36:57"/>
    <m/>
    <d v="2018-11-23T17:11:58"/>
    <m/>
    <m/>
    <m/>
    <x v="72"/>
    <n v="9.7166425925970543"/>
    <n v="0"/>
    <s v="No File"/>
    <s v="AYYN_0583 (YGNSPTR02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83 (YGNSPTR021) Application Rev 1.xlsx"/>
    <m/>
  </r>
  <r>
    <n v="3413"/>
    <s v="1-01-01002-008"/>
    <x v="1"/>
    <x v="2"/>
    <s v="KCN00372"/>
    <x v="0"/>
    <s v="MPT  Phase 1b Colo"/>
    <s v="On Air"/>
    <s v="TS  _ v1"/>
    <s v="2"/>
    <x v="34"/>
    <m/>
    <m/>
    <n v="3.07"/>
    <s v="SQM"/>
    <s v="45"/>
    <s v="50"/>
    <x v="1"/>
    <m/>
    <s v="Not Required"/>
    <m/>
    <s v="Not Required"/>
    <m/>
    <s v="OK"/>
    <s v="Existing on tower actual - OML 13.53 sqm ( UE Down 59.60 - 48.60 ) /MPT - 3.07 sqm / Mytel - 1.74 sqm  )- Changed Model name "/>
    <s v="Not Required"/>
    <m/>
    <m/>
    <m/>
    <m/>
    <s v="Review"/>
    <s v="120 days min"/>
    <m/>
    <d v="1899-12-31T14:24:00"/>
    <s v="PE upgrade required "/>
    <s v="OK"/>
    <s v="No"/>
    <s v="No action needed "/>
    <m/>
    <m/>
    <m/>
    <m/>
    <m/>
    <m/>
    <m/>
    <d v="2018-11-14T08:53:34"/>
    <m/>
    <m/>
    <d v="2018-11-14T08:53:34"/>
    <m/>
    <m/>
    <x v="73"/>
    <n v="1.3705266203978681"/>
    <n v="0"/>
    <s v="Open File"/>
    <s v="1-01-01002-008 (KCN0037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2.xlsx"/>
    <m/>
  </r>
  <r>
    <n v="3414"/>
    <s v="1-01-15012-002"/>
    <x v="1"/>
    <x v="2"/>
    <s v="SHN00218"/>
    <x v="0"/>
    <s v="MPT  Phase 1b Colo"/>
    <s v="On Air"/>
    <s v="TS  _ v1"/>
    <s v="1"/>
    <x v="34"/>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m/>
    <m/>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34"/>
    <n v="35.704516088000673"/>
    <n v="0"/>
    <s v="Open File"/>
    <s v="1-01-15012-002 (SHN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1.xlsx"/>
    <m/>
  </r>
  <r>
    <n v="3411"/>
    <s v="1-01-05027-008"/>
    <x v="1"/>
    <x v="2"/>
    <s v="SGG00158"/>
    <x v="0"/>
    <s v="MPT  Phase 1b Colo"/>
    <s v="On Air"/>
    <s v="_x000a_MS _v1"/>
    <s v="3"/>
    <x v="35"/>
    <m/>
    <n v="2.2999999999999998"/>
    <n v="3.113"/>
    <s v="SQM"/>
    <s v="16"/>
    <s v="21"/>
    <x v="1"/>
    <m/>
    <s v="Not Required"/>
    <m/>
    <s v="Not Required"/>
    <m/>
    <s v="OK"/>
    <s v="Existing on tower actual - OML 6.91 sqm / MPT - 3.11 sqm )- Add ODU and RRU "/>
    <s v="OK"/>
    <m/>
    <m/>
    <s v="No"/>
    <s v="Existing Tower: OML+KSGM (OLD+NEW) = 62.9%_x000a_Existing Tower: OML+KSGM (OLD) = 62.9"/>
    <s v="Not Required"/>
    <m/>
    <m/>
    <m/>
    <m/>
    <m/>
    <m/>
    <m/>
    <m/>
    <m/>
    <m/>
    <m/>
    <m/>
    <m/>
    <m/>
    <m/>
    <m/>
    <m/>
    <m/>
    <m/>
    <m/>
    <x v="74"/>
    <s v="Not  Calculated"/>
    <n v="0"/>
    <s v="Open File"/>
    <s v="1-01-05027-008 (SGG0015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3.xlsx"/>
    <m/>
  </r>
  <r>
    <n v="3412"/>
    <s v="1-01-15011-001"/>
    <x v="1"/>
    <x v="2"/>
    <s v="SHN00043"/>
    <x v="0"/>
    <s v="MPT  Phase 1b Colo"/>
    <s v="On Air"/>
    <s v="TS _v1"/>
    <s v="2"/>
    <x v="35"/>
    <m/>
    <n v="1.462"/>
    <n v="2.714"/>
    <s v="SQM"/>
    <s v="33"/>
    <s v="38"/>
    <x v="1"/>
    <m/>
    <s v="Not Required"/>
    <m/>
    <s v="Not Required"/>
    <m/>
    <s v="OK"/>
    <s v="Existing on tower actual - OML 6.29 sqm / MPT - 2.71 sqm )- change MW height to 33.5 - Same loading as before "/>
    <s v="OK"/>
    <m/>
    <m/>
    <s v="No"/>
    <s v="EXISTING TOWER(OP1+OP3(OLD+NEW)):     77%_x000a_EXISTING TOWER(OP1+OP3(OLD)):  77 %"/>
    <s v="Not Required"/>
    <m/>
    <m/>
    <m/>
    <m/>
    <m/>
    <m/>
    <m/>
    <m/>
    <m/>
    <m/>
    <m/>
    <m/>
    <m/>
    <m/>
    <m/>
    <m/>
    <m/>
    <m/>
    <m/>
    <m/>
    <x v="74"/>
    <s v="Not  Calculated"/>
    <n v="0"/>
    <s v="Open File"/>
    <s v="1-01-15011-001 (SHN0004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2.xlsx"/>
    <m/>
  </r>
  <r>
    <n v="3405"/>
    <s v="1-01-04004-007"/>
    <x v="1"/>
    <x v="1"/>
    <s v="CHN00118"/>
    <x v="0"/>
    <s v="MPT  Phase 1b Colo"/>
    <s v="On Air"/>
    <s v="UPG"/>
    <s v="2"/>
    <x v="36"/>
    <m/>
    <n v="2.456"/>
    <n v="6.2130000000000001"/>
    <s v="SQM"/>
    <s v="42.5"/>
    <s v="47.5"/>
    <x v="1"/>
    <m/>
    <s v="Not Required"/>
    <m/>
    <s v="Not Required"/>
    <m/>
    <s v="OK"/>
    <s v="Existing on tower actual - OML 6.38 sqm / MPT - 4.26 sqm )- Change RF Dimension and add RRU "/>
    <s v="OK"/>
    <m/>
    <m/>
    <s v="No"/>
    <s v="STRENGTHENED TOWER(OP1+OP3(OLD+NEW)): 99.5%_x000a_STRENGTHENED  TOWER(OP1+OP3(OLD)): 98.3%"/>
    <s v="Not Required"/>
    <m/>
    <m/>
    <m/>
    <m/>
    <m/>
    <m/>
    <m/>
    <m/>
    <m/>
    <m/>
    <m/>
    <m/>
    <m/>
    <m/>
    <m/>
    <m/>
    <m/>
    <m/>
    <m/>
    <m/>
    <x v="75"/>
    <s v="Not  Calculated"/>
    <n v="0"/>
    <s v="Open File"/>
    <s v="1-01-04004-007 (CHN001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4-007 (CHN00118) Application Rev 2.xlsx"/>
    <m/>
  </r>
  <r>
    <n v="3406"/>
    <s v="1-01-05005-006"/>
    <x v="1"/>
    <x v="2"/>
    <s v="SGG00246"/>
    <x v="0"/>
    <s v="MPT  Phase 1b Colo"/>
    <s v="On Air"/>
    <s v="LTE"/>
    <s v="3"/>
    <x v="36"/>
    <m/>
    <n v="3.6110000000000002"/>
    <n v="7.94"/>
    <s v="SQM"/>
    <s v="48"/>
    <s v="53"/>
    <x v="1"/>
    <m/>
    <s v="Not Required"/>
    <m/>
    <s v="Not Required"/>
    <m/>
    <s v="OK"/>
    <s v="Existing on tower actual - OML 14.21 sqm / MPT - 6.37 sqm )- Change RF Dimension and add RRU "/>
    <s v="OK"/>
    <m/>
    <m/>
    <s v="No"/>
    <s v="Existing Tower: OML+1.2MW(UE)+KSGM (OLD+NEW) = 102.0%_x000a_Existing Tower: OML+1.2MW(UE)+KSGM (OLD) = 95.1%"/>
    <s v="Not Required"/>
    <m/>
    <m/>
    <m/>
    <m/>
    <m/>
    <m/>
    <m/>
    <m/>
    <m/>
    <m/>
    <m/>
    <m/>
    <m/>
    <m/>
    <m/>
    <m/>
    <m/>
    <m/>
    <m/>
    <m/>
    <x v="75"/>
    <s v="Not  Calculated"/>
    <n v="0"/>
    <s v="Open File"/>
    <s v="1-01-05005-006 (SGG0024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6 (SGG00246) Application Rev 3.xlsx"/>
    <m/>
  </r>
  <r>
    <n v="3407"/>
    <s v="1-01-14001-033"/>
    <x v="1"/>
    <x v="1"/>
    <s v="SHS00466"/>
    <x v="0"/>
    <s v="MPT  Phase 1b Colo"/>
    <s v="On Air"/>
    <s v="EXC"/>
    <s v="3"/>
    <x v="36"/>
    <m/>
    <n v="2.1"/>
    <n v="2.91"/>
    <s v="SQM"/>
    <s v="48"/>
    <s v="53"/>
    <x v="1"/>
    <m/>
    <s v="Not Required"/>
    <m/>
    <s v="Not Required"/>
    <m/>
    <s v="OK"/>
    <s v="Existing on tower actual - OML 9.85 sqm / MPT - 2.86 sqm / Mytel - 2.69sqm )- Change MW Dimension"/>
    <s v="OK"/>
    <m/>
    <m/>
    <s v="No"/>
    <s v="Strengthened Tower: OML+MYTEL+KSGM (OLD+NEW) = 77.9%_x000a_Strengthened Tower: OML+MYTEL+KSGM (OLD) = 77.5%"/>
    <s v="Not Required"/>
    <m/>
    <m/>
    <m/>
    <m/>
    <m/>
    <m/>
    <m/>
    <m/>
    <m/>
    <m/>
    <m/>
    <m/>
    <m/>
    <m/>
    <m/>
    <m/>
    <m/>
    <m/>
    <m/>
    <m/>
    <x v="75"/>
    <s v="Not  Calculated"/>
    <n v="0"/>
    <s v="Open File"/>
    <s v="1-01-14001-033 (SHS0046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3.xlsx"/>
    <m/>
  </r>
  <r>
    <n v="3394"/>
    <s v="1-01-04007-009"/>
    <x v="1"/>
    <x v="1"/>
    <s v="CHN00225"/>
    <x v="0"/>
    <s v="MPT Phase 2 Colo"/>
    <s v="RFI"/>
    <s v="Relo-TS"/>
    <s v="0"/>
    <x v="37"/>
    <m/>
    <n v="0.879"/>
    <n v="3.99"/>
    <s v="SQM"/>
    <s v="42.5"/>
    <s v="47.5"/>
    <x v="1"/>
    <m/>
    <s v="Not Required"/>
    <m/>
    <s v="Not Required"/>
    <m/>
    <s v="OK"/>
    <s v="Existing on tower actual - OML 6.58 sqm /TML - 2.89sqm )- New Colo Application "/>
    <s v="OK"/>
    <m/>
    <m/>
    <s v="No"/>
    <s v="Strengthened Tower: OML+TML+KSGM (OLD+NEW) = 89.7%_x000a_Strengthened Tower: OML+TML+KSGM (OLD) = 80.67%"/>
    <s v="Not Required"/>
    <m/>
    <m/>
    <m/>
    <m/>
    <m/>
    <m/>
    <m/>
    <m/>
    <m/>
    <m/>
    <s v="OK"/>
    <m/>
    <m/>
    <m/>
    <m/>
    <m/>
    <m/>
    <m/>
    <m/>
    <m/>
    <x v="76"/>
    <s v="Not  Calculated"/>
    <n v="0"/>
    <s v="No File"/>
    <s v="1-01-04007-009 (CHN002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0.xlsx"/>
    <m/>
  </r>
  <r>
    <n v="3395"/>
    <s v="1-01-17009-002"/>
    <x v="1"/>
    <x v="0"/>
    <s v="AWD00481"/>
    <x v="0"/>
    <s v="MPT  Phase 1b Colo"/>
    <s v="On Air"/>
    <s v="UPG _ v1"/>
    <s v="3"/>
    <x v="37"/>
    <m/>
    <n v="2.1"/>
    <n v="3.2469999999999999"/>
    <s v="SQM"/>
    <s v="42.5"/>
    <s v="47.5"/>
    <x v="1"/>
    <m/>
    <s v="Not Required"/>
    <m/>
    <s v="Not Required"/>
    <m/>
    <s v="OK"/>
    <s v="Existing on tower actual - OML 7.72 sqm /MPT - 3.42 sqm / TML - 4.50 sqm )- Add ODU "/>
    <s v="OK"/>
    <m/>
    <m/>
    <s v="No"/>
    <s v="Existing Tower; OML + TML + KSGM (OLD+NEW) = 99.4%_x000a_Existing Tower; OML + TML + KSGM (OLD) = 99.4%"/>
    <m/>
    <m/>
    <m/>
    <m/>
    <m/>
    <m/>
    <m/>
    <m/>
    <m/>
    <m/>
    <m/>
    <m/>
    <m/>
    <m/>
    <m/>
    <m/>
    <m/>
    <m/>
    <m/>
    <m/>
    <m/>
    <x v="76"/>
    <s v="Not  Calculated"/>
    <n v="0"/>
    <s v="Open File"/>
    <s v="1-01-17009-002 (AWD0048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3.xlsx"/>
    <m/>
  </r>
  <r>
    <n v="3396"/>
    <s v="1-01-05027-002"/>
    <x v="1"/>
    <x v="2"/>
    <s v="SGG00113"/>
    <x v="0"/>
    <s v="MPT  Phase 1b Colo"/>
    <s v="On Air"/>
    <s v="LTE"/>
    <s v="3"/>
    <x v="37"/>
    <m/>
    <n v="5.1470000000000002"/>
    <n v="4.3600000000000003"/>
    <s v="SQM"/>
    <s v="39.5"/>
    <s v="44.5"/>
    <x v="1"/>
    <m/>
    <s v="Not Required"/>
    <m/>
    <s v="Not Required"/>
    <m/>
    <s v="OK"/>
    <s v="Existing on tower actual - OML 10.58 sqm ( UE Down - OML Occupied Area 54.90 - 49.46 )/MPT - 2.97 sqm  )- Add RRU and Change RF Dimension "/>
    <s v="OK"/>
    <m/>
    <m/>
    <s v="No"/>
    <s v="EXISTING TOWER(OP1+OP3(OLD+NEW)): 104.5  %_x000a_EXISTING TOWER(OP1+OP3(OLD)): 97.4%"/>
    <m/>
    <m/>
    <m/>
    <m/>
    <m/>
    <m/>
    <m/>
    <m/>
    <m/>
    <m/>
    <m/>
    <m/>
    <m/>
    <m/>
    <m/>
    <m/>
    <m/>
    <m/>
    <m/>
    <m/>
    <m/>
    <x v="76"/>
    <s v="Not  Calculated"/>
    <n v="0"/>
    <s v="Open File"/>
    <s v="1-01-05027-002 (SGG0011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3.xlsx"/>
    <m/>
  </r>
  <r>
    <n v="3397"/>
    <s v="1-01-16001-003"/>
    <x v="1"/>
    <x v="1"/>
    <s v="SHE00021"/>
    <x v="0"/>
    <s v="MPT  Phase 1b Colo"/>
    <s v="On Air"/>
    <s v="MS _ v1"/>
    <s v="3"/>
    <x v="37"/>
    <m/>
    <n v="2.7"/>
    <n v="3.5920000000000001"/>
    <s v="SQM"/>
    <s v="33"/>
    <s v="38"/>
    <x v="1"/>
    <m/>
    <s v="Not Required"/>
    <m/>
    <s v="Not Required"/>
    <m/>
    <s v="OK"/>
    <s v="Existing on tower actual - OML 7.76 sqm /MPT - 2.61 sqm - Add RRU and Change RF Dimension "/>
    <s v="OK"/>
    <m/>
    <m/>
    <s v="No"/>
    <s v="STR TOWER(OP1+OP3(OLD+NEW)): 80.5%_x000a_STR TOWER(OP1+OP3(OLD)): 79.3%"/>
    <s v="Not Required"/>
    <m/>
    <m/>
    <m/>
    <m/>
    <m/>
    <m/>
    <m/>
    <m/>
    <m/>
    <m/>
    <m/>
    <m/>
    <m/>
    <m/>
    <m/>
    <m/>
    <m/>
    <m/>
    <m/>
    <m/>
    <x v="76"/>
    <s v="Not  Calculated"/>
    <n v="0"/>
    <s v="Open Fil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r>
  <r>
    <n v="3398"/>
    <s v="1-01-10015-003"/>
    <x v="1"/>
    <x v="2"/>
    <s v="MDY00347"/>
    <x v="0"/>
    <s v="MPT  Phase 1b Colo"/>
    <s v="On Air"/>
    <s v="LTE"/>
    <s v="2"/>
    <x v="37"/>
    <m/>
    <n v="3.5489999999999999"/>
    <n v="7.0659999999999998"/>
    <s v="SQM"/>
    <s v="48"/>
    <s v="53"/>
    <x v="1"/>
    <m/>
    <s v="Not Required"/>
    <m/>
    <s v="Not Required"/>
    <m/>
    <s v="OK"/>
    <s v="Existing on tower actual - OML 8.34 sqm /MPT - 4.16 sqm - Add RRU and Change RF Dimension "/>
    <s v="OK"/>
    <m/>
    <m/>
    <s v="No"/>
    <s v="EXISTING TOWER(OP1+OP3(OLD+NEW)): 96.2  %_x000a_EXISTING TOWER(OP1+OP3(OLD)): 94.1%"/>
    <s v="Not Required"/>
    <m/>
    <m/>
    <m/>
    <m/>
    <m/>
    <m/>
    <m/>
    <m/>
    <m/>
    <m/>
    <m/>
    <m/>
    <m/>
    <m/>
    <m/>
    <m/>
    <m/>
    <m/>
    <m/>
    <m/>
    <x v="76"/>
    <s v="Not  Calculated"/>
    <n v="0"/>
    <s v="Open File"/>
    <s v="1-01-10015-003 (MDY0034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5-003 (MDY00347) Application Rev 2.xlsx"/>
    <m/>
  </r>
  <r>
    <n v="3399"/>
    <s v="1-01-05027-006"/>
    <x v="1"/>
    <x v="2"/>
    <s v="SGG00225"/>
    <x v="0"/>
    <s v="MPT  Phase 1b Colo"/>
    <s v="On Air"/>
    <s v="LTE"/>
    <s v="1"/>
    <x v="37"/>
    <m/>
    <n v="3.649"/>
    <n v="7"/>
    <s v="SQM"/>
    <s v="48"/>
    <s v="53"/>
    <x v="1"/>
    <m/>
    <s v="Not Required"/>
    <m/>
    <s v="Not Required"/>
    <m/>
    <s v="OK"/>
    <s v="Existing on tower actual - OML 8.91 sqm /MPT - 5.29 sqm / TML - 3.51 sqm )- Add RRU and Change RF Dimension "/>
    <s v="OK"/>
    <m/>
    <m/>
    <s v="No"/>
    <s v="EXISTING TOWER(OP1+OP4+OP3(OLD+NEW)):  99.9%_x000a_EXISTING TOWER(OP1+OP4+OP3(OLD)): 99%"/>
    <s v="Not Required"/>
    <m/>
    <m/>
    <m/>
    <m/>
    <m/>
    <m/>
    <m/>
    <m/>
    <m/>
    <m/>
    <m/>
    <m/>
    <m/>
    <m/>
    <m/>
    <m/>
    <m/>
    <m/>
    <m/>
    <m/>
    <x v="76"/>
    <s v="Not  Calculated"/>
    <n v="0"/>
    <s v="Open File"/>
    <s v="1-01-05027-006 (SGG0022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6 (SGG00225) Application Rev 1.xlsx"/>
    <m/>
  </r>
  <r>
    <n v="3400"/>
    <s v="1-01-05018-006"/>
    <x v="1"/>
    <x v="2"/>
    <s v="SGG00198"/>
    <x v="0"/>
    <s v="MPT  Phase 1b Colo"/>
    <s v="On Air"/>
    <s v="LTE"/>
    <s v="3"/>
    <x v="37"/>
    <m/>
    <n v="3.6110000000000002"/>
    <n v="5.5419999999999998"/>
    <s v="SQM"/>
    <s v="46.5"/>
    <s v="51.5"/>
    <x v="1"/>
    <m/>
    <s v="Not Required"/>
    <m/>
    <s v="Not Required"/>
    <m/>
    <s v="OK"/>
    <s v="Existing on tower actual - OML 7.84 sqm ( UE Down 58.00 - 52.43 ) /MPT - 3.88 sqm / TML - 3.79 sqm )- Added RRU and Change RF Dimension "/>
    <s v="OK"/>
    <m/>
    <m/>
    <s v="No"/>
    <s v="EXISTING TOWER(OP1+OP4+OP3(OLD+NEW)):  97.5%_x000a_EXISTING TOWER(OP1+OP4+OP3(OLD)): 96.8%"/>
    <m/>
    <m/>
    <m/>
    <m/>
    <m/>
    <m/>
    <m/>
    <m/>
    <m/>
    <m/>
    <m/>
    <m/>
    <m/>
    <m/>
    <m/>
    <m/>
    <m/>
    <m/>
    <m/>
    <m/>
    <m/>
    <x v="76"/>
    <s v="Not  Calculated"/>
    <n v="0"/>
    <s v="Open File"/>
    <s v="1-01-05018-006 (SGG0019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3.xlsx"/>
    <m/>
  </r>
  <r>
    <n v="3401"/>
    <s v="1-01-05030-010"/>
    <x v="1"/>
    <x v="2"/>
    <s v="SGG00149"/>
    <x v="0"/>
    <s v="MPT  Phase 1b Colo"/>
    <s v="On Air"/>
    <s v="LTE"/>
    <s v="1"/>
    <x v="37"/>
    <m/>
    <n v="3.5489999999999999"/>
    <n v="7.5"/>
    <s v="SQM"/>
    <s v="48"/>
    <s v="53"/>
    <x v="1"/>
    <m/>
    <s v="Not Required"/>
    <m/>
    <s v="Not Required"/>
    <m/>
    <s v="OK"/>
    <s v="Existing on tower actual - OML 9.75 sqm /MPT - 5.82 sqm / Mytel - 1.74 sqm  )- Added RRU and Change RF Dimension "/>
    <s v="OK"/>
    <m/>
    <m/>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77"/>
    <n v="35.489957175901509"/>
    <n v="0"/>
    <s v="Open File"/>
    <s v="1-01-05030-010 (SGG0014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30-010 (SGG00149) Application Rev 1.xlsx"/>
    <m/>
  </r>
  <r>
    <n v="3402"/>
    <s v="1-01-17023-009"/>
    <x v="1"/>
    <x v="0"/>
    <s v="AWD01309"/>
    <x v="0"/>
    <s v="MPT Phase 2 Colo"/>
    <s v="RFI"/>
    <s v="Relo-TS"/>
    <s v="0"/>
    <x v="37"/>
    <m/>
    <n v="3.3"/>
    <n v="4.4400000000000004"/>
    <s v="SQM"/>
    <s v="48"/>
    <s v="53"/>
    <x v="1"/>
    <m/>
    <s v="Not Required"/>
    <m/>
    <s v="Not Required"/>
    <m/>
    <s v="OK"/>
    <s v="Existing on tower actual - OML 11.02 sqm / TML - 2.97 sqm )- New Colo Application "/>
    <s v="OK"/>
    <m/>
    <m/>
    <s v="No"/>
    <s v="Existing Tower: OML+TML+KSGM (OLD+NEW) = 102.4%_x000a_Existing Tower: OML+TML+KSGM (OLD) = 90.8%"/>
    <s v="Not Required"/>
    <m/>
    <m/>
    <m/>
    <m/>
    <m/>
    <m/>
    <m/>
    <m/>
    <m/>
    <m/>
    <s v="OK"/>
    <m/>
    <m/>
    <m/>
    <m/>
    <m/>
    <m/>
    <m/>
    <m/>
    <m/>
    <x v="76"/>
    <s v="Not  Calculated"/>
    <n v="0"/>
    <s v="No File"/>
    <s v="1-01-17023-009 (AWD0130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0.xlsx"/>
    <m/>
  </r>
  <r>
    <n v="3392"/>
    <s v="1-01-14001-026"/>
    <x v="1"/>
    <x v="1"/>
    <s v="SHS00070"/>
    <x v="0"/>
    <s v="MPT  Phase 1b Colo"/>
    <s v="On Air"/>
    <s v="UPG _ v1"/>
    <s v="3"/>
    <x v="38"/>
    <m/>
    <n v="2.1"/>
    <n v="2.1989999999999998"/>
    <s v="SQM"/>
    <s v="48"/>
    <s v="53"/>
    <x v="1"/>
    <m/>
    <s v="Not Required"/>
    <m/>
    <s v="Not Required"/>
    <m/>
    <s v="OK"/>
    <s v="Existing on tower actual - OML 7.88 sqm /MPT - 2.66sqm )- Change RF Dimension and add RRU "/>
    <s v="OK"/>
    <m/>
    <m/>
    <s v="No"/>
    <s v="STR TOWER(OP1+OP3(OLD+NEW)):90.88 %_x000a_STR TOWER(OP1+OP3(OLD)): 91.4%"/>
    <s v="Review"/>
    <m/>
    <m/>
    <m/>
    <s v="Site data required - PE swap a possibility "/>
    <m/>
    <m/>
    <m/>
    <m/>
    <m/>
    <m/>
    <m/>
    <m/>
    <m/>
    <m/>
    <m/>
    <m/>
    <m/>
    <m/>
    <m/>
    <m/>
    <x v="78"/>
    <s v="Not  Calculated"/>
    <n v="0"/>
    <s v="Open File"/>
    <s v="1-01-14001-026 (SHS0007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3.xlsx"/>
    <m/>
  </r>
  <r>
    <n v="3390"/>
    <s v="1-01-14007-007"/>
    <x v="1"/>
    <x v="1"/>
    <s v="SHS00221"/>
    <x v="0"/>
    <s v="MPT  Phase 1b Colo"/>
    <s v="On Air"/>
    <s v="UPG_v1"/>
    <s v="4"/>
    <x v="39"/>
    <m/>
    <n v="2.1"/>
    <n v="2.66"/>
    <s v="SQM"/>
    <s v="48"/>
    <s v="53"/>
    <x v="1"/>
    <m/>
    <s v="Not Required"/>
    <m/>
    <s v="Not Required"/>
    <m/>
    <s v="OK"/>
    <s v="Existing on tower actual - OML 7.03 sqm (UE Down 58.60-52.53 )  /MPT - 2.61sqm / TML 3.51sqm  ) - Change RF Dimension and add RRU "/>
    <s v="OK"/>
    <m/>
    <m/>
    <s v="No"/>
    <s v="EXISTING TOWER(OML+TML+KSGM(OLD+NEW)):  104.1%_x000a_EXISTING TOWER(OML+TML+KSGM(OLD)): 104.4%"/>
    <s v="Review"/>
    <m/>
    <m/>
    <m/>
    <s v="Site data required - PE swap a possibility "/>
    <s v="Not Required"/>
    <m/>
    <m/>
    <m/>
    <m/>
    <m/>
    <m/>
    <m/>
    <m/>
    <m/>
    <m/>
    <m/>
    <m/>
    <m/>
    <m/>
    <m/>
    <x v="79"/>
    <s v="Not  Calculated"/>
    <n v="0"/>
    <s v="Open File"/>
    <s v="1-01-14007-007 (SHS0022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7 (SHS00221) Application Rev 4.xlsx"/>
    <m/>
  </r>
  <r>
    <n v="3391"/>
    <s v="AYYN_0086"/>
    <x v="0"/>
    <x v="0"/>
    <s v="YGN00788"/>
    <x v="0"/>
    <s v="MPT  Phase 1a Colo"/>
    <s v="On Air"/>
    <s v="TS_v1"/>
    <s v="1"/>
    <x v="39"/>
    <m/>
    <n v="1.8"/>
    <n v="3.66"/>
    <s v="EPA"/>
    <s v="18.5"/>
    <s v="23.5"/>
    <x v="1"/>
    <m/>
    <s v="Not Required"/>
    <m/>
    <s v="Not Required"/>
    <m/>
    <s v="OK"/>
    <s v="Existing on tower - ( Assume ) TML with 4.39 EPA/ OML with 12.88 EPA / MPT with 5.67 EPA /Mytel with 2.45 EPA/ Amara with 3.06 EPA  ( Change RF smaller Dimension )"/>
    <s v="OK"/>
    <m/>
    <m/>
    <s v="Yes"/>
    <s v="Strengthened Tower(TML+OML+MYTEL+AMARA+KSGM(OLD+NEW)): 104.4.%"/>
    <s v="OK"/>
    <s v="1 week"/>
    <m/>
    <m/>
    <s v="Monitor BB increase to 1800/2400AH a possibility "/>
    <s v="OK"/>
    <m/>
    <m/>
    <m/>
    <m/>
    <m/>
    <m/>
    <m/>
    <m/>
    <m/>
    <d v="2018-11-13T14:56:12"/>
    <d v="2018-11-13T16:09:13"/>
    <d v="2018-11-30T09:52:06"/>
    <d v="2018-11-27T15:09:03"/>
    <m/>
    <m/>
    <x v="80"/>
    <n v="30.411177314803354"/>
    <n v="0"/>
    <s v="Open File"/>
    <s v="AYYN_0086 (YGN0078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86 (YGN00788) Application Rev 1.xlsx"/>
    <m/>
  </r>
  <r>
    <n v="3382"/>
    <s v="ANSG_0454"/>
    <x v="0"/>
    <x v="2"/>
    <s v="SGG00785"/>
    <x v="0"/>
    <s v="MPT  Phase 1a Colo"/>
    <s v="On Air"/>
    <s v="TS"/>
    <s v=""/>
    <x v="40"/>
    <m/>
    <n v="1.8580000000000001"/>
    <n v="6.774"/>
    <s v="EPA"/>
    <s v="36"/>
    <s v="41"/>
    <x v="1"/>
    <m/>
    <s v="Not Required"/>
    <m/>
    <s v="Not Required"/>
    <m/>
    <s v="OK"/>
    <s v="Existing on tower - ( Assume ) TML with 7.55 EPA/MPT with 4.20 EPA - ( change RF height , add MW and ODU  ) "/>
    <s v="OK"/>
    <m/>
    <m/>
    <s v="No"/>
    <s v="Existing Tower: TML+KSGM : 60.57%"/>
    <s v="Review"/>
    <m/>
    <m/>
    <d v="1899-12-31T00:00:00"/>
    <s v="comes with risk - site on 10 hours NS mode daily."/>
    <m/>
    <m/>
    <m/>
    <m/>
    <m/>
    <m/>
    <m/>
    <m/>
    <m/>
    <m/>
    <m/>
    <m/>
    <m/>
    <m/>
    <m/>
    <m/>
    <x v="81"/>
    <s v="Not  Calculated"/>
    <n v="0"/>
    <s v="No File"/>
    <s v="ANSG_0454 (SGG00785)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xlsx"/>
    <m/>
  </r>
  <r>
    <n v="3383"/>
    <s v="1-01-13004-003"/>
    <x v="1"/>
    <x v="0"/>
    <s v="YGN02146"/>
    <x v="0"/>
    <s v="MPT  Phase 1b Colo"/>
    <s v="RFI"/>
    <s v="TS"/>
    <s v="2"/>
    <x v="40"/>
    <m/>
    <n v="2.1"/>
    <n v="2.08"/>
    <s v="SQM"/>
    <s v="37"/>
    <s v="42"/>
    <x v="1"/>
    <m/>
    <s v="Not Required"/>
    <m/>
    <s v="Not Required"/>
    <m/>
    <s v="OK"/>
    <s v="Existing on tower actual - OML 8.34 sqm no UE  /MPT prev Colo Apps - 2.08sqm , TML 3.30sqm  ) - Change Auzimuth "/>
    <s v="Not Required"/>
    <m/>
    <m/>
    <m/>
    <m/>
    <s v="Review"/>
    <m/>
    <m/>
    <m/>
    <s v="Site data required - PE swap a possibility "/>
    <s v="Not Required"/>
    <m/>
    <m/>
    <m/>
    <m/>
    <m/>
    <m/>
    <m/>
    <m/>
    <m/>
    <m/>
    <m/>
    <m/>
    <m/>
    <m/>
    <m/>
    <x v="81"/>
    <s v="Not  Calculated"/>
    <n v="0"/>
    <s v="Open File"/>
    <s v="1-01-13004-003 (YGN0214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3 (YGN02146) Application Rev 2.xlsx"/>
    <m/>
  </r>
  <r>
    <n v="3384"/>
    <s v="ACBA_0053"/>
    <x v="0"/>
    <x v="0"/>
    <s v="YGN00594"/>
    <x v="0"/>
    <s v="MPT  Phase 1a Colo"/>
    <s v="On Air"/>
    <s v="UPG"/>
    <s v=""/>
    <x v="40"/>
    <m/>
    <n v="1.8"/>
    <n v="4.0350000000000001"/>
    <s v="EPA"/>
    <s v="45"/>
    <s v="50"/>
    <x v="1"/>
    <m/>
    <s v="Not Required"/>
    <m/>
    <s v="Not Required"/>
    <m/>
    <s v="OK"/>
    <s v="Existing on tower - ( Assume ) TML with 6.73 EPA/MPT with 3.51 EPA - ( Add RF and add RRU ) "/>
    <s v="OK"/>
    <m/>
    <m/>
    <s v="No"/>
    <s v="Existing tower: TML + KSGM (OLD+NEW) = 91.82% (New wind zone 130 kph)"/>
    <s v="OK"/>
    <m/>
    <m/>
    <m/>
    <s v="PE UG - full K10 upagrade"/>
    <m/>
    <m/>
    <m/>
    <m/>
    <m/>
    <m/>
    <m/>
    <m/>
    <m/>
    <m/>
    <m/>
    <d v="2018-12-19T09:05:57"/>
    <m/>
    <m/>
    <m/>
    <m/>
    <x v="81"/>
    <s v="Not  Calculated"/>
    <n v="0"/>
    <s v="No File"/>
    <s v="ACBA_0053 (YGN00594)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053 (YGN00594) Application Rev .xlsx"/>
    <m/>
  </r>
  <r>
    <n v="3386"/>
    <s v="ANSG_0463"/>
    <x v="0"/>
    <x v="2"/>
    <s v="SGG00730"/>
    <x v="0"/>
    <s v="MPT  Phase 1a Colo"/>
    <s v="On Air"/>
    <s v="LTE"/>
    <s v=""/>
    <x v="40"/>
    <m/>
    <n v="3.7669999999999999"/>
    <n v="7.3760000000000003"/>
    <s v="EPA"/>
    <s v="36"/>
    <s v="41"/>
    <x v="1"/>
    <m/>
    <s v="Not Required"/>
    <m/>
    <s v="Review"/>
    <s v="Undoable due to high VCC"/>
    <s v="OK"/>
    <s v="Existing on tower - ( Assume ) TML with 8.99 EPA/OML with 11.23 EPA / MPT with 4.84 EPA - (Change RF And MW Dimension and add RRU / ODU )"/>
    <s v="OK"/>
    <m/>
    <m/>
    <s v="No"/>
    <s v="EXISTING TOWER: TML+OML+KSGM(OLD+NEW)):  101.3%"/>
    <s v="OK"/>
    <s v="2018-12-28"/>
    <m/>
    <d v="1900-01-01T00:00:00"/>
    <s v="10 hrs NS - High load - 36Kw PE Sys UG required"/>
    <s v="OK"/>
    <m/>
    <m/>
    <m/>
    <m/>
    <m/>
    <m/>
    <m/>
    <m/>
    <m/>
    <d v="2018-11-13T14:56:12"/>
    <d v="2018-12-17T08:53:27"/>
    <d v="2018-11-13T16:19:20"/>
    <d v="2018-11-27T15:09:02"/>
    <m/>
    <m/>
    <x v="34"/>
    <n v="49.704514930599544"/>
    <n v="0"/>
    <s v="No File"/>
    <s v="ANSG_0463 (SGG00730)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3 (SGG00730) Application Rev .xlsx"/>
    <m/>
  </r>
  <r>
    <n v="3387"/>
    <s v="ANSG_0485"/>
    <x v="0"/>
    <x v="2"/>
    <s v="SGG00698"/>
    <x v="0"/>
    <s v="MPT  Phase 1a Colo"/>
    <s v="On Air"/>
    <s v="LTE"/>
    <s v=""/>
    <x v="40"/>
    <m/>
    <n v="3.9470000000000001"/>
    <n v="8.8360000000000003"/>
    <s v="EPA"/>
    <s v="36"/>
    <s v="41"/>
    <x v="1"/>
    <m/>
    <s v="Not Required"/>
    <m/>
    <s v="OK"/>
    <m/>
    <s v="OK"/>
    <s v="Existing on tower - ( Assume ) TML with 4.29 EPA/ MPT with 4.55EPA (Change RF Dimension and add MW and RRU, ODU )"/>
    <s v="OK"/>
    <m/>
    <m/>
    <s v="No"/>
    <s v="Existing Tower: TML+KSGM+Mytel : 76.94%"/>
    <s v="OK"/>
    <s v="2018-12-29"/>
    <m/>
    <d v="1899-12-31T00:00:00"/>
    <s v="Site has 10 hours DG NS or Grid connect/UG PE/Take the risk-outages "/>
    <s v="OK"/>
    <m/>
    <m/>
    <m/>
    <m/>
    <m/>
    <m/>
    <m/>
    <m/>
    <m/>
    <d v="2018-11-13T14:56:12"/>
    <d v="2018-12-17T08:53:27"/>
    <d v="2018-11-13T16:19:20"/>
    <d v="2018-11-27T15:09:02"/>
    <m/>
    <d v="2018-11-13T16:25:51"/>
    <x v="64"/>
    <n v="48.389656018502137"/>
    <n v="0"/>
    <s v="No File"/>
    <s v="ANSG_0485 (SGG00698)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5 (SGG00698) Application Rev .xlsx"/>
    <m/>
  </r>
  <r>
    <n v="3388"/>
    <s v="ANSG_0483"/>
    <x v="0"/>
    <x v="2"/>
    <s v="SGG00406"/>
    <x v="0"/>
    <s v="MPT  Phase 1a Colo"/>
    <s v="On Air"/>
    <s v="UPG"/>
    <s v=""/>
    <x v="40"/>
    <m/>
    <n v="1.653"/>
    <n v="7.9"/>
    <s v="EPA"/>
    <s v="36"/>
    <s v="41"/>
    <x v="1"/>
    <m/>
    <s v="Not Required"/>
    <m/>
    <s v="Not Required"/>
    <m/>
    <s v="OK"/>
    <s v="Existing on tower - ( Assume ) TML with 4.29 EPA/ MPT with 5.65 EPA (add MW and RRU, ODU )"/>
    <s v="OK"/>
    <m/>
    <m/>
    <s v="No"/>
    <s v="Existing Tower: TML+KSGM+Mytel : 78.47%"/>
    <s v="OK"/>
    <s v="1 week  "/>
    <m/>
    <m/>
    <s v="BB SOH so UG can be verified"/>
    <m/>
    <m/>
    <m/>
    <m/>
    <m/>
    <m/>
    <m/>
    <m/>
    <m/>
    <m/>
    <m/>
    <d v="2018-12-19T09:05:57"/>
    <m/>
    <m/>
    <m/>
    <m/>
    <x v="81"/>
    <s v="Not  Calculated"/>
    <n v="0"/>
    <s v="No File"/>
    <s v="ANSG_0483 (SGG0040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xlsx"/>
    <m/>
  </r>
  <r>
    <n v="3389"/>
    <s v="1-01-05018-006"/>
    <x v="1"/>
    <x v="2"/>
    <s v="SGG00198"/>
    <x v="0"/>
    <s v="MPT  Phase 1b Colo"/>
    <s v="On Air"/>
    <s v="TS_v1"/>
    <s v="2"/>
    <x v="40"/>
    <m/>
    <n v="1.9119999999999999"/>
    <n v="3.88"/>
    <s v="SQM"/>
    <s v="46.5"/>
    <s v="51.5"/>
    <x v="1"/>
    <m/>
    <s v="Not Required"/>
    <m/>
    <s v="Not Required"/>
    <m/>
    <s v="OK"/>
    <s v="Existing on tower actual - OML 7.84 sqm no UE  /MPT - 3.88sqm , TML 3.79sqm  ) - Change Antenna Height as par actual "/>
    <s v="OK"/>
    <m/>
    <m/>
    <s v="No"/>
    <s v="EXISTING TOWER(OML+TML+KSGM(OLD+NEW)):  96.8%_x000a_EXISTING TOWER(OML+TML+KSGM(OLD)): 96.1%"/>
    <s v="Review"/>
    <m/>
    <m/>
    <m/>
    <s v="Site data required - PE swap a possibility "/>
    <s v="Not Required"/>
    <m/>
    <m/>
    <m/>
    <m/>
    <m/>
    <m/>
    <m/>
    <m/>
    <m/>
    <m/>
    <m/>
    <m/>
    <m/>
    <m/>
    <m/>
    <x v="81"/>
    <s v="Not  Calculated"/>
    <n v="0"/>
    <s v="Open File"/>
    <s v="1-01-05018-006 (SGG001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2.xlsx"/>
    <m/>
  </r>
  <r>
    <n v="3381"/>
    <s v="1-01-09008-001"/>
    <x v="1"/>
    <x v="1"/>
    <s v="MGW00412"/>
    <x v="0"/>
    <s v="MPT  Phase 1b Colo"/>
    <s v="On Air"/>
    <s v="UPG"/>
    <s v="1"/>
    <x v="41"/>
    <m/>
    <n v="2.5"/>
    <n v="3.52"/>
    <s v="SQM"/>
    <s v="48"/>
    <s v="53"/>
    <x v="1"/>
    <m/>
    <s v="Not Required"/>
    <m/>
    <s v="Not Required"/>
    <m/>
    <s v="OK"/>
    <s v="Existing on tower actual - OML 7.72 sqm no UE  /MPT  - 3.52 sqm - No UE ) - Change RFModel and Change MW leg and add RRU/ ODU"/>
    <s v="OK"/>
    <m/>
    <m/>
    <s v="No"/>
    <s v="EXISTING TOWER(OML+KSGM(OLD+NEW)):  87.6%_x000a_EXISTING TOWER(OML+KSGM(OLD)): 87.3%"/>
    <s v="Not Required"/>
    <m/>
    <m/>
    <m/>
    <m/>
    <s v="Not Required"/>
    <m/>
    <m/>
    <m/>
    <m/>
    <m/>
    <m/>
    <m/>
    <m/>
    <m/>
    <m/>
    <m/>
    <m/>
    <m/>
    <m/>
    <m/>
    <x v="82"/>
    <s v="Not  Calculated"/>
    <n v="0"/>
    <s v="Open File"/>
    <s v="1-01-09008-001 (MGW0041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8-001 (MGW00412) Application Rev 1.xlsx"/>
    <m/>
  </r>
  <r>
    <n v="3375"/>
    <s v="1-01-11003-002"/>
    <x v="1"/>
    <x v="0"/>
    <s v="MON00212"/>
    <x v="0"/>
    <s v="MPT  Phase 1b Colo"/>
    <s v="On Air"/>
    <s v="UPG"/>
    <s v="2"/>
    <x v="42"/>
    <m/>
    <n v="2.1"/>
    <n v="2.5590000000000002"/>
    <s v="SQM"/>
    <s v="43"/>
    <s v="48"/>
    <x v="1"/>
    <m/>
    <s v="Not Required"/>
    <m/>
    <s v="Not Required"/>
    <m/>
    <s v="OK"/>
    <s v="Existing on tower actual - OML 8.85 sqm ( UE Down (59.00 - 53.50 / 38.80 - 37.60) / KSGM - 2.51sqm no UE, Mytel  - 4.08 sqm - No UE ) - Change RF dimension and add RRU"/>
    <s v="OK"/>
    <m/>
    <m/>
    <s v="No"/>
    <s v="Strengthened Tower(OML+MYTEL+KSGM(OLD+NEW)): 103.3%_x000a_Strengthened Tower(OML+MYTEL+KSGM(OLD)): 104.5%"/>
    <s v="Not Required"/>
    <m/>
    <m/>
    <m/>
    <m/>
    <s v="Not Required"/>
    <m/>
    <m/>
    <m/>
    <m/>
    <m/>
    <m/>
    <m/>
    <m/>
    <m/>
    <m/>
    <m/>
    <m/>
    <m/>
    <m/>
    <m/>
    <x v="83"/>
    <s v="Not  Calculated"/>
    <n v="0"/>
    <s v="Open File"/>
    <s v="1-01-11003-002 (MON0021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3-002 (MON00212) Application Rev 2.xlsx"/>
    <m/>
  </r>
  <r>
    <n v="3377"/>
    <s v="1-01-14001-015"/>
    <x v="1"/>
    <x v="1"/>
    <s v="SHS00057"/>
    <x v="0"/>
    <s v="MPT  Phase 1b Colo"/>
    <s v="On Air"/>
    <s v="MS"/>
    <s v="3"/>
    <x v="42"/>
    <m/>
    <n v="2.7"/>
    <n v="3.5030000000000001"/>
    <s v="SQM"/>
    <s v="33"/>
    <s v="38"/>
    <x v="1"/>
    <m/>
    <s v="Not Required"/>
    <m/>
    <s v="Not Required"/>
    <m/>
    <s v="OK"/>
    <s v="Existing on tower actual - OML 9.84 sqm no UE  / KSGM 2.47 sqm  No UE /TML - 3.00 sqm no UE/ Mytel  - 1.53 sqm - No UE ) - Change RF dimension and add RRU"/>
    <s v="OK"/>
    <m/>
    <m/>
    <s v="No"/>
    <s v="Strengthened Tower(OML+TML+MYTEL+KSGM(OLD+NEW)): 99.5% _x000a_Strengthened Tower(OML+TML+MYTEL+KSGM(OLD)): 97.2%"/>
    <s v="Not Required"/>
    <m/>
    <m/>
    <m/>
    <m/>
    <s v="Not Required"/>
    <m/>
    <m/>
    <m/>
    <m/>
    <m/>
    <m/>
    <m/>
    <m/>
    <m/>
    <m/>
    <m/>
    <m/>
    <m/>
    <m/>
    <m/>
    <x v="83"/>
    <s v="Not  Calculated"/>
    <n v="0"/>
    <s v="Open File"/>
    <s v="1-01-14001-015 (SHS0005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3.xlsx"/>
    <m/>
  </r>
  <r>
    <n v="3378"/>
    <s v="1-01-06002-003"/>
    <x v="1"/>
    <x v="0"/>
    <s v="TNY00206"/>
    <x v="0"/>
    <s v="MPT  Phase 1b Colo"/>
    <s v="On Air"/>
    <s v="MS"/>
    <s v="3"/>
    <x v="42"/>
    <m/>
    <n v="2.7"/>
    <n v="3.141"/>
    <s v="SQM"/>
    <s v="44"/>
    <s v="49"/>
    <x v="1"/>
    <m/>
    <s v="Not Required"/>
    <m/>
    <s v="Not Required"/>
    <m/>
    <s v="OK"/>
    <s v="Existing on tower actual - OML 7.16 sqm no UE  /Mytel  - 1.47 sqm - No UE ) - Change RF dimension and add RRU"/>
    <s v="OK"/>
    <m/>
    <m/>
    <s v="No"/>
    <s v="Existing Tower(OML+MYTEL+KSGM(OLD) =94.7%_x000a_Existing Tower(OML+MYTEL+KSGM(OLD+NEW) =94.1%"/>
    <s v="Not Required"/>
    <m/>
    <m/>
    <m/>
    <m/>
    <s v="Not Required"/>
    <m/>
    <m/>
    <m/>
    <m/>
    <m/>
    <m/>
    <m/>
    <m/>
    <m/>
    <m/>
    <m/>
    <m/>
    <m/>
    <m/>
    <m/>
    <x v="83"/>
    <s v="Not  Calculated"/>
    <n v="0"/>
    <s v="Open File"/>
    <s v="1-01-06002-003 (TNY0020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3.xlsx"/>
    <m/>
  </r>
  <r>
    <n v="3379"/>
    <s v="ANMD_0132"/>
    <x v="0"/>
    <x v="2"/>
    <s v="MDY00422"/>
    <x v="0"/>
    <s v="MPT  Phase 1a Colo"/>
    <s v="On Air"/>
    <s v="TS"/>
    <s v="2"/>
    <x v="42"/>
    <m/>
    <n v="1.4"/>
    <n v="2.746"/>
    <s v="SQM"/>
    <s v="17"/>
    <s v="22"/>
    <x v="1"/>
    <m/>
    <s v="Not Required"/>
    <m/>
    <s v="Not Required"/>
    <m/>
    <s v="OK"/>
    <s v="Existing on tower - ( Assume ) TML with 6.19 EPA / OML with 12.24 EPA / MPT with 3.86 EPA - ( Remove MW and ODU and change RF ,RRU height )"/>
    <s v="OK"/>
    <m/>
    <m/>
    <s v="No"/>
    <s v="Existing Tower: OML+TML+KSGM : 99.49%"/>
    <s v="Review"/>
    <s v="2 weeks"/>
    <m/>
    <m/>
    <s v="TML HUB 3 tenant site high load. PE SYS Upgrade "/>
    <m/>
    <m/>
    <m/>
    <m/>
    <m/>
    <m/>
    <m/>
    <m/>
    <m/>
    <m/>
    <m/>
    <m/>
    <m/>
    <m/>
    <m/>
    <m/>
    <x v="83"/>
    <s v="Not  Calculated"/>
    <n v="0"/>
    <s v="Open File"/>
    <s v="ANMD_0132 (MDY0042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2.xlsx"/>
    <m/>
  </r>
  <r>
    <n v="3380"/>
    <s v="ANSG_0343"/>
    <x v="0"/>
    <x v="2"/>
    <s v="SGG00692"/>
    <x v="0"/>
    <s v="MPT  Phase 1a Colo"/>
    <s v="On Air"/>
    <s v="LTE"/>
    <s v="2"/>
    <x v="42"/>
    <m/>
    <n v="3.86"/>
    <n v="6.2549999999999999"/>
    <s v="SQM"/>
    <s v="32"/>
    <s v="37"/>
    <x v="1"/>
    <m/>
    <s v="Not Required"/>
    <m/>
    <s v="Not Required"/>
    <m/>
    <s v="OK"/>
    <s v="Existing on tower - ( Assume ) TML with 3.93 EPA / MPT with 3.58 EPA /Mytel Colo apps loading 3.354 EPA - ( Remove MW , Add RRU and change RF dimension  )"/>
    <s v="OK"/>
    <m/>
    <m/>
    <s v="No"/>
    <s v="Existing Tower: OML+TML+KSGM+MYTEL : 104.41%"/>
    <s v="OK"/>
    <m/>
    <m/>
    <d v="1900-01-01T00:00:00"/>
    <s v="monitor DG, capacity upgrade possible, grid availability dependant "/>
    <m/>
    <m/>
    <m/>
    <m/>
    <m/>
    <m/>
    <m/>
    <m/>
    <m/>
    <m/>
    <m/>
    <d v="2018-12-19T09:05:56"/>
    <m/>
    <m/>
    <m/>
    <m/>
    <x v="83"/>
    <s v="Not  Calculated"/>
    <n v="0"/>
    <s v="Open File"/>
    <s v="ANSG_0343 (SGG0069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43 (SGG00692) Application Rev 2.xlsx"/>
    <m/>
  </r>
  <r>
    <n v="3372"/>
    <s v="1-01-05027-009"/>
    <x v="1"/>
    <x v="2"/>
    <s v="SGG00227"/>
    <x v="0"/>
    <s v="MPT  Phase 1b Colo"/>
    <s v="On Air"/>
    <s v="MS"/>
    <s v="2"/>
    <x v="43"/>
    <m/>
    <n v="4.0149999999999997"/>
    <n v="3.3119999999999998"/>
    <s v="SQM"/>
    <s v="33"/>
    <s v="38"/>
    <x v="1"/>
    <m/>
    <s v="Not Required"/>
    <m/>
    <s v="Not Required"/>
    <m/>
    <s v="OK"/>
    <s v="Existing on tower actual - OML 9.18 sqm / KSGM - 2.69 sqm no UE, TML Colo Apps  - 3.20 sqm )Requested SQM 3.312 sqm - Change RF dimension and add RRU"/>
    <s v="OK"/>
    <m/>
    <m/>
    <s v="No"/>
    <s v="Existing Tower(OML+TML+KSGM(OLD+NEW) = 104.15%_x000a_Existing Tower(OML+TML+KSGM(OLD) = 95.13%"/>
    <s v="Not Required"/>
    <m/>
    <m/>
    <m/>
    <m/>
    <s v="Not Required"/>
    <m/>
    <m/>
    <m/>
    <m/>
    <m/>
    <m/>
    <m/>
    <m/>
    <m/>
    <m/>
    <m/>
    <m/>
    <m/>
    <m/>
    <m/>
    <x v="84"/>
    <s v="Not  Calculated"/>
    <n v="0"/>
    <s v="Open File"/>
    <s v="1-01-05027-009 (SGG002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2.xlsx"/>
    <m/>
  </r>
  <r>
    <n v="3373"/>
    <s v="1-01-14001-005"/>
    <x v="1"/>
    <x v="1"/>
    <s v="SHS00183"/>
    <x v="0"/>
    <s v="MPT  Phase 1b Colo"/>
    <s v="On Air"/>
    <s v="LTE"/>
    <s v="4"/>
    <x v="43"/>
    <m/>
    <n v="3.4"/>
    <n v="4.1859999999999999"/>
    <s v="SQM"/>
    <s v="48"/>
    <s v="53"/>
    <x v="1"/>
    <m/>
    <s v="Not Required"/>
    <m/>
    <s v="Not Required"/>
    <m/>
    <s v="OK"/>
    <s v="Existing on tower actual - OML 12.07 sqm / KSGM - 2.51sqm no UE, TML  - 3.87 sqm - No UE )Requested SQM 4.186 sqm - Change RF dimension and add RRU"/>
    <s v="OK"/>
    <m/>
    <m/>
    <s v="No"/>
    <s v="Existing Tower(OML+TML+KSGM(OLD) =104%_x000a_Existing Tower(OML+TML+KSGM(OLD+NEW) =105%"/>
    <s v="Not Required"/>
    <m/>
    <m/>
    <m/>
    <m/>
    <s v="Not Required"/>
    <m/>
    <m/>
    <m/>
    <m/>
    <m/>
    <m/>
    <m/>
    <m/>
    <m/>
    <m/>
    <m/>
    <m/>
    <m/>
    <m/>
    <m/>
    <x v="84"/>
    <s v="Not  Calculated"/>
    <n v="0"/>
    <s v="Open File"/>
    <s v="1-01-14001-005 (SHS0018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05 (SHS00183) Application Rev 4.xlsx"/>
    <m/>
  </r>
  <r>
    <n v="3374"/>
    <s v="1-01-01009-013"/>
    <x v="1"/>
    <x v="2"/>
    <s v="KCN00152"/>
    <x v="0"/>
    <s v="MPT  Phase 1b Colo"/>
    <s v="On Air"/>
    <s v="LTE"/>
    <s v="3"/>
    <x v="43"/>
    <m/>
    <n v="3.7"/>
    <n v="5.1020000000000003"/>
    <s v="SQM"/>
    <s v="48"/>
    <s v="53"/>
    <x v="1"/>
    <m/>
    <s v="Not Required"/>
    <m/>
    <s v="Not Required"/>
    <m/>
    <s v="OK"/>
    <s v="Colo Prevalidation Completed by Cover Sheet and Colo application approved on 15 Nov 2018 . "/>
    <s v="Not Required"/>
    <m/>
    <m/>
    <m/>
    <m/>
    <s v="Not Required"/>
    <m/>
    <m/>
    <m/>
    <m/>
    <s v="Not Required"/>
    <m/>
    <m/>
    <m/>
    <m/>
    <m/>
    <m/>
    <m/>
    <m/>
    <m/>
    <d v="2018-11-16T11:39:31"/>
    <m/>
    <m/>
    <m/>
    <m/>
    <m/>
    <x v="85"/>
    <n v="31.485773032400175"/>
    <n v="0"/>
    <s v="No File"/>
    <s v="1-01-01009-013 (KCN0015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13 (KCN00152) Application Rev 3.xlsx"/>
    <m/>
  </r>
  <r>
    <n v="3352"/>
    <s v="1-01-05027-002"/>
    <x v="1"/>
    <x v="2"/>
    <s v="SGG00113"/>
    <x v="0"/>
    <s v="MPT  Phase 1b Colo"/>
    <s v="On Air"/>
    <s v="MS_v1"/>
    <s v="2"/>
    <x v="44"/>
    <m/>
    <n v="1.4"/>
    <n v="5.24"/>
    <s v="SQM"/>
    <s v="39.5"/>
    <s v="44.5"/>
    <x v="1"/>
    <m/>
    <s v="Not Required"/>
    <m/>
    <s v="Not Required"/>
    <m/>
    <s v="OK"/>
    <s v="Existing on tower actual - OML 10.58 sqm - No UE  / KSGM -2.97 sqm - No UE  ) - Requested SQM 5.242 -  Change MW and RF Azimuth as per the actual "/>
    <s v="OK"/>
    <m/>
    <m/>
    <s v="No"/>
    <s v="EXISTING TOWER(OP1+OP3(OLD+NEW)):  97.4 %_x000a_EXISTING TOWER(OP1+OP3(OLD)): 97.8 %"/>
    <s v="Not Required"/>
    <m/>
    <m/>
    <m/>
    <m/>
    <s v="Not Required"/>
    <m/>
    <m/>
    <m/>
    <m/>
    <m/>
    <m/>
    <m/>
    <m/>
    <m/>
    <m/>
    <m/>
    <m/>
    <m/>
    <m/>
    <m/>
    <x v="86"/>
    <s v="Not  Calculated"/>
    <n v="0"/>
    <s v="Open File"/>
    <s v="1-01-05027-002 (SGG001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2.xlsx"/>
    <m/>
  </r>
  <r>
    <n v="3353"/>
    <s v="1-01-16011-001"/>
    <x v="1"/>
    <x v="1"/>
    <s v="SHE00089"/>
    <x v="0"/>
    <s v="MPT  Phase 1b Colo"/>
    <s v="On Air"/>
    <s v="Colocation "/>
    <s v="4"/>
    <x v="44"/>
    <m/>
    <n v="4.3"/>
    <n v="4.55"/>
    <s v="SQM"/>
    <s v="48"/>
    <s v="53"/>
    <x v="1"/>
    <m/>
    <s v="Not Required"/>
    <m/>
    <s v="Not Required"/>
    <m/>
    <s v="OK"/>
    <s v="Existing on tower actual - OML - 6.43 sqm - No UE  / KSGM - 5.57sqm - No UE TML 4.41sqm  )Requested SQM 4.546 -  Change RF dimension and add RRU"/>
    <s v="OK"/>
    <m/>
    <m/>
    <s v="No"/>
    <s v="Existing Tower(OML+TML+KSGM(OLD+NEW) =101.3%_x000a_Existing Tower(OML+TML+KSGM(OLD) =100.6%"/>
    <s v="Not Required"/>
    <m/>
    <m/>
    <m/>
    <m/>
    <s v="Not Required"/>
    <m/>
    <m/>
    <m/>
    <m/>
    <m/>
    <m/>
    <m/>
    <m/>
    <m/>
    <m/>
    <m/>
    <m/>
    <m/>
    <m/>
    <m/>
    <x v="86"/>
    <s v="Not  Calculated"/>
    <n v="0"/>
    <s v="Open File"/>
    <s v="1-01-16011-001 (SHE0008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4.xlsx"/>
    <m/>
  </r>
  <r>
    <n v="3354"/>
    <s v="1-01-14003-002"/>
    <x v="1"/>
    <x v="1"/>
    <s v="SHS00117"/>
    <x v="0"/>
    <s v="MPT  Phase 1b Colo"/>
    <s v="On Air"/>
    <s v="Colocation "/>
    <s v="4"/>
    <x v="44"/>
    <m/>
    <n v="3.4"/>
    <n v="3.59"/>
    <s v="SQM"/>
    <s v="48"/>
    <s v="53"/>
    <x v="1"/>
    <m/>
    <s v="Not Required"/>
    <m/>
    <s v="Not Required"/>
    <m/>
    <s v="OK"/>
    <s v="Existing on tower actual - OML - 6.18 sqm - UE Down ( OML accupied area 55.35 - 52.66)  / KSGM - 3.21sqm no UE )Requested SQM 3.586 -  Change RF dimension and add RRU"/>
    <s v="OK"/>
    <m/>
    <m/>
    <s v="No"/>
    <s v="Existing Tower(OML+TML+KSGM(OLD+NEW) =96.6%_x000a_Existing Tower(OML+TML+KSGM(OLD) =96.2%"/>
    <s v="Not Required"/>
    <m/>
    <m/>
    <m/>
    <m/>
    <s v="Not Required"/>
    <m/>
    <m/>
    <m/>
    <m/>
    <m/>
    <m/>
    <m/>
    <m/>
    <m/>
    <m/>
    <m/>
    <m/>
    <m/>
    <m/>
    <m/>
    <x v="86"/>
    <s v="Not  Calculated"/>
    <n v="0"/>
    <s v="Open Fil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r>
  <r>
    <n v="3355"/>
    <s v="1-01-14013-002"/>
    <x v="1"/>
    <x v="1"/>
    <s v="SHS00185"/>
    <x v="0"/>
    <s v="MPT  Phase 1b Colo"/>
    <s v="On Air"/>
    <s v="Colocation "/>
    <s v="2"/>
    <x v="44"/>
    <m/>
    <n v="3.9"/>
    <n v="3.37"/>
    <s v="SQM"/>
    <s v="37"/>
    <s v="42"/>
    <x v="1"/>
    <m/>
    <s v="Not Required"/>
    <m/>
    <s v="Not Required"/>
    <m/>
    <s v="OK"/>
    <s v="Existing on tower actual - OML - 6.63 sqm - No UE  / KSGM - 2.29 sqm no UE  / TML - 3.30 sqm- No UE / Mytel Colo Apps - 4.07sqm ) Requested SQM 3.374 - Change RF dimension and add RRU"/>
    <s v="OK"/>
    <m/>
    <m/>
    <s v="No"/>
    <s v="Strengthened Tower (Mytel Project - Install Completed) :_x000a_OML+TML+MYTEL+KSGM(NEW+OLD) = 94.5%_x000a_OML+TML+MYTEL+KSGM(OLD) = 89.5%"/>
    <s v="Not Required"/>
    <m/>
    <m/>
    <m/>
    <m/>
    <s v="Not Required"/>
    <m/>
    <m/>
    <m/>
    <m/>
    <m/>
    <m/>
    <m/>
    <m/>
    <m/>
    <m/>
    <m/>
    <m/>
    <m/>
    <m/>
    <m/>
    <x v="86"/>
    <s v="Not  Calculated"/>
    <n v="0"/>
    <s v="Open File"/>
    <s v="1-01-14013-002 (SHS001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2 (SHS00185) Application Rev 2.xlsx"/>
    <m/>
  </r>
  <r>
    <n v="3356"/>
    <s v="1-01-06008-002"/>
    <x v="1"/>
    <x v="0"/>
    <s v="TNY00033"/>
    <x v="0"/>
    <s v="MPT  Phase 1b Colo"/>
    <s v="On Air"/>
    <s v="Colocation "/>
    <s v="4"/>
    <x v="44"/>
    <m/>
    <n v="3.3"/>
    <n v="4.3099999999999996"/>
    <s v="SQM"/>
    <s v="48"/>
    <s v="53"/>
    <x v="1"/>
    <m/>
    <s v="Not Required"/>
    <m/>
    <s v="Not Required"/>
    <m/>
    <s v="OK"/>
    <s v="Existing on tower actual - OML - 7.35sqm - No UE  / KSGM - 4.10 sqm no UE  / TML - 4.64 sqm- No UE / Mytel Colo Apps - 4.07sqm )Requested SQM 4.314 - Change RF dimension and add RRU"/>
    <s v="OK"/>
    <m/>
    <m/>
    <s v="No"/>
    <s v="STR TOWER(OML+TML+MYTEL+KSGM(OLD+NEW)):  99.1%_x000a_STR TOWER(OML+TML+MYTEL+KSGM(OLD)): 97.5%"/>
    <s v="Not Required"/>
    <m/>
    <m/>
    <m/>
    <m/>
    <s v="Not Required"/>
    <m/>
    <m/>
    <m/>
    <m/>
    <m/>
    <m/>
    <m/>
    <m/>
    <m/>
    <m/>
    <m/>
    <m/>
    <m/>
    <m/>
    <m/>
    <x v="86"/>
    <s v="Not  Calculated"/>
    <n v="0"/>
    <s v="Open File"/>
    <s v="1-01-06008-002 (TNY0003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4.xlsx"/>
    <m/>
  </r>
  <r>
    <n v="3357"/>
    <s v="1-01-01002-007"/>
    <x v="1"/>
    <x v="2"/>
    <s v="KCN00293"/>
    <x v="0"/>
    <s v="MPT  Phase 1b Colo"/>
    <s v="On Air"/>
    <s v="Colocation "/>
    <s v="2"/>
    <x v="44"/>
    <m/>
    <n v="3.5"/>
    <n v="4.25"/>
    <s v="SQM"/>
    <s v="33"/>
    <s v="38"/>
    <x v="1"/>
    <m/>
    <s v="Not Required"/>
    <m/>
    <s v="Not Required"/>
    <m/>
    <s v="OK"/>
    <s v="Existing on tower actual - OML - 8.70 sqm - No UE  / KSGM - 4.23 sqm no UE  / TML - 3.30 sqm- No UE )Requested SQM 4.254 -Change RF dimension and height, Changed RRU height"/>
    <s v="OK"/>
    <m/>
    <m/>
    <s v="No"/>
    <s v="Existing Tower(OML+TML+KSGM(OLD+NEW) =101.4%_x000a_Existing Tower(OML+TML+KSGM(OLD) =100.8%"/>
    <s v="Not Required"/>
    <m/>
    <m/>
    <m/>
    <m/>
    <s v="Not Required"/>
    <m/>
    <m/>
    <m/>
    <m/>
    <m/>
    <m/>
    <m/>
    <m/>
    <m/>
    <m/>
    <m/>
    <m/>
    <m/>
    <m/>
    <m/>
    <x v="86"/>
    <s v="Not  Calculated"/>
    <n v="0"/>
    <s v="Open File"/>
    <s v="1-01-01002-007 (KCN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2.xlsx"/>
    <m/>
  </r>
  <r>
    <n v="3358"/>
    <s v="1-01-17019-003"/>
    <x v="1"/>
    <x v="0"/>
    <s v="AWD00111"/>
    <x v="0"/>
    <s v="MPT  Phase 1b Colo"/>
    <s v="On Air"/>
    <s v="Colocation "/>
    <s v="2"/>
    <x v="44"/>
    <m/>
    <n v="2.7"/>
    <n v="4.97"/>
    <s v="SQM"/>
    <s v="33"/>
    <s v="38"/>
    <x v="1"/>
    <m/>
    <s v="Not Required"/>
    <m/>
    <s v="Not Required"/>
    <m/>
    <s v="OK"/>
    <s v="Existing on tower actual - OML - 9.14 sqm - No UE  / KSGM - 3.78 sqm no UE  / TML - 3.35 sqm- No UE / Mytel Colo Apps 3.79sqm  )Requested SQM 4.968 - Change RF dimension and added RRU"/>
    <s v="OK"/>
    <m/>
    <m/>
    <s v="No"/>
    <s v="Existing Tower(OML+TML+MYTEL+KSGM(OLD+NEW) =103.3%_x000a_Existing Tower(OML+TML+MYTEL+KSGM(OLD) =102.7%"/>
    <s v="Not Required"/>
    <m/>
    <m/>
    <m/>
    <m/>
    <s v="Not Required"/>
    <m/>
    <m/>
    <m/>
    <m/>
    <m/>
    <m/>
    <m/>
    <m/>
    <m/>
    <m/>
    <m/>
    <m/>
    <m/>
    <m/>
    <m/>
    <x v="86"/>
    <s v="Not  Calculated"/>
    <n v="0"/>
    <s v="Open File"/>
    <s v="1-01-17019-003 (AWD0011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3 (AWD00111) Application Rev 2.xlsx"/>
    <m/>
  </r>
  <r>
    <n v="3359"/>
    <s v="1-01-05027-008"/>
    <x v="1"/>
    <x v="2"/>
    <s v="SGG00158"/>
    <x v="0"/>
    <s v="MPT  Phase 1b Colo"/>
    <s v="On Air"/>
    <s v="Colocation "/>
    <s v="2"/>
    <x v="44"/>
    <m/>
    <n v="2.2999999999999998"/>
    <n v="3.11"/>
    <s v="SQM"/>
    <s v="16"/>
    <s v="21"/>
    <x v="1"/>
    <m/>
    <s v="Not Required"/>
    <m/>
    <s v="Not Required"/>
    <m/>
    <s v="OK"/>
    <s v="Existing on tower actual - OML -6.91 sqm - No UE  / KSGM - 2.83 sqm no UE   )Requested SQM 3.113 - Change MW cables size and ODU dimension/model"/>
    <s v="OK"/>
    <m/>
    <m/>
    <s v="No"/>
    <s v="Existing Tower(OML+ KSGM(OLD+NEW) = 62.4%_x000a_Existing Tower(OML+ KSGM(OLD) = 62.3%"/>
    <s v="Not Required"/>
    <m/>
    <m/>
    <m/>
    <m/>
    <s v="Not Required"/>
    <m/>
    <m/>
    <m/>
    <m/>
    <m/>
    <m/>
    <m/>
    <m/>
    <m/>
    <m/>
    <m/>
    <m/>
    <m/>
    <m/>
    <m/>
    <x v="86"/>
    <s v="Not  Calculated"/>
    <n v="0"/>
    <s v="Open File"/>
    <s v="1-01-05027-008 (SGG0015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2.xlsx"/>
    <m/>
  </r>
  <r>
    <n v="3360"/>
    <s v="1-01-05011-006"/>
    <x v="1"/>
    <x v="2"/>
    <s v="SGG00544"/>
    <x v="0"/>
    <s v="MPT  Phase 1b Colo"/>
    <s v="On Air"/>
    <s v="Colocation "/>
    <s v="3"/>
    <x v="44"/>
    <m/>
    <n v="2.64"/>
    <n v="6.53"/>
    <s v="SQM"/>
    <s v="48"/>
    <s v="53"/>
    <x v="1"/>
    <m/>
    <s v="Not Required"/>
    <m/>
    <s v="Not Required"/>
    <m/>
    <s v="OK"/>
    <s v="Existing on tower actual - OML -7.59 sqm - No UE  / KSGM - 4.16 sqm no UE / TML - 3.87  sqm no UE )Requested SQM 6.525 -add MW as per the actual and Add RF as new additional "/>
    <s v="OK"/>
    <m/>
    <m/>
    <s v="No"/>
    <s v="Existing Tower(OML+TML+KSGM(OLD+NEW) =102.1%_x000a_Existing Tower(OML+TML+KSGM(OLD) =99.2%"/>
    <s v="Not Required"/>
    <m/>
    <m/>
    <m/>
    <m/>
    <s v="Not Required"/>
    <m/>
    <m/>
    <m/>
    <m/>
    <m/>
    <m/>
    <m/>
    <m/>
    <m/>
    <m/>
    <m/>
    <m/>
    <m/>
    <m/>
    <m/>
    <x v="86"/>
    <s v="Not  Calculated"/>
    <n v="0"/>
    <s v="Open File"/>
    <s v="1-01-05011-006 (SGG00544)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6 (SGG00544) Application Rev 3.xlsx"/>
    <m/>
  </r>
  <r>
    <n v="3361"/>
    <s v="1-01-14008-002"/>
    <x v="1"/>
    <x v="1"/>
    <s v="SHS00382"/>
    <x v="0"/>
    <s v="MPT  Phase 1b Colo"/>
    <s v="On Air"/>
    <s v="Colocation "/>
    <s v="2"/>
    <x v="44"/>
    <m/>
    <n v="2.1"/>
    <n v="1.74"/>
    <s v="SQM"/>
    <s v="48"/>
    <s v="53"/>
    <x v="1"/>
    <m/>
    <s v="Not Required"/>
    <m/>
    <s v="Not Required"/>
    <m/>
    <s v="OK"/>
    <s v="Existing on tower actual - OML Not Yet On Air / KSGM - 2.69 sqm no UE / TML - 3.87  sqm no UE )Requested SQM 1.744 -Change RF dimension and added RRU"/>
    <s v="OK"/>
    <m/>
    <m/>
    <s v="No"/>
    <s v="EXISTING TOWER(OML+TML+KSGM(OLD+NEW)):  90.5 %_x000a_EXISTING TOWER(OML+TML+KSGM(OLD)): 91.7%"/>
    <s v="Not Required"/>
    <m/>
    <m/>
    <m/>
    <m/>
    <s v="Not Required"/>
    <m/>
    <m/>
    <m/>
    <m/>
    <m/>
    <m/>
    <m/>
    <m/>
    <m/>
    <m/>
    <m/>
    <m/>
    <m/>
    <m/>
    <m/>
    <x v="86"/>
    <s v="Not  Calculated"/>
    <n v="0"/>
    <s v="Open File"/>
    <s v="1-01-14008-002 (SHS0038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8-002 (SHS00382) Application Rev 2.xlsx"/>
    <m/>
  </r>
  <r>
    <n v="3362"/>
    <s v="1-01-16001-003"/>
    <x v="1"/>
    <x v="1"/>
    <s v="SHE00021"/>
    <x v="0"/>
    <s v="MPT  Phase 1b Colo"/>
    <s v="On Air"/>
    <s v="Colocation "/>
    <s v="1"/>
    <x v="44"/>
    <m/>
    <n v="1.8"/>
    <n v="3.024"/>
    <s v="SQM"/>
    <s v="33"/>
    <s v="38"/>
    <x v="1"/>
    <m/>
    <s v="Not Required"/>
    <m/>
    <s v="Not Required"/>
    <m/>
    <s v="OK"/>
    <s v="Existing on tower actual - OML 7.76sqm / KSGM - 2.08 sqm no UE )Requested SQM 3.024 -Change RF /RRU dimension"/>
    <s v="OK"/>
    <m/>
    <m/>
    <s v="No"/>
    <s v="STR TOWER(OP1+OP3(OLD+NEW)): 79.3%_x000a_STR TOWER(OP1+OP3(OLD)): 76.6%"/>
    <s v="Not Required"/>
    <m/>
    <m/>
    <m/>
    <m/>
    <s v="Not Required"/>
    <m/>
    <m/>
    <m/>
    <m/>
    <m/>
    <m/>
    <m/>
    <m/>
    <m/>
    <m/>
    <m/>
    <m/>
    <m/>
    <m/>
    <m/>
    <x v="86"/>
    <s v="Not  Calculated"/>
    <n v="0"/>
    <s v="Open File"/>
    <s v="1-01-16001-003 (SHE0002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1.xlsx"/>
    <m/>
  </r>
  <r>
    <n v="3363"/>
    <s v="1-01-14001-019"/>
    <x v="1"/>
    <x v="1"/>
    <s v="SHS00259"/>
    <x v="0"/>
    <s v="MPT  Phase 1b Colo"/>
    <s v="On Air"/>
    <s v="Colocation "/>
    <s v="3"/>
    <x v="44"/>
    <m/>
    <n v="4.8"/>
    <n v="5.9880000000000004"/>
    <s v="SQM"/>
    <s v="34.5"/>
    <s v="39.5"/>
    <x v="1"/>
    <m/>
    <s v="Not Required"/>
    <m/>
    <s v="Not Required"/>
    <m/>
    <s v="OK"/>
    <s v="Existing on tower actual - OML 7.24 sqm / KSGM - 2.29 sqm  / Mytel - 1.46  sqm no UE )Requested SQM 5.988 -Change RF dimension and added RRU"/>
    <s v="OK"/>
    <m/>
    <m/>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87"/>
    <n v="35.505113310202432"/>
    <n v="0"/>
    <s v="No File"/>
    <s v="1-01-14001-019 (SHS0025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9 (SHS00259) Application Rev 3.xlsx"/>
    <m/>
  </r>
  <r>
    <n v="3364"/>
    <s v="1-01-15010-002"/>
    <x v="1"/>
    <x v="2"/>
    <s v="SHN00092"/>
    <x v="0"/>
    <s v="MPT  Phase 1b Colo"/>
    <s v="On Air"/>
    <s v="Colocation "/>
    <s v="3"/>
    <x v="44"/>
    <m/>
    <n v="3.88"/>
    <n v="7.4580000000000002"/>
    <s v="SQM"/>
    <s v="33"/>
    <s v="38"/>
    <x v="1"/>
    <m/>
    <s v="Not Required"/>
    <m/>
    <s v="Not Required"/>
    <m/>
    <s v="OK"/>
    <s v="Existing on tower actual - OML 8.67 sqm / KSGM - 4.34 sqm  / TML colo apps  - 4.41 sqm )Requested SQM 7.458 -Added RF as new additional "/>
    <s v="OK"/>
    <m/>
    <m/>
    <s v="No"/>
    <s v="EXISTING TOWER(OML+TML+KSGM(OLD+NEW)):  101 %_x000a_EXISTING TOWER(OML+TML+KSGM(OLD)): 97.2%"/>
    <s v="Not Required"/>
    <m/>
    <m/>
    <m/>
    <m/>
    <s v="Not Required"/>
    <m/>
    <m/>
    <m/>
    <m/>
    <m/>
    <m/>
    <m/>
    <m/>
    <m/>
    <m/>
    <m/>
    <m/>
    <m/>
    <m/>
    <m/>
    <x v="86"/>
    <s v="Not  Calculated"/>
    <n v="0"/>
    <s v="Open File"/>
    <s v="1-01-15010-002 (SHN0009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0-002 (SHN00092) Application Rev 3.xlsx"/>
    <m/>
  </r>
  <r>
    <n v="3365"/>
    <s v="1-01-08002-005"/>
    <x v="1"/>
    <x v="1"/>
    <s v="BGW00115"/>
    <x v="0"/>
    <s v="MPT  Phase 1b Colo"/>
    <s v="On Air"/>
    <s v="Colocation "/>
    <s v="2"/>
    <x v="44"/>
    <m/>
    <n v="3.3"/>
    <n v="2.7519999999999998"/>
    <s v="SQM"/>
    <s v="30.5"/>
    <s v="35.5"/>
    <x v="1"/>
    <m/>
    <s v="Not Required"/>
    <m/>
    <s v="Not Required"/>
    <m/>
    <s v="OK"/>
    <s v="Existing on tower actual - OML 7.16 sqm / KSGM - 3.08 sqm no UE ) Requested SQM 2.752 -Change RF dimension and add RRU"/>
    <s v="OK"/>
    <m/>
    <m/>
    <s v="No"/>
    <s v="Existing Tower(OML+KSGM(OLD+NEW) = 80.1%_x000a_Existing Tower(OML+KSGM(OLD) = 80.7%"/>
    <s v="Not Required"/>
    <m/>
    <m/>
    <m/>
    <m/>
    <s v="Not Required"/>
    <m/>
    <m/>
    <m/>
    <m/>
    <m/>
    <m/>
    <m/>
    <m/>
    <m/>
    <m/>
    <m/>
    <m/>
    <m/>
    <m/>
    <m/>
    <x v="86"/>
    <s v="Not  Calculated"/>
    <n v="0"/>
    <s v="Open File"/>
    <s v="1-01-08002-005 (BGW001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2-005 (BGW00115) Application Rev 2.xlsx"/>
    <m/>
  </r>
  <r>
    <n v="3366"/>
    <s v="1-01-11009-003"/>
    <x v="1"/>
    <x v="0"/>
    <s v="MON00160"/>
    <x v="0"/>
    <s v="MPT  Phase 1b Colo"/>
    <s v="On Air"/>
    <s v="Colocation "/>
    <s v="2"/>
    <x v="44"/>
    <m/>
    <n v="4.8"/>
    <n v="4.4539999999999997"/>
    <s v="SQM"/>
    <s v="52"/>
    <s v="57"/>
    <x v="1"/>
    <m/>
    <s v="Not Required"/>
    <m/>
    <s v="Not Required"/>
    <m/>
    <s v="OK"/>
    <s v="Existing on tower actual - OML 8.09 sqm / KSGM - 2.29 sqm no UE, Mytel colo apps  4.50 sqm  )Requested SQM 4.454- Change RF dimension and add RRU"/>
    <s v="OK"/>
    <m/>
    <m/>
    <s v="No"/>
    <s v="Strengthened Tower (Mytel Project - Install Completed) :_x000a_OML+MYTEL+KSGM(NEW+OLD) = 99.7%_x000a_OML+MYTEL+KSGM(OLD) = 92.2%"/>
    <s v="Not Required"/>
    <m/>
    <m/>
    <m/>
    <m/>
    <s v="Not Required"/>
    <m/>
    <m/>
    <m/>
    <m/>
    <m/>
    <m/>
    <m/>
    <m/>
    <m/>
    <m/>
    <m/>
    <m/>
    <m/>
    <m/>
    <m/>
    <x v="86"/>
    <s v="Not  Calculated"/>
    <n v="0"/>
    <s v="Open File"/>
    <s v="1-01-11009-003 (MON0016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3 (MON00160) Application Rev 2.xlsx"/>
    <m/>
  </r>
  <r>
    <n v="3367"/>
    <s v="1-01-14005-005"/>
    <x v="1"/>
    <x v="1"/>
    <s v="SHS00349"/>
    <x v="0"/>
    <s v="MPT  Phase 1b Colo"/>
    <s v="On Air"/>
    <s v="Colocation "/>
    <s v="4"/>
    <x v="44"/>
    <m/>
    <n v="3.3"/>
    <n v="3.9460000000000002"/>
    <s v="SQM"/>
    <s v="48"/>
    <s v="53"/>
    <x v="1"/>
    <m/>
    <s v="Not Required"/>
    <m/>
    <s v="Not Required"/>
    <m/>
    <s v="OK"/>
    <s v="Existing on tower actual - OML 8.89 sqm / KSGM - 2.97 sqm no UE, TML  4.36 sqm - no UE  )Requested SQM 3.946- Change RF dimension and add RRU"/>
    <s v="OK"/>
    <m/>
    <m/>
    <s v="No"/>
    <s v="EXISTING TOWER(OML+TML+KSGM(OLD+NEW)): 99.5 %_x000a_EXISTING TOWER(OML+TML+KSGM(OLD)): 97.8 %"/>
    <s v="Not Required"/>
    <m/>
    <m/>
    <m/>
    <m/>
    <s v="Not Required"/>
    <m/>
    <m/>
    <m/>
    <m/>
    <m/>
    <m/>
    <m/>
    <m/>
    <m/>
    <m/>
    <m/>
    <m/>
    <m/>
    <m/>
    <m/>
    <x v="86"/>
    <s v="Not  Calculated"/>
    <n v="0"/>
    <s v="Open File"/>
    <s v="1-01-14005-005 (SHS0034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5-005 (SHS00349) Application Rev 4.xlsx"/>
    <m/>
  </r>
  <r>
    <n v="3368"/>
    <s v="1-01-17016-004"/>
    <x v="1"/>
    <x v="0"/>
    <s v="AWD00498"/>
    <x v="0"/>
    <s v="MPT  Phase 1b Colo"/>
    <s v="On Air"/>
    <s v="Colocation "/>
    <s v="2"/>
    <x v="44"/>
    <m/>
    <n v="2.1"/>
    <n v="3.5750000000000002"/>
    <s v="SQM"/>
    <s v="42.5"/>
    <s v="47.5"/>
    <x v="1"/>
    <m/>
    <s v="Not Required"/>
    <m/>
    <s v="Not Required"/>
    <m/>
    <s v="OK"/>
    <s v="Existing on tower actual - OML 9.15 sqm / KSGM - 3.43 sqm no UE, TML  5.00 sqm - no UE  )Requested SQM 3.575- Change RF dimension and add MW"/>
    <s v="OK"/>
    <m/>
    <m/>
    <s v="No"/>
    <s v="Strengthened Tower(OML+TML+KSGM(OLD+NEW)): 101.87%_x000a_Strengthened Tower(OML+TML+KSGM(OLD)): 101.92%"/>
    <s v="Not Required"/>
    <m/>
    <m/>
    <m/>
    <m/>
    <s v="Not Required"/>
    <m/>
    <m/>
    <m/>
    <m/>
    <m/>
    <m/>
    <m/>
    <m/>
    <m/>
    <m/>
    <m/>
    <m/>
    <m/>
    <m/>
    <m/>
    <x v="86"/>
    <s v="Not  Calculated"/>
    <n v="0"/>
    <s v="Open File"/>
    <s v="1-01-17016-004 (AWD004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04 (AWD00498) Application Rev 2.xlsx"/>
    <m/>
  </r>
  <r>
    <n v="3369"/>
    <s v="1-01-13004-002"/>
    <x v="1"/>
    <x v="0"/>
    <s v="YGN00555"/>
    <x v="0"/>
    <s v="MPT  Phase 1b Colo"/>
    <s v="On Air"/>
    <s v="Colocation "/>
    <s v="2"/>
    <x v="44"/>
    <m/>
    <n v="2.4"/>
    <n v="3.5150000000000001"/>
    <s v="SQM"/>
    <s v="33"/>
    <s v="38"/>
    <x v="1"/>
    <m/>
    <s v="Not Required"/>
    <m/>
    <s v="Not Required"/>
    <m/>
    <s v="OK"/>
    <s v="Existing on tower actual - OML 7.49 sqm / KSGM - 3.25 sqm no UE,   )Requested SQM 3.515- Change RF dimension and add MW"/>
    <s v="OK"/>
    <m/>
    <m/>
    <s v="No"/>
    <s v="EXISTING TOWER(OML+KSGM(OLD+NEW)):  80.2 %_x000a_EXISTING TOWER(OML+KSGM(OLD)): 80 %"/>
    <s v="Not Required"/>
    <m/>
    <m/>
    <m/>
    <m/>
    <s v="Not Required"/>
    <m/>
    <m/>
    <m/>
    <m/>
    <m/>
    <m/>
    <m/>
    <m/>
    <m/>
    <m/>
    <m/>
    <m/>
    <m/>
    <m/>
    <m/>
    <x v="86"/>
    <s v="Not  Calculated"/>
    <n v="0"/>
    <s v="Open File"/>
    <s v="1-01-13004-002 (YGN005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2 (YGN00555) Application Rev 2.xlsx"/>
    <m/>
  </r>
  <r>
    <n v="3370"/>
    <s v="1-01-17009-002"/>
    <x v="1"/>
    <x v="0"/>
    <s v="AWD00481"/>
    <x v="0"/>
    <s v="MPT  Phase 1b Colo"/>
    <s v="On Air"/>
    <s v="Tower Share "/>
    <s v="2"/>
    <x v="44"/>
    <m/>
    <n v="0.9"/>
    <n v="2.887"/>
    <s v="SQM"/>
    <s v="42.5"/>
    <s v="47.5"/>
    <x v="1"/>
    <m/>
    <s v="Not Required"/>
    <m/>
    <s v="Not Required"/>
    <m/>
    <s v="OK"/>
    <s v="Existing on tower actual - OML 7.72 sqm / KSGM - 3.42 sqm no UE, TML - 4.94 sqm )Requested SQM 2.887 - Change RF dimension and add MW"/>
    <s v="OK"/>
    <m/>
    <m/>
    <s v="No"/>
    <s v="Existing Tower(OP1+OP4+OP3(OLD+NEW) =103%_x000a_Existing Tower(OP1+OP4+OP3(OLD) =103.9%"/>
    <s v="Not Required"/>
    <m/>
    <m/>
    <m/>
    <m/>
    <s v="Not Required"/>
    <m/>
    <m/>
    <m/>
    <m/>
    <m/>
    <m/>
    <m/>
    <m/>
    <m/>
    <m/>
    <m/>
    <m/>
    <m/>
    <m/>
    <m/>
    <x v="86"/>
    <s v="Not  Calculated"/>
    <n v="0"/>
    <s v="Open File"/>
    <s v="1-01-17009-002 (AWD004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2.xlsx"/>
    <m/>
  </r>
  <r>
    <n v="3371"/>
    <s v="1-01-17008-022"/>
    <x v="1"/>
    <x v="0"/>
    <s v="AWD00548"/>
    <x v="0"/>
    <s v="MPT  Phase 1b Colo"/>
    <s v="On Air"/>
    <s v="Tower Share "/>
    <s v="2"/>
    <x v="44"/>
    <m/>
    <n v="1.5"/>
    <n v="2.9119999999999999"/>
    <s v="SQM"/>
    <s v="24"/>
    <s v="29"/>
    <x v="1"/>
    <m/>
    <s v="Not Required"/>
    <m/>
    <s v="Not Required"/>
    <m/>
    <s v="OK"/>
    <s v="Existing on tower actual - OML 6.71 sqm / KSGM - 2.50 sqm no UE, TML - 4.01 sqm )Requested SQM 2.912 - Change existing Antenna height "/>
    <s v="OK"/>
    <m/>
    <m/>
    <s v="No"/>
    <s v="Existing Tower(OML+TML+KSGM(OLD+NEW) = 91.7%_x000a_Existing Tower(OML+TML+KSGM(OLD) = 91.8%"/>
    <s v="Not Required"/>
    <m/>
    <m/>
    <m/>
    <m/>
    <s v="Not Required"/>
    <m/>
    <m/>
    <m/>
    <m/>
    <m/>
    <m/>
    <m/>
    <m/>
    <m/>
    <m/>
    <m/>
    <m/>
    <m/>
    <m/>
    <m/>
    <x v="86"/>
    <s v="Not  Calculated"/>
    <n v="0"/>
    <s v="Open File"/>
    <s v="1-01-17008-022 (AWD005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8-022 (AWD00548) Application Rev 2.xlsx"/>
    <m/>
  </r>
  <r>
    <n v="3348"/>
    <s v="ANSG_0483"/>
    <x v="0"/>
    <x v="2"/>
    <s v="SGG00406"/>
    <x v="0"/>
    <s v="MPT  Phase 1a Colo"/>
    <s v="On Air"/>
    <s v="Change Request"/>
    <s v="1"/>
    <x v="45"/>
    <m/>
    <n v="1.4"/>
    <n v="5"/>
    <s v="EPA"/>
    <s v="36"/>
    <s v="41"/>
    <x v="1"/>
    <m/>
    <s v="Not Required"/>
    <m/>
    <s v="Rejected"/>
    <s v="Grid request on hold due to high VCC 10 million"/>
    <s v="OK"/>
    <s v="Existing on tower - ( Assume ) Telenor with 5.65 EPA . MPT with 4.84 EPA - Mytel Colo Apps EPA -  6.914"/>
    <s v="OK"/>
    <m/>
    <m/>
    <m/>
    <m/>
    <s v="Not Required"/>
    <m/>
    <m/>
    <m/>
    <s v="Comment below site duplicated"/>
    <s v="Not Required"/>
    <m/>
    <m/>
    <m/>
    <m/>
    <m/>
    <m/>
    <m/>
    <m/>
    <m/>
    <m/>
    <m/>
    <m/>
    <m/>
    <m/>
    <m/>
    <x v="88"/>
    <s v="Not  Calculated"/>
    <n v="0"/>
    <s v="Open File"/>
    <s v="ANSG_0483 (SGG0040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1.xlsx"/>
    <m/>
  </r>
  <r>
    <n v="3349"/>
    <s v="AYYN_0609"/>
    <x v="0"/>
    <x v="0"/>
    <s v="BGE00472"/>
    <x v="0"/>
    <s v="MPT Colocation"/>
    <s v="Under Colo"/>
    <s v="Change Request"/>
    <s v="0"/>
    <x v="45"/>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m/>
    <m/>
    <s v="OK"/>
    <s v="2 weeks"/>
    <m/>
    <m/>
    <s v="BB EoL swap "/>
    <s v="Not Required"/>
    <m/>
    <m/>
    <m/>
    <m/>
    <m/>
    <m/>
    <m/>
    <m/>
    <m/>
    <m/>
    <d v="2018-12-19T09:05:55"/>
    <m/>
    <m/>
    <m/>
    <m/>
    <x v="88"/>
    <s v="Not  Calculated"/>
    <n v="0"/>
    <s v="No File"/>
    <s v="AYYN_0609 (BGE0047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609 (BGE00472) Application Rev 0.xlsx"/>
    <m/>
  </r>
  <r>
    <n v="3351"/>
    <s v="AYYN_0529"/>
    <x v="0"/>
    <x v="0"/>
    <s v="YGN00500"/>
    <x v="0"/>
    <s v="MPT  Phase 1a Colo"/>
    <s v="On Air"/>
    <s v="Change Request"/>
    <s v="0"/>
    <x v="45"/>
    <m/>
    <n v="2.1"/>
    <m/>
    <s v="EPA"/>
    <s v="25"/>
    <s v="30"/>
    <x v="1"/>
    <m/>
    <s v="Not Required"/>
    <m/>
    <s v="OK"/>
    <m/>
    <s v="OK"/>
    <s v="Existing on tower - ( Assume ) Telenor with 4.65 EPA .MPT with 4.70 EPA "/>
    <m/>
    <m/>
    <m/>
    <m/>
    <m/>
    <s v="OK"/>
    <s v="1 week"/>
    <m/>
    <m/>
    <m/>
    <s v="Not Required"/>
    <m/>
    <m/>
    <m/>
    <m/>
    <m/>
    <m/>
    <m/>
    <m/>
    <m/>
    <m/>
    <d v="2018-12-19T09:05:55"/>
    <m/>
    <m/>
    <m/>
    <m/>
    <x v="88"/>
    <s v="Not  Calculated"/>
    <n v="0"/>
    <s v="No File"/>
    <s v="AYYN_0529 (YGN0050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29 (YGN00500) Application Rev 0.xlsx"/>
    <m/>
  </r>
  <r>
    <n v="655"/>
    <s v="ANNP_0256"/>
    <x v="0"/>
    <x v="1"/>
    <s v="NPW2249"/>
    <x v="2"/>
    <s v="Colocation"/>
    <m/>
    <s v="Colocation"/>
    <m/>
    <x v="46"/>
    <m/>
    <n v="3"/>
    <n v="6"/>
    <s v="EPA"/>
    <s v="30"/>
    <s v="35"/>
    <x v="2"/>
    <m/>
    <s v="OK"/>
    <s v="13-Sep-18: Okay for TI installation,  Lease hike request may raise while TI installation"/>
    <s v="OK"/>
    <m/>
    <m/>
    <m/>
    <m/>
    <m/>
    <m/>
    <m/>
    <m/>
    <s v="OK"/>
    <s v="1 week"/>
    <m/>
    <m/>
    <m/>
    <m/>
    <m/>
    <m/>
    <m/>
    <m/>
    <m/>
    <m/>
    <m/>
    <m/>
    <m/>
    <m/>
    <d v="2018-11-13T16:09:12"/>
    <m/>
    <m/>
    <d v="2018-11-13T16:30:57"/>
    <d v="2018-11-13T16:25:49"/>
    <x v="89"/>
    <s v="Not  Calculated"/>
    <n v="0"/>
    <s v="No File"/>
    <s v="ANNP_0256 (NPW2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56 (NPW2249) Application.xlsx"/>
    <m/>
  </r>
  <r>
    <n v="648"/>
    <s v="ACAY_0154"/>
    <x v="0"/>
    <x v="0"/>
    <s v="AYW5603"/>
    <x v="2"/>
    <s v="OML Phase 2 Colo"/>
    <s v="On Air"/>
    <s v="Colocation"/>
    <m/>
    <x v="47"/>
    <m/>
    <n v="3"/>
    <n v="6"/>
    <s v="EPA"/>
    <s v="23"/>
    <s v="28"/>
    <x v="1"/>
    <m/>
    <s v="OK"/>
    <s v="13-Sep-18: Okay for TI installation,  Lease hike request may raise while TI installation"/>
    <s v="OK"/>
    <m/>
    <s v="OK"/>
    <m/>
    <s v="Not Required"/>
    <m/>
    <m/>
    <s v="No"/>
    <m/>
    <s v="OK"/>
    <s v="1 week"/>
    <m/>
    <m/>
    <s v="NOTE: site has 24/7 DG run restriction"/>
    <s v="OK"/>
    <s v="No"/>
    <m/>
    <m/>
    <m/>
    <m/>
    <m/>
    <m/>
    <m/>
    <m/>
    <d v="2018-11-13T14:56:12"/>
    <d v="2018-11-13T16:09:11"/>
    <m/>
    <d v="2018-11-13T17:30:58"/>
    <d v="2018-11-13T16:30:57"/>
    <d v="2018-11-13T16:25:48"/>
    <x v="90"/>
    <s v="Not  Calculated"/>
    <n v="0"/>
    <s v="No File"/>
    <s v="ACAY_0154 (AYW56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54 (AYW5603) Application.xlsx"/>
    <m/>
  </r>
  <r>
    <n v="649"/>
    <s v="ACAY_0056"/>
    <x v="0"/>
    <x v="0"/>
    <s v="AYW5611"/>
    <x v="2"/>
    <s v="OML Phase 2 Colo"/>
    <s v="On Air"/>
    <s v="Colocation"/>
    <m/>
    <x v="47"/>
    <m/>
    <n v="3"/>
    <n v="6"/>
    <s v="EPA"/>
    <s v="23"/>
    <s v="28"/>
    <x v="1"/>
    <m/>
    <s v="OK"/>
    <s v="13-Sep-18: Okay for TI installation,  Lease hike request may raise while TI installation"/>
    <s v="OK"/>
    <m/>
    <s v="OK"/>
    <m/>
    <s v="Not Required"/>
    <m/>
    <m/>
    <s v="No"/>
    <m/>
    <s v="OK"/>
    <s v="2 weeks"/>
    <m/>
    <m/>
    <s v="BB EoL swap &amp; expansion + DG upgrade needed"/>
    <s v="OK"/>
    <s v="No"/>
    <m/>
    <m/>
    <m/>
    <m/>
    <m/>
    <m/>
    <m/>
    <m/>
    <d v="2018-11-13T14:56:12"/>
    <d v="2018-11-13T16:09:12"/>
    <m/>
    <d v="2018-11-13T17:30:58"/>
    <d v="2018-11-13T16:30:57"/>
    <d v="2018-11-13T16:25:48"/>
    <x v="90"/>
    <s v="Not  Calculated"/>
    <n v="0"/>
    <s v="No File"/>
    <s v="ACAY_0056 (AYW56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6 (AYW5611) Application.xlsx"/>
    <m/>
  </r>
  <r>
    <n v="650"/>
    <s v="ACAY_0138"/>
    <x v="0"/>
    <x v="0"/>
    <s v="AYW5612"/>
    <x v="2"/>
    <s v="Colocation"/>
    <m/>
    <s v="Colocation"/>
    <m/>
    <x v="47"/>
    <m/>
    <n v="3"/>
    <n v="6"/>
    <s v="EPA"/>
    <s v="26"/>
    <s v="31"/>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90"/>
    <s v="Not  Calculated"/>
    <n v="0"/>
    <s v="No File"/>
    <s v="ACAY_0138 (AYW56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38 (AYW5612) Application.xlsx"/>
    <m/>
  </r>
  <r>
    <n v="651"/>
    <s v="ACBA_0256"/>
    <x v="0"/>
    <x v="1"/>
    <s v="BAW5598"/>
    <x v="2"/>
    <s v="Colocation"/>
    <m/>
    <s v="Colocation"/>
    <m/>
    <x v="47"/>
    <m/>
    <n v="3"/>
    <n v="6"/>
    <s v="EPA"/>
    <s v="27"/>
    <s v="32"/>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90"/>
    <s v="Not  Calculated"/>
    <n v="0"/>
    <s v="No File"/>
    <s v="ACBA_0256 (BAW55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6 (BAW5598) Application.xlsx"/>
    <m/>
  </r>
  <r>
    <n v="652"/>
    <s v="ASMO_0161"/>
    <x v="0"/>
    <x v="0"/>
    <s v="MOW6321"/>
    <x v="2"/>
    <s v="OML Phase 2 Colo"/>
    <s v="On Air"/>
    <s v="Colocation"/>
    <m/>
    <x v="47"/>
    <m/>
    <n v="3"/>
    <n v="6"/>
    <s v="EPA"/>
    <s v="31"/>
    <s v="36"/>
    <x v="1"/>
    <m/>
    <s v="OK"/>
    <s v="13-Sep-18: Okay for TI installation as owner is okay, Team has to be much quite while OML installation as ward and Nieghbour may raise concern."/>
    <s v="OK"/>
    <m/>
    <s v="OK"/>
    <m/>
    <s v="Not Required"/>
    <m/>
    <m/>
    <s v="No"/>
    <m/>
    <s v="OK"/>
    <s v="2 weeks"/>
    <m/>
    <m/>
    <s v="NOTE: site has 24/7 DG run restriction BB Eol swap &amp; expansion + DG UG"/>
    <s v="OK"/>
    <s v="No"/>
    <s v="need to relocate DCDB pole"/>
    <m/>
    <m/>
    <m/>
    <m/>
    <m/>
    <m/>
    <m/>
    <d v="2018-11-13T14:56:12"/>
    <d v="2018-11-13T16:09:12"/>
    <m/>
    <d v="2018-11-13T17:30:58"/>
    <d v="2018-11-13T16:30:57"/>
    <d v="2018-11-13T16:25:48"/>
    <x v="90"/>
    <s v="Not  Calculated"/>
    <n v="0"/>
    <s v="No File"/>
    <s v="ASMO_0161 (MOW63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1 (MOW6321) Application.xlsx"/>
    <m/>
  </r>
  <r>
    <n v="653"/>
    <s v="ACBA_0104"/>
    <x v="0"/>
    <x v="1"/>
    <s v="BAW5607"/>
    <x v="2"/>
    <s v="OML Phase 2 Colo"/>
    <s v="On Air"/>
    <s v="Colocation"/>
    <m/>
    <x v="47"/>
    <m/>
    <n v="3"/>
    <n v="6"/>
    <s v="EPA"/>
    <s v="35"/>
    <s v="40"/>
    <x v="1"/>
    <m/>
    <s v="OK"/>
    <s v="13-Sep-18: Okay for TI installation,  Lease hike request may raise while TI installation"/>
    <s v="OK"/>
    <m/>
    <s v="OK"/>
    <m/>
    <s v="Not Required"/>
    <m/>
    <m/>
    <s v="No"/>
    <m/>
    <s v="OK"/>
    <s v="2 weeks"/>
    <m/>
    <m/>
    <s v="monitor Grid &amp; battery performance - BB UG may be requiured "/>
    <s v="Not Required"/>
    <m/>
    <m/>
    <m/>
    <m/>
    <m/>
    <m/>
    <m/>
    <m/>
    <m/>
    <d v="2018-11-13T14:56:12"/>
    <d v="2018-11-13T16:09:12"/>
    <m/>
    <m/>
    <d v="2018-11-13T16:30:57"/>
    <d v="2018-11-13T16:25:49"/>
    <x v="90"/>
    <s v="Not  Calculated"/>
    <n v="0"/>
    <s v="No File"/>
    <s v="ACBA_0104 (BAW56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4 (BAW5607) Application.xlsx"/>
    <m/>
  </r>
  <r>
    <n v="654"/>
    <s v="ACBA_0099"/>
    <x v="0"/>
    <x v="1"/>
    <s v="BAW5608"/>
    <x v="2"/>
    <s v="OML Phase 2 Colo"/>
    <s v="On Air"/>
    <s v="Colocation"/>
    <m/>
    <x v="47"/>
    <m/>
    <n v="3"/>
    <n v="6"/>
    <s v="EPA"/>
    <s v="23"/>
    <s v="28"/>
    <x v="1"/>
    <m/>
    <s v="OK"/>
    <s v="13-Sep-18: Okay for TI installation,  Lease hike request may raise while TI installation"/>
    <s v="OK"/>
    <m/>
    <s v="OK"/>
    <m/>
    <s v="Not Required"/>
    <m/>
    <m/>
    <s v="No"/>
    <m/>
    <s v="OK"/>
    <s v="2wee"/>
    <m/>
    <m/>
    <s v="BB EoL swap - monitor grid performance - DG UG if poor grid"/>
    <s v="Not Required"/>
    <m/>
    <m/>
    <m/>
    <m/>
    <m/>
    <m/>
    <m/>
    <m/>
    <m/>
    <d v="2018-11-13T14:56:12"/>
    <d v="2018-11-13T16:09:12"/>
    <m/>
    <m/>
    <d v="2018-11-13T16:30:57"/>
    <d v="2018-11-13T16:25:49"/>
    <x v="90"/>
    <s v="Not  Calculated"/>
    <n v="0"/>
    <s v="No File"/>
    <s v="ACBA_0099 (BAW56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9 (BAW5608) Application.xlsx"/>
    <m/>
  </r>
  <r>
    <n v="275"/>
    <s v="ANMD_0011"/>
    <x v="0"/>
    <x v="2"/>
    <s v="MDYAMTZ017"/>
    <x v="1"/>
    <s v="Colocation"/>
    <m/>
    <s v="Colocation"/>
    <m/>
    <x v="48"/>
    <m/>
    <n v="2.5"/>
    <n v="3"/>
    <s v="EPA"/>
    <s v="13.5"/>
    <s v="16.5"/>
    <x v="1"/>
    <m/>
    <s v="OK"/>
    <m/>
    <s v="OK"/>
    <m/>
    <s v="OK"/>
    <m/>
    <m/>
    <m/>
    <m/>
    <m/>
    <s v="Waiting for review BA report"/>
    <s v="OK"/>
    <s v="1 week"/>
    <m/>
    <m/>
    <s v="AC connect?"/>
    <s v="Not Required"/>
    <m/>
    <m/>
    <s v="Not Required"/>
    <m/>
    <m/>
    <s v="Not Required"/>
    <m/>
    <s v="Approved by Management"/>
    <s v="Kitcha agreed on 26 Dec 18 to proceed and accepted the BA report."/>
    <d v="2018-11-13T14:56:11"/>
    <d v="2018-11-13T16:09:11"/>
    <m/>
    <m/>
    <d v="2018-11-20T08:50:53"/>
    <d v="2018-12-28T11:37:59"/>
    <x v="91"/>
    <n v="135.48471388890175"/>
    <n v="0"/>
    <s v="No File"/>
    <s v="ANMD_0011 (MDYAMTZ017)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1 (MDYAMTZ017) Application.xlsx"/>
    <m/>
  </r>
  <r>
    <n v="276"/>
    <s v="ANMD_0097"/>
    <x v="0"/>
    <x v="2"/>
    <s v="MDYCMTZ034"/>
    <x v="1"/>
    <s v="Amara Phase 1"/>
    <s v="RFI"/>
    <s v="Colocation"/>
    <m/>
    <x v="48"/>
    <m/>
    <n v="2.5"/>
    <n v="3"/>
    <s v="EPA"/>
    <s v="16"/>
    <s v="21"/>
    <x v="1"/>
    <s v="Colo Application already approved on 18th Sep."/>
    <s v="OK"/>
    <s v="13-Sep-18: Okay for TI installation,  Lease hike request may raise while TI installation"/>
    <s v="OK"/>
    <m/>
    <s v="OK"/>
    <m/>
    <m/>
    <m/>
    <m/>
    <s v="No"/>
    <m/>
    <m/>
    <m/>
    <m/>
    <m/>
    <m/>
    <m/>
    <m/>
    <m/>
    <m/>
    <m/>
    <m/>
    <m/>
    <m/>
    <m/>
    <m/>
    <m/>
    <m/>
    <m/>
    <m/>
    <m/>
    <m/>
    <x v="92"/>
    <s v="Not  Calculated"/>
    <n v="0"/>
    <s v="No File"/>
    <s v="ANMD_0097 (MDYCMTZ03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7 (MDYCMTZ034) Application.xlsx"/>
    <m/>
  </r>
  <r>
    <n v="266"/>
    <s v="AYYN_0021"/>
    <x v="0"/>
    <x v="0"/>
    <s v="YGN0821"/>
    <x v="3"/>
    <s v="Mytel Phase 1a Colo"/>
    <s v="On Air"/>
    <s v="Colocation"/>
    <m/>
    <x v="49"/>
    <m/>
    <n v="2"/>
    <m/>
    <s v="EPA"/>
    <s v="45"/>
    <s v="50"/>
    <x v="1"/>
    <m/>
    <s v="OK"/>
    <s v="Lease hike may raise"/>
    <s v="OK"/>
    <m/>
    <s v="OK"/>
    <m/>
    <s v="OK"/>
    <m/>
    <m/>
    <m/>
    <s v="Ok, if no extension"/>
    <s v="OK"/>
    <s v="1 week after approval DCDB only"/>
    <m/>
    <m/>
    <s v="BB EOL swap needed"/>
    <s v="OK"/>
    <m/>
    <m/>
    <m/>
    <m/>
    <m/>
    <m/>
    <m/>
    <m/>
    <m/>
    <m/>
    <d v="2018-12-19T09:05:54"/>
    <m/>
    <m/>
    <m/>
    <m/>
    <x v="0"/>
    <s v="Not  Calculated"/>
    <n v="0"/>
    <s v="No File"/>
    <s v="AYYN_0021 (YGN082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21 (YGN0821) Application.xlsx"/>
    <m/>
  </r>
  <r>
    <n v="267"/>
    <s v="AYYN_0530"/>
    <x v="0"/>
    <x v="0"/>
    <s v="YGN1353"/>
    <x v="3"/>
    <s v="Colocation"/>
    <m/>
    <s v="Colocation"/>
    <m/>
    <x v="49"/>
    <m/>
    <m/>
    <m/>
    <s v="EPA"/>
    <s v="15"/>
    <s v="20"/>
    <x v="3"/>
    <s v="Rejected due to structurally overload issue &amp; Owner Issue"/>
    <s v="Rejected"/>
    <s v="Located on school building not possible to install new pole"/>
    <s v="OK"/>
    <m/>
    <s v="OK"/>
    <m/>
    <s v="Review"/>
    <m/>
    <m/>
    <m/>
    <s v="Review, Steel structure building, need to add new pole,"/>
    <s v="OK"/>
    <s v="1 week after approval DCDB only"/>
    <m/>
    <m/>
    <s v="Need to relocate DCDB pole… future proof for poss 3rd tenant relocate TN BTS also"/>
    <s v="OK"/>
    <m/>
    <m/>
    <m/>
    <m/>
    <m/>
    <m/>
    <m/>
    <m/>
    <m/>
    <m/>
    <d v="2018-12-19T09:05:54"/>
    <m/>
    <m/>
    <m/>
    <m/>
    <x v="93"/>
    <s v="Not  Calculated"/>
    <n v="0"/>
    <s v="No File"/>
    <s v="AYYN_0530 (YGN13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30 (YGN1353) Application.xlsx"/>
    <m/>
  </r>
  <r>
    <n v="268"/>
    <s v="1-01-05018-005"/>
    <x v="1"/>
    <x v="2"/>
    <s v="SGG0351"/>
    <x v="3"/>
    <s v="Mytel Phase 1b Colo"/>
    <s v="RFI"/>
    <s v="Colocation"/>
    <m/>
    <x v="49"/>
    <m/>
    <n v="2"/>
    <m/>
    <s v="EPA"/>
    <s v="55"/>
    <s v="60"/>
    <x v="1"/>
    <m/>
    <s v="OK"/>
    <s v="Lease hike may raise"/>
    <s v="OK"/>
    <m/>
    <s v="OK"/>
    <m/>
    <s v="OK"/>
    <m/>
    <m/>
    <m/>
    <s v="Ok, If no extension"/>
    <s v="OK"/>
    <s v="1 week after approval DCDB only"/>
    <m/>
    <m/>
    <s v="BB EOL swap needed"/>
    <s v="OK"/>
    <m/>
    <m/>
    <m/>
    <m/>
    <m/>
    <m/>
    <m/>
    <m/>
    <m/>
    <m/>
    <d v="2018-12-19T09:05:54"/>
    <m/>
    <m/>
    <m/>
    <m/>
    <x v="0"/>
    <s v="Not  Calculated"/>
    <n v="0"/>
    <s v="No File"/>
    <s v="1-01-05018-005 (SGG035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5018-005 (SGG0351) Application.xlsx"/>
    <m/>
  </r>
  <r>
    <n v="269"/>
    <s v="AYYN_0323"/>
    <x v="0"/>
    <x v="0"/>
    <s v="YGN1545"/>
    <x v="3"/>
    <s v="Mytel Phase 1a Colo"/>
    <s v="On Air"/>
    <s v="Colocation"/>
    <m/>
    <x v="49"/>
    <m/>
    <n v="2"/>
    <m/>
    <s v="EPA"/>
    <s v="21"/>
    <s v="26"/>
    <x v="1"/>
    <m/>
    <s v="OK"/>
    <s v="Lease hike may raise"/>
    <s v="OK"/>
    <m/>
    <s v="OK"/>
    <m/>
    <s v="Review"/>
    <m/>
    <m/>
    <s v="No"/>
    <s v="Review, need to change wind speed from 160kph to 195kph"/>
    <s v="OK"/>
    <s v="1 week after approval DCDB only"/>
    <m/>
    <m/>
    <s v="BB EOL swap needed"/>
    <s v="OK"/>
    <m/>
    <m/>
    <m/>
    <m/>
    <m/>
    <m/>
    <m/>
    <m/>
    <m/>
    <m/>
    <d v="2018-12-19T09:05:54"/>
    <m/>
    <m/>
    <m/>
    <m/>
    <x v="93"/>
    <s v="Not  Calculated"/>
    <n v="0"/>
    <s v="No File"/>
    <s v="AYYN_0323 (YGN154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23 (YGN1545) Application.xlsx"/>
    <m/>
  </r>
  <r>
    <n v="270"/>
    <s v="ANMG_0076"/>
    <x v="0"/>
    <x v="1"/>
    <s v="MGY0061"/>
    <x v="3"/>
    <s v="Mytel Phase 1a Colo"/>
    <s v="On Air"/>
    <s v="Colocation"/>
    <m/>
    <x v="49"/>
    <m/>
    <m/>
    <m/>
    <s v="EPA"/>
    <s v="35"/>
    <s v="40"/>
    <x v="1"/>
    <m/>
    <s v="OK"/>
    <s v="Lease hike may raise"/>
    <s v="OK"/>
    <m/>
    <s v="OK"/>
    <m/>
    <s v="OK"/>
    <m/>
    <m/>
    <m/>
    <s v="Ok, If no extension"/>
    <s v="OK"/>
    <s v="1 week after approval DCDB only"/>
    <m/>
    <m/>
    <s v="BB EOL swap needed"/>
    <s v="OK"/>
    <m/>
    <m/>
    <m/>
    <m/>
    <m/>
    <m/>
    <m/>
    <m/>
    <m/>
    <m/>
    <d v="2018-12-19T09:05:54"/>
    <m/>
    <m/>
    <m/>
    <m/>
    <x v="0"/>
    <s v="Not  Calculated"/>
    <n v="0"/>
    <s v="No File"/>
    <s v="ANMG_0076 (MGY006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76 (MGY0061) Application.xlsx"/>
    <m/>
  </r>
  <r>
    <n v="271"/>
    <s v="AYYN_0499"/>
    <x v="0"/>
    <x v="0"/>
    <s v="YGN1337"/>
    <x v="3"/>
    <s v="Colocation"/>
    <m/>
    <s v="Colocation"/>
    <m/>
    <x v="50"/>
    <m/>
    <m/>
    <m/>
    <s v="EPA"/>
    <s v="31.5"/>
    <s v="35"/>
    <x v="4"/>
    <m/>
    <s v="OK"/>
    <m/>
    <s v="OK"/>
    <m/>
    <s v="OK"/>
    <m/>
    <s v="Rejected"/>
    <m/>
    <m/>
    <m/>
    <s v="Rejected"/>
    <s v="OK"/>
    <m/>
    <m/>
    <m/>
    <m/>
    <s v="OK"/>
    <m/>
    <m/>
    <m/>
    <m/>
    <m/>
    <m/>
    <m/>
    <m/>
    <m/>
    <m/>
    <d v="2018-12-19T09:05:54"/>
    <m/>
    <m/>
    <m/>
    <m/>
    <x v="0"/>
    <s v="Not  Calculated"/>
    <n v="0"/>
    <s v="No File"/>
    <s v="AYYN_0499 (YGN133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499 (YGN1337) Application.xlsx"/>
    <m/>
  </r>
  <r>
    <n v="272"/>
    <s v="ASMO_0254"/>
    <x v="0"/>
    <x v="0"/>
    <s v="MON0014"/>
    <x v="3"/>
    <s v="Colocation"/>
    <m/>
    <s v="Colocation"/>
    <m/>
    <x v="50"/>
    <m/>
    <m/>
    <m/>
    <s v="EPA"/>
    <s v="30"/>
    <s v="35"/>
    <x v="3"/>
    <s v="Rejected from Community &amp; Power from Community &amp; Power. site is down due to lack of grid connection"/>
    <s v="OK"/>
    <m/>
    <s v="Rejected"/>
    <s v="Site is down due to lack of grid connection"/>
    <s v="OK"/>
    <m/>
    <s v="OK"/>
    <m/>
    <m/>
    <m/>
    <s v=" Ok"/>
    <s v="Rejected"/>
    <m/>
    <m/>
    <m/>
    <m/>
    <s v="OK"/>
    <m/>
    <m/>
    <m/>
    <m/>
    <m/>
    <m/>
    <m/>
    <m/>
    <m/>
    <m/>
    <m/>
    <m/>
    <m/>
    <m/>
    <m/>
    <x v="94"/>
    <s v="Not  Calculated"/>
    <n v="0"/>
    <s v="No File"/>
    <s v="ASMO_0254 (MO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54 (MON0014) Application.xlsx"/>
    <m/>
  </r>
  <r>
    <n v="273"/>
    <s v="ANNP_0329"/>
    <x v="0"/>
    <x v="1"/>
    <s v="NPW0281"/>
    <x v="3"/>
    <s v="Mytel Phase 1a Colo"/>
    <s v="On Air"/>
    <s v="Colocation"/>
    <m/>
    <x v="50"/>
    <m/>
    <n v="2"/>
    <m/>
    <s v="EPA"/>
    <s v="55"/>
    <s v="60"/>
    <x v="1"/>
    <m/>
    <s v="OK"/>
    <m/>
    <s v="OK"/>
    <m/>
    <s v="OK"/>
    <m/>
    <s v="OK"/>
    <m/>
    <m/>
    <m/>
    <s v="Ok"/>
    <s v="OK"/>
    <m/>
    <m/>
    <m/>
    <m/>
    <s v="OK"/>
    <m/>
    <m/>
    <m/>
    <m/>
    <m/>
    <m/>
    <m/>
    <m/>
    <m/>
    <m/>
    <d v="2018-12-19T09:05:54"/>
    <m/>
    <m/>
    <m/>
    <m/>
    <x v="0"/>
    <s v="Not  Calculated"/>
    <n v="0"/>
    <s v="No File"/>
    <s v="ANNP_0329 (NPW028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29 (NPW0281) Application.xlsx"/>
    <m/>
  </r>
  <r>
    <n v="265"/>
    <s v="ANMD_0080"/>
    <x v="0"/>
    <x v="2"/>
    <s v="MAW2380"/>
    <x v="2"/>
    <s v="OML Phase 2 Colo"/>
    <s v="On Air"/>
    <s v="Colocation"/>
    <m/>
    <x v="51"/>
    <m/>
    <n v="3"/>
    <n v="6.5"/>
    <s v="EPA"/>
    <s v="15"/>
    <s v="20"/>
    <x v="1"/>
    <m/>
    <s v="OK"/>
    <s v="15-Aug-18: Okay for TI installation,  Lease hike request may raise while TI installation"/>
    <s v="OK"/>
    <m/>
    <s v="OK"/>
    <s v="RF Height - 15M-20M MW Height- 32M-35M (If there is LOS blockage)"/>
    <s v="Not Required"/>
    <m/>
    <m/>
    <s v="No"/>
    <m/>
    <s v="OK"/>
    <m/>
    <m/>
    <m/>
    <m/>
    <s v="OK"/>
    <s v="Yes"/>
    <s v="New extension slab (2m x 1m)"/>
    <m/>
    <m/>
    <m/>
    <m/>
    <m/>
    <m/>
    <m/>
    <d v="2018-11-13T14:56:11"/>
    <d v="2018-11-13T16:09:11"/>
    <m/>
    <d v="2018-11-13T17:30:58"/>
    <d v="2018-11-13T16:30:56"/>
    <d v="2018-11-13T16:25:48"/>
    <x v="95"/>
    <s v="Not  Calculated"/>
    <n v="0"/>
    <s v="No File"/>
    <s v="ANMD_0080 (MAW238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80 (MAW2380) Application.xlsx"/>
    <m/>
  </r>
  <r>
    <n v="259"/>
    <s v="ANMD_0122"/>
    <x v="0"/>
    <x v="2"/>
    <s v="MAW2969"/>
    <x v="2"/>
    <s v="Colocation"/>
    <m/>
    <s v="Colocation"/>
    <m/>
    <x v="52"/>
    <m/>
    <n v="3"/>
    <n v="6"/>
    <s v="EPA"/>
    <m/>
    <m/>
    <x v="2"/>
    <m/>
    <s v="OK"/>
    <s v="17-July-18: Lease hike request may come up while installtion of OML."/>
    <s v="OK"/>
    <m/>
    <s v="OK"/>
    <s v="At this is ok after TSS will confirm available height"/>
    <s v="Review"/>
    <m/>
    <m/>
    <s v="No"/>
    <s v="RT site need TSSR"/>
    <s v="Review"/>
    <m/>
    <m/>
    <m/>
    <s v="PE UG NEEDED"/>
    <m/>
    <m/>
    <m/>
    <m/>
    <m/>
    <m/>
    <m/>
    <m/>
    <m/>
    <m/>
    <m/>
    <m/>
    <m/>
    <m/>
    <m/>
    <m/>
    <x v="0"/>
    <s v="Not  Calculated"/>
    <n v="0"/>
    <s v="No File"/>
    <s v="ANMD_0122 (MAW29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22 (MAW2969) Application.xlsx"/>
    <m/>
  </r>
  <r>
    <n v="260"/>
    <s v="ANMD_0181"/>
    <x v="0"/>
    <x v="2"/>
    <s v="MAW2836"/>
    <x v="2"/>
    <s v="Colocation"/>
    <m/>
    <s v="Colocation"/>
    <m/>
    <x v="52"/>
    <m/>
    <n v="3"/>
    <n v="6"/>
    <s v="EPA"/>
    <m/>
    <m/>
    <x v="2"/>
    <m/>
    <s v="OK"/>
    <s v="17-July-18: Lease hike request may come up while installtion of OML."/>
    <s v="OK"/>
    <m/>
    <s v="OK"/>
    <s v="At this is ok after TSS will confirm available height"/>
    <s v="OK"/>
    <m/>
    <m/>
    <s v="No"/>
    <m/>
    <s v="Review"/>
    <m/>
    <m/>
    <m/>
    <s v="Flex SS1 K10 UG BB DG+ Grid"/>
    <m/>
    <m/>
    <m/>
    <m/>
    <m/>
    <m/>
    <m/>
    <m/>
    <m/>
    <m/>
    <m/>
    <m/>
    <m/>
    <m/>
    <m/>
    <m/>
    <x v="0"/>
    <s v="Not  Calculated"/>
    <n v="0"/>
    <s v="No File"/>
    <s v="ANMD_0181 (MAW28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81 (MAW2836) Application.xlsx"/>
    <m/>
  </r>
  <r>
    <n v="261"/>
    <s v="ANSH_0044"/>
    <x v="0"/>
    <x v="1"/>
    <s v="SHW1986"/>
    <x v="2"/>
    <s v="OML Phase 2 Colo"/>
    <s v="RFI"/>
    <s v="Colocation"/>
    <m/>
    <x v="52"/>
    <m/>
    <n v="3"/>
    <n v="6"/>
    <s v="EPA"/>
    <m/>
    <m/>
    <x v="1"/>
    <m/>
    <s v="OK"/>
    <s v="17-July-18: Lease hike request may come up while installtion of OML."/>
    <s v="OK"/>
    <m/>
    <s v="OK"/>
    <s v="At this is ok after TSS will confirm available height"/>
    <s v="OK"/>
    <m/>
    <m/>
    <s v="No"/>
    <m/>
    <s v="Review"/>
    <m/>
    <m/>
    <m/>
    <s v="Flex SS1 K10 UG BB DG+ Grid"/>
    <m/>
    <m/>
    <m/>
    <m/>
    <m/>
    <m/>
    <m/>
    <m/>
    <m/>
    <m/>
    <m/>
    <m/>
    <m/>
    <m/>
    <m/>
    <m/>
    <x v="0"/>
    <s v="Not  Calculated"/>
    <n v="0"/>
    <s v="No File"/>
    <s v="ANSH_0044 (SHW1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44 (SHW1986) Application.xlsx"/>
    <m/>
  </r>
  <r>
    <n v="258"/>
    <s v="AYYN_0413"/>
    <x v="0"/>
    <x v="0"/>
    <s v="YGNTKTA008"/>
    <x v="1"/>
    <s v="Amara Phase 1"/>
    <s v="RFI"/>
    <s v="Colocation"/>
    <m/>
    <x v="53"/>
    <m/>
    <n v="1.9"/>
    <n v="3"/>
    <s v="EPA"/>
    <s v="12.77"/>
    <s v="17.77"/>
    <x v="1"/>
    <m/>
    <s v="OK"/>
    <s v="10-July-18: Lease hike approved, okay for TI installtion."/>
    <s v="OK"/>
    <m/>
    <s v="OK"/>
    <s v="OK"/>
    <s v="OK"/>
    <m/>
    <m/>
    <s v="No"/>
    <s v="Need to add new pole, need to do building Analysis"/>
    <s v="OK"/>
    <s v="1 wk after site survey complete colo appl approved"/>
    <m/>
    <m/>
    <s v="DC connect - BB &amp; PE UG TBO"/>
    <s v="OK"/>
    <s v="Yes"/>
    <s v="need to provide additional cable tray"/>
    <m/>
    <m/>
    <m/>
    <m/>
    <m/>
    <m/>
    <m/>
    <m/>
    <d v="2018-12-19T09:05:54"/>
    <m/>
    <m/>
    <m/>
    <m/>
    <x v="96"/>
    <s v="Not  Calculated"/>
    <n v="0"/>
    <s v="No File"/>
    <s v="AYYN_0413 (YGNTKTA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3 (YGNTKTA008) Application.xlsx"/>
    <m/>
  </r>
  <r>
    <n v="256"/>
    <s v="ANMD_0273"/>
    <x v="0"/>
    <x v="2"/>
    <s v="MDYAMTZ023"/>
    <x v="1"/>
    <s v="Amara Phase 1"/>
    <s v="RFI"/>
    <s v="Colocation"/>
    <m/>
    <x v="54"/>
    <m/>
    <n v="2.5"/>
    <n v="3"/>
    <s v="EPA"/>
    <s v="36.5"/>
    <s v="39.5"/>
    <x v="1"/>
    <s v="Colo Application already approved on 15th Aug."/>
    <s v="OK"/>
    <s v="14-Aug-18: Owner agreed for Amara installtion on exisiting pole and space."/>
    <s v="Review"/>
    <s v="Hotel rooftop - long DG outages non negotiable"/>
    <s v="OK"/>
    <s v="OK"/>
    <s v="OK"/>
    <m/>
    <m/>
    <s v="No"/>
    <m/>
    <s v="OK"/>
    <s v="1 wk after site survey complete colo appl approved"/>
    <m/>
    <m/>
    <s v="AC connect material in stock - pending all clear from site survey"/>
    <m/>
    <m/>
    <m/>
    <m/>
    <m/>
    <m/>
    <m/>
    <m/>
    <m/>
    <m/>
    <m/>
    <d v="2018-12-19T09:05:54"/>
    <m/>
    <m/>
    <m/>
    <m/>
    <x v="97"/>
    <s v="Not  Calculated"/>
    <n v="0"/>
    <s v="No File"/>
    <s v="ANMD_0273 (MDYA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73 (MDYAMTZ023) Application.xlsx"/>
    <m/>
  </r>
  <r>
    <n v="255"/>
    <s v="ANMD_0078"/>
    <x v="0"/>
    <x v="2"/>
    <s v="MDYAMTZ006"/>
    <x v="1"/>
    <m/>
    <m/>
    <m/>
    <m/>
    <x v="54"/>
    <m/>
    <n v="2.5"/>
    <n v="3"/>
    <s v="EPA"/>
    <s v="20"/>
    <s v="23"/>
    <x v="2"/>
    <m/>
    <s v="OK"/>
    <s v="17-July-18: Owner agreed for Amara installtion after lease hike as we have to install new pole and slab."/>
    <s v="OK"/>
    <s v="Rent increase to be negotiated for operator"/>
    <s v="OK"/>
    <s v="OK"/>
    <s v="OK"/>
    <m/>
    <m/>
    <s v="No"/>
    <s v="Need to add new pole, need to do building Analysis"/>
    <s v="OK"/>
    <s v="1 wk after site survey complete colo appl approved"/>
    <m/>
    <m/>
    <s v="AC connect material in stock - pending all clear from site survey"/>
    <m/>
    <m/>
    <m/>
    <m/>
    <m/>
    <m/>
    <m/>
    <m/>
    <m/>
    <m/>
    <m/>
    <d v="2018-12-19T09:05:53"/>
    <m/>
    <m/>
    <m/>
    <m/>
    <x v="97"/>
    <s v="Not  Calculated"/>
    <n v="0"/>
    <s v="No File"/>
    <s v="ANMD_0078 (MDYAMTZ006)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8 (MDYAMTZ006) Application.xlsx"/>
    <m/>
  </r>
  <r>
    <n v="254"/>
    <s v="AYYN_0339"/>
    <x v="0"/>
    <x v="0"/>
    <s v="YGNMYGE008"/>
    <x v="1"/>
    <s v="Colocation"/>
    <m/>
    <s v="Colocation"/>
    <m/>
    <x v="55"/>
    <m/>
    <n v="2"/>
    <n v="3"/>
    <s v="EPA"/>
    <s v="17"/>
    <s v="20"/>
    <x v="3"/>
    <m/>
    <s v="Rejected"/>
    <s v="10-July-18: Owner rejected as top room owner is strongly complaining our tower. Owner dont agree amara."/>
    <s v="OK"/>
    <m/>
    <s v="OK"/>
    <s v="OK"/>
    <s v="OK"/>
    <m/>
    <m/>
    <s v="No"/>
    <m/>
    <s v="OK"/>
    <s v="1 wk after site survey complete colo appl approved"/>
    <m/>
    <m/>
    <s v="AC connect material in stock - pending all clear from site survey"/>
    <s v="OK"/>
    <s v="Yes"/>
    <m/>
    <m/>
    <m/>
    <m/>
    <m/>
    <m/>
    <m/>
    <m/>
    <m/>
    <d v="2018-12-19T09:05:53"/>
    <m/>
    <m/>
    <m/>
    <m/>
    <x v="98"/>
    <s v="Not  Calculated"/>
    <n v="0"/>
    <s v="No File"/>
    <s v="AYYN_0339 (YGNMYGE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9 (YGNMYGE008) Application.xlsx"/>
    <m/>
  </r>
  <r>
    <n v="252"/>
    <s v="AYYN_0141"/>
    <x v="0"/>
    <x v="0"/>
    <s v="YGNLTHA011"/>
    <x v="1"/>
    <s v="Colocation"/>
    <m/>
    <s v="Colocation"/>
    <m/>
    <x v="56"/>
    <m/>
    <n v="1.9"/>
    <n v="3"/>
    <s v="EPA"/>
    <s v="24.5"/>
    <s v="29.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m/>
    <m/>
    <m/>
    <m/>
    <m/>
    <m/>
    <m/>
    <m/>
    <m/>
    <d v="2018-12-19T09:05:53"/>
    <m/>
    <m/>
    <m/>
    <m/>
    <x v="99"/>
    <s v="Not  Calculated"/>
    <n v="0"/>
    <s v="No File"/>
    <s v="AYYN_0141 (YGNLTHA01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141 (YGNLTHA011) Application.xlsx"/>
    <m/>
  </r>
  <r>
    <n v="246"/>
    <s v="ACAY_3003"/>
    <x v="0"/>
    <x v="0"/>
    <s v="AYW5573"/>
    <x v="2"/>
    <s v="OML Phase 2 Colo"/>
    <s v="On Air"/>
    <s v="Colocation"/>
    <m/>
    <x v="57"/>
    <m/>
    <n v="3"/>
    <n v="6"/>
    <s v="EPA"/>
    <m/>
    <m/>
    <x v="1"/>
    <m/>
    <s v="OK"/>
    <s v="10-July-18: Good to go for OML."/>
    <s v="OK"/>
    <m/>
    <s v="OK"/>
    <s v="At this is ok after TSS will confirm available height"/>
    <s v="OK"/>
    <m/>
    <m/>
    <s v="No"/>
    <m/>
    <s v="Review"/>
    <m/>
    <m/>
    <m/>
    <s v="Flex UG BB DG"/>
    <s v="OK"/>
    <s v="No"/>
    <s v="2m x 1.5m"/>
    <m/>
    <m/>
    <m/>
    <m/>
    <m/>
    <m/>
    <m/>
    <m/>
    <m/>
    <m/>
    <m/>
    <m/>
    <m/>
    <x v="0"/>
    <s v="Not  Calculated"/>
    <n v="0"/>
    <s v="No File"/>
    <s v="ACAY_3003 (AYW557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3003 (AYW5573) Application.xlsx"/>
    <m/>
  </r>
  <r>
    <n v="247"/>
    <s v="ASMO_0253"/>
    <x v="0"/>
    <x v="0"/>
    <s v="MOW6291"/>
    <x v="2"/>
    <s v="Colocation"/>
    <m/>
    <s v="Colocation"/>
    <m/>
    <x v="57"/>
    <m/>
    <n v="3"/>
    <n v="6"/>
    <s v="EPA"/>
    <m/>
    <m/>
    <x v="3"/>
    <m/>
    <s v="OK"/>
    <s v="10-July-18: Good to go for OML from SAQ, but check with DG running time as there previous issue regarding DG running time."/>
    <s v="Rejected"/>
    <s v="Site is down, not open for colo"/>
    <s v="OK"/>
    <s v="At this is ok after TSS will confirm available height"/>
    <s v="OK"/>
    <m/>
    <m/>
    <s v="No"/>
    <m/>
    <s v="Review"/>
    <m/>
    <m/>
    <m/>
    <s v="BB DG+ Grid"/>
    <s v="OK"/>
    <s v="Yes"/>
    <s v="Need to provide additional equipment slab"/>
    <m/>
    <m/>
    <m/>
    <m/>
    <m/>
    <m/>
    <m/>
    <m/>
    <m/>
    <m/>
    <m/>
    <m/>
    <m/>
    <x v="100"/>
    <s v="Not  Calculated"/>
    <n v="0"/>
    <s v="No File"/>
    <s v="ASMO_0253 (MOW629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53 (MOW6291) Application.xlsx"/>
    <m/>
  </r>
  <r>
    <n v="248"/>
    <s v="ANMG_0027"/>
    <x v="0"/>
    <x v="1"/>
    <s v="MWW3486"/>
    <x v="2"/>
    <s v="Colocation"/>
    <m/>
    <s v="Colocation"/>
    <m/>
    <x v="57"/>
    <m/>
    <n v="3"/>
    <n v="6"/>
    <s v="EPA"/>
    <m/>
    <m/>
    <x v="1"/>
    <m/>
    <s v="OK"/>
    <s v="10-July-18: Good to go for OML, lease hike may raise while TI installation"/>
    <s v="OK"/>
    <m/>
    <s v="OK"/>
    <s v="At this is ok after TSS will confirm available height"/>
    <s v="OK"/>
    <m/>
    <m/>
    <s v="No"/>
    <m/>
    <s v="Review"/>
    <m/>
    <m/>
    <m/>
    <s v="Flex UG BB DG"/>
    <s v="OK"/>
    <s v="No"/>
    <s v="2m x 1.5m"/>
    <m/>
    <m/>
    <m/>
    <m/>
    <m/>
    <m/>
    <m/>
    <m/>
    <m/>
    <m/>
    <m/>
    <m/>
    <m/>
    <x v="0"/>
    <s v="Not  Calculated"/>
    <n v="0"/>
    <s v="No File"/>
    <s v="ANMG_0027 (MWW34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7 (MWW3486) Application.xlsx"/>
    <m/>
  </r>
  <r>
    <n v="249"/>
    <s v="ANSH_0013"/>
    <x v="0"/>
    <x v="1"/>
    <s v="SHW1978"/>
    <x v="2"/>
    <s v="OML Phase 2 Colo"/>
    <s v="RFI"/>
    <s v="Colocation"/>
    <m/>
    <x v="57"/>
    <m/>
    <n v="3"/>
    <n v="6"/>
    <s v="EPA"/>
    <m/>
    <m/>
    <x v="1"/>
    <m/>
    <s v="OK"/>
    <s v="10-July-18: Good to go for OML."/>
    <s v="OK"/>
    <m/>
    <s v="OK"/>
    <s v="At this is ok after TSS will confirm available height"/>
    <s v="OK"/>
    <m/>
    <m/>
    <s v="No"/>
    <m/>
    <s v="Review"/>
    <m/>
    <m/>
    <m/>
    <s v="BB DG"/>
    <s v="OK"/>
    <s v="No"/>
    <s v="2m x 1.5m"/>
    <m/>
    <m/>
    <m/>
    <m/>
    <m/>
    <m/>
    <m/>
    <m/>
    <m/>
    <m/>
    <m/>
    <m/>
    <m/>
    <x v="0"/>
    <s v="Not  Calculated"/>
    <n v="0"/>
    <s v="No File"/>
    <s v="ANSH_0013 (SHW197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13 (SHW1978) Application.xlsx"/>
    <m/>
  </r>
  <r>
    <n v="250"/>
    <s v="AYYN_0419"/>
    <x v="0"/>
    <x v="0"/>
    <s v="YGNKTDA015"/>
    <x v="1"/>
    <s v="Amara Phase 1"/>
    <s v="RFI"/>
    <s v="Colocation"/>
    <m/>
    <x v="57"/>
    <m/>
    <n v="1.9"/>
    <n v="3"/>
    <s v="EPA"/>
    <s v="27.85"/>
    <s v="32.8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s v="ok, if they agree to install easy micro"/>
    <m/>
    <m/>
    <m/>
    <m/>
    <m/>
    <m/>
    <m/>
    <m/>
    <d v="2018-12-19T09:05:53"/>
    <m/>
    <m/>
    <m/>
    <m/>
    <x v="100"/>
    <s v="Not  Calculated"/>
    <n v="0"/>
    <s v="No File"/>
    <s v="AYYN_0419 (YGNKTDA01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9 (YGNKTDA015) Application.xlsx"/>
    <m/>
  </r>
  <r>
    <n v="251"/>
    <s v="AYYN_0100"/>
    <x v="0"/>
    <x v="0"/>
    <s v="YGN0496"/>
    <x v="3"/>
    <s v="Mytel Phase 1a Colo"/>
    <s v="On Air"/>
    <s v="Colocation"/>
    <m/>
    <x v="58"/>
    <m/>
    <n v="2"/>
    <n v="6"/>
    <s v="EPA"/>
    <s v="18"/>
    <s v="23"/>
    <x v="1"/>
    <m/>
    <s v="OK"/>
    <s v="25-June-18: Lease hike request may come up while installtion of Mytel."/>
    <s v="OK"/>
    <m/>
    <s v="OK"/>
    <s v="OK"/>
    <s v="OK"/>
    <m/>
    <m/>
    <s v="No"/>
    <m/>
    <s v="OK"/>
    <s v="BB UG "/>
    <m/>
    <d v="1900-01-01T00:00:00"/>
    <s v="add BB due to 24/7 DG restriction site on grid"/>
    <s v="OK"/>
    <s v="No"/>
    <m/>
    <m/>
    <m/>
    <m/>
    <m/>
    <m/>
    <m/>
    <m/>
    <d v="2018-11-13T15:02:39"/>
    <d v="2018-11-13T16:09:11"/>
    <d v="2018-11-13T16:19:19"/>
    <d v="2018-11-13T17:04:12"/>
    <d v="2018-11-13T16:30:56"/>
    <d v="2018-11-13T16:25:48"/>
    <x v="101"/>
    <n v="187.72661064809654"/>
    <n v="0"/>
    <s v="No File"/>
    <s v="AYYN_0100 (YGN049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00 (YGN0496) Application.xlsx"/>
    <m/>
  </r>
  <r>
    <n v="244"/>
    <s v="ANMD_0118"/>
    <x v="0"/>
    <x v="2"/>
    <s v="MDYMHAM042"/>
    <x v="1"/>
    <s v="Amara Phase 1"/>
    <s v="RFI"/>
    <s v="Colocation"/>
    <m/>
    <x v="59"/>
    <m/>
    <n v="2"/>
    <n v="5"/>
    <s v="EPA"/>
    <s v="15.3"/>
    <s v="20.3"/>
    <x v="1"/>
    <s v="Colo Application already approved on 17th July"/>
    <s v="OK"/>
    <s v="21-June-18: Addtioanl lease hike forwarded to ACS_x000a_20-June-18: Owner is requesting addtioanl lease hike _x000a_10-Apr-18: Need to build new pole and slab."/>
    <s v="OK"/>
    <m/>
    <s v="OK"/>
    <s v="OK"/>
    <s v="OK"/>
    <m/>
    <m/>
    <s v="No"/>
    <s v="Need to add new pole, need to do building Analysis"/>
    <s v="OK"/>
    <s v="PE UG - Batt &amp; DCDB - K10 kit TBO"/>
    <m/>
    <d v="1900-01-01T00:00:00"/>
    <s v="PE equipment TBO (To Be Ordered)"/>
    <m/>
    <m/>
    <m/>
    <m/>
    <m/>
    <m/>
    <m/>
    <m/>
    <m/>
    <m/>
    <m/>
    <d v="2018-12-19T09:05:53"/>
    <m/>
    <m/>
    <m/>
    <m/>
    <x v="102"/>
    <s v="Not  Calculated"/>
    <n v="0"/>
    <s v="No File"/>
    <s v="ANMD_0118 (MDYMHAM04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18 (MDYMHAM042) Application.xlsx"/>
    <m/>
  </r>
  <r>
    <n v="242"/>
    <s v="ANMD_0089"/>
    <x v="0"/>
    <x v="2"/>
    <s v="MDYCMTN019_2"/>
    <x v="1"/>
    <s v="Colocation"/>
    <m/>
    <s v="Colocation"/>
    <m/>
    <x v="60"/>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m/>
    <m/>
    <s v="No"/>
    <s v="Need to add new pole, need to do building Analysis"/>
    <s v="OK"/>
    <s v="1 wk after site survey complete"/>
    <m/>
    <m/>
    <s v="AC connect material in stock"/>
    <m/>
    <m/>
    <m/>
    <m/>
    <m/>
    <m/>
    <m/>
    <m/>
    <m/>
    <m/>
    <m/>
    <d v="2018-12-19T09:05:53"/>
    <m/>
    <m/>
    <m/>
    <m/>
    <x v="103"/>
    <s v="Not  Calculated"/>
    <n v="0"/>
    <s v="No File"/>
    <s v="ANMD_0089 (MDYCMTN019_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89 (MDYCMTN019_2) Application.xlsx"/>
    <m/>
  </r>
  <r>
    <n v="239"/>
    <s v="ANMG_0011"/>
    <x v="0"/>
    <x v="1"/>
    <s v="MWW3525"/>
    <x v="2"/>
    <s v="Colocation"/>
    <m/>
    <s v="Colocation"/>
    <m/>
    <x v="61"/>
    <m/>
    <n v="3"/>
    <n v="6"/>
    <s v="EPA"/>
    <m/>
    <m/>
    <x v="1"/>
    <m/>
    <s v="OK"/>
    <s v="10-July-18: Good to go for OML, lease hike may raise while TI installation"/>
    <s v="OK"/>
    <m/>
    <s v="OK"/>
    <s v="At this is ok after TSS will confirm available height"/>
    <s v="OK"/>
    <m/>
    <m/>
    <s v="No"/>
    <s v="for small RF"/>
    <s v="Review"/>
    <m/>
    <m/>
    <m/>
    <s v="DCDB"/>
    <s v="OK"/>
    <s v="No"/>
    <s v="1m x 1m"/>
    <m/>
    <m/>
    <m/>
    <m/>
    <m/>
    <m/>
    <m/>
    <m/>
    <m/>
    <m/>
    <m/>
    <m/>
    <m/>
    <x v="0"/>
    <s v="Not  Calculated"/>
    <n v="0"/>
    <s v="No File"/>
    <s v="ANMG_0011 (MWW35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1 (MWW3525) Application.xlsx"/>
    <m/>
  </r>
  <r>
    <n v="240"/>
    <s v="ANMG_0113"/>
    <x v="0"/>
    <x v="1"/>
    <s v="MWW3516"/>
    <x v="2"/>
    <s v="OML Phase 2 Colo"/>
    <s v="RFI"/>
    <s v="Colocation"/>
    <m/>
    <x v="61"/>
    <m/>
    <n v="3"/>
    <n v="6"/>
    <s v="EPA"/>
    <m/>
    <m/>
    <x v="1"/>
    <m/>
    <s v="OK"/>
    <s v="10-July-18: Good to go for OML, lease hike may raise while TI installation"/>
    <s v="Review"/>
    <s v="DG noise issue"/>
    <s v="OK"/>
    <s v="At this is ok after TSS will confirm available height"/>
    <s v="OK"/>
    <m/>
    <m/>
    <s v="No"/>
    <s v="for small RF"/>
    <s v="Review"/>
    <m/>
    <m/>
    <m/>
    <s v="Flex UG BB DG+ Grid"/>
    <s v="OK"/>
    <s v="No"/>
    <s v="1.5m x 1m"/>
    <m/>
    <m/>
    <m/>
    <m/>
    <m/>
    <m/>
    <m/>
    <m/>
    <m/>
    <m/>
    <m/>
    <m/>
    <m/>
    <x v="0"/>
    <s v="Not  Calculated"/>
    <n v="0"/>
    <s v="No File"/>
    <s v="ANMG_0113 (MWW35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13 (MWW3516) Application.xlsx"/>
    <m/>
  </r>
  <r>
    <n v="241"/>
    <s v="AYYN_0517"/>
    <x v="0"/>
    <x v="0"/>
    <s v="YAW7769"/>
    <x v="2"/>
    <s v="Colocation"/>
    <m/>
    <s v="Colocation"/>
    <m/>
    <x v="61"/>
    <m/>
    <n v="3"/>
    <n v="6"/>
    <s v="EPA"/>
    <m/>
    <m/>
    <x v="1"/>
    <m/>
    <s v="OK"/>
    <s v="10-July-18: Good to go for OML, lease hike may raise while TI installation"/>
    <s v="OK"/>
    <m/>
    <s v="OK"/>
    <s v="At this is ok after TSS will confirm available height"/>
    <s v="OK"/>
    <m/>
    <m/>
    <s v="No"/>
    <s v="for small RF"/>
    <s v="Review"/>
    <m/>
    <m/>
    <m/>
    <s v="36KW 1800 BB"/>
    <s v="OK"/>
    <s v="No"/>
    <m/>
    <m/>
    <m/>
    <m/>
    <m/>
    <m/>
    <m/>
    <m/>
    <m/>
    <m/>
    <m/>
    <m/>
    <m/>
    <m/>
    <x v="0"/>
    <s v="Not  Calculated"/>
    <n v="0"/>
    <s v="No Fil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r>
  <r>
    <n v="225"/>
    <s v="ANMD_0091"/>
    <x v="0"/>
    <x v="2"/>
    <s v="MDYCMTN004"/>
    <x v="1"/>
    <s v="Amara Phase 1"/>
    <s v="RFI"/>
    <s v="Colocation"/>
    <m/>
    <x v="62"/>
    <m/>
    <n v="2"/>
    <n v="3"/>
    <s v="EPA"/>
    <s v="18"/>
    <s v="21"/>
    <x v="1"/>
    <s v="Colo Application already approved on 25th June"/>
    <s v="OK"/>
    <s v="31-May-18: Okay for TI installation,  Lease hike request may raise while TI installation"/>
    <s v="OK"/>
    <s v="The owner only accepts 2 tenants"/>
    <s v="OK"/>
    <s v="OK"/>
    <s v="OK"/>
    <m/>
    <m/>
    <s v="No"/>
    <s v="Need to add new pole, need to do building Analysis"/>
    <s v="OK"/>
    <m/>
    <m/>
    <m/>
    <s v="ACDB installation only"/>
    <m/>
    <m/>
    <m/>
    <m/>
    <m/>
    <m/>
    <m/>
    <m/>
    <m/>
    <m/>
    <m/>
    <d v="2018-12-19T09:05:52"/>
    <m/>
    <m/>
    <m/>
    <m/>
    <x v="104"/>
    <s v="Not  Calculated"/>
    <n v="0"/>
    <s v="No File"/>
    <s v="ANMD_0091 (MDYCMTN00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1 (MDYCMTN004) Application.xlsx"/>
    <m/>
  </r>
  <r>
    <n v="226"/>
    <s v="ANMD_0093"/>
    <x v="0"/>
    <x v="2"/>
    <s v="MDYCMTN035"/>
    <x v="1"/>
    <s v="Colocation"/>
    <m/>
    <s v="Colocation"/>
    <m/>
    <x v="62"/>
    <m/>
    <n v="2"/>
    <n v="3"/>
    <s v="EPA"/>
    <s v="18"/>
    <s v="21"/>
    <x v="3"/>
    <m/>
    <s v="Rejected"/>
    <s v="20-June-18: Owner not interested in any collocation citing intrusion of people visiting his building, letter is attached._x000a_31-May-18: Okay for TI installation,  Lease hike request may raise while TI installation"/>
    <s v="OK"/>
    <m/>
    <s v="OK"/>
    <s v="OK"/>
    <s v="OK"/>
    <m/>
    <m/>
    <s v="No"/>
    <s v="Need to add new pole, need to do building Analysis"/>
    <m/>
    <m/>
    <m/>
    <m/>
    <s v="Need to verify the power source AC / DC"/>
    <m/>
    <m/>
    <m/>
    <m/>
    <m/>
    <m/>
    <m/>
    <m/>
    <m/>
    <m/>
    <m/>
    <m/>
    <m/>
    <m/>
    <m/>
    <m/>
    <x v="104"/>
    <s v="Not  Calculated"/>
    <n v="0"/>
    <s v="No File"/>
    <s v="ANMD_0093 (MDYCMTN03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3 (MDYCMTN035) Application.xlsx"/>
    <m/>
  </r>
  <r>
    <n v="227"/>
    <s v="ANMD_0105"/>
    <x v="0"/>
    <x v="2"/>
    <s v="MDYCMTZ023"/>
    <x v="1"/>
    <s v="Amara Phase 1"/>
    <s v="RFI"/>
    <s v="Colocation"/>
    <m/>
    <x v="62"/>
    <m/>
    <n v="2"/>
    <n v="3"/>
    <s v="EPA"/>
    <s v="21"/>
    <s v="24"/>
    <x v="1"/>
    <s v="Colo Application already approved on 26-Jul-18"/>
    <s v="OK"/>
    <s v="31-May-18: Okay for TI installation,  Lease hike request may raise while TI installation"/>
    <s v="OK"/>
    <m/>
    <s v="OK"/>
    <s v="OK"/>
    <s v="OK"/>
    <m/>
    <m/>
    <s v="No"/>
    <s v="Need to add new pole, need to do building Analysis"/>
    <s v="OK"/>
    <m/>
    <m/>
    <m/>
    <s v="Need to verify the power source AC / DC, Gurwinder : Lease Hike OK"/>
    <m/>
    <m/>
    <m/>
    <m/>
    <m/>
    <m/>
    <m/>
    <m/>
    <m/>
    <m/>
    <m/>
    <d v="2018-12-19T09:05:52"/>
    <m/>
    <m/>
    <m/>
    <m/>
    <x v="104"/>
    <s v="Not  Calculated"/>
    <n v="0"/>
    <s v="No File"/>
    <s v="ANMD_0105 (MDYC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05 (MDYCMTZ023) Application.xlsx"/>
    <m/>
  </r>
  <r>
    <n v="229"/>
    <s v="AYYN_0520"/>
    <x v="0"/>
    <x v="0"/>
    <s v="YAM7610"/>
    <x v="2"/>
    <s v="OML Phase 2 Colo"/>
    <s v="On Air"/>
    <s v="Colocation"/>
    <m/>
    <x v="62"/>
    <m/>
    <n v="3"/>
    <n v="6"/>
    <s v="EPA"/>
    <m/>
    <m/>
    <x v="1"/>
    <m/>
    <s v="OK"/>
    <s v="31-May-18: Good to go for TI installtion."/>
    <s v="OK"/>
    <m/>
    <s v="OK"/>
    <s v="OK"/>
    <s v="OK"/>
    <m/>
    <m/>
    <s v="No"/>
    <m/>
    <s v="Review"/>
    <m/>
    <m/>
    <m/>
    <s v="PE UG"/>
    <s v="OK"/>
    <s v="No"/>
    <m/>
    <m/>
    <m/>
    <m/>
    <m/>
    <m/>
    <m/>
    <m/>
    <m/>
    <m/>
    <m/>
    <m/>
    <m/>
    <m/>
    <x v="0"/>
    <s v="Not  Calculated"/>
    <n v="0"/>
    <s v="No File"/>
    <s v="AYYN_0520 (YAM761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0 (YAM7610) Application.xlsx"/>
    <m/>
  </r>
  <r>
    <n v="230"/>
    <s v="AYYN_0110"/>
    <x v="0"/>
    <x v="0"/>
    <s v="YAW7657"/>
    <x v="2"/>
    <s v="OML Phase 2 Colo"/>
    <s v="On Air"/>
    <s v="Colocation"/>
    <m/>
    <x v="62"/>
    <m/>
    <n v="3"/>
    <n v="6"/>
    <s v="EPA"/>
    <m/>
    <m/>
    <x v="1"/>
    <m/>
    <s v="OK"/>
    <s v="31-May-18: Okay for TI installation,  Lease hike request may raise while TI installation"/>
    <s v="OK"/>
    <m/>
    <s v="OK"/>
    <s v="Only Macro Solutions//Slim Tower"/>
    <s v="OK"/>
    <m/>
    <m/>
    <s v="No"/>
    <s v="for small RF"/>
    <s v="OK"/>
    <s v="90 Days"/>
    <m/>
    <d v="1900-01-02T12:00:00"/>
    <s v="BB DG"/>
    <s v="OK"/>
    <s v="No"/>
    <s v="need to provide additional cable tray"/>
    <m/>
    <m/>
    <m/>
    <m/>
    <m/>
    <m/>
    <m/>
    <m/>
    <d v="2018-12-19T09:05:52"/>
    <m/>
    <m/>
    <m/>
    <m/>
    <x v="104"/>
    <s v="Not  Calculated"/>
    <n v="0"/>
    <s v="No File"/>
    <s v="AYYN_0110 (YAW76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0 (YAW7657) Application.xlsx"/>
    <m/>
  </r>
  <r>
    <n v="231"/>
    <s v="ANSG_0446"/>
    <x v="0"/>
    <x v="2"/>
    <s v="SAW0353"/>
    <x v="2"/>
    <s v="Colocation"/>
    <m/>
    <s v="Colocation"/>
    <m/>
    <x v="62"/>
    <m/>
    <n v="3"/>
    <n v="6"/>
    <s v="EPA"/>
    <m/>
    <m/>
    <x v="3"/>
    <m/>
    <s v="Rejected"/>
    <s v="31-May-18: Still same site is in community issue._x000a_31-Jan-18:Site removed due to community issue"/>
    <s v="OK"/>
    <m/>
    <m/>
    <s v="QA Report not updated"/>
    <m/>
    <m/>
    <m/>
    <m/>
    <m/>
    <s v="OK"/>
    <s v="120 Days"/>
    <m/>
    <d v="1900-01-02T12:00:00"/>
    <s v="Flex UG BB DG+ Grid"/>
    <m/>
    <m/>
    <m/>
    <m/>
    <m/>
    <m/>
    <m/>
    <m/>
    <m/>
    <m/>
    <m/>
    <d v="2018-12-19T09:05:52"/>
    <m/>
    <m/>
    <m/>
    <m/>
    <x v="104"/>
    <s v="Not  Calculated"/>
    <n v="0"/>
    <s v="No File"/>
    <s v="ANSG_0446 (SAW03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46 (SAW0353) Application.xlsx"/>
    <m/>
  </r>
  <r>
    <n v="232"/>
    <s v="ANNP_0210"/>
    <x v="0"/>
    <x v="1"/>
    <s v="NPW2259"/>
    <x v="2"/>
    <s v="Colocation"/>
    <m/>
    <s v="Colocation"/>
    <m/>
    <x v="62"/>
    <m/>
    <n v="3"/>
    <n v="6"/>
    <s v="EPA"/>
    <m/>
    <m/>
    <x v="1"/>
    <m/>
    <s v="OK"/>
    <s v="31-May-18:  Okay for TI installtion, lease hike may raise while TI installation"/>
    <s v="OK"/>
    <m/>
    <s v="OK"/>
    <s v="OK"/>
    <s v="OK"/>
    <m/>
    <m/>
    <s v="No"/>
    <s v="for small RF"/>
    <s v="OK"/>
    <s v="120 Days"/>
    <m/>
    <d v="1900-01-02T12:00:00"/>
    <s v="BB DG+ Grid"/>
    <s v="OK"/>
    <s v="Yes"/>
    <s v="Need to provide additional equipment slab"/>
    <m/>
    <m/>
    <m/>
    <m/>
    <m/>
    <m/>
    <m/>
    <m/>
    <d v="2018-12-19T09:05:52"/>
    <m/>
    <m/>
    <m/>
    <m/>
    <x v="104"/>
    <s v="Not  Calculated"/>
    <n v="0"/>
    <s v="No File"/>
    <s v="ANNP_0210 (NP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10 (NPW2259) Application.xlsx"/>
    <m/>
  </r>
  <r>
    <n v="233"/>
    <s v="AYYN_0441"/>
    <x v="0"/>
    <x v="0"/>
    <s v="YAW4463"/>
    <x v="2"/>
    <s v="Colocation"/>
    <m/>
    <s v="Colocation"/>
    <m/>
    <x v="62"/>
    <m/>
    <n v="3"/>
    <n v="6"/>
    <s v="EPA"/>
    <m/>
    <m/>
    <x v="2"/>
    <m/>
    <s v="OK"/>
    <s v="31-May-18: Already 4 opertor are co-located on site, if go from structural Engg  &amp; Power &amp; Security we can go ahead with negotation."/>
    <s v="OK"/>
    <m/>
    <s v="OK"/>
    <s v="OK"/>
    <s v="OK"/>
    <m/>
    <m/>
    <s v="No"/>
    <s v="&lt;3.5m2 for small RF need to strengthening"/>
    <s v="Review"/>
    <m/>
    <m/>
    <m/>
    <s v=" 24KW UG PE"/>
    <s v="OK"/>
    <s v="Yes"/>
    <m/>
    <m/>
    <m/>
    <m/>
    <m/>
    <m/>
    <m/>
    <m/>
    <m/>
    <m/>
    <m/>
    <m/>
    <m/>
    <m/>
    <x v="0"/>
    <s v="Not  Calculated"/>
    <n v="0"/>
    <s v="No File"/>
    <s v="AYYN_0441 (YAW44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41 (YAW4463) Application.xlsx"/>
    <m/>
  </r>
  <r>
    <n v="234"/>
    <s v="ANSG_0364"/>
    <x v="0"/>
    <x v="2"/>
    <s v="SAW0705"/>
    <x v="2"/>
    <s v="OML Phase 2 Colo"/>
    <s v="RFI"/>
    <s v="Colocation"/>
    <m/>
    <x v="62"/>
    <m/>
    <n v="3"/>
    <n v="6"/>
    <s v="EPA"/>
    <m/>
    <m/>
    <x v="1"/>
    <m/>
    <s v="OK"/>
    <s v="31-May-18: Okay for TI installation,  Lease hike request may raise while TI installation"/>
    <s v="Review"/>
    <s v="Rent increase to be negotiated for operator"/>
    <s v="OK"/>
    <s v="OK"/>
    <s v="OK"/>
    <m/>
    <m/>
    <s v="No"/>
    <m/>
    <s v="Review"/>
    <m/>
    <m/>
    <m/>
    <s v="BB DG"/>
    <s v="OK"/>
    <s v="No"/>
    <s v="2m x 1.5m"/>
    <m/>
    <m/>
    <m/>
    <m/>
    <m/>
    <m/>
    <m/>
    <m/>
    <m/>
    <m/>
    <m/>
    <m/>
    <m/>
    <x v="0"/>
    <s v="Not  Calculated"/>
    <n v="0"/>
    <s v="No File"/>
    <s v="ANSG_0364 (SAW07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4 (SAW0705) Application.xlsx"/>
    <m/>
  </r>
  <r>
    <n v="235"/>
    <s v="ACAY_0102"/>
    <x v="0"/>
    <x v="0"/>
    <s v="AYW5275"/>
    <x v="2"/>
    <s v="Colocation"/>
    <m/>
    <s v="Colocation"/>
    <m/>
    <x v="62"/>
    <m/>
    <n v="3"/>
    <n v="6"/>
    <s v="EPA"/>
    <m/>
    <m/>
    <x v="1"/>
    <s v="remaining EPA still can collocate "/>
    <s v="OK"/>
    <s v="31-May-18: Okay for TI installation,  Lease hike request may raise while TI installation"/>
    <s v="OK"/>
    <m/>
    <s v="OK"/>
    <s v="OK"/>
    <s v="Review"/>
    <m/>
    <m/>
    <s v="No"/>
    <s v="Tower already strengthening without consider OML"/>
    <s v="Review"/>
    <m/>
    <m/>
    <m/>
    <s v="BB DG"/>
    <s v="OK"/>
    <s v="No"/>
    <m/>
    <m/>
    <m/>
    <m/>
    <m/>
    <m/>
    <m/>
    <m/>
    <m/>
    <m/>
    <m/>
    <m/>
    <m/>
    <m/>
    <x v="0"/>
    <s v="Not  Calculated"/>
    <n v="0"/>
    <s v="No File"/>
    <s v="ACAY_0102 (AYW52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02 (AYW5275) Application.xlsx"/>
    <m/>
  </r>
  <r>
    <n v="236"/>
    <s v="ASKH_3000"/>
    <x v="0"/>
    <x v="1"/>
    <s v="KYW6046"/>
    <x v="2"/>
    <s v="Colocation"/>
    <m/>
    <s v="Colocation"/>
    <m/>
    <x v="62"/>
    <m/>
    <n v="3"/>
    <n v="6"/>
    <s v="EPA"/>
    <m/>
    <m/>
    <x v="1"/>
    <m/>
    <s v="OK"/>
    <s v="31-May-18: Good to go for TI installtion."/>
    <s v="OK"/>
    <m/>
    <s v="OK"/>
    <s v="OK"/>
    <s v="OK"/>
    <m/>
    <m/>
    <s v="No"/>
    <m/>
    <s v="OK"/>
    <s v="90 Days"/>
    <m/>
    <d v="1900-01-02T12:00:00"/>
    <s v="Flex UG BB DG"/>
    <s v="OK"/>
    <s v="No"/>
    <m/>
    <m/>
    <m/>
    <m/>
    <m/>
    <m/>
    <m/>
    <m/>
    <m/>
    <d v="2018-12-19T09:05:53"/>
    <m/>
    <m/>
    <m/>
    <m/>
    <x v="104"/>
    <s v="Not  Calculated"/>
    <n v="0"/>
    <s v="No File"/>
    <s v="ASKH_3000 (KYW60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3000 (KYW6046) Application.xlsx"/>
    <m/>
  </r>
  <r>
    <n v="237"/>
    <s v="ANSG_0348"/>
    <x v="0"/>
    <x v="2"/>
    <s v="SAW0704"/>
    <x v="2"/>
    <s v="OML Phase 2 Colo"/>
    <s v="On Air"/>
    <s v="Colocation"/>
    <m/>
    <x v="62"/>
    <m/>
    <n v="3"/>
    <n v="6"/>
    <s v="EPA"/>
    <m/>
    <m/>
    <x v="1"/>
    <m/>
    <s v="OK"/>
    <s v="31-May-18: Okay for TI installation,  Lease hike request may raise while TI installation"/>
    <s v="OK"/>
    <m/>
    <s v="OK"/>
    <s v="OK"/>
    <s v="OK"/>
    <m/>
    <m/>
    <s v="No"/>
    <s v="for small RF"/>
    <s v="OK"/>
    <s v="90 Days"/>
    <m/>
    <d v="1900-01-02T12:00:00"/>
    <s v="DCDB"/>
    <s v="OK"/>
    <s v="No"/>
    <s v="2m x 1.5m"/>
    <m/>
    <m/>
    <m/>
    <m/>
    <m/>
    <m/>
    <m/>
    <m/>
    <d v="2018-12-19T09:05:53"/>
    <m/>
    <m/>
    <m/>
    <m/>
    <x v="104"/>
    <s v="Not  Calculated"/>
    <n v="0"/>
    <s v="No File"/>
    <s v="ANSG_0348 (SAW07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8 (SAW0704) Application.xlsx"/>
    <m/>
  </r>
  <r>
    <n v="238"/>
    <s v="ANMD_0154"/>
    <x v="0"/>
    <x v="2"/>
    <s v="MAW2956"/>
    <x v="2"/>
    <s v="Colocation"/>
    <m/>
    <s v="Colocation"/>
    <m/>
    <x v="62"/>
    <m/>
    <n v="3"/>
    <n v="6"/>
    <s v="EPA"/>
    <m/>
    <m/>
    <x v="2"/>
    <m/>
    <s v="OK"/>
    <s v="31-May-18: Okay for TI installation,  Lease hike request may raise while TI installation"/>
    <s v="Review"/>
    <s v="Owner blocked Mytel installation"/>
    <s v="OK"/>
    <s v="OK"/>
    <s v="OK"/>
    <m/>
    <m/>
    <s v="No"/>
    <m/>
    <s v="Review"/>
    <m/>
    <m/>
    <m/>
    <s v=" 24KW PE UG"/>
    <s v="OK"/>
    <s v="No"/>
    <s v="1.5m x 1m"/>
    <m/>
    <m/>
    <m/>
    <m/>
    <m/>
    <m/>
    <m/>
    <m/>
    <m/>
    <m/>
    <m/>
    <m/>
    <m/>
    <x v="0"/>
    <s v="Not  Calculated"/>
    <n v="0"/>
    <s v="No File"/>
    <s v="ANMD_0154 (MAW295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54 (MAW2956) Application.xlsx"/>
    <m/>
  </r>
  <r>
    <n v="218"/>
    <s v="ANMG_0019"/>
    <x v="0"/>
    <x v="1"/>
    <s v="MGY0017"/>
    <x v="3"/>
    <s v="Colocation"/>
    <m/>
    <s v="Colocation"/>
    <m/>
    <x v="63"/>
    <m/>
    <n v="2"/>
    <n v="6"/>
    <s v="EPA"/>
    <s v="30"/>
    <s v="35"/>
    <x v="3"/>
    <m/>
    <s v="OK"/>
    <s v="28-May-18: Good to go for Mytel, lease hike may raise while TI installation"/>
    <s v="Review"/>
    <s v="Rent increase to be negotiated for operator"/>
    <s v="OK"/>
    <s v="OK"/>
    <s v="Review"/>
    <m/>
    <m/>
    <s v="No"/>
    <s v="EPA almost over design"/>
    <m/>
    <m/>
    <m/>
    <m/>
    <m/>
    <s v="OK"/>
    <s v="Yes"/>
    <s v="Normal Slab and need to extend"/>
    <m/>
    <m/>
    <m/>
    <m/>
    <m/>
    <m/>
    <m/>
    <m/>
    <m/>
    <m/>
    <m/>
    <m/>
    <m/>
    <x v="105"/>
    <s v="Not  Calculated"/>
    <n v="0"/>
    <s v="No File"/>
    <s v="ANMG_0019 (MGY001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19 (MGY0017) Application.xlsx"/>
    <m/>
  </r>
  <r>
    <n v="219"/>
    <s v="ANMG_0058"/>
    <x v="0"/>
    <x v="1"/>
    <s v="MGY0063"/>
    <x v="3"/>
    <m/>
    <m/>
    <m/>
    <m/>
    <x v="63"/>
    <m/>
    <n v="2"/>
    <n v="6"/>
    <s v="EPA"/>
    <s v="35"/>
    <s v="40"/>
    <x v="2"/>
    <m/>
    <s v="OK"/>
    <s v="28-May-18: Good to go for Mytel, lease hike may raise while TI installation"/>
    <s v="OK"/>
    <m/>
    <s v="OK"/>
    <s v="OK"/>
    <s v="OK"/>
    <m/>
    <m/>
    <s v="No"/>
    <m/>
    <s v="OK"/>
    <s v="2 weeks"/>
    <m/>
    <d v="1900-01-01T00:00:00"/>
    <s v="BB UG required - DG monitor UG later "/>
    <s v="OK"/>
    <s v="No"/>
    <m/>
    <m/>
    <m/>
    <m/>
    <m/>
    <m/>
    <m/>
    <m/>
    <m/>
    <d v="2018-12-19T09:05:52"/>
    <m/>
    <m/>
    <m/>
    <m/>
    <x v="105"/>
    <s v="Not  Calculated"/>
    <n v="0"/>
    <s v="No File"/>
    <s v="ANMG_0058 (MGY00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58 (MGY0063) Application.xlsx"/>
    <m/>
  </r>
  <r>
    <n v="220"/>
    <s v="ANMG_0122"/>
    <x v="0"/>
    <x v="1"/>
    <s v="MGY0103"/>
    <x v="3"/>
    <s v="Colocation"/>
    <m/>
    <s v="Colocation"/>
    <m/>
    <x v="63"/>
    <m/>
    <n v="2"/>
    <n v="6"/>
    <s v="EPA"/>
    <s v="45"/>
    <s v="50"/>
    <x v="3"/>
    <m/>
    <s v="OK"/>
    <s v="28-May-18: Good to go for Mytel, lease hike may raise while TI installation"/>
    <s v="Rejected"/>
    <s v="DG noise issue"/>
    <s v="OK"/>
    <s v="MW can get higher height for clear LOS if any blockage"/>
    <s v="OK"/>
    <m/>
    <m/>
    <s v="No"/>
    <m/>
    <m/>
    <m/>
    <m/>
    <m/>
    <m/>
    <m/>
    <m/>
    <m/>
    <m/>
    <m/>
    <m/>
    <m/>
    <m/>
    <m/>
    <m/>
    <m/>
    <m/>
    <m/>
    <m/>
    <m/>
    <m/>
    <x v="105"/>
    <s v="Not  Calculated"/>
    <n v="0"/>
    <s v="No File"/>
    <s v="ANMG_0122 (MGY010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22 (MGY0103) Application.xlsx"/>
    <m/>
  </r>
  <r>
    <n v="221"/>
    <s v="ANNP_0391"/>
    <x v="0"/>
    <x v="1"/>
    <s v="NPW0266"/>
    <x v="3"/>
    <s v="Mytel Phase 1a Colo"/>
    <s v="On Air"/>
    <s v="Colocation"/>
    <m/>
    <x v="63"/>
    <m/>
    <n v="2"/>
    <n v="6"/>
    <s v="EPA"/>
    <s v="30"/>
    <s v="35"/>
    <x v="1"/>
    <m/>
    <s v="OK"/>
    <s v="28-May-18: Good to go for Mytel, lease hike may raise while TI installation"/>
    <s v="OK"/>
    <m/>
    <s v="OK"/>
    <s v="OK"/>
    <s v="OK"/>
    <m/>
    <m/>
    <s v="No"/>
    <m/>
    <s v="OK"/>
    <s v="2weeks"/>
    <m/>
    <d v="1899-12-31T12:00:00"/>
    <s v="BB &amp; DG UG required"/>
    <s v="OK"/>
    <s v="No"/>
    <m/>
    <m/>
    <m/>
    <m/>
    <m/>
    <m/>
    <m/>
    <m/>
    <m/>
    <d v="2018-12-19T09:05:52"/>
    <m/>
    <m/>
    <m/>
    <m/>
    <x v="105"/>
    <s v="Not  Calculated"/>
    <n v="0"/>
    <s v="No File"/>
    <s v="ANNP_0391 (NPW026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91 (NPW0266) Application.xlsx"/>
    <m/>
  </r>
  <r>
    <n v="222"/>
    <s v="ANNP_0226"/>
    <x v="0"/>
    <x v="1"/>
    <s v="NPW0268"/>
    <x v="3"/>
    <s v="Colocation"/>
    <m/>
    <s v="Colocation"/>
    <m/>
    <x v="63"/>
    <m/>
    <n v="2"/>
    <n v="6"/>
    <s v="EPA"/>
    <s v="30"/>
    <s v="35"/>
    <x v="3"/>
    <m/>
    <s v="OK"/>
    <s v="28-May-18: Good to go for Mytel, lease hike may raise while TI installation"/>
    <s v="Rejected"/>
    <s v="Multiple issues on site, dismantlement request received in the past."/>
    <s v="OK"/>
    <s v="OK"/>
    <s v="OK"/>
    <m/>
    <m/>
    <s v="No"/>
    <m/>
    <m/>
    <m/>
    <m/>
    <m/>
    <m/>
    <s v="OK"/>
    <s v="No"/>
    <m/>
    <m/>
    <m/>
    <m/>
    <m/>
    <m/>
    <m/>
    <m/>
    <m/>
    <m/>
    <m/>
    <m/>
    <m/>
    <m/>
    <x v="105"/>
    <s v="Not  Calculated"/>
    <n v="0"/>
    <s v="No File"/>
    <s v="ANNP_0226 (NPW026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26 (NPW0268) Application.xlsx"/>
    <m/>
  </r>
  <r>
    <n v="223"/>
    <s v="ANNP_0210"/>
    <x v="0"/>
    <x v="1"/>
    <s v="NPW0269"/>
    <x v="3"/>
    <m/>
    <m/>
    <m/>
    <m/>
    <x v="63"/>
    <m/>
    <n v="2"/>
    <n v="6"/>
    <s v="EPA"/>
    <s v="30"/>
    <s v="35"/>
    <x v="2"/>
    <m/>
    <s v="OK"/>
    <s v="28-May-18: Good to go for Mytel, lease hike may raise while TI installation"/>
    <s v="OK"/>
    <m/>
    <s v="OK"/>
    <s v="OK"/>
    <s v="OK"/>
    <m/>
    <m/>
    <s v="No"/>
    <m/>
    <s v="Review"/>
    <s v="1-3 months "/>
    <m/>
    <d v="1900-01-01T00:00:00"/>
    <s v="36KW + 40Kva DG"/>
    <m/>
    <s v="Yes"/>
    <s v="Need to provide additional equipment slab"/>
    <m/>
    <m/>
    <m/>
    <m/>
    <m/>
    <m/>
    <m/>
    <m/>
    <m/>
    <m/>
    <m/>
    <m/>
    <m/>
    <x v="105"/>
    <s v="Not  Calculated"/>
    <n v="0"/>
    <s v="No File"/>
    <s v="ANNP_0210 (NPW026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10 (NPW0269) Application.xlsx"/>
    <m/>
  </r>
  <r>
    <n v="224"/>
    <s v="ANSG_0373"/>
    <x v="0"/>
    <x v="2"/>
    <s v="SGG0992"/>
    <x v="3"/>
    <s v="Mytel Phase 1a Colo"/>
    <s v="RFI"/>
    <s v="Colocation"/>
    <m/>
    <x v="63"/>
    <m/>
    <n v="2"/>
    <n v="6"/>
    <s v="EPA"/>
    <s v="45"/>
    <s v="50"/>
    <x v="1"/>
    <m/>
    <s v="OK"/>
    <s v="28-May-18: Good to go for Mytel, lease hike may raise while TI installation"/>
    <s v="OK"/>
    <m/>
    <s v="OK"/>
    <s v="OK"/>
    <s v="OK"/>
    <m/>
    <m/>
    <s v="No"/>
    <m/>
    <s v="Not Required"/>
    <s v="1 week after material arrives to date 4 wk delay"/>
    <m/>
    <d v="1900-01-01T00:00:00"/>
    <s v="PE UG NEEDED_x000a_PE UG material delivery pending  - WK31"/>
    <s v="OK"/>
    <s v="No"/>
    <m/>
    <s v="Not Required"/>
    <m/>
    <m/>
    <s v="Not Required"/>
    <m/>
    <s v="OK"/>
    <m/>
    <d v="2018-11-13T14:56:11"/>
    <m/>
    <d v="2018-11-13T16:19:19"/>
    <d v="2018-11-13T17:04:12"/>
    <d v="2018-11-13T16:30:56"/>
    <d v="2018-11-13T16:25:48"/>
    <x v="101"/>
    <n v="209.72660972220183"/>
    <n v="0"/>
    <s v="No File"/>
    <s v="ANSG_0373 (SGG099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73 (SGG0992) Application.xlsx"/>
    <m/>
  </r>
  <r>
    <n v="217"/>
    <s v="ACRK_0028"/>
    <x v="0"/>
    <x v="1"/>
    <s v="RKE00512"/>
    <x v="0"/>
    <s v="MPT  Phase 1a Colo"/>
    <s v="On Air"/>
    <s v="Colocation"/>
    <m/>
    <x v="64"/>
    <m/>
    <n v="1.3"/>
    <n v="1"/>
    <s v="EPA"/>
    <s v="33"/>
    <s v="38"/>
    <x v="1"/>
    <m/>
    <s v="OK"/>
    <s v="Good to go for TSS"/>
    <s v="OK"/>
    <m/>
    <s v="OK"/>
    <m/>
    <s v="OK"/>
    <m/>
    <m/>
    <s v="No"/>
    <m/>
    <s v="OK"/>
    <s v="BB swap and DCDB "/>
    <m/>
    <d v="1900-01-01T00:00:00"/>
    <s v="BB TBO"/>
    <s v="OK"/>
    <s v="No"/>
    <m/>
    <m/>
    <m/>
    <m/>
    <m/>
    <m/>
    <m/>
    <m/>
    <m/>
    <d v="2018-12-19T09:05:51"/>
    <m/>
    <m/>
    <m/>
    <m/>
    <x v="106"/>
    <s v="Not  Calculated"/>
    <n v="0"/>
    <s v="No File"/>
    <s v="ACRK_0028 (RKE00512)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RK_0028 (RKE00512) Application.xlsx"/>
    <m/>
  </r>
  <r>
    <n v="63"/>
    <s v="AYYN_0318"/>
    <x v="0"/>
    <x v="0"/>
    <s v="YAW7776"/>
    <x v="2"/>
    <s v="Colocation"/>
    <m/>
    <s v="Colocation"/>
    <m/>
    <x v="65"/>
    <m/>
    <n v="3"/>
    <n v="6"/>
    <s v="EPA"/>
    <m/>
    <m/>
    <x v="3"/>
    <m/>
    <s v="Rejected"/>
    <s v="23-May18: Owner is concern about wieght, will not agree for New pole or slab"/>
    <s v="OK"/>
    <m/>
    <m/>
    <m/>
    <s v="Review"/>
    <m/>
    <m/>
    <m/>
    <s v="RT need to check"/>
    <s v="Review"/>
    <s v="TBA"/>
    <m/>
    <d v="1900-01-01T00:00:00"/>
    <s v="BB UG - BA/CW needed add space or LiPo4 - rooftop site"/>
    <s v="Rejected"/>
    <s v="No"/>
    <s v="no space"/>
    <m/>
    <m/>
    <m/>
    <m/>
    <m/>
    <m/>
    <m/>
    <m/>
    <m/>
    <m/>
    <m/>
    <m/>
    <m/>
    <x v="107"/>
    <s v="Not  Calculated"/>
    <n v="0"/>
    <s v="No File"/>
    <s v="AYYN_0318 (YAW77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18 (YAW7776) Application.xlsx"/>
    <m/>
  </r>
  <r>
    <n v="67"/>
    <s v="AYYN_0538"/>
    <x v="0"/>
    <x v="0"/>
    <s v="YAW7775"/>
    <x v="2"/>
    <s v="Colocation"/>
    <m/>
    <s v="Colocation"/>
    <m/>
    <x v="65"/>
    <m/>
    <n v="3"/>
    <m/>
    <s v="EPA"/>
    <m/>
    <m/>
    <x v="3"/>
    <m/>
    <s v="Rejected"/>
    <s v="23-May18: Owner is concern about wieght, will not agree for New pole or slab"/>
    <s v="OK"/>
    <m/>
    <m/>
    <m/>
    <s v="Review"/>
    <m/>
    <m/>
    <m/>
    <s v="RT need to check"/>
    <s v="Review"/>
    <s v="TBA"/>
    <m/>
    <d v="1900-01-01T00:00:00"/>
    <s v="BB UG - BA/CW needed add space or LiPo4 - rooftop site"/>
    <m/>
    <m/>
    <m/>
    <m/>
    <m/>
    <m/>
    <m/>
    <m/>
    <m/>
    <m/>
    <m/>
    <m/>
    <m/>
    <m/>
    <m/>
    <m/>
    <x v="107"/>
    <s v="Not  Calculated"/>
    <n v="0"/>
    <s v="No File"/>
    <s v="AYYN_0538 (YAW77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8 (YAW7775) Application.xlsx"/>
    <m/>
  </r>
  <r>
    <n v="69"/>
    <s v="ACAY_0015"/>
    <x v="0"/>
    <x v="0"/>
    <s v="AYW5549"/>
    <x v="2"/>
    <s v="Colocation"/>
    <m/>
    <s v="Colocation"/>
    <m/>
    <x v="65"/>
    <m/>
    <n v="3"/>
    <m/>
    <s v="EPA"/>
    <m/>
    <m/>
    <x v="1"/>
    <m/>
    <s v="OK"/>
    <s v="18-May-18: Good to go for OML, lease hike may raise while TI installation"/>
    <s v="OK"/>
    <m/>
    <s v="OK"/>
    <s v="OK"/>
    <s v="OK"/>
    <m/>
    <m/>
    <m/>
    <s v="OK"/>
    <s v="OK"/>
    <s v="TBA"/>
    <m/>
    <d v="1900-01-01T00:00:00"/>
    <s v="PE UG"/>
    <s v="OK"/>
    <s v="No"/>
    <m/>
    <m/>
    <m/>
    <m/>
    <m/>
    <m/>
    <m/>
    <m/>
    <m/>
    <d v="2018-12-19T09:05:43"/>
    <m/>
    <m/>
    <m/>
    <m/>
    <x v="107"/>
    <s v="Not  Calculated"/>
    <n v="0"/>
    <s v="No File"/>
    <s v="ACAY_0015 (AYW55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5 (AYW5549) Application.xlsx"/>
    <m/>
  </r>
  <r>
    <n v="70"/>
    <s v="ASMO_0313"/>
    <x v="0"/>
    <x v="0"/>
    <s v="MOW6298"/>
    <x v="2"/>
    <s v="Colocation"/>
    <m/>
    <s v="Colocation"/>
    <m/>
    <x v="65"/>
    <m/>
    <n v="3"/>
    <m/>
    <s v="EPA"/>
    <m/>
    <m/>
    <x v="1"/>
    <m/>
    <s v="OK"/>
    <s v="18-May-18: Good to go for OML, lease hike may raise while TI installation"/>
    <s v="OK"/>
    <m/>
    <s v="OK"/>
    <s v="OK"/>
    <s v="OK"/>
    <m/>
    <m/>
    <m/>
    <s v="OK"/>
    <s v="OK"/>
    <s v="90 Days"/>
    <m/>
    <d v="1900-01-02T12:00:00"/>
    <s v="Flex UG BB DG"/>
    <s v="OK"/>
    <s v="No"/>
    <m/>
    <m/>
    <m/>
    <m/>
    <m/>
    <m/>
    <m/>
    <m/>
    <m/>
    <d v="2018-12-19T09:05:43"/>
    <m/>
    <m/>
    <m/>
    <m/>
    <x v="107"/>
    <s v="Not  Calculated"/>
    <n v="0"/>
    <s v="No File"/>
    <s v="ASMO_0313 (MOW62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13 (MOW6298) Application.xlsx"/>
    <m/>
  </r>
  <r>
    <n v="71"/>
    <s v="ASMO_0201"/>
    <x v="0"/>
    <x v="0"/>
    <s v="MOW6299"/>
    <x v="2"/>
    <s v="Colocation"/>
    <m/>
    <s v="Colocation"/>
    <m/>
    <x v="65"/>
    <m/>
    <n v="3"/>
    <m/>
    <s v="EPA"/>
    <m/>
    <m/>
    <x v="1"/>
    <m/>
    <s v="OK"/>
    <s v="18-May-18: Good to go for OML, lease hike may raise while TI installation"/>
    <s v="OK"/>
    <m/>
    <s v="OK"/>
    <s v="OK"/>
    <s v="OK"/>
    <m/>
    <m/>
    <m/>
    <s v="OK"/>
    <s v="OK"/>
    <s v="TBA"/>
    <m/>
    <d v="1900-01-01T00:00:00"/>
    <s v="BB UG - 12 hrs NS expect outages w/add colo"/>
    <s v="OK"/>
    <s v="No"/>
    <m/>
    <m/>
    <m/>
    <m/>
    <m/>
    <m/>
    <m/>
    <m/>
    <m/>
    <d v="2018-12-19T09:05:43"/>
    <m/>
    <m/>
    <m/>
    <m/>
    <x v="107"/>
    <s v="Not  Calculated"/>
    <n v="0"/>
    <s v="No File"/>
    <s v="ASMO_0201 (MOW62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1 (MOW6299) Application.xlsx"/>
    <m/>
  </r>
  <r>
    <n v="72"/>
    <s v="ACBA_0255"/>
    <x v="0"/>
    <x v="0"/>
    <s v="BAW5557"/>
    <x v="2"/>
    <s v="Colocation"/>
    <m/>
    <s v="Colocation"/>
    <m/>
    <x v="65"/>
    <m/>
    <n v="3"/>
    <m/>
    <s v="EPA"/>
    <m/>
    <m/>
    <x v="1"/>
    <m/>
    <s v="OK"/>
    <s v="18-May-18: Good to go for OML, lease hike may raise while TI installation"/>
    <s v="OK"/>
    <m/>
    <s v="OK"/>
    <s v="OK"/>
    <s v="OK"/>
    <m/>
    <m/>
    <m/>
    <s v="OK"/>
    <s v="OK"/>
    <s v="90 Days"/>
    <m/>
    <d v="1900-01-02T12:00:00"/>
    <s v="BB DG"/>
    <s v="OK"/>
    <s v="No"/>
    <m/>
    <m/>
    <m/>
    <m/>
    <m/>
    <m/>
    <m/>
    <m/>
    <m/>
    <d v="2018-12-19T09:05:43"/>
    <m/>
    <m/>
    <m/>
    <m/>
    <x v="107"/>
    <s v="Not  Calculated"/>
    <n v="0"/>
    <s v="No File"/>
    <s v="ACBA_0255 (BAW55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5 (BAW5557) Application.xlsx"/>
    <m/>
  </r>
  <r>
    <n v="74"/>
    <s v="AYYN_0485"/>
    <x v="0"/>
    <x v="0"/>
    <s v="YAW7772"/>
    <x v="2"/>
    <s v="Colocation"/>
    <m/>
    <s v="Colocation"/>
    <m/>
    <x v="65"/>
    <m/>
    <n v="3"/>
    <m/>
    <s v="EPA"/>
    <m/>
    <m/>
    <x v="3"/>
    <m/>
    <s v="Rejected"/>
    <s v="23-May-18: Site under cancellation stage due to legal issue with owner"/>
    <s v="Rejected"/>
    <m/>
    <m/>
    <m/>
    <s v="Review"/>
    <m/>
    <m/>
    <m/>
    <s v="RT need to check"/>
    <s v="OK"/>
    <s v="TBA"/>
    <m/>
    <d v="1900-01-01T00:00:00"/>
    <s v="BB UG - BA/CW needed add space or LiPo4"/>
    <m/>
    <m/>
    <m/>
    <m/>
    <m/>
    <m/>
    <m/>
    <m/>
    <m/>
    <m/>
    <m/>
    <d v="2018-12-19T09:05:43"/>
    <m/>
    <m/>
    <m/>
    <m/>
    <x v="107"/>
    <s v="Not  Calculated"/>
    <n v="0"/>
    <s v="No File"/>
    <s v="AYYN_0485 (YAW777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5 (YAW7772) Application.xlsx"/>
    <m/>
  </r>
  <r>
    <n v="75"/>
    <s v="AYYN_0244"/>
    <x v="0"/>
    <x v="0"/>
    <s v="YAW7770"/>
    <x v="2"/>
    <s v="Colocation"/>
    <m/>
    <s v="Colocation"/>
    <m/>
    <x v="65"/>
    <m/>
    <n v="3"/>
    <m/>
    <s v="EPA"/>
    <m/>
    <m/>
    <x v="1"/>
    <m/>
    <s v="OK"/>
    <s v="18-May-18: Good to go for OML, lease hike may raise while TI installation"/>
    <s v="OK"/>
    <m/>
    <s v="OK"/>
    <s v="LEG ACD"/>
    <s v="OK"/>
    <m/>
    <m/>
    <m/>
    <s v="OK"/>
    <s v="OK"/>
    <s v="90 Days"/>
    <m/>
    <d v="1900-01-02T12:00:00"/>
    <s v="BB DG"/>
    <s v="OK"/>
    <s v="No"/>
    <m/>
    <m/>
    <m/>
    <m/>
    <m/>
    <m/>
    <m/>
    <m/>
    <m/>
    <d v="2018-12-19T09:05:44"/>
    <m/>
    <m/>
    <m/>
    <m/>
    <x v="107"/>
    <s v="Not  Calculated"/>
    <n v="0"/>
    <s v="No File"/>
    <s v="AYYN_0244 (YAW777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44 (YAW7770) Application.xlsx"/>
    <m/>
  </r>
  <r>
    <n v="76"/>
    <s v="AYYN_0517"/>
    <x v="0"/>
    <x v="0"/>
    <s v="YAW7769"/>
    <x v="2"/>
    <s v="Colocation"/>
    <m/>
    <s v="Colocation"/>
    <m/>
    <x v="65"/>
    <m/>
    <n v="3"/>
    <m/>
    <s v="EPA"/>
    <m/>
    <m/>
    <x v="3"/>
    <m/>
    <s v="Rejected"/>
    <s v="23-May-18: Site issue with township office who will not allow any new opertor installtion."/>
    <s v="OK"/>
    <m/>
    <m/>
    <m/>
    <s v="Review"/>
    <m/>
    <m/>
    <m/>
    <s v="RT need to check"/>
    <s v="OK"/>
    <s v="TBA"/>
    <m/>
    <d v="1900-01-01T00:00:00"/>
    <s v="BB UG - BA/CW needed add space or LiPo4 - rooftop site"/>
    <m/>
    <m/>
    <m/>
    <m/>
    <m/>
    <m/>
    <m/>
    <m/>
    <m/>
    <m/>
    <m/>
    <d v="2018-12-19T09:05:44"/>
    <m/>
    <m/>
    <m/>
    <m/>
    <x v="107"/>
    <s v="Not  Calculated"/>
    <n v="0"/>
    <s v="No Fil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r>
  <r>
    <n v="79"/>
    <s v="ACBA_0094"/>
    <x v="0"/>
    <x v="1"/>
    <s v="BAW5558"/>
    <x v="2"/>
    <s v="OML Phase 2 Colo"/>
    <s v="On Air"/>
    <s v="Colocation"/>
    <m/>
    <x v="65"/>
    <m/>
    <n v="3"/>
    <m/>
    <s v="EPA"/>
    <m/>
    <m/>
    <x v="1"/>
    <m/>
    <s v="OK"/>
    <s v="18-May-18: Good to go for OML, lease hike may raise while TI installation"/>
    <s v="OK"/>
    <m/>
    <s v="OK"/>
    <s v="LEG BCD"/>
    <s v="OK"/>
    <m/>
    <m/>
    <m/>
    <s v="for small RF"/>
    <s v="OK"/>
    <s v="90 Days"/>
    <m/>
    <d v="1900-01-02T12:00:00"/>
    <s v="Flex UG BB DG"/>
    <s v="OK"/>
    <s v="No"/>
    <m/>
    <m/>
    <m/>
    <m/>
    <m/>
    <m/>
    <m/>
    <m/>
    <m/>
    <d v="2018-12-19T09:05:44"/>
    <m/>
    <m/>
    <m/>
    <m/>
    <x v="107"/>
    <s v="Not  Calculated"/>
    <n v="0"/>
    <s v="No File"/>
    <s v="ACBA_0094 (BAW55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4 (BAW5558) Application.xlsx"/>
    <m/>
  </r>
  <r>
    <n v="83"/>
    <s v="ACBA_0056"/>
    <x v="0"/>
    <x v="0"/>
    <s v="BAW5560"/>
    <x v="2"/>
    <s v="Colocation"/>
    <m/>
    <s v="Colocation"/>
    <m/>
    <x v="65"/>
    <m/>
    <n v="3"/>
    <m/>
    <s v="EPA"/>
    <m/>
    <m/>
    <x v="1"/>
    <m/>
    <s v="OK"/>
    <s v="18-May-18: Good to go for OML, lease hike may raise while TI installation"/>
    <s v="OK"/>
    <m/>
    <s v="OK"/>
    <s v="OK"/>
    <s v="OK"/>
    <m/>
    <m/>
    <m/>
    <s v="OK"/>
    <s v="OK"/>
    <s v="90 Days"/>
    <m/>
    <d v="1900-01-02T12:00:00"/>
    <s v="Flex UG BB DG"/>
    <s v="OK"/>
    <s v="No"/>
    <m/>
    <m/>
    <m/>
    <m/>
    <m/>
    <m/>
    <m/>
    <m/>
    <m/>
    <d v="2018-12-19T09:05:44"/>
    <m/>
    <m/>
    <m/>
    <m/>
    <x v="107"/>
    <s v="Not  Calculated"/>
    <n v="0"/>
    <s v="No File"/>
    <s v="ACBA_0056 (BA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6 (BAW5560) Application.xlsx"/>
    <m/>
  </r>
  <r>
    <n v="84"/>
    <s v="AYYN_0411"/>
    <x v="0"/>
    <x v="0"/>
    <s v="YAW7765"/>
    <x v="2"/>
    <s v="Colocation"/>
    <m/>
    <s v="Colocation"/>
    <m/>
    <x v="65"/>
    <m/>
    <n v="3"/>
    <m/>
    <s v="EPA"/>
    <m/>
    <m/>
    <x v="3"/>
    <m/>
    <s v="Rejected"/>
    <s v="23-May-18: No more additional co-location on the roof as per the owner"/>
    <s v="OK"/>
    <m/>
    <m/>
    <m/>
    <s v="Review"/>
    <m/>
    <m/>
    <m/>
    <s v="RT need to check"/>
    <s v="OK"/>
    <s v="TBA"/>
    <m/>
    <d v="1900-01-01T00:00:00"/>
    <s v="OK - Add Lio4 modules from stock"/>
    <m/>
    <m/>
    <m/>
    <m/>
    <m/>
    <m/>
    <m/>
    <m/>
    <m/>
    <m/>
    <m/>
    <d v="2018-12-19T09:05:44"/>
    <m/>
    <m/>
    <m/>
    <m/>
    <x v="107"/>
    <s v="Not  Calculated"/>
    <n v="0"/>
    <s v="No File"/>
    <s v="AYYN_0411 (YAW77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11 (YAW7765) Application.xlsx"/>
    <m/>
  </r>
  <r>
    <n v="85"/>
    <s v="ASMO_0267"/>
    <x v="0"/>
    <x v="0"/>
    <s v="MOW6300"/>
    <x v="2"/>
    <s v="OML Phase 2 Colo"/>
    <s v="On Air"/>
    <s v="Colocation"/>
    <m/>
    <x v="65"/>
    <m/>
    <n v="3"/>
    <m/>
    <s v="EPA"/>
    <m/>
    <m/>
    <x v="1"/>
    <m/>
    <s v="OK"/>
    <s v="18-May-18: Good to go for OML, lease hike may raise while TI installation"/>
    <s v="OK"/>
    <m/>
    <s v="OK"/>
    <s v="OK"/>
    <s v="OK"/>
    <m/>
    <m/>
    <m/>
    <s v="OK"/>
    <s v="Review"/>
    <m/>
    <m/>
    <m/>
    <s v="DG 24/7 restricted - BB UG - expect outages with long grid outages"/>
    <s v="OK"/>
    <s v="No"/>
    <m/>
    <m/>
    <m/>
    <m/>
    <m/>
    <m/>
    <m/>
    <m/>
    <m/>
    <m/>
    <m/>
    <m/>
    <m/>
    <m/>
    <x v="0"/>
    <s v="Not  Calculated"/>
    <n v="0"/>
    <s v="No File"/>
    <s v="ASMO_0267 (MOW63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7 (MOW6300) Application.xlsx"/>
    <m/>
  </r>
  <r>
    <n v="87"/>
    <s v="AYYN_0306"/>
    <x v="0"/>
    <x v="0"/>
    <s v="YAW7763"/>
    <x v="2"/>
    <s v="Colocation"/>
    <m/>
    <s v="Colocation"/>
    <m/>
    <x v="65"/>
    <m/>
    <n v="3"/>
    <m/>
    <s v="EPA"/>
    <m/>
    <m/>
    <x v="3"/>
    <m/>
    <s v="Rejected"/>
    <s v="23-May-18: Owner is concern about space, didn’t agree for new pole and slab."/>
    <s v="Review"/>
    <m/>
    <m/>
    <m/>
    <s v="Review"/>
    <m/>
    <m/>
    <m/>
    <s v="RT need to check"/>
    <s v="OK"/>
    <s v="TBA"/>
    <m/>
    <d v="1900-01-01T00:00:00"/>
    <s v="PE UG - BA/CW needed add space or LiPo4 - rooftop site"/>
    <m/>
    <m/>
    <m/>
    <m/>
    <m/>
    <m/>
    <m/>
    <m/>
    <m/>
    <m/>
    <m/>
    <d v="2018-12-19T09:05:44"/>
    <m/>
    <m/>
    <m/>
    <m/>
    <x v="107"/>
    <s v="Not  Calculated"/>
    <n v="0"/>
    <s v="No File"/>
    <s v="AYYN_0306 (YAW77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xlsx"/>
    <m/>
  </r>
  <r>
    <n v="89"/>
    <s v="AYYN_0533"/>
    <x v="0"/>
    <x v="0"/>
    <s v="YAW7827"/>
    <x v="2"/>
    <s v="Colocation"/>
    <m/>
    <s v="Colocation"/>
    <m/>
    <x v="65"/>
    <m/>
    <n v="3"/>
    <m/>
    <s v="EPA"/>
    <m/>
    <m/>
    <x v="2"/>
    <m/>
    <s v="OK"/>
    <s v="23-May-18: Lease increase may raise while TI installtion.(No additional slab and pole )"/>
    <s v="OK"/>
    <m/>
    <s v="OK"/>
    <s v="At this is ok after TSS will confirm available height"/>
    <s v="Review"/>
    <m/>
    <m/>
    <s v="No"/>
    <s v="RT site need TSSR"/>
    <s v="Review"/>
    <m/>
    <m/>
    <m/>
    <s v="LiPO4"/>
    <s v="OK"/>
    <s v="No"/>
    <s v="need to provide new pole, equipment slab and cable tray"/>
    <m/>
    <m/>
    <m/>
    <m/>
    <m/>
    <m/>
    <m/>
    <m/>
    <m/>
    <m/>
    <m/>
    <m/>
    <m/>
    <x v="0"/>
    <s v="Not  Calculated"/>
    <n v="0"/>
    <s v="No File"/>
    <s v="AYYN_0533 (YAW78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3 (YAW7827) Application.xlsx"/>
    <m/>
  </r>
  <r>
    <n v="90"/>
    <s v="ASMO_0263"/>
    <x v="0"/>
    <x v="0"/>
    <s v="MOW6303"/>
    <x v="2"/>
    <s v="OML Phase 2 Colo"/>
    <s v="On Air"/>
    <s v="Colocation"/>
    <m/>
    <x v="65"/>
    <m/>
    <n v="3"/>
    <m/>
    <s v="EPA"/>
    <m/>
    <m/>
    <x v="1"/>
    <m/>
    <s v="OK"/>
    <s v="18-May-18: Good to go for OML, lease hike may raise while TI installation"/>
    <s v="OK"/>
    <m/>
    <s v="OK"/>
    <s v="OK"/>
    <s v="OK"/>
    <m/>
    <m/>
    <m/>
    <s v="OK"/>
    <s v="OK"/>
    <s v="90 Days"/>
    <m/>
    <d v="1900-01-02T12:00:00"/>
    <s v="BB DG"/>
    <s v="OK"/>
    <s v="No"/>
    <m/>
    <m/>
    <m/>
    <m/>
    <m/>
    <m/>
    <m/>
    <m/>
    <m/>
    <d v="2018-12-19T09:05:44"/>
    <m/>
    <m/>
    <m/>
    <m/>
    <x v="107"/>
    <s v="Not  Calculated"/>
    <n v="0"/>
    <s v="No File"/>
    <s v="ASMO_0263 (MOW63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3 (MOW6303) Application.xlsx"/>
    <m/>
  </r>
  <r>
    <n v="93"/>
    <s v="AYYN_0534"/>
    <x v="0"/>
    <x v="0"/>
    <s v="YAW7825"/>
    <x v="2"/>
    <s v="Colocation"/>
    <m/>
    <s v="Colocation"/>
    <m/>
    <x v="65"/>
    <m/>
    <n v="3"/>
    <m/>
    <s v="EPA"/>
    <m/>
    <m/>
    <x v="1"/>
    <m/>
    <s v="OK"/>
    <s v="23-May-18: Already 4 opertor are co-located on site, if go from structural Engg we can go ahead with negotation."/>
    <s v="OK"/>
    <m/>
    <s v="OK"/>
    <s v="At this is ok after TSS will confirm available height"/>
    <s v="Review"/>
    <m/>
    <m/>
    <s v="No"/>
    <s v="Tower already strengthening without consider OML"/>
    <s v="Review"/>
    <m/>
    <m/>
    <m/>
    <s v="Flex UG BB DG"/>
    <s v="OK"/>
    <s v="Yes"/>
    <m/>
    <m/>
    <m/>
    <m/>
    <m/>
    <m/>
    <m/>
    <m/>
    <m/>
    <m/>
    <m/>
    <m/>
    <m/>
    <m/>
    <x v="0"/>
    <s v="Not  Calculated"/>
    <n v="1"/>
    <s v="No File"/>
    <s v="AYYN_0534 (YAW78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xlsx"/>
    <m/>
  </r>
  <r>
    <n v="95"/>
    <s v="AYYN_0119"/>
    <x v="0"/>
    <x v="0"/>
    <s v="YAW7500"/>
    <x v="2"/>
    <s v="Colocation"/>
    <m/>
    <s v="Colocation"/>
    <m/>
    <x v="65"/>
    <m/>
    <n v="3"/>
    <m/>
    <s v="EPA"/>
    <m/>
    <m/>
    <x v="3"/>
    <m/>
    <s v="Rejected"/>
    <s v="23-May-18: NO more tower extension or new opertor to be installed as per ward and township officer."/>
    <s v="Rejected"/>
    <m/>
    <m/>
    <m/>
    <s v="OK"/>
    <m/>
    <m/>
    <m/>
    <s v="OK for small RF"/>
    <s v="OK"/>
    <s v="90 Days"/>
    <m/>
    <d v="1900-01-02T12:00:00"/>
    <s v="DG"/>
    <m/>
    <m/>
    <m/>
    <m/>
    <m/>
    <m/>
    <m/>
    <m/>
    <m/>
    <m/>
    <m/>
    <d v="2018-12-19T09:05:44"/>
    <m/>
    <m/>
    <m/>
    <m/>
    <x v="107"/>
    <s v="Not  Calculated"/>
    <n v="0"/>
    <s v="No File"/>
    <s v="AYYN_0119 (YAW7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9 (YAW7500) Application.xlsx"/>
    <m/>
  </r>
  <r>
    <n v="96"/>
    <s v="AYYN_0128"/>
    <x v="0"/>
    <x v="0"/>
    <s v="YAW7818"/>
    <x v="2"/>
    <s v="OML Phase 2 Colo"/>
    <s v="RFI"/>
    <s v="Colocation"/>
    <m/>
    <x v="65"/>
    <m/>
    <n v="3"/>
    <m/>
    <s v="EPA"/>
    <m/>
    <m/>
    <x v="1"/>
    <m/>
    <s v="OK"/>
    <s v="18-May-18: Good to go for OML, lease hike may raise while TI installation"/>
    <s v="OK"/>
    <m/>
    <s v="OK"/>
    <s v="OK"/>
    <s v="Review"/>
    <m/>
    <m/>
    <m/>
    <s v="EPA almost over design"/>
    <s v="Review"/>
    <m/>
    <m/>
    <m/>
    <s v="Flex UG BB DG+ Grid"/>
    <s v="OK"/>
    <s v="No"/>
    <m/>
    <m/>
    <m/>
    <m/>
    <m/>
    <m/>
    <m/>
    <m/>
    <m/>
    <m/>
    <m/>
    <m/>
    <m/>
    <m/>
    <x v="0"/>
    <s v="Not  Calculated"/>
    <n v="0"/>
    <s v="No File"/>
    <s v="AYYN_0128 (YAW781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28 (YAW7818) Application.xlsx"/>
    <m/>
  </r>
  <r>
    <n v="97"/>
    <s v="AYYN_0456"/>
    <x v="0"/>
    <x v="0"/>
    <s v="YAW7768"/>
    <x v="2"/>
    <s v="Colocation"/>
    <m/>
    <s v="Colocation"/>
    <m/>
    <x v="65"/>
    <m/>
    <n v="3"/>
    <m/>
    <s v="EPA"/>
    <m/>
    <m/>
    <x v="2"/>
    <m/>
    <s v="OK"/>
    <s v="23-May-18: Lease increase may raise while TI installtion."/>
    <s v="OK"/>
    <m/>
    <s v="OK"/>
    <s v="At this is ok after TSS will confirm available height"/>
    <s v="Review"/>
    <m/>
    <m/>
    <s v="No"/>
    <s v="RT site need TSSR"/>
    <s v="Review"/>
    <m/>
    <m/>
    <m/>
    <s v="LiPO4"/>
    <s v="OK"/>
    <s v="No"/>
    <m/>
    <m/>
    <m/>
    <m/>
    <m/>
    <m/>
    <m/>
    <m/>
    <m/>
    <m/>
    <m/>
    <m/>
    <m/>
    <m/>
    <x v="0"/>
    <s v="Not  Calculated"/>
    <n v="0"/>
    <s v="No File"/>
    <s v="AYYN_0456 (YAW776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56 (YAW7768) Application.xlsx"/>
    <m/>
  </r>
  <r>
    <n v="98"/>
    <s v="AYYN_0104"/>
    <x v="0"/>
    <x v="0"/>
    <s v="YAW7816"/>
    <x v="2"/>
    <s v="OML Phase 2 Colo"/>
    <s v="RFI"/>
    <s v="Colocation"/>
    <m/>
    <x v="65"/>
    <m/>
    <n v="3"/>
    <m/>
    <s v="EPA"/>
    <m/>
    <m/>
    <x v="1"/>
    <m/>
    <s v="OK"/>
    <s v="18-May-18: Good to go for OML, lease hike may raise while TI installation"/>
    <s v="OK"/>
    <m/>
    <s v="OK"/>
    <s v="OK"/>
    <s v="OK"/>
    <m/>
    <m/>
    <m/>
    <s v="OK for small RF"/>
    <s v="OK"/>
    <s v="90 Days"/>
    <m/>
    <d v="1900-01-02T12:00:00"/>
    <s v="Flex UG BB DG"/>
    <s v="OK"/>
    <s v="No"/>
    <m/>
    <m/>
    <m/>
    <m/>
    <m/>
    <m/>
    <m/>
    <m/>
    <m/>
    <d v="2018-12-19T09:05:44"/>
    <m/>
    <m/>
    <m/>
    <m/>
    <x v="107"/>
    <s v="Not  Calculated"/>
    <n v="0"/>
    <s v="No File"/>
    <s v="AYYN_0104 (YAW78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04 (YAW7816) Application.xlsx"/>
    <m/>
  </r>
  <r>
    <n v="99"/>
    <s v="AYYN_0580"/>
    <x v="0"/>
    <x v="0"/>
    <s v="YAW7405"/>
    <x v="2"/>
    <s v="Colocation"/>
    <m/>
    <s v="Colocation"/>
    <m/>
    <x v="65"/>
    <m/>
    <n v="3"/>
    <m/>
    <s v="EPA"/>
    <m/>
    <m/>
    <x v="1"/>
    <m/>
    <s v="OK"/>
    <s v="18-May-18: Good to go for OML, lease hike may raise while TI installation"/>
    <s v="OK"/>
    <m/>
    <s v="OK"/>
    <s v="OK"/>
    <s v="OK"/>
    <m/>
    <m/>
    <m/>
    <s v="OK for small RF"/>
    <s v="OK"/>
    <s v="OK"/>
    <m/>
    <d v="1900-01-01T00:00:00"/>
    <s v="OK"/>
    <s v="OK"/>
    <s v="No"/>
    <m/>
    <m/>
    <m/>
    <m/>
    <m/>
    <m/>
    <m/>
    <m/>
    <m/>
    <d v="2018-12-19T09:05:45"/>
    <m/>
    <m/>
    <m/>
    <m/>
    <x v="107"/>
    <s v="Not  Calculated"/>
    <n v="0"/>
    <s v="No File"/>
    <s v="AYYN_0580 (YAW74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80 (YAW7405) Application.xlsx"/>
    <m/>
  </r>
  <r>
    <n v="100"/>
    <s v="ACAY_0059"/>
    <x v="0"/>
    <x v="0"/>
    <s v="AYW5560"/>
    <x v="2"/>
    <s v="Colocation"/>
    <m/>
    <s v="Colocation"/>
    <m/>
    <x v="65"/>
    <m/>
    <n v="3"/>
    <m/>
    <s v="EPA"/>
    <m/>
    <m/>
    <x v="3"/>
    <m/>
    <s v="OK"/>
    <s v="23-May-18: Already agreed with lease hike "/>
    <s v="Rejected"/>
    <m/>
    <m/>
    <m/>
    <s v="Review"/>
    <m/>
    <m/>
    <m/>
    <s v="Tower already strengthening without consider OML"/>
    <s v="OK"/>
    <s v="90 Days"/>
    <m/>
    <d v="1900-01-02T12:00:00"/>
    <s v="BB DG"/>
    <m/>
    <m/>
    <m/>
    <m/>
    <m/>
    <m/>
    <m/>
    <m/>
    <m/>
    <m/>
    <m/>
    <d v="2018-12-19T09:05:45"/>
    <m/>
    <m/>
    <m/>
    <m/>
    <x v="107"/>
    <s v="Not  Calculated"/>
    <n v="0"/>
    <s v="No File"/>
    <s v="ACAY_0059 (AY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9 (AYW5560) Application.xlsx"/>
    <m/>
  </r>
  <r>
    <n v="101"/>
    <s v="AYYN_0081"/>
    <x v="0"/>
    <x v="0"/>
    <s v="YAW7814"/>
    <x v="2"/>
    <s v="Colocation"/>
    <m/>
    <s v="Colocation"/>
    <m/>
    <x v="65"/>
    <m/>
    <n v="3"/>
    <m/>
    <s v="EPA"/>
    <m/>
    <m/>
    <x v="3"/>
    <s v="remaining EPA still can collocate (GMT) "/>
    <s v="OK"/>
    <s v="18-May-18: Good to go for OML, lease hike may raise while TI installation"/>
    <s v="OK"/>
    <m/>
    <s v="OK"/>
    <s v="Only Macro Solutions"/>
    <s v="OK"/>
    <m/>
    <m/>
    <s v="5m"/>
    <s v="Ok small RF"/>
    <s v="Review"/>
    <m/>
    <m/>
    <m/>
    <s v="BB DG"/>
    <s v="OK"/>
    <s v="No"/>
    <m/>
    <m/>
    <m/>
    <m/>
    <m/>
    <m/>
    <m/>
    <m/>
    <m/>
    <m/>
    <m/>
    <m/>
    <m/>
    <m/>
    <x v="107"/>
    <s v="Not  Calculated"/>
    <n v="0"/>
    <s v="No File"/>
    <s v="AYYN_0081 (YAW78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1 (YAW7814) Application.xlsx"/>
    <m/>
  </r>
  <r>
    <n v="103"/>
    <s v="AYYN_0576"/>
    <x v="0"/>
    <x v="0"/>
    <s v="YAW7812"/>
    <x v="2"/>
    <s v="OML Phase 2 Colo"/>
    <s v="RFI"/>
    <s v="Colocation"/>
    <m/>
    <x v="65"/>
    <m/>
    <n v="3"/>
    <m/>
    <s v="EPA"/>
    <m/>
    <m/>
    <x v="1"/>
    <m/>
    <s v="OK"/>
    <s v="23-May-18: Lease increase may raise while TI installtion."/>
    <s v="OK"/>
    <m/>
    <s v="OK"/>
    <s v="At this is ok after TSS will confirm available height"/>
    <s v="Review"/>
    <m/>
    <m/>
    <s v="No"/>
    <s v="Tower already strengthening without consider OML"/>
    <s v="Review"/>
    <m/>
    <m/>
    <m/>
    <s v="BB DG"/>
    <s v="OK"/>
    <s v="Yes"/>
    <m/>
    <m/>
    <m/>
    <m/>
    <m/>
    <m/>
    <m/>
    <m/>
    <m/>
    <m/>
    <m/>
    <m/>
    <m/>
    <m/>
    <x v="0"/>
    <s v="Not  Calculated"/>
    <n v="0"/>
    <s v="No File"/>
    <s v="AYYN_0576 (YAW78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6 (YAW7812) Application.xlsx"/>
    <m/>
  </r>
  <r>
    <n v="104"/>
    <s v="AYYN_0574"/>
    <x v="0"/>
    <x v="0"/>
    <s v="YAW4977"/>
    <x v="2"/>
    <s v="Colocation"/>
    <m/>
    <s v="Colocation"/>
    <m/>
    <x v="65"/>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 K10 kit from stock"/>
    <m/>
    <d v="1900-01-01T00:00:00"/>
    <s v="Material from stock to be reordered"/>
    <s v="OK"/>
    <s v="No"/>
    <s v="need to relocate PACE rectifier"/>
    <m/>
    <m/>
    <m/>
    <m/>
    <m/>
    <m/>
    <m/>
    <m/>
    <d v="2018-12-19T09:05:45"/>
    <m/>
    <m/>
    <m/>
    <m/>
    <x v="108"/>
    <n v="217.37899050929991"/>
    <n v="0"/>
    <s v="No File"/>
    <s v="AYYN_0574 (YAW4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4 (YAW4977) Application.xlsx"/>
    <m/>
  </r>
  <r>
    <n v="105"/>
    <s v="AYYN_0331"/>
    <x v="0"/>
    <x v="0"/>
    <s v="YAW7807"/>
    <x v="2"/>
    <s v="OML Phase 2 Colo"/>
    <s v="RFI"/>
    <s v="Colocation"/>
    <m/>
    <x v="65"/>
    <m/>
    <n v="3"/>
    <m/>
    <s v="EPA"/>
    <m/>
    <m/>
    <x v="1"/>
    <m/>
    <s v="OK"/>
    <s v="18-May-18: Good to go for OML, lease hike may raise while TI installation"/>
    <s v="OK"/>
    <m/>
    <s v="OK"/>
    <s v="OK"/>
    <s v="OK"/>
    <m/>
    <m/>
    <m/>
    <s v="OK for small RF"/>
    <s v="OK"/>
    <s v="90 Days"/>
    <m/>
    <d v="1900-01-02T12:00:00"/>
    <s v="Flex UG BB DG"/>
    <s v="OK"/>
    <s v="No"/>
    <m/>
    <m/>
    <m/>
    <m/>
    <m/>
    <m/>
    <m/>
    <m/>
    <m/>
    <d v="2018-12-19T09:05:45"/>
    <m/>
    <m/>
    <m/>
    <m/>
    <x v="107"/>
    <s v="Not  Calculated"/>
    <n v="0"/>
    <s v="No File"/>
    <s v="AYYN_0331 (YAW78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1 (YAW7807) Application.xlsx"/>
    <m/>
  </r>
  <r>
    <n v="107"/>
    <s v="ACBA_0108"/>
    <x v="0"/>
    <x v="1"/>
    <s v="BAW5569"/>
    <x v="2"/>
    <s v="OML Phase 2 Colo"/>
    <s v="On Air"/>
    <s v="Colocation"/>
    <m/>
    <x v="65"/>
    <m/>
    <n v="3"/>
    <m/>
    <s v="EPA"/>
    <m/>
    <m/>
    <x v="1"/>
    <m/>
    <s v="OK"/>
    <s v="18-May-18: Good to go for OML, lease hike may raise while TI installation"/>
    <s v="OK"/>
    <m/>
    <s v="OK"/>
    <s v="OK"/>
    <s v="OK"/>
    <m/>
    <m/>
    <m/>
    <s v="OK"/>
    <s v="OK"/>
    <s v="120 Days"/>
    <m/>
    <d v="1900-01-02T12:00:00"/>
    <s v="BB DG+ Grid"/>
    <s v="OK"/>
    <s v="No"/>
    <m/>
    <m/>
    <m/>
    <m/>
    <m/>
    <m/>
    <m/>
    <m/>
    <m/>
    <d v="2018-12-19T09:05:45"/>
    <m/>
    <m/>
    <m/>
    <m/>
    <x v="107"/>
    <s v="Not  Calculated"/>
    <n v="0"/>
    <s v="No File"/>
    <s v="ACBA_0108 (BA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8 (BAW5569) Application.xlsx"/>
    <m/>
  </r>
  <r>
    <n v="108"/>
    <s v="ASMO_0305"/>
    <x v="0"/>
    <x v="0"/>
    <s v="MOW6308"/>
    <x v="2"/>
    <s v="OML Phase 2 Colo"/>
    <s v="On Air"/>
    <s v="Colocation"/>
    <m/>
    <x v="65"/>
    <m/>
    <n v="3"/>
    <m/>
    <s v="EPA"/>
    <m/>
    <m/>
    <x v="1"/>
    <m/>
    <s v="OK"/>
    <s v="18-May-18: Good to go for OML, lease hike may raise while TI installation"/>
    <s v="OK"/>
    <m/>
    <s v="OK"/>
    <s v="OK"/>
    <s v="OK"/>
    <m/>
    <m/>
    <m/>
    <s v="OK"/>
    <s v="OK"/>
    <s v="90 Days"/>
    <m/>
    <d v="1900-01-02T12:00:00"/>
    <s v="BB DG"/>
    <s v="OK"/>
    <s v="No"/>
    <s v="Need to provide additional equipment slab"/>
    <m/>
    <m/>
    <m/>
    <m/>
    <m/>
    <m/>
    <m/>
    <m/>
    <d v="2018-12-19T09:05:45"/>
    <m/>
    <m/>
    <m/>
    <m/>
    <x v="107"/>
    <s v="Not  Calculated"/>
    <n v="0"/>
    <s v="No File"/>
    <s v="ASMO_0305 (MOW63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05 (MOW6308) Application.xlsx"/>
    <m/>
  </r>
  <r>
    <n v="109"/>
    <s v="AYYN_0321"/>
    <x v="0"/>
    <x v="0"/>
    <s v="YAW4951"/>
    <x v="2"/>
    <s v="Colocation"/>
    <m/>
    <s v="Colocation"/>
    <m/>
    <x v="65"/>
    <m/>
    <n v="3"/>
    <m/>
    <s v="EPA"/>
    <m/>
    <m/>
    <x v="3"/>
    <m/>
    <s v="Rejected"/>
    <s v="23-May-18: Owner is concern about space, didn’t agree for new pole and slab."/>
    <s v="OK"/>
    <m/>
    <m/>
    <m/>
    <s v="Review"/>
    <m/>
    <m/>
    <m/>
    <s v="RT need to check"/>
    <m/>
    <m/>
    <m/>
    <d v="1900-01-01T00:00:00"/>
    <m/>
    <m/>
    <m/>
    <m/>
    <m/>
    <m/>
    <m/>
    <m/>
    <m/>
    <m/>
    <m/>
    <m/>
    <m/>
    <m/>
    <m/>
    <m/>
    <m/>
    <x v="107"/>
    <s v="Not  Calculated"/>
    <n v="0"/>
    <s v="No File"/>
    <s v="AYYN_0321 (YAW49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21 (YAW4951) Application.xlsx"/>
    <m/>
  </r>
  <r>
    <n v="111"/>
    <s v="AYYN_0405"/>
    <x v="0"/>
    <x v="0"/>
    <s v="YAW7804"/>
    <x v="2"/>
    <s v="Colocation"/>
    <m/>
    <s v="Colocation"/>
    <m/>
    <x v="65"/>
    <m/>
    <n v="3"/>
    <m/>
    <s v="EPA"/>
    <m/>
    <m/>
    <x v="2"/>
    <m/>
    <s v="OK"/>
    <s v="23-May-18: Lease increase may raise while TI installtion."/>
    <s v="OK"/>
    <m/>
    <s v="OK"/>
    <s v="At this is ok after TSS will confirm available height"/>
    <s v="Review"/>
    <m/>
    <m/>
    <s v="No"/>
    <s v="RT site need TSSR"/>
    <s v="Review"/>
    <m/>
    <m/>
    <m/>
    <s v="LiPO4"/>
    <s v="OK"/>
    <s v="Yes"/>
    <m/>
    <m/>
    <m/>
    <m/>
    <m/>
    <m/>
    <m/>
    <m/>
    <m/>
    <m/>
    <m/>
    <m/>
    <m/>
    <m/>
    <x v="0"/>
    <s v="Not  Calculated"/>
    <n v="0"/>
    <s v="No File"/>
    <s v="AYYN_0405 (YAW78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05 (YAW7804) Application.xlsx"/>
    <m/>
  </r>
  <r>
    <n v="112"/>
    <s v="AYYN_0552"/>
    <x v="0"/>
    <x v="0"/>
    <s v="YAW7803"/>
    <x v="2"/>
    <s v="Colocation"/>
    <m/>
    <s v="Colocation"/>
    <m/>
    <x v="65"/>
    <m/>
    <n v="3"/>
    <m/>
    <s v="EPA"/>
    <m/>
    <m/>
    <x v="2"/>
    <m/>
    <s v="OK"/>
    <s v="23-May-18: Lease increase may raise while TI installtion."/>
    <s v="OK"/>
    <m/>
    <s v="OK"/>
    <s v="At this is ok after TSS will confirm available height"/>
    <s v="Review"/>
    <m/>
    <m/>
    <s v="No"/>
    <s v="RT site need TSSR"/>
    <s v="Review"/>
    <m/>
    <m/>
    <m/>
    <s v="LiPO4"/>
    <s v="OK"/>
    <s v="No"/>
    <m/>
    <m/>
    <m/>
    <m/>
    <m/>
    <m/>
    <m/>
    <m/>
    <m/>
    <m/>
    <m/>
    <m/>
    <m/>
    <m/>
    <x v="0"/>
    <s v="Not  Calculated"/>
    <n v="0"/>
    <s v="No File"/>
    <s v="AYYN_0552 (YAW78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52 (YAW7803) Application.xlsx"/>
    <m/>
  </r>
  <r>
    <n v="113"/>
    <s v="ASMO_0180"/>
    <x v="0"/>
    <x v="0"/>
    <s v="MOW6311"/>
    <x v="2"/>
    <s v="Colocation"/>
    <m/>
    <s v="Colocation"/>
    <m/>
    <x v="65"/>
    <m/>
    <n v="3"/>
    <m/>
    <s v="EPA"/>
    <m/>
    <m/>
    <x v="1"/>
    <m/>
    <s v="OK"/>
    <s v="23-May-18: Lease increase may raise while TI installtion."/>
    <s v="OK"/>
    <m/>
    <s v="OK"/>
    <s v="At this is ok after TSS will confirm available height"/>
    <s v="OK"/>
    <m/>
    <m/>
    <s v="No"/>
    <s v="OK for small RF"/>
    <s v="OK"/>
    <s v="PE UG - Batt DG &amp; DCDB"/>
    <m/>
    <d v="1900-01-01T00:00:00"/>
    <s v="PE equipment TBO (To Be Ordered)"/>
    <s v="OK"/>
    <s v="Yes"/>
    <m/>
    <m/>
    <m/>
    <m/>
    <m/>
    <m/>
    <m/>
    <m/>
    <m/>
    <d v="2018-12-19T09:05:45"/>
    <m/>
    <m/>
    <m/>
    <m/>
    <x v="107"/>
    <s v="Not  Calculated"/>
    <n v="0"/>
    <s v="No File"/>
    <s v="ASMO_0180 (MOW63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80 (MOW6311) Application.xlsx"/>
    <m/>
  </r>
  <r>
    <n v="114"/>
    <s v="AYYN_0536"/>
    <x v="0"/>
    <x v="0"/>
    <s v="YAW7758"/>
    <x v="2"/>
    <s v="Colocation"/>
    <m/>
    <s v="Colocation"/>
    <m/>
    <x v="65"/>
    <m/>
    <n v="3"/>
    <m/>
    <s v="EPA"/>
    <m/>
    <m/>
    <x v="1"/>
    <m/>
    <s v="OK"/>
    <s v="23-May-18: Lease increase may raise while TI installtion."/>
    <s v="OK"/>
    <m/>
    <s v="OK"/>
    <s v="At this is ok after TSS will confirm available height"/>
    <s v="Review"/>
    <m/>
    <m/>
    <s v="No"/>
    <s v="RT site need TSSR"/>
    <s v="Review"/>
    <m/>
    <m/>
    <m/>
    <s v="LiPO4"/>
    <s v="OK"/>
    <s v="Yes"/>
    <m/>
    <m/>
    <m/>
    <m/>
    <m/>
    <m/>
    <m/>
    <m/>
    <m/>
    <m/>
    <m/>
    <m/>
    <m/>
    <m/>
    <x v="107"/>
    <s v="Not  Calculated"/>
    <n v="0"/>
    <s v="No File"/>
    <s v="AYYN_0536 (YAW77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6 (YAW7758) Application.xlsx"/>
    <m/>
  </r>
  <r>
    <n v="115"/>
    <s v="AYYN_0508"/>
    <x v="0"/>
    <x v="0"/>
    <s v="YAW7800"/>
    <x v="2"/>
    <s v="Colocation"/>
    <m/>
    <s v="Colocation"/>
    <m/>
    <x v="65"/>
    <m/>
    <n v="3"/>
    <m/>
    <s v="EPA"/>
    <m/>
    <m/>
    <x v="3"/>
    <m/>
    <s v="OK"/>
    <s v="18-May-18: Good to go for OML, lease hike may raise while TI installation"/>
    <s v="OK"/>
    <m/>
    <s v="OK"/>
    <s v="OK"/>
    <s v="Review"/>
    <m/>
    <m/>
    <m/>
    <s v="Tower already strengthening without consider OML"/>
    <s v="Review"/>
    <m/>
    <m/>
    <m/>
    <s v="Flex UG BB DG"/>
    <s v="OK"/>
    <s v="No"/>
    <m/>
    <m/>
    <m/>
    <m/>
    <m/>
    <m/>
    <m/>
    <m/>
    <m/>
    <m/>
    <m/>
    <m/>
    <m/>
    <m/>
    <x v="0"/>
    <s v="Not  Calculated"/>
    <n v="0"/>
    <s v="No File"/>
    <s v="AYYN_0508 (YAW78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xlsx"/>
    <m/>
  </r>
  <r>
    <n v="116"/>
    <s v="ASMO_0150"/>
    <x v="0"/>
    <x v="0"/>
    <s v="MOW6312"/>
    <x v="2"/>
    <s v="Colocation"/>
    <m/>
    <s v="Colocation"/>
    <m/>
    <x v="65"/>
    <m/>
    <n v="3"/>
    <m/>
    <s v="EPA"/>
    <m/>
    <m/>
    <x v="3"/>
    <m/>
    <s v="OK"/>
    <s v="18-May-18: Good to go for OML, lease hike may raise while TI installation"/>
    <s v="Rejected"/>
    <m/>
    <s v="OK"/>
    <s v="LEG ABD"/>
    <s v="OK"/>
    <m/>
    <m/>
    <m/>
    <s v="OK"/>
    <s v="OK"/>
    <s v="90 Days"/>
    <m/>
    <d v="1900-01-02T12:00:00"/>
    <s v="36KW 2400 BB"/>
    <s v="OK"/>
    <s v="No"/>
    <m/>
    <m/>
    <m/>
    <m/>
    <m/>
    <m/>
    <m/>
    <m/>
    <m/>
    <d v="2018-12-19T09:05:46"/>
    <m/>
    <m/>
    <m/>
    <m/>
    <x v="107"/>
    <s v="Not  Calculated"/>
    <n v="0"/>
    <s v="No File"/>
    <s v="ASMO_0150 (MOW63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50 (MOW6312) Application.xlsx"/>
    <m/>
  </r>
  <r>
    <n v="117"/>
    <s v="AYYN_0518"/>
    <x v="0"/>
    <x v="0"/>
    <s v="YAW4931"/>
    <x v="2"/>
    <s v="Colocation"/>
    <m/>
    <s v="Colocation"/>
    <m/>
    <x v="65"/>
    <m/>
    <n v="3"/>
    <m/>
    <s v="EPA"/>
    <m/>
    <m/>
    <x v="2"/>
    <m/>
    <s v="OK"/>
    <s v="18-May-18: Good to go for OML, lease hike may raise while TI installation"/>
    <s v="OK"/>
    <m/>
    <s v="OK"/>
    <s v="OK"/>
    <s v="OK"/>
    <m/>
    <m/>
    <s v="5m"/>
    <m/>
    <s v="Review"/>
    <m/>
    <m/>
    <m/>
    <s v="PE UG - site on grid"/>
    <s v="OK"/>
    <s v="No"/>
    <m/>
    <m/>
    <m/>
    <m/>
    <m/>
    <m/>
    <m/>
    <m/>
    <m/>
    <m/>
    <m/>
    <m/>
    <m/>
    <m/>
    <x v="0"/>
    <s v="Not  Calculated"/>
    <n v="0"/>
    <s v="No File"/>
    <s v="AYYN_0518 (YAW49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8 (YAW4931) Application.xlsx"/>
    <m/>
  </r>
  <r>
    <n v="118"/>
    <s v="AYYN_0474"/>
    <x v="0"/>
    <x v="0"/>
    <s v="YAW4930"/>
    <x v="2"/>
    <s v="Colocation"/>
    <m/>
    <s v="Colocation"/>
    <m/>
    <x v="65"/>
    <m/>
    <n v="3"/>
    <m/>
    <s v="EPA"/>
    <m/>
    <m/>
    <x v="3"/>
    <m/>
    <s v="Rejected"/>
    <s v="23-May-18: Owner is concern about space, didn’t agree for new pole and slab."/>
    <s v="OK"/>
    <m/>
    <m/>
    <m/>
    <s v="Review"/>
    <m/>
    <m/>
    <m/>
    <s v="RT need to check"/>
    <m/>
    <m/>
    <m/>
    <d v="1900-01-01T00:00:00"/>
    <m/>
    <m/>
    <m/>
    <m/>
    <m/>
    <m/>
    <m/>
    <m/>
    <m/>
    <m/>
    <m/>
    <m/>
    <m/>
    <m/>
    <m/>
    <m/>
    <m/>
    <x v="107"/>
    <s v="Not  Calculated"/>
    <n v="0"/>
    <s v="No File"/>
    <s v="AYYN_0474 (YAW49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74 (YAW4930) Application.xlsx"/>
    <m/>
  </r>
  <r>
    <n v="120"/>
    <s v="ACBA_0051"/>
    <x v="0"/>
    <x v="0"/>
    <s v="BAW5574"/>
    <x v="2"/>
    <s v="OML Phase 2 Colo"/>
    <s v="RFI"/>
    <s v="Colocation"/>
    <m/>
    <x v="65"/>
    <m/>
    <n v="3"/>
    <m/>
    <s v="EPA"/>
    <m/>
    <m/>
    <x v="1"/>
    <m/>
    <s v="OK"/>
    <s v="18-May-18: Good to go for OML, lease hike may raise while TI installation"/>
    <s v="OK"/>
    <m/>
    <s v="OK"/>
    <s v="Leg ABC"/>
    <s v="OK"/>
    <m/>
    <m/>
    <m/>
    <s v="OK"/>
    <s v="OK"/>
    <s v="120 Days"/>
    <m/>
    <d v="1900-01-02T12:00:00"/>
    <s v="Flex UG BB DG+ Grid"/>
    <s v="OK"/>
    <s v="No"/>
    <m/>
    <m/>
    <m/>
    <m/>
    <m/>
    <m/>
    <m/>
    <m/>
    <m/>
    <d v="2018-12-19T09:05:46"/>
    <m/>
    <m/>
    <m/>
    <m/>
    <x v="107"/>
    <s v="Not  Calculated"/>
    <n v="0"/>
    <s v="No File"/>
    <s v="ACBA_0051 (BAW557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1 (BAW5574) Application.xlsx"/>
    <m/>
  </r>
  <r>
    <n v="121"/>
    <s v="AYYN_0488"/>
    <x v="0"/>
    <x v="0"/>
    <s v="YAW7795"/>
    <x v="2"/>
    <s v="Colocation"/>
    <m/>
    <s v="Colocation"/>
    <m/>
    <x v="65"/>
    <m/>
    <n v="3"/>
    <m/>
    <s v="EPA"/>
    <m/>
    <m/>
    <x v="2"/>
    <m/>
    <s v="OK"/>
    <s v="23-May-18: Lease increase may raise while TI installtion."/>
    <s v="OK"/>
    <m/>
    <s v="OK"/>
    <s v="At this is ok after TSS will confirm available height"/>
    <s v="Review"/>
    <m/>
    <m/>
    <s v="No"/>
    <s v="RT site need TSSR"/>
    <s v="Review"/>
    <m/>
    <m/>
    <m/>
    <s v="LiPO4"/>
    <s v="OK"/>
    <s v="Yes"/>
    <m/>
    <m/>
    <m/>
    <m/>
    <m/>
    <m/>
    <m/>
    <m/>
    <m/>
    <m/>
    <m/>
    <m/>
    <m/>
    <m/>
    <x v="0"/>
    <s v="Not  Calculated"/>
    <n v="0"/>
    <s v="No File"/>
    <s v="AYYN_0488 (YAW77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8 (YAW7795) Application.xlsx"/>
    <m/>
  </r>
  <r>
    <n v="122"/>
    <s v="AYYN_0544"/>
    <x v="0"/>
    <x v="0"/>
    <s v="YAW4790"/>
    <x v="2"/>
    <s v="Colocation"/>
    <m/>
    <s v="Colocation"/>
    <m/>
    <x v="65"/>
    <m/>
    <n v="3"/>
    <m/>
    <s v="EPA"/>
    <m/>
    <m/>
    <x v="3"/>
    <m/>
    <s v="Rejected"/>
    <s v="23-May-18: Owner is concern about space, didn’t agree for new pole and slab."/>
    <s v="OK"/>
    <m/>
    <m/>
    <m/>
    <s v="Review"/>
    <m/>
    <m/>
    <m/>
    <s v="RT need to check"/>
    <m/>
    <m/>
    <m/>
    <d v="1900-01-01T00:00:00"/>
    <m/>
    <m/>
    <m/>
    <m/>
    <m/>
    <m/>
    <m/>
    <m/>
    <m/>
    <m/>
    <m/>
    <m/>
    <m/>
    <m/>
    <m/>
    <m/>
    <m/>
    <x v="107"/>
    <s v="Not  Calculated"/>
    <n v="0"/>
    <s v="No File"/>
    <s v="AYYN_0544 (YAW47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4 (YAW4790) Application.xlsx"/>
    <m/>
  </r>
  <r>
    <n v="123"/>
    <s v="AYYN_0504"/>
    <x v="0"/>
    <x v="0"/>
    <s v="YAW4769"/>
    <x v="2"/>
    <s v="Colocation"/>
    <m/>
    <s v="Colocation"/>
    <m/>
    <x v="65"/>
    <m/>
    <n v="3"/>
    <m/>
    <s v="EPA"/>
    <m/>
    <m/>
    <x v="3"/>
    <m/>
    <s v="Rejected"/>
    <s v="23-May-18: Site already with structural issue, owner will not allow any upcoming opertors."/>
    <s v="OK"/>
    <m/>
    <m/>
    <m/>
    <s v="Review"/>
    <m/>
    <m/>
    <m/>
    <s v="RT need to check"/>
    <m/>
    <m/>
    <m/>
    <d v="1900-01-01T00:00:00"/>
    <m/>
    <m/>
    <m/>
    <m/>
    <m/>
    <m/>
    <m/>
    <m/>
    <m/>
    <m/>
    <m/>
    <m/>
    <m/>
    <m/>
    <m/>
    <m/>
    <m/>
    <x v="107"/>
    <s v="Not  Calculated"/>
    <n v="0"/>
    <s v="No File"/>
    <s v="AYYN_0504 (YAW4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4 (YAW4769) Application.xlsx"/>
    <m/>
  </r>
  <r>
    <n v="124"/>
    <s v="AYYN_0309"/>
    <x v="0"/>
    <x v="0"/>
    <s v="YAW7787"/>
    <x v="2"/>
    <s v="Colocation"/>
    <m/>
    <s v="Colocation"/>
    <m/>
    <x v="65"/>
    <m/>
    <n v="3"/>
    <m/>
    <s v="EPA"/>
    <m/>
    <m/>
    <x v="1"/>
    <m/>
    <s v="OK"/>
    <s v="23-May-18: Lease increase may raise while TI installtion.(No additional slab and pole )"/>
    <s v="OK"/>
    <m/>
    <s v="OK"/>
    <s v="At this is ok after TSS will confirm available height"/>
    <s v="Review"/>
    <m/>
    <m/>
    <s v="No"/>
    <s v="RT site need TSSR"/>
    <s v="Review"/>
    <m/>
    <m/>
    <m/>
    <s v="LiPO4"/>
    <s v="OK"/>
    <s v="Yes"/>
    <m/>
    <m/>
    <m/>
    <m/>
    <m/>
    <m/>
    <m/>
    <m/>
    <m/>
    <m/>
    <m/>
    <m/>
    <m/>
    <m/>
    <x v="0"/>
    <s v="Not  Calculated"/>
    <n v="0"/>
    <s v="No File"/>
    <s v="AYYN_0309 (YAW778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9 (YAW7787) Application.xlsx"/>
    <m/>
  </r>
  <r>
    <n v="125"/>
    <s v="ACAY_0142"/>
    <x v="0"/>
    <x v="0"/>
    <s v="AYW5565"/>
    <x v="2"/>
    <s v="Colocation"/>
    <m/>
    <s v="Colocation"/>
    <m/>
    <x v="65"/>
    <m/>
    <n v="3"/>
    <m/>
    <s v="EPA"/>
    <m/>
    <m/>
    <x v="1"/>
    <m/>
    <s v="OK"/>
    <s v="18-May-18: Good to go for OML, lease hike may raise while TI installation"/>
    <s v="OK"/>
    <m/>
    <s v="OK"/>
    <s v="OK"/>
    <s v="OK"/>
    <m/>
    <m/>
    <m/>
    <s v="OK"/>
    <s v="OK"/>
    <s v="90 Days"/>
    <m/>
    <d v="1900-01-02T12:00:00"/>
    <s v="36KW 2400 BB"/>
    <s v="OK"/>
    <s v="No"/>
    <m/>
    <m/>
    <m/>
    <m/>
    <m/>
    <m/>
    <m/>
    <m/>
    <m/>
    <d v="2018-12-19T09:05:46"/>
    <m/>
    <m/>
    <m/>
    <m/>
    <x v="107"/>
    <s v="Not  Calculated"/>
    <n v="0"/>
    <s v="No File"/>
    <s v="ACAY_0142 (AYW55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2 (AYW5565) Application.xlsx"/>
    <m/>
  </r>
  <r>
    <n v="126"/>
    <s v="ACBA_0089"/>
    <x v="0"/>
    <x v="1"/>
    <s v="BAW5581"/>
    <x v="2"/>
    <s v="OML Phase 2 Colo"/>
    <s v="On Air"/>
    <s v="Colocation"/>
    <m/>
    <x v="65"/>
    <m/>
    <n v="3"/>
    <m/>
    <s v="EPA"/>
    <m/>
    <m/>
    <x v="1"/>
    <m/>
    <s v="OK"/>
    <s v="18-May-18: Good to go for OML, lease hike may raise while TI installation"/>
    <s v="OK"/>
    <m/>
    <s v="OK"/>
    <s v="OK"/>
    <s v="OK"/>
    <m/>
    <m/>
    <m/>
    <s v="OK"/>
    <s v="OK"/>
    <s v="90 Days"/>
    <m/>
    <d v="1900-01-02T12:00:00"/>
    <s v="Flex UG BB DG"/>
    <s v="OK"/>
    <s v="No"/>
    <m/>
    <m/>
    <m/>
    <m/>
    <m/>
    <m/>
    <m/>
    <m/>
    <m/>
    <d v="2018-12-19T09:05:46"/>
    <m/>
    <m/>
    <m/>
    <m/>
    <x v="107"/>
    <s v="Not  Calculated"/>
    <n v="0"/>
    <s v="No File"/>
    <s v="ACBA_0089 (BAW558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89 (BAW5581) Application.xlsx"/>
    <m/>
  </r>
  <r>
    <n v="127"/>
    <s v="AYYN_0088"/>
    <x v="0"/>
    <x v="0"/>
    <s v="YAW4651"/>
    <x v="2"/>
    <s v="Colocation"/>
    <m/>
    <s v="Colocation"/>
    <m/>
    <x v="65"/>
    <m/>
    <n v="3"/>
    <m/>
    <s v="EPA"/>
    <m/>
    <m/>
    <x v="1"/>
    <m/>
    <s v="OK"/>
    <s v="23-May-18: Lease increase may raise while TI installtion."/>
    <s v="OK"/>
    <m/>
    <s v="OK"/>
    <s v="At this is ok after TSS will confirm available height"/>
    <s v="OK"/>
    <m/>
    <m/>
    <s v="No"/>
    <s v="OK for small RF"/>
    <s v="OK"/>
    <s v="PE UG - Batt DG &amp; DCDB - K10 kit TBO"/>
    <m/>
    <d v="1900-01-01T00:00:00"/>
    <s v="PE equipment TBO (To Be Ordered)"/>
    <s v="OK"/>
    <s v="No"/>
    <m/>
    <m/>
    <m/>
    <m/>
    <m/>
    <m/>
    <m/>
    <m/>
    <m/>
    <d v="2018-12-19T09:05:46"/>
    <m/>
    <m/>
    <m/>
    <m/>
    <x v="107"/>
    <s v="Not  Calculated"/>
    <n v="0"/>
    <s v="No File"/>
    <s v="AYYN_0088 (YAW46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8 (YAW4651) Application.xlsx"/>
    <m/>
  </r>
  <r>
    <n v="128"/>
    <s v="ACAY_0123"/>
    <x v="0"/>
    <x v="0"/>
    <s v="AYW5569"/>
    <x v="2"/>
    <s v="OML Phase 2 Colo"/>
    <s v="On Air"/>
    <s v="Colocation"/>
    <m/>
    <x v="65"/>
    <m/>
    <n v="3"/>
    <m/>
    <s v="EPA"/>
    <m/>
    <m/>
    <x v="1"/>
    <m/>
    <s v="OK"/>
    <s v="18-May-18: Good to go for OML, lease hike may raise while TI installation"/>
    <s v="OK"/>
    <m/>
    <s v="OK"/>
    <s v="OK"/>
    <s v="OK"/>
    <m/>
    <m/>
    <m/>
    <s v="OK"/>
    <s v="OK"/>
    <s v="90 Days"/>
    <m/>
    <d v="1900-01-02T12:00:00"/>
    <s v="BB DG"/>
    <s v="OK"/>
    <s v="No"/>
    <m/>
    <m/>
    <m/>
    <m/>
    <m/>
    <m/>
    <m/>
    <m/>
    <m/>
    <d v="2018-12-19T09:05:46"/>
    <m/>
    <m/>
    <m/>
    <m/>
    <x v="107"/>
    <s v="Not  Calculated"/>
    <n v="0"/>
    <s v="No File"/>
    <s v="ACAY_0123 (AY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23 (AYW5569) Application.xlsx"/>
    <m/>
  </r>
  <r>
    <n v="129"/>
    <s v="ACBA_0032"/>
    <x v="0"/>
    <x v="0"/>
    <s v="BAW5234"/>
    <x v="2"/>
    <s v="Colocation"/>
    <m/>
    <s v="Colocation"/>
    <m/>
    <x v="65"/>
    <m/>
    <n v="3"/>
    <m/>
    <s v="EPA"/>
    <m/>
    <m/>
    <x v="1"/>
    <m/>
    <s v="OK"/>
    <s v="18-May-18: Good to go for OML, lease hike may raise while TI installation"/>
    <s v="OK"/>
    <m/>
    <s v="OK"/>
    <s v="OK"/>
    <s v="OK"/>
    <m/>
    <m/>
    <m/>
    <s v="OK"/>
    <s v="OK"/>
    <s v="OK"/>
    <m/>
    <d v="1900-01-01T00:00:00"/>
    <s v="DG &amp; BB UG required need to re-order - site on grid"/>
    <s v="OK"/>
    <s v="No"/>
    <m/>
    <m/>
    <m/>
    <m/>
    <m/>
    <m/>
    <m/>
    <m/>
    <m/>
    <d v="2018-12-19T09:05:46"/>
    <m/>
    <m/>
    <m/>
    <m/>
    <x v="107"/>
    <s v="Not  Calculated"/>
    <n v="1"/>
    <s v="No File"/>
    <s v="ACBA_0032 (BAW523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xlsx"/>
    <m/>
  </r>
  <r>
    <n v="130"/>
    <s v="ASMO_0162"/>
    <x v="0"/>
    <x v="0"/>
    <s v="MOW6294"/>
    <x v="2"/>
    <s v="OML Phase 2 Colo"/>
    <s v="On Air"/>
    <s v="Colocation"/>
    <m/>
    <x v="65"/>
    <m/>
    <n v="3"/>
    <m/>
    <s v="EPA"/>
    <m/>
    <m/>
    <x v="1"/>
    <m/>
    <s v="OK"/>
    <s v="18-May-18: Good to go for OML, lease hike may raise while TI installation"/>
    <s v="OK"/>
    <m/>
    <s v="OK"/>
    <s v="OK"/>
    <s v="OK"/>
    <m/>
    <m/>
    <m/>
    <s v="OK for small RF"/>
    <s v="OK"/>
    <s v="90 Days"/>
    <m/>
    <d v="1900-01-02T12:00:00"/>
    <s v="BB DG"/>
    <s v="OK"/>
    <s v="No"/>
    <m/>
    <m/>
    <m/>
    <m/>
    <m/>
    <m/>
    <m/>
    <m/>
    <m/>
    <d v="2018-12-19T09:05:46"/>
    <m/>
    <m/>
    <m/>
    <m/>
    <x v="107"/>
    <s v="Not  Calculated"/>
    <n v="0"/>
    <s v="No File"/>
    <s v="ASMO_0162 (MOW62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2 (MOW6294) Application.xlsx"/>
    <m/>
  </r>
  <r>
    <n v="131"/>
    <s v="ASMO_0164"/>
    <x v="0"/>
    <x v="0"/>
    <s v="MOT6240"/>
    <x v="2"/>
    <s v="Colocation"/>
    <m/>
    <s v="Colocation"/>
    <m/>
    <x v="65"/>
    <m/>
    <n v="3"/>
    <m/>
    <s v="EPA"/>
    <m/>
    <m/>
    <x v="2"/>
    <m/>
    <s v="OK"/>
    <s v="18-May-18: Good to go for OML, lease hike may raise while TI installation"/>
    <s v="OK"/>
    <m/>
    <s v="OK"/>
    <s v="OK"/>
    <s v="OK"/>
    <m/>
    <m/>
    <m/>
    <s v="OK"/>
    <s v="Review"/>
    <m/>
    <m/>
    <m/>
    <s v="2400AH - DG 24/7 restricted expect outages going colo with long grid outages"/>
    <s v="OK"/>
    <s v="No"/>
    <m/>
    <m/>
    <m/>
    <m/>
    <m/>
    <m/>
    <m/>
    <m/>
    <m/>
    <m/>
    <m/>
    <m/>
    <m/>
    <m/>
    <x v="0"/>
    <s v="Not  Calculated"/>
    <n v="0"/>
    <s v="No File"/>
    <s v="ASMO_0164 (MOT62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4 (MOT6240) Application.xlsx"/>
    <m/>
  </r>
  <r>
    <n v="132"/>
    <s v="ASMO_0166"/>
    <x v="0"/>
    <x v="0"/>
    <s v="MOW6237"/>
    <x v="2"/>
    <s v="Colocation"/>
    <m/>
    <s v="Colocation"/>
    <m/>
    <x v="65"/>
    <m/>
    <n v="3"/>
    <m/>
    <s v="EPA"/>
    <m/>
    <m/>
    <x v="1"/>
    <m/>
    <s v="OK"/>
    <s v="18-May-18: Good to go for OML, lease hike may raise while TI installation"/>
    <s v="OK"/>
    <m/>
    <s v="OK"/>
    <s v="OK"/>
    <s v="OK"/>
    <m/>
    <m/>
    <m/>
    <s v="OK"/>
    <s v="OK"/>
    <s v="OK"/>
    <m/>
    <d v="1900-01-01T00:00:00"/>
    <s v="DG UG required"/>
    <s v="OK"/>
    <s v="No"/>
    <m/>
    <m/>
    <m/>
    <m/>
    <m/>
    <m/>
    <m/>
    <m/>
    <m/>
    <d v="2018-12-19T09:05:47"/>
    <m/>
    <m/>
    <m/>
    <m/>
    <x v="107"/>
    <s v="Not  Calculated"/>
    <n v="0"/>
    <s v="No File"/>
    <s v="ASMO_0166 (MOW62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6 (MOW6237) Application.xlsx"/>
    <m/>
  </r>
  <r>
    <n v="133"/>
    <s v="ASMO_0165"/>
    <x v="0"/>
    <x v="0"/>
    <s v="MOW6176"/>
    <x v="2"/>
    <s v="Colocation"/>
    <m/>
    <s v="Colocation"/>
    <m/>
    <x v="65"/>
    <m/>
    <n v="3"/>
    <m/>
    <s v="EPA"/>
    <m/>
    <m/>
    <x v="1"/>
    <m/>
    <s v="OK"/>
    <s v="18-May-18: Good to go for OML, lease hike may raise while TI installation"/>
    <s v="OK"/>
    <m/>
    <s v="OK"/>
    <s v="OK"/>
    <s v="OK"/>
    <m/>
    <m/>
    <s v="5m"/>
    <s v="Ok small RF (6m2 remaining) need strengthening"/>
    <s v="Review"/>
    <m/>
    <m/>
    <m/>
    <s v="DG &amp; BB UG "/>
    <s v="OK"/>
    <s v="No"/>
    <m/>
    <m/>
    <m/>
    <m/>
    <m/>
    <m/>
    <m/>
    <m/>
    <m/>
    <m/>
    <m/>
    <m/>
    <m/>
    <m/>
    <x v="107"/>
    <s v="Not  Calculated"/>
    <n v="0"/>
    <s v="No File"/>
    <s v="ASMO_0165 (MOW61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5 (MOW6176) Application.xlsx"/>
    <m/>
  </r>
  <r>
    <n v="134"/>
    <s v="ASMO_0171"/>
    <x v="0"/>
    <x v="0"/>
    <s v="MOW6290"/>
    <x v="2"/>
    <s v="Colocation"/>
    <m/>
    <s v="Colocation"/>
    <m/>
    <x v="65"/>
    <m/>
    <n v="3"/>
    <m/>
    <s v="EPA"/>
    <m/>
    <m/>
    <x v="1"/>
    <m/>
    <s v="OK"/>
    <s v="23-May-18: Already 4 opertor are co-located on site, if go from structural Engg  &amp; Power &amp; Security we can go ahead with negotation."/>
    <s v="Review"/>
    <m/>
    <s v="OK"/>
    <s v="At this is ok after TSS will confirm available height"/>
    <s v="Review"/>
    <m/>
    <m/>
    <s v="No"/>
    <s v="EPA almost over design"/>
    <s v="Review"/>
    <m/>
    <m/>
    <m/>
    <s v="DCDB"/>
    <s v="OK"/>
    <s v="No"/>
    <s v="need to relocate DCDB pole"/>
    <m/>
    <m/>
    <m/>
    <m/>
    <m/>
    <m/>
    <m/>
    <m/>
    <m/>
    <m/>
    <m/>
    <m/>
    <m/>
    <x v="0"/>
    <s v="Not  Calculated"/>
    <n v="0"/>
    <s v="No File"/>
    <s v="ASMO_0171 (MOW62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1 (MOW6290) Application.xlsx"/>
    <m/>
  </r>
  <r>
    <n v="135"/>
    <s v="ACBA_0230"/>
    <x v="0"/>
    <x v="1"/>
    <s v="BAW5584"/>
    <x v="2"/>
    <s v="Colocation"/>
    <m/>
    <s v="Colocation"/>
    <m/>
    <x v="65"/>
    <m/>
    <n v="3"/>
    <m/>
    <s v="EPA"/>
    <m/>
    <m/>
    <x v="3"/>
    <s v="OML RF requirement is 50M and Apollo proposed height is 35-40M"/>
    <s v="OK"/>
    <s v="18-May-18: Good to go for OML, lease hike may raise while TI installation"/>
    <s v="Review"/>
    <m/>
    <s v="OK"/>
    <s v="LEG ABC"/>
    <s v="OK"/>
    <m/>
    <m/>
    <m/>
    <s v="OK"/>
    <s v="Review"/>
    <m/>
    <m/>
    <m/>
    <s v="BB DG"/>
    <s v="OK"/>
    <s v="No"/>
    <s v="Need to provide additional equipment slab"/>
    <m/>
    <m/>
    <m/>
    <m/>
    <m/>
    <m/>
    <m/>
    <m/>
    <m/>
    <m/>
    <m/>
    <m/>
    <m/>
    <x v="107"/>
    <s v="Not  Calculated"/>
    <n v="0"/>
    <s v="No File"/>
    <s v="ACBA_0230 (BAW55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30 (BAW5584) Application.xlsx"/>
    <m/>
  </r>
  <r>
    <n v="136"/>
    <s v="ASMO_0172"/>
    <x v="0"/>
    <x v="0"/>
    <s v="MOW6220"/>
    <x v="2"/>
    <s v="Colocation"/>
    <m/>
    <s v="Colocation"/>
    <m/>
    <x v="65"/>
    <m/>
    <n v="3"/>
    <m/>
    <s v="EPA"/>
    <m/>
    <m/>
    <x v="2"/>
    <m/>
    <s v="OK"/>
    <s v="18-May-18: Good to go for OML, lease hike may raise while TI installation"/>
    <s v="OK"/>
    <m/>
    <s v="OK"/>
    <s v="OK"/>
    <s v="OK"/>
    <m/>
    <m/>
    <m/>
    <s v="OK for small RF"/>
    <s v="Review"/>
    <m/>
    <m/>
    <m/>
    <s v="2400AH - DG 24/7 restricted expect outages going colo with long grid outages"/>
    <s v="OK"/>
    <s v="No"/>
    <m/>
    <m/>
    <m/>
    <m/>
    <m/>
    <m/>
    <m/>
    <m/>
    <m/>
    <m/>
    <m/>
    <m/>
    <m/>
    <m/>
    <x v="0"/>
    <s v="Not  Calculated"/>
    <n v="0"/>
    <s v="No File"/>
    <s v="ASMO_0172 (MOW622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2 (MOW6220) Application.xlsx"/>
    <m/>
  </r>
  <r>
    <n v="137"/>
    <s v="ACBA_0196"/>
    <x v="0"/>
    <x v="0"/>
    <s v="BAW5585"/>
    <x v="2"/>
    <s v="Colocation"/>
    <m/>
    <s v="Colocation"/>
    <m/>
    <x v="65"/>
    <m/>
    <n v="3"/>
    <m/>
    <s v="EPA"/>
    <m/>
    <m/>
    <x v="1"/>
    <m/>
    <s v="OK"/>
    <s v="18-May-18: Good to go for OML, lease hike may raise while TI installation"/>
    <s v="OK"/>
    <m/>
    <s v="OK"/>
    <s v="OK"/>
    <s v="OK"/>
    <m/>
    <m/>
    <s v="5m"/>
    <m/>
    <s v="OK"/>
    <m/>
    <m/>
    <m/>
    <s v="DG UG required"/>
    <s v="OK"/>
    <s v="No"/>
    <m/>
    <m/>
    <m/>
    <m/>
    <m/>
    <m/>
    <m/>
    <m/>
    <m/>
    <d v="2018-12-19T09:05:47"/>
    <m/>
    <m/>
    <m/>
    <m/>
    <x v="107"/>
    <s v="Not  Calculated"/>
    <n v="0"/>
    <s v="No File"/>
    <s v="ACBA_0196 (BAW55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96 (BAW5585) Application.xlsx"/>
    <m/>
  </r>
  <r>
    <n v="138"/>
    <s v="ACBA_0038"/>
    <x v="0"/>
    <x v="0"/>
    <s v="BAW5548"/>
    <x v="2"/>
    <s v="Colocation"/>
    <m/>
    <s v="Colocation"/>
    <m/>
    <x v="65"/>
    <m/>
    <n v="3"/>
    <m/>
    <s v="EPA"/>
    <m/>
    <m/>
    <x v="1"/>
    <m/>
    <s v="OK"/>
    <s v="23-May-18: Lease increase may raise while TI installtion."/>
    <s v="OK"/>
    <m/>
    <s v="OK"/>
    <s v="At this is ok after TSS will confirm available height"/>
    <s v="OK"/>
    <m/>
    <m/>
    <s v="No"/>
    <s v="for small RF"/>
    <s v="OK"/>
    <s v="PE UG - Batt DG &amp; DCDB"/>
    <m/>
    <d v="1900-01-01T00:00:00"/>
    <s v="PE equipment TBO (To Be Ordered)"/>
    <s v="OK"/>
    <s v="Yes"/>
    <m/>
    <m/>
    <m/>
    <m/>
    <m/>
    <m/>
    <m/>
    <m/>
    <m/>
    <d v="2018-12-19T09:05:47"/>
    <m/>
    <m/>
    <m/>
    <m/>
    <x v="107"/>
    <s v="Not  Calculated"/>
    <n v="0"/>
    <s v="No File"/>
    <s v="ACBA_0038 (BAW55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8 (BAW5548) Application.xlsx"/>
    <m/>
  </r>
  <r>
    <n v="139"/>
    <s v="ACBA_0030"/>
    <x v="0"/>
    <x v="0"/>
    <s v="BAW5260"/>
    <x v="2"/>
    <s v="Colocation"/>
    <m/>
    <s v="Colocation"/>
    <m/>
    <x v="65"/>
    <m/>
    <n v="3"/>
    <m/>
    <s v="EPA"/>
    <m/>
    <m/>
    <x v="1"/>
    <m/>
    <s v="OK"/>
    <s v="18-May-18: Good to go for OML, lease hike may raise while TI installation"/>
    <s v="OK"/>
    <m/>
    <s v="OK"/>
    <s v="RF Ok MW can get top height"/>
    <s v="OK"/>
    <m/>
    <m/>
    <m/>
    <s v="OK"/>
    <s v="OK"/>
    <s v="OK"/>
    <m/>
    <d v="1900-01-01T00:00:00"/>
    <s v="BB UG - DG can run only once grid long outage is confirmed"/>
    <s v="OK"/>
    <s v="No"/>
    <m/>
    <m/>
    <m/>
    <m/>
    <m/>
    <m/>
    <m/>
    <m/>
    <m/>
    <d v="2018-12-19T09:05:47"/>
    <m/>
    <m/>
    <m/>
    <m/>
    <x v="107"/>
    <s v="Not  Calculated"/>
    <n v="0"/>
    <s v="No File"/>
    <s v="ACBA_0030 (BAW52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0 (BAW5260) Application.xlsx"/>
    <m/>
  </r>
  <r>
    <n v="140"/>
    <s v="ACBA_0042"/>
    <x v="0"/>
    <x v="0"/>
    <s v="BAW5255"/>
    <x v="2"/>
    <s v="Colocation"/>
    <m/>
    <s v="Colocation"/>
    <m/>
    <x v="65"/>
    <m/>
    <n v="3"/>
    <m/>
    <s v="EPA"/>
    <m/>
    <m/>
    <x v="2"/>
    <m/>
    <s v="OK"/>
    <s v="23-May-18: Lease increase may raise while TI installtion."/>
    <s v="OK"/>
    <m/>
    <s v="OK"/>
    <s v="At this is ok after TSS will confirm available height"/>
    <s v="Review"/>
    <m/>
    <m/>
    <s v="No"/>
    <s v="EPA almost over design"/>
    <s v="OK"/>
    <s v="PE UG - Batt DG &amp; DCDB - K10 kit from stock"/>
    <m/>
    <d v="1900-01-01T00:00:00"/>
    <s v="PE equipment TBO (To Be Ordered)"/>
    <s v="OK"/>
    <s v="Yes"/>
    <m/>
    <m/>
    <m/>
    <m/>
    <m/>
    <m/>
    <m/>
    <m/>
    <m/>
    <d v="2018-12-19T09:05:47"/>
    <m/>
    <m/>
    <m/>
    <m/>
    <x v="109"/>
    <n v="217.37901932869863"/>
    <n v="0"/>
    <s v="No File"/>
    <s v="ACBA_0042 (BAW52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42 (BAW5255) Application.xlsx"/>
    <m/>
  </r>
  <r>
    <n v="141"/>
    <s v="ACBA_0028"/>
    <x v="0"/>
    <x v="0"/>
    <s v="BAW5251"/>
    <x v="2"/>
    <s v="Colocation"/>
    <m/>
    <s v="Colocation"/>
    <m/>
    <x v="65"/>
    <m/>
    <n v="3"/>
    <m/>
    <s v="EPA"/>
    <m/>
    <m/>
    <x v="1"/>
    <m/>
    <s v="OK"/>
    <s v="18-May-18: Good to go for OML, lease hike may raise while TI installation"/>
    <s v="OK"/>
    <m/>
    <s v="OK"/>
    <s v="LEG ABC"/>
    <s v="OK"/>
    <m/>
    <m/>
    <m/>
    <s v="OK"/>
    <s v="OK"/>
    <s v="TBA"/>
    <m/>
    <d v="1900-01-01T00:00:00"/>
    <s v="PE UG"/>
    <s v="OK"/>
    <s v="No"/>
    <m/>
    <m/>
    <m/>
    <m/>
    <m/>
    <m/>
    <m/>
    <m/>
    <m/>
    <d v="2018-12-19T09:05:47"/>
    <m/>
    <m/>
    <m/>
    <m/>
    <x v="107"/>
    <s v="Not  Calculated"/>
    <n v="0"/>
    <s v="No File"/>
    <s v="ACBA_0028 (BAW52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28 (BAW5251) Application.xlsx"/>
    <m/>
  </r>
  <r>
    <n v="142"/>
    <s v="ACBA_0035"/>
    <x v="0"/>
    <x v="0"/>
    <s v="BAW5248"/>
    <x v="2"/>
    <s v="Colocation"/>
    <m/>
    <s v="Colocation"/>
    <m/>
    <x v="65"/>
    <m/>
    <n v="3"/>
    <m/>
    <s v="EPA"/>
    <m/>
    <m/>
    <x v="2"/>
    <m/>
    <s v="OK"/>
    <s v="23-May-18: Lease increase may raise while TI installtion."/>
    <s v="OK"/>
    <m/>
    <s v="OK"/>
    <s v="At this is ok after TSS will confirm available height"/>
    <s v="Review"/>
    <m/>
    <m/>
    <s v="No"/>
    <s v="Tower already strengthening without consider OML"/>
    <s v="OK"/>
    <s v="PE UG/Swap"/>
    <m/>
    <d v="1900-01-01T00:00:00"/>
    <s v="PE equipment TBO (To Be Ordered)"/>
    <s v="OK"/>
    <s v="Yes"/>
    <m/>
    <m/>
    <m/>
    <m/>
    <m/>
    <m/>
    <m/>
    <m/>
    <m/>
    <d v="2018-12-19T09:05:47"/>
    <m/>
    <m/>
    <m/>
    <m/>
    <x v="109"/>
    <n v="217.37902118059719"/>
    <n v="0"/>
    <s v="No File"/>
    <s v="ACBA_0035 (BAW52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5 (BAW5248) Application.xlsx"/>
    <m/>
  </r>
  <r>
    <n v="143"/>
    <s v="ACBA_0033"/>
    <x v="0"/>
    <x v="0"/>
    <s v="BAW5224"/>
    <x v="2"/>
    <s v="Colocation"/>
    <m/>
    <s v="Colocation"/>
    <m/>
    <x v="65"/>
    <m/>
    <n v="3"/>
    <m/>
    <s v="EPA"/>
    <m/>
    <m/>
    <x v="1"/>
    <m/>
    <s v="OK"/>
    <s v="18-May-18: Good to go for OML, lease hike may raise while TI installation"/>
    <s v="OK"/>
    <m/>
    <s v="OK"/>
    <s v="OK"/>
    <s v="OK"/>
    <m/>
    <m/>
    <m/>
    <s v="OK"/>
    <s v="OK"/>
    <s v="OK"/>
    <m/>
    <d v="1900-01-01T00:00:00"/>
    <s v="OK - BB UG - later - site on grid"/>
    <s v="OK"/>
    <s v="No"/>
    <m/>
    <m/>
    <m/>
    <m/>
    <m/>
    <m/>
    <m/>
    <m/>
    <m/>
    <d v="2018-12-19T09:05:47"/>
    <m/>
    <m/>
    <m/>
    <m/>
    <x v="107"/>
    <s v="Not  Calculated"/>
    <n v="0"/>
    <s v="No File"/>
    <s v="ACBA_0033 (BAW522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3 (BAW5224) Application.xlsx"/>
    <m/>
  </r>
  <r>
    <n v="144"/>
    <s v="ACBA_0185"/>
    <x v="0"/>
    <x v="1"/>
    <s v="BAW5590"/>
    <x v="2"/>
    <s v="Colocation"/>
    <m/>
    <s v="Colocation"/>
    <m/>
    <x v="65"/>
    <m/>
    <n v="3"/>
    <m/>
    <s v="EPA"/>
    <m/>
    <m/>
    <x v="1"/>
    <m/>
    <s v="OK"/>
    <s v="18-May-18: Good to go for OML, lease hike may raise while TI installation"/>
    <s v="OK"/>
    <m/>
    <s v="OK"/>
    <s v="OK"/>
    <s v="OK"/>
    <m/>
    <m/>
    <m/>
    <s v="OK"/>
    <s v="OK"/>
    <s v="90 Days"/>
    <m/>
    <d v="1900-01-02T12:00:00"/>
    <s v="BB DG"/>
    <s v="OK"/>
    <s v="No"/>
    <m/>
    <m/>
    <m/>
    <m/>
    <m/>
    <m/>
    <m/>
    <m/>
    <m/>
    <d v="2018-12-19T09:05:48"/>
    <m/>
    <m/>
    <m/>
    <m/>
    <x v="107"/>
    <s v="Not  Calculated"/>
    <n v="0"/>
    <s v="No File"/>
    <s v="ACBA_0185 (BAW55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85 (BAW5590) Application.xlsx"/>
    <m/>
  </r>
  <r>
    <n v="145"/>
    <s v="ACAY_0022"/>
    <x v="0"/>
    <x v="0"/>
    <s v="AYW5540"/>
    <x v="2"/>
    <s v="Colocation"/>
    <m/>
    <s v="Colocation"/>
    <m/>
    <x v="65"/>
    <m/>
    <n v="3"/>
    <m/>
    <s v="EPA"/>
    <m/>
    <m/>
    <x v="1"/>
    <m/>
    <s v="OK"/>
    <s v="23-May-18: Lease increase may raise while TI installtion."/>
    <s v="OK"/>
    <m/>
    <s v="OK"/>
    <s v="At this is ok after TSS will confirm available height"/>
    <s v="OK"/>
    <m/>
    <m/>
    <s v="No"/>
    <s v="OK for small RF"/>
    <s v="OK"/>
    <s v="PE UG - Batt DG &amp; DCDB - K10 kit from stock"/>
    <m/>
    <d v="1900-01-01T00:00:00"/>
    <s v="PE equipment TBO (To Be Ordered)"/>
    <s v="OK"/>
    <s v="No"/>
    <m/>
    <m/>
    <m/>
    <m/>
    <m/>
    <m/>
    <m/>
    <m/>
    <m/>
    <d v="2018-12-19T09:05:48"/>
    <m/>
    <m/>
    <m/>
    <m/>
    <x v="107"/>
    <s v="Not  Calculated"/>
    <n v="0"/>
    <s v="No File"/>
    <s v="ACAY_0022 (AYW55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2 (AYW5540) Application.xlsx"/>
    <m/>
  </r>
  <r>
    <n v="146"/>
    <s v="ACAY_0026"/>
    <x v="0"/>
    <x v="0"/>
    <s v="AYW5130"/>
    <x v="2"/>
    <s v="Colocation"/>
    <m/>
    <s v="Colocation"/>
    <m/>
    <x v="65"/>
    <m/>
    <n v="3"/>
    <m/>
    <s v="EPA"/>
    <m/>
    <m/>
    <x v="2"/>
    <m/>
    <s v="OK"/>
    <s v="23-May-18: Lease increase may raise while TI installtion."/>
    <s v="OK"/>
    <m/>
    <s v="OK"/>
    <s v="At this is ok after TSS will confirm available height"/>
    <s v="Review"/>
    <m/>
    <m/>
    <s v="No"/>
    <s v="Tower already strengthening without consider OML"/>
    <s v="OK"/>
    <s v="PE UG - Batt DG &amp; DCDB - K10 kit TBO"/>
    <m/>
    <d v="1900-01-01T00:00:00"/>
    <s v="PE equipment TBO (To Be Ordered)"/>
    <s v="OK"/>
    <s v="No"/>
    <m/>
    <m/>
    <m/>
    <m/>
    <m/>
    <m/>
    <m/>
    <m/>
    <m/>
    <d v="2018-12-19T09:05:48"/>
    <m/>
    <m/>
    <m/>
    <m/>
    <x v="110"/>
    <n v="217.37902615740313"/>
    <n v="0"/>
    <s v="No File"/>
    <s v="ACAY_0026 (AYW51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6 (AYW5130) Application.xlsx"/>
    <m/>
  </r>
  <r>
    <n v="147"/>
    <s v="ACAY_0017"/>
    <x v="0"/>
    <x v="0"/>
    <s v="AYW5537"/>
    <x v="2"/>
    <s v="Colocation"/>
    <m/>
    <s v="Colocation"/>
    <m/>
    <x v="65"/>
    <m/>
    <n v="3"/>
    <m/>
    <s v="EPA"/>
    <m/>
    <m/>
    <x v="1"/>
    <m/>
    <s v="OK"/>
    <s v="18-May-18: Good to go for OML, lease hike may raise while TI installation"/>
    <s v="OK"/>
    <m/>
    <s v="OK"/>
    <s v="OK"/>
    <s v="OK"/>
    <m/>
    <m/>
    <m/>
    <s v="OK"/>
    <s v="OK"/>
    <s v="OK"/>
    <m/>
    <d v="1900-01-01T00:00:00"/>
    <s v="Monitor PE perfomance - rect cap increase TBC"/>
    <s v="OK"/>
    <s v="No"/>
    <m/>
    <m/>
    <m/>
    <m/>
    <m/>
    <m/>
    <m/>
    <m/>
    <m/>
    <d v="2018-12-19T09:05:48"/>
    <m/>
    <m/>
    <m/>
    <m/>
    <x v="107"/>
    <s v="Not  Calculated"/>
    <n v="0"/>
    <s v="No File"/>
    <s v="ACAY_0017 (AYW55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7 (AYW5537) Application.xlsx"/>
    <m/>
  </r>
  <r>
    <n v="148"/>
    <s v="ASMO_0261"/>
    <x v="0"/>
    <x v="0"/>
    <s v="MOW6219"/>
    <x v="2"/>
    <s v="Colocation"/>
    <m/>
    <s v="Colocation"/>
    <m/>
    <x v="65"/>
    <m/>
    <n v="3"/>
    <m/>
    <s v="EPA"/>
    <m/>
    <m/>
    <x v="3"/>
    <m/>
    <s v="OK"/>
    <s v="23-May-18: Already 2 opertor are co-located on GM site, if go from structural Engg  we can go ahead with negotation."/>
    <s v="OK"/>
    <m/>
    <m/>
    <m/>
    <s v="Rejected"/>
    <m/>
    <m/>
    <m/>
    <s v="GMT"/>
    <m/>
    <m/>
    <m/>
    <d v="1900-01-01T00:00:00"/>
    <m/>
    <m/>
    <m/>
    <m/>
    <m/>
    <m/>
    <m/>
    <m/>
    <m/>
    <m/>
    <m/>
    <m/>
    <m/>
    <m/>
    <m/>
    <m/>
    <m/>
    <x v="107"/>
    <s v="Not  Calculated"/>
    <n v="0"/>
    <s v="No File"/>
    <s v="ASMO_0261 (MOW62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1 (MOW6219) Application.xlsx"/>
    <m/>
  </r>
  <r>
    <n v="150"/>
    <s v="ANMD_0015"/>
    <x v="0"/>
    <x v="2"/>
    <s v="MAW2998"/>
    <x v="2"/>
    <s v="Colocation"/>
    <m/>
    <s v="Colocation"/>
    <m/>
    <x v="65"/>
    <m/>
    <n v="3"/>
    <m/>
    <s v="EPA"/>
    <m/>
    <m/>
    <x v="2"/>
    <m/>
    <s v="OK"/>
    <s v="18-May-18: Good to go for OML, lease hike may raise while TI installation"/>
    <s v="OK"/>
    <m/>
    <s v="OK"/>
    <s v="OK"/>
    <s v="OK"/>
    <m/>
    <m/>
    <s v="5m"/>
    <s v="Ok, small RF (6m2 remaining) need strengthening"/>
    <s v="Review"/>
    <m/>
    <m/>
    <m/>
    <s v="PE UG"/>
    <s v="OK"/>
    <s v="No"/>
    <m/>
    <m/>
    <m/>
    <m/>
    <m/>
    <m/>
    <m/>
    <m/>
    <m/>
    <m/>
    <m/>
    <m/>
    <m/>
    <m/>
    <x v="0"/>
    <s v="Not  Calculated"/>
    <n v="0"/>
    <s v="No File"/>
    <s v="ANMD_0015 (MAW29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5 (MAW2998) Application.xlsx"/>
    <m/>
  </r>
  <r>
    <n v="151"/>
    <s v="ANSG_0351"/>
    <x v="0"/>
    <x v="2"/>
    <s v="SAW0721"/>
    <x v="2"/>
    <s v="Colocation"/>
    <m/>
    <s v="Colocation"/>
    <m/>
    <x v="65"/>
    <m/>
    <n v="3"/>
    <m/>
    <s v="EPA"/>
    <m/>
    <m/>
    <x v="1"/>
    <m/>
    <s v="OK"/>
    <s v="18-May-18: Good to go for OML, lease hike may raise while TI installation"/>
    <s v="OK"/>
    <m/>
    <s v="OK"/>
    <s v="LEG ABD"/>
    <s v="OK"/>
    <m/>
    <m/>
    <m/>
    <s v="OK"/>
    <s v="OK"/>
    <s v="TBA"/>
    <m/>
    <d v="1900-01-01T00:00:00"/>
    <s v="PE UG"/>
    <s v="OK"/>
    <s v="No"/>
    <m/>
    <m/>
    <m/>
    <m/>
    <m/>
    <m/>
    <m/>
    <m/>
    <m/>
    <d v="2018-12-19T09:05:48"/>
    <m/>
    <m/>
    <m/>
    <m/>
    <x v="107"/>
    <s v="Not  Calculated"/>
    <n v="0"/>
    <s v="No File"/>
    <s v="ANSG_0351 (SAW07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1 (SAW0721) Application.xlsx"/>
    <m/>
  </r>
  <r>
    <n v="152"/>
    <s v="ANSG_0358"/>
    <x v="0"/>
    <x v="2"/>
    <s v="SAW0716"/>
    <x v="2"/>
    <s v="Colocation"/>
    <m/>
    <s v="Colocation"/>
    <m/>
    <x v="65"/>
    <m/>
    <n v="3"/>
    <m/>
    <s v="EPA"/>
    <m/>
    <m/>
    <x v="1"/>
    <m/>
    <s v="OK"/>
    <s v="18-May-18: Good to go for OML, lease hike may raise while TI installation"/>
    <s v="OK"/>
    <m/>
    <s v="OK"/>
    <s v="OK"/>
    <s v="OK"/>
    <m/>
    <m/>
    <m/>
    <s v="OK"/>
    <s v="OK"/>
    <s v="TBA"/>
    <m/>
    <d v="1900-01-01T00:00:00"/>
    <s v="PE UG"/>
    <s v="OK"/>
    <s v="No"/>
    <m/>
    <m/>
    <m/>
    <m/>
    <m/>
    <m/>
    <m/>
    <m/>
    <m/>
    <d v="2018-12-19T09:05:48"/>
    <m/>
    <m/>
    <m/>
    <m/>
    <x v="107"/>
    <s v="Not  Calculated"/>
    <n v="0"/>
    <s v="No File"/>
    <s v="ANSG_0358 (SAW07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8 (SAW0716) Application.xlsx"/>
    <m/>
  </r>
  <r>
    <n v="153"/>
    <s v="ANMD_0012"/>
    <x v="0"/>
    <x v="2"/>
    <s v="MAW2977"/>
    <x v="2"/>
    <s v="Colocation"/>
    <m/>
    <s v="Colocation"/>
    <m/>
    <x v="65"/>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m/>
    <d v="1900-01-01T00:00:00"/>
    <s v="PE equipment TBO (To Be Ordered)"/>
    <s v="OK"/>
    <s v="No"/>
    <s v="1.5m x 1.5m"/>
    <m/>
    <m/>
    <m/>
    <m/>
    <m/>
    <m/>
    <m/>
    <m/>
    <d v="2018-12-19T09:05:48"/>
    <m/>
    <m/>
    <m/>
    <m/>
    <x v="110"/>
    <n v="217.37903101849952"/>
    <n v="0"/>
    <s v="No File"/>
    <s v="ANMD_0012 (MAW2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2 (MAW2977) Application.xlsx"/>
    <m/>
  </r>
  <r>
    <n v="155"/>
    <s v="ANSG_0349"/>
    <x v="0"/>
    <x v="2"/>
    <s v="SAW0714"/>
    <x v="2"/>
    <s v="Colocation"/>
    <m/>
    <s v="Colocation"/>
    <m/>
    <x v="65"/>
    <m/>
    <n v="3"/>
    <m/>
    <s v="EPA"/>
    <m/>
    <m/>
    <x v="1"/>
    <m/>
    <s v="OK"/>
    <s v="18-May-18: Good to go for OML, lease hike may raise while TI installation"/>
    <s v="OK"/>
    <m/>
    <s v="OK"/>
    <s v="OK"/>
    <s v="OK"/>
    <m/>
    <m/>
    <m/>
    <s v="OK for small RF"/>
    <s v="OK"/>
    <s v="TBA"/>
    <m/>
    <d v="1900-01-01T00:00:00"/>
    <s v="PE UG"/>
    <s v="OK"/>
    <s v="No"/>
    <m/>
    <m/>
    <m/>
    <m/>
    <m/>
    <m/>
    <m/>
    <m/>
    <m/>
    <d v="2018-12-19T09:05:48"/>
    <m/>
    <m/>
    <m/>
    <m/>
    <x v="107"/>
    <s v="Not  Calculated"/>
    <n v="0"/>
    <s v="No File"/>
    <s v="ANSG_0349 (SAW07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9 (SAW0714) Application.xlsx"/>
    <m/>
  </r>
  <r>
    <n v="156"/>
    <s v="ANMD_0163"/>
    <x v="0"/>
    <x v="2"/>
    <s v="MAW2983"/>
    <x v="2"/>
    <s v="Colocation"/>
    <m/>
    <s v="Colocation"/>
    <m/>
    <x v="65"/>
    <m/>
    <n v="3"/>
    <m/>
    <s v="EPA"/>
    <m/>
    <m/>
    <x v="1"/>
    <s v="As per MDY team: can use existing 2 poles but yes, AT needed to do joint TSS with OML "/>
    <s v="OK"/>
    <s v="23-May-18: Lease increase may raise while TI installtion."/>
    <s v="OK"/>
    <m/>
    <s v="OK"/>
    <s v="At this is ok after TSS will confirm available height"/>
    <s v="Review"/>
    <m/>
    <m/>
    <s v="No"/>
    <s v="RT site need TSSR"/>
    <s v="OK"/>
    <s v="PE UG - Batt DG &amp; DCDB - K10 kit TBO"/>
    <m/>
    <d v="1900-01-01T00:00:00"/>
    <s v="PE equipment TBO (To Be Ordered)"/>
    <s v="OK"/>
    <s v="Yes"/>
    <s v="RT site "/>
    <m/>
    <m/>
    <m/>
    <m/>
    <m/>
    <m/>
    <m/>
    <m/>
    <d v="2018-12-19T09:05:48"/>
    <m/>
    <m/>
    <m/>
    <m/>
    <x v="107"/>
    <s v="Not  Calculated"/>
    <n v="0"/>
    <s v="No File"/>
    <s v="ANMD_0163 (MAW29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3 (MAW2983) Application.xlsx"/>
    <m/>
  </r>
  <r>
    <n v="157"/>
    <s v="ANSG_0377"/>
    <x v="0"/>
    <x v="2"/>
    <s v="SAW0728"/>
    <x v="2"/>
    <s v="Colocation"/>
    <m/>
    <s v="Colocation"/>
    <m/>
    <x v="65"/>
    <m/>
    <n v="3"/>
    <m/>
    <s v="EPA"/>
    <m/>
    <m/>
    <x v="3"/>
    <m/>
    <s v="OK"/>
    <s v="18-May-18: Good to go for OML, lease hike may raise while TI installation"/>
    <s v="OK"/>
    <m/>
    <s v="OK"/>
    <s v="OK"/>
    <s v="OK"/>
    <m/>
    <m/>
    <m/>
    <s v="OK"/>
    <s v="Rejected"/>
    <m/>
    <m/>
    <d v="1900-01-01T00:00:00"/>
    <s v="ANSG_0378 better candidate - TN HUB"/>
    <s v="OK"/>
    <s v="No"/>
    <m/>
    <m/>
    <m/>
    <m/>
    <m/>
    <m/>
    <m/>
    <m/>
    <m/>
    <m/>
    <m/>
    <m/>
    <m/>
    <m/>
    <x v="107"/>
    <s v="Not  Calculated"/>
    <n v="0"/>
    <s v="No File"/>
    <s v="ANSG_0377 (SAW072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7 (SAW0728) Application.xlsx"/>
    <m/>
  </r>
  <r>
    <n v="159"/>
    <s v="ACAY_0146"/>
    <x v="0"/>
    <x v="0"/>
    <s v="AYW5596"/>
    <x v="2"/>
    <s v="Colocation"/>
    <m/>
    <s v="Colocation"/>
    <m/>
    <x v="65"/>
    <m/>
    <n v="3"/>
    <m/>
    <s v="EPA"/>
    <m/>
    <m/>
    <x v="2"/>
    <m/>
    <s v="OK"/>
    <s v="18-May-18: Good to go for OML, lease hike may raise while TI installation"/>
    <s v="Review"/>
    <m/>
    <s v="OK"/>
    <s v="OK"/>
    <s v="OK"/>
    <m/>
    <m/>
    <s v="5m"/>
    <m/>
    <s v="Review"/>
    <m/>
    <m/>
    <m/>
    <s v="40Kva + 2400AH - DG NS"/>
    <s v="OK"/>
    <s v="No"/>
    <m/>
    <m/>
    <m/>
    <m/>
    <m/>
    <m/>
    <m/>
    <m/>
    <m/>
    <m/>
    <m/>
    <m/>
    <m/>
    <m/>
    <x v="0"/>
    <s v="Not  Calculated"/>
    <n v="0"/>
    <s v="No File"/>
    <s v="ACAY_0146 (AYW55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6 (AYW5596) Application.xlsx"/>
    <m/>
  </r>
  <r>
    <n v="160"/>
    <s v="ANSG_0382"/>
    <x v="0"/>
    <x v="2"/>
    <s v="SAW0727"/>
    <x v="2"/>
    <s v="Colocation"/>
    <m/>
    <s v="Colocation"/>
    <m/>
    <x v="65"/>
    <m/>
    <n v="3"/>
    <m/>
    <s v="EPA"/>
    <m/>
    <m/>
    <x v="3"/>
    <m/>
    <s v="OK"/>
    <s v="18-May-18: Good to go for OML, lease hike may raise while TI installation"/>
    <s v="OK"/>
    <m/>
    <s v="OK"/>
    <s v="LEG ACD"/>
    <s v="OK"/>
    <m/>
    <m/>
    <m/>
    <s v="OK for small RF"/>
    <s v="Rejected"/>
    <m/>
    <m/>
    <d v="1900-01-01T00:00:00"/>
    <s v="ANSG_0383 better candidate - TN HUB"/>
    <s v="OK"/>
    <s v="No"/>
    <m/>
    <m/>
    <m/>
    <m/>
    <m/>
    <m/>
    <m/>
    <m/>
    <m/>
    <m/>
    <m/>
    <m/>
    <m/>
    <m/>
    <x v="107"/>
    <s v="Not  Calculated"/>
    <n v="0"/>
    <s v="No File"/>
    <s v="ANSG_0382 (SAW07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2 (SAW0727) Application.xlsx"/>
    <m/>
  </r>
  <r>
    <n v="162"/>
    <s v="ANMD_0018"/>
    <x v="0"/>
    <x v="2"/>
    <s v="MAW2217"/>
    <x v="2"/>
    <s v="Colocation"/>
    <m/>
    <s v="Colocation"/>
    <m/>
    <x v="65"/>
    <m/>
    <n v="3"/>
    <m/>
    <s v="EPA"/>
    <m/>
    <m/>
    <x v="3"/>
    <m/>
    <s v="Rejected"/>
    <s v="23-May-18: Owner is concern about space, didn’t agree for new pole and slab."/>
    <s v="OK"/>
    <m/>
    <m/>
    <m/>
    <s v="Review"/>
    <m/>
    <m/>
    <m/>
    <s v="RT need to check"/>
    <m/>
    <m/>
    <m/>
    <d v="1900-01-01T00:00:00"/>
    <m/>
    <m/>
    <m/>
    <m/>
    <m/>
    <m/>
    <m/>
    <m/>
    <m/>
    <m/>
    <m/>
    <m/>
    <m/>
    <m/>
    <m/>
    <m/>
    <m/>
    <x v="107"/>
    <s v="Not  Calculated"/>
    <n v="0"/>
    <s v="No File"/>
    <s v="ANMD_0018 (MAW22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8 (MAW2217) Application.xlsx"/>
    <m/>
  </r>
  <r>
    <n v="164"/>
    <s v="ANMD_0095"/>
    <x v="0"/>
    <x v="2"/>
    <s v="MAW2996"/>
    <x v="2"/>
    <s v="Colocation"/>
    <m/>
    <s v="Colocation"/>
    <m/>
    <x v="65"/>
    <m/>
    <n v="3"/>
    <m/>
    <s v="EPA"/>
    <m/>
    <m/>
    <x v="3"/>
    <m/>
    <s v="Rejected"/>
    <s v="23-May-18: OML has already installed there own pole and they are on-air"/>
    <s v="OK"/>
    <m/>
    <m/>
    <m/>
    <s v="Review"/>
    <m/>
    <m/>
    <m/>
    <s v="RT need to check"/>
    <m/>
    <m/>
    <m/>
    <d v="1900-01-01T00:00:00"/>
    <m/>
    <m/>
    <m/>
    <m/>
    <m/>
    <m/>
    <m/>
    <m/>
    <m/>
    <m/>
    <m/>
    <m/>
    <m/>
    <m/>
    <m/>
    <m/>
    <m/>
    <x v="107"/>
    <s v="Not  Calculated"/>
    <n v="0"/>
    <s v="No File"/>
    <s v="ANMD_0095 (MAW29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5 (MAW2996) Application.xlsx"/>
    <m/>
  </r>
  <r>
    <n v="165"/>
    <s v="ANMD_0171"/>
    <x v="0"/>
    <x v="2"/>
    <s v="MAW2992"/>
    <x v="2"/>
    <s v="Colocation"/>
    <m/>
    <s v="Colocation"/>
    <m/>
    <x v="65"/>
    <m/>
    <n v="3"/>
    <m/>
    <s v="EPA"/>
    <m/>
    <m/>
    <x v="1"/>
    <m/>
    <s v="OK"/>
    <s v="18-May-18: Good to go for OML, lease hike may raise while TI installation"/>
    <s v="OK"/>
    <m/>
    <s v="OK"/>
    <s v="OK"/>
    <s v="OK"/>
    <m/>
    <m/>
    <m/>
    <s v="OK"/>
    <s v="OK"/>
    <s v="OK"/>
    <m/>
    <d v="1900-01-01T00:00:00"/>
    <s v="PE UG"/>
    <s v="OK"/>
    <s v="No"/>
    <m/>
    <m/>
    <m/>
    <m/>
    <m/>
    <m/>
    <m/>
    <m/>
    <m/>
    <d v="2018-12-19T09:05:49"/>
    <m/>
    <m/>
    <m/>
    <m/>
    <x v="107"/>
    <s v="Not  Calculated"/>
    <n v="0"/>
    <s v="No File"/>
    <s v="ANMD_0171 (MAW299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1 (MAW2992) Application.xlsx"/>
    <m/>
  </r>
  <r>
    <n v="167"/>
    <s v="ACAY_0163"/>
    <x v="0"/>
    <x v="0"/>
    <s v="AYW5526"/>
    <x v="2"/>
    <s v="Colocation"/>
    <m/>
    <s v="Colocation"/>
    <m/>
    <x v="65"/>
    <m/>
    <n v="3"/>
    <m/>
    <s v="EPA"/>
    <m/>
    <m/>
    <x v="3"/>
    <m/>
    <s v="OK"/>
    <s v="23-May-18: Already 4 opertor are co-located on site, if go from structural Engg  &amp; Power &amp; Security we can go ahead with negotation."/>
    <s v="Rejected"/>
    <m/>
    <m/>
    <m/>
    <s v="OK"/>
    <m/>
    <m/>
    <m/>
    <s v="OK for small RF"/>
    <s v="OK"/>
    <s v="90 Days"/>
    <m/>
    <d v="1900-01-02T12:00:00"/>
    <s v="36KW 2400 BB"/>
    <s v="OK"/>
    <s v="No"/>
    <m/>
    <m/>
    <m/>
    <m/>
    <m/>
    <m/>
    <m/>
    <m/>
    <m/>
    <d v="2018-12-19T09:05:49"/>
    <m/>
    <m/>
    <m/>
    <m/>
    <x v="107"/>
    <s v="Not  Calculated"/>
    <n v="0"/>
    <s v="No File"/>
    <s v="ACAY_0163 (AYW55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63 (AYW5526) Application.xlsx"/>
    <m/>
  </r>
  <r>
    <n v="168"/>
    <s v="ANMG_0052"/>
    <x v="0"/>
    <x v="1"/>
    <s v="MWW3498"/>
    <x v="2"/>
    <s v="Colocation"/>
    <m/>
    <s v="Colocation"/>
    <m/>
    <x v="65"/>
    <m/>
    <n v="3"/>
    <m/>
    <s v="EPA"/>
    <m/>
    <m/>
    <x v="1"/>
    <m/>
    <s v="OK"/>
    <s v="18-May-18: Good to go for OML, lease hike may raise while TI installation"/>
    <s v="OK"/>
    <m/>
    <s v="OK"/>
    <s v="LEG ACD"/>
    <s v="OK"/>
    <m/>
    <m/>
    <m/>
    <s v="OK"/>
    <s v="OK"/>
    <s v="90 Days"/>
    <m/>
    <d v="1900-01-02T12:00:00"/>
    <s v="Flex UG BB DG"/>
    <s v="OK"/>
    <s v="No"/>
    <m/>
    <m/>
    <m/>
    <m/>
    <m/>
    <m/>
    <m/>
    <m/>
    <m/>
    <d v="2018-12-19T09:05:49"/>
    <m/>
    <m/>
    <m/>
    <m/>
    <x v="107"/>
    <s v="Not  Calculated"/>
    <n v="0"/>
    <s v="No File"/>
    <s v="ANMG_0052 (MWW34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52 (MWW3498) Application.xlsx"/>
    <m/>
  </r>
  <r>
    <n v="169"/>
    <s v="ANMG_0006"/>
    <x v="0"/>
    <x v="1"/>
    <s v="MWW3499"/>
    <x v="2"/>
    <s v="Colocation"/>
    <m/>
    <s v="Colocation"/>
    <m/>
    <x v="65"/>
    <m/>
    <n v="3"/>
    <m/>
    <s v="EPA"/>
    <m/>
    <m/>
    <x v="1"/>
    <m/>
    <s v="OK"/>
    <s v="18-May-18: Good to go for OML, lease hike may raise while TI installation"/>
    <s v="OK"/>
    <m/>
    <s v="OK"/>
    <s v="OK"/>
    <s v="OK"/>
    <m/>
    <m/>
    <m/>
    <s v="OK"/>
    <s v="OK"/>
    <s v="90 Days"/>
    <m/>
    <d v="1900-01-02T12:00:00"/>
    <s v="Flex UG BB DG"/>
    <s v="OK"/>
    <s v="No"/>
    <m/>
    <m/>
    <m/>
    <m/>
    <m/>
    <m/>
    <m/>
    <m/>
    <m/>
    <d v="2018-12-19T09:05:49"/>
    <m/>
    <m/>
    <m/>
    <m/>
    <x v="107"/>
    <s v="Not  Calculated"/>
    <n v="0"/>
    <s v="No File"/>
    <s v="ANMG_0006 (MWW34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06 (MWW3499) Application.xlsx"/>
    <m/>
  </r>
  <r>
    <n v="170"/>
    <s v="ANMG_0026"/>
    <x v="0"/>
    <x v="1"/>
    <s v="MWW3500"/>
    <x v="2"/>
    <s v="Colocation"/>
    <m/>
    <s v="Colocation"/>
    <m/>
    <x v="65"/>
    <m/>
    <n v="3"/>
    <m/>
    <s v="EPA"/>
    <m/>
    <m/>
    <x v="1"/>
    <m/>
    <s v="OK"/>
    <s v="18-May-18: Good to go for OML, lease hike may raise while TI installation"/>
    <s v="OK"/>
    <m/>
    <s v="OK"/>
    <s v="OK"/>
    <s v="OK"/>
    <m/>
    <m/>
    <m/>
    <s v="OK"/>
    <s v="OK"/>
    <s v="120 Days"/>
    <m/>
    <d v="1900-01-02T12:00:00"/>
    <s v="Flex UG BB DG+ Grid"/>
    <s v="OK"/>
    <s v="No"/>
    <m/>
    <m/>
    <m/>
    <m/>
    <m/>
    <m/>
    <m/>
    <m/>
    <m/>
    <d v="2018-12-19T09:05:49"/>
    <m/>
    <m/>
    <m/>
    <m/>
    <x v="107"/>
    <s v="Not  Calculated"/>
    <n v="0"/>
    <s v="No File"/>
    <s v="ANMG_0026 (MWW3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6 (MWW3500) Application.xlsx"/>
    <m/>
  </r>
  <r>
    <n v="171"/>
    <s v="ANSG_0381"/>
    <x v="0"/>
    <x v="2"/>
    <s v="SAW0731"/>
    <x v="2"/>
    <s v="Colocation"/>
    <m/>
    <s v="Colocation"/>
    <m/>
    <x v="65"/>
    <m/>
    <n v="3"/>
    <m/>
    <s v="EPA"/>
    <m/>
    <m/>
    <x v="1"/>
    <m/>
    <s v="OK"/>
    <s v="18-May-18: Good to go for OML, lease hike may raise while TI installation"/>
    <s v="OK"/>
    <m/>
    <s v="OK"/>
    <s v="OK"/>
    <s v="OK"/>
    <m/>
    <m/>
    <m/>
    <s v="OK"/>
    <s v="OK"/>
    <s v="OK"/>
    <m/>
    <d v="1900-01-01T00:00:00"/>
    <s v="PE UG"/>
    <s v="OK"/>
    <s v="No"/>
    <m/>
    <m/>
    <m/>
    <m/>
    <m/>
    <m/>
    <m/>
    <m/>
    <m/>
    <d v="2018-12-19T09:05:49"/>
    <m/>
    <m/>
    <m/>
    <m/>
    <x v="107"/>
    <s v="Not  Calculated"/>
    <n v="0"/>
    <s v="No File"/>
    <s v="ANSG_0381 (SAW07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1 (SAW0731) Application.xlsx"/>
    <m/>
  </r>
  <r>
    <n v="172"/>
    <s v="ANMG_0167"/>
    <x v="0"/>
    <x v="1"/>
    <s v="MWW3502"/>
    <x v="2"/>
    <s v="Colocation"/>
    <m/>
    <s v="Colocation"/>
    <m/>
    <x v="65"/>
    <m/>
    <n v="3"/>
    <m/>
    <s v="EPA"/>
    <m/>
    <m/>
    <x v="1"/>
    <m/>
    <s v="OK"/>
    <s v="18-May-18: Good to go for OML, lease hike may raise while TI installation"/>
    <s v="OK"/>
    <m/>
    <s v="OK"/>
    <s v="OK"/>
    <s v="OK"/>
    <m/>
    <m/>
    <m/>
    <s v="OK"/>
    <s v="OK"/>
    <s v="90 Days"/>
    <m/>
    <d v="1900-01-02T12:00:00"/>
    <s v="36KW 2400 BB"/>
    <s v="OK"/>
    <s v="No"/>
    <m/>
    <m/>
    <m/>
    <m/>
    <m/>
    <m/>
    <m/>
    <m/>
    <m/>
    <d v="2018-12-19T09:05:49"/>
    <m/>
    <m/>
    <m/>
    <m/>
    <x v="107"/>
    <s v="Not  Calculated"/>
    <n v="0"/>
    <s v="No File"/>
    <s v="ANMG_0167 (MWW350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67 (MWW3502) Application.xlsx"/>
    <m/>
  </r>
  <r>
    <n v="173"/>
    <s v="ANSG_0361"/>
    <x v="0"/>
    <x v="2"/>
    <s v="SAW0719"/>
    <x v="2"/>
    <s v="Colocation"/>
    <m/>
    <s v="Colocation"/>
    <m/>
    <x v="65"/>
    <m/>
    <n v="3"/>
    <m/>
    <s v="EPA"/>
    <m/>
    <m/>
    <x v="1"/>
    <m/>
    <s v="OK"/>
    <s v="18-May-18: Good to go for OML, lease hike may raise while TI installation"/>
    <s v="OK"/>
    <m/>
    <s v="OK"/>
    <s v="LEG ACD"/>
    <s v="OK"/>
    <m/>
    <m/>
    <m/>
    <s v="OK"/>
    <s v="OK"/>
    <s v="OK"/>
    <m/>
    <d v="1900-01-01T00:00:00"/>
    <s v="PE UG"/>
    <s v="OK"/>
    <s v="No"/>
    <m/>
    <m/>
    <m/>
    <m/>
    <m/>
    <m/>
    <m/>
    <m/>
    <m/>
    <d v="2018-12-19T09:05:49"/>
    <m/>
    <m/>
    <m/>
    <m/>
    <x v="107"/>
    <s v="Not  Calculated"/>
    <n v="0"/>
    <s v="No File"/>
    <s v="ANSG_0361 (SAW07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1 (SAW0719) Application.xlsx"/>
    <m/>
  </r>
  <r>
    <n v="174"/>
    <s v="ANMD_0118"/>
    <x v="0"/>
    <x v="2"/>
    <s v="MAW2441"/>
    <x v="2"/>
    <s v="Colocation"/>
    <m/>
    <s v="Colocation"/>
    <m/>
    <x v="65"/>
    <m/>
    <n v="3"/>
    <m/>
    <s v="EPA"/>
    <m/>
    <m/>
    <x v="1"/>
    <m/>
    <s v="OK"/>
    <s v="23-May-18: Lease increase may raise while TI installtion."/>
    <s v="OK"/>
    <m/>
    <s v="OK"/>
    <s v="At this is ok after TSS will confirm available height"/>
    <s v="Review"/>
    <m/>
    <m/>
    <s v="No"/>
    <s v="RT site need TSSR"/>
    <s v="OK"/>
    <s v="PE UG - Batt &amp; DCDB - K10 kit TBO"/>
    <m/>
    <d v="1900-01-01T00:00:00"/>
    <s v="PE equipment TBO (To Be Ordered)"/>
    <s v="OK"/>
    <s v="Yes"/>
    <s v="RT site "/>
    <m/>
    <m/>
    <m/>
    <m/>
    <m/>
    <m/>
    <m/>
    <m/>
    <d v="2018-12-19T09:05:49"/>
    <m/>
    <m/>
    <m/>
    <m/>
    <x v="107"/>
    <s v="Not  Calculated"/>
    <n v="0"/>
    <s v="No File"/>
    <s v="ANMD_0118 (MAW244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8 (MAW2441) Application.xlsx"/>
    <m/>
  </r>
  <r>
    <n v="176"/>
    <s v="ANMD_0170"/>
    <x v="0"/>
    <x v="2"/>
    <s v="MAW2986"/>
    <x v="2"/>
    <s v="Colocation"/>
    <m/>
    <s v="Colocation"/>
    <m/>
    <x v="65"/>
    <m/>
    <n v="3"/>
    <m/>
    <s v="EPA"/>
    <m/>
    <m/>
    <x v="0"/>
    <m/>
    <s v="OK"/>
    <s v="23-May-18: Lease increase may raise while TI installtion."/>
    <s v="OK"/>
    <m/>
    <s v="OK"/>
    <s v="At this is ok after TSS will confirm available height"/>
    <s v="Review"/>
    <m/>
    <m/>
    <s v="No"/>
    <s v="RT site need TSSR"/>
    <s v="OK"/>
    <s v="PE UG - Batt &amp; DCDB - K10 kit TBO"/>
    <m/>
    <d v="1900-01-01T00:00:00"/>
    <s v="PE equipment TBO (To Be Ordered)"/>
    <s v="OK"/>
    <s v="Yes"/>
    <s v="RT site, need to provide new pole"/>
    <m/>
    <m/>
    <m/>
    <m/>
    <m/>
    <s v="OK"/>
    <s v="Site is not active in Ox tool"/>
    <d v="2018-11-13T14:56:11"/>
    <d v="2018-11-13T16:09:11"/>
    <m/>
    <d v="2018-11-13T17:30:58"/>
    <d v="2018-11-13T16:30:56"/>
    <d v="2018-11-13T16:25:47"/>
    <x v="0"/>
    <n v="252.70184328703908"/>
    <n v="1"/>
    <s v="No File"/>
    <s v="ANMD_0170 (MAW2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0 (MAW2986) Application.xlsx"/>
    <m/>
  </r>
  <r>
    <n v="177"/>
    <s v="ANMD_0266"/>
    <x v="0"/>
    <x v="2"/>
    <s v="MAW2985"/>
    <x v="2"/>
    <s v="Colocation"/>
    <m/>
    <s v="Colocation"/>
    <m/>
    <x v="65"/>
    <m/>
    <n v="3"/>
    <m/>
    <s v="EPA"/>
    <m/>
    <m/>
    <x v="1"/>
    <m/>
    <s v="OK"/>
    <s v="18-May-18: Good to go for OML, lease hike may raise while TI installation"/>
    <s v="OK"/>
    <m/>
    <s v="OK"/>
    <s v="OK"/>
    <s v="OK"/>
    <m/>
    <m/>
    <m/>
    <s v="OK"/>
    <s v="OK"/>
    <s v="OK"/>
    <m/>
    <d v="1900-01-01T00:00:00"/>
    <s v="PE UG"/>
    <s v="OK"/>
    <s v="No"/>
    <m/>
    <m/>
    <m/>
    <m/>
    <m/>
    <m/>
    <m/>
    <m/>
    <m/>
    <d v="2018-12-19T09:05:49"/>
    <m/>
    <m/>
    <m/>
    <m/>
    <x v="107"/>
    <s v="Not  Calculated"/>
    <n v="0"/>
    <s v="No File"/>
    <s v="ANMD_0266 (MAW29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66 (MAW2985) Application.xlsx"/>
    <m/>
  </r>
  <r>
    <n v="178"/>
    <s v="ANMD_0167"/>
    <x v="0"/>
    <x v="2"/>
    <s v="MAW2984"/>
    <x v="2"/>
    <s v="Colocation"/>
    <m/>
    <s v="Colocation"/>
    <m/>
    <x v="65"/>
    <m/>
    <n v="3"/>
    <m/>
    <s v="EPA"/>
    <m/>
    <m/>
    <x v="1"/>
    <m/>
    <s v="OK"/>
    <s v="18-May-18: Good to go for OML, lease hike may raise while TI installation"/>
    <s v="OK"/>
    <m/>
    <s v="OK"/>
    <s v="LEG ABC"/>
    <s v="OK"/>
    <m/>
    <m/>
    <m/>
    <s v="OK"/>
    <s v="Review"/>
    <m/>
    <m/>
    <m/>
    <s v="TN HUB - Offgrid (REJECT) or 1800AH &amp; 30Kva DG PE UG"/>
    <s v="OK"/>
    <s v="No"/>
    <m/>
    <m/>
    <m/>
    <m/>
    <m/>
    <m/>
    <m/>
    <m/>
    <m/>
    <m/>
    <m/>
    <m/>
    <m/>
    <m/>
    <x v="107"/>
    <s v="Not  Calculated"/>
    <n v="0"/>
    <s v="No File"/>
    <s v="ANMD_0167 (MAW29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7 (MAW2984) Application.xlsx"/>
    <m/>
  </r>
  <r>
    <n v="179"/>
    <s v="ANMG_0172"/>
    <x v="0"/>
    <x v="1"/>
    <s v="MWW3507"/>
    <x v="2"/>
    <s v="Colocation"/>
    <m/>
    <s v="Colocation"/>
    <m/>
    <x v="65"/>
    <m/>
    <n v="3"/>
    <m/>
    <s v="EPA"/>
    <m/>
    <m/>
    <x v="3"/>
    <s v="Community not allowed OML collocation"/>
    <s v="OK"/>
    <s v="18-May-18: Good to go for OML, lease hike may raise while TI installation"/>
    <s v="OK"/>
    <m/>
    <s v="OK"/>
    <s v="OK"/>
    <s v="OK"/>
    <m/>
    <m/>
    <m/>
    <s v="OK"/>
    <s v="OK"/>
    <s v="90 Days"/>
    <m/>
    <d v="1900-01-02T12:00:00"/>
    <s v="BB DG"/>
    <s v="OK"/>
    <s v="No"/>
    <m/>
    <m/>
    <m/>
    <m/>
    <m/>
    <m/>
    <m/>
    <m/>
    <m/>
    <d v="2018-12-19T09:05:50"/>
    <m/>
    <m/>
    <m/>
    <m/>
    <x v="107"/>
    <s v="Not  Calculated"/>
    <n v="0"/>
    <s v="No File"/>
    <s v="ANMG_0172 (MWW35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2 (MWW3507) Application.xlsx"/>
    <m/>
  </r>
  <r>
    <n v="180"/>
    <s v="ANMG_0173"/>
    <x v="0"/>
    <x v="1"/>
    <s v="MWW3508"/>
    <x v="2"/>
    <s v="Colocation"/>
    <m/>
    <s v="Colocation"/>
    <m/>
    <x v="65"/>
    <m/>
    <n v="3"/>
    <m/>
    <s v="EPA"/>
    <m/>
    <m/>
    <x v="1"/>
    <m/>
    <s v="OK"/>
    <s v="18-May-18: Good to go for OML, lease hike may raise while TI installation"/>
    <s v="OK"/>
    <m/>
    <s v="OK"/>
    <s v="OK"/>
    <s v="OK"/>
    <m/>
    <m/>
    <m/>
    <s v="OK"/>
    <s v="OK"/>
    <s v="120 Days"/>
    <m/>
    <d v="1900-01-02T12:00:00"/>
    <s v="BB DG+ Grid"/>
    <s v="OK"/>
    <s v="No"/>
    <m/>
    <m/>
    <m/>
    <m/>
    <m/>
    <m/>
    <m/>
    <m/>
    <m/>
    <d v="2018-12-19T09:05:50"/>
    <m/>
    <m/>
    <m/>
    <m/>
    <x v="107"/>
    <s v="Not  Calculated"/>
    <n v="0"/>
    <s v="No File"/>
    <s v="ANMG_0173 (MWW35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3 (MWW3508) Application.xlsx"/>
    <m/>
  </r>
  <r>
    <n v="181"/>
    <s v="ANSH_0086"/>
    <x v="0"/>
    <x v="2"/>
    <s v="SHW1908"/>
    <x v="2"/>
    <s v="Colocation"/>
    <m/>
    <s v="Colocation"/>
    <m/>
    <x v="65"/>
    <m/>
    <n v="3"/>
    <m/>
    <s v="EPA"/>
    <m/>
    <m/>
    <x v="1"/>
    <m/>
    <s v="OK"/>
    <s v="18-May-18: Good to go for OML, lease hike may raise while TI installation"/>
    <s v="OK"/>
    <m/>
    <s v="OK"/>
    <s v="OK"/>
    <s v="OK"/>
    <m/>
    <m/>
    <m/>
    <s v="OK"/>
    <s v="OK"/>
    <s v="OK"/>
    <m/>
    <d v="1900-01-01T00:00:00"/>
    <s v="PE UG - DG 8hr NS "/>
    <s v="OK"/>
    <s v="No"/>
    <m/>
    <m/>
    <m/>
    <m/>
    <m/>
    <m/>
    <m/>
    <m/>
    <m/>
    <d v="2018-12-19T09:05:50"/>
    <m/>
    <m/>
    <m/>
    <m/>
    <x v="107"/>
    <s v="Not  Calculated"/>
    <n v="0"/>
    <s v="No File"/>
    <s v="ANSH_0086 (SHW1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86 (SHW1908) Application.xlsx"/>
    <m/>
  </r>
  <r>
    <n v="182"/>
    <s v="ANSG_0379"/>
    <x v="0"/>
    <x v="2"/>
    <s v="SAW0726"/>
    <x v="2"/>
    <s v="Colocation"/>
    <m/>
    <s v="Colocation"/>
    <m/>
    <x v="65"/>
    <m/>
    <n v="3"/>
    <m/>
    <s v="EPA"/>
    <m/>
    <m/>
    <x v="1"/>
    <m/>
    <s v="OK"/>
    <s v="18-May-18: Good to go for OML, lease hike may raise while TI installation"/>
    <s v="OK"/>
    <m/>
    <s v="OK"/>
    <s v="OK"/>
    <s v="OK"/>
    <m/>
    <m/>
    <m/>
    <s v="OK for small RF"/>
    <s v="OK"/>
    <s v="OK"/>
    <m/>
    <d v="1900-01-01T00:00:00"/>
    <s v="PE UG"/>
    <s v="OK"/>
    <s v="No"/>
    <m/>
    <m/>
    <m/>
    <m/>
    <m/>
    <m/>
    <m/>
    <m/>
    <m/>
    <d v="2018-12-19T09:05:50"/>
    <m/>
    <m/>
    <m/>
    <m/>
    <x v="107"/>
    <s v="Not  Calculated"/>
    <n v="0"/>
    <s v="No File"/>
    <s v="ANSG_0379 (SAW07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9 (SAW0726) Application.xlsx"/>
    <m/>
  </r>
  <r>
    <n v="183"/>
    <s v="ANMD_0098"/>
    <x v="0"/>
    <x v="2"/>
    <s v="MAW2979"/>
    <x v="2"/>
    <s v="Colocation"/>
    <m/>
    <s v="Colocation"/>
    <m/>
    <x v="65"/>
    <m/>
    <n v="3"/>
    <m/>
    <s v="EPA"/>
    <m/>
    <m/>
    <x v="2"/>
    <m/>
    <s v="OK"/>
    <s v="18-May-18: Good to go for OML, lease hike may raise while TI installation"/>
    <s v="OK"/>
    <m/>
    <s v="OK"/>
    <s v="OK"/>
    <s v="OK"/>
    <m/>
    <m/>
    <m/>
    <s v="OK for small RF (9m2 Remaining) Need strengthening"/>
    <s v="Review"/>
    <m/>
    <m/>
    <m/>
    <s v="PE UG 36KW 2400AH"/>
    <s v="OK"/>
    <s v="No"/>
    <m/>
    <m/>
    <m/>
    <m/>
    <m/>
    <m/>
    <m/>
    <m/>
    <m/>
    <m/>
    <m/>
    <m/>
    <m/>
    <m/>
    <x v="0"/>
    <s v="Not  Calculated"/>
    <n v="0"/>
    <s v="No File"/>
    <s v="ANMD_0098 (MAW297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8 (MAW2979) Application.xlsx"/>
    <m/>
  </r>
  <r>
    <n v="184"/>
    <s v="ANSG_0347"/>
    <x v="0"/>
    <x v="2"/>
    <s v="SAW0717"/>
    <x v="2"/>
    <s v="Colocation"/>
    <m/>
    <s v="Colocation"/>
    <m/>
    <x v="65"/>
    <m/>
    <n v="3"/>
    <m/>
    <s v="EPA"/>
    <m/>
    <m/>
    <x v="1"/>
    <m/>
    <s v="OK"/>
    <s v="18-May-18: Good to go for OML, lease hike may raise while TI installation"/>
    <s v="OK"/>
    <m/>
    <s v="OK"/>
    <s v="LEG ABC"/>
    <s v="OK"/>
    <m/>
    <m/>
    <m/>
    <s v="OK"/>
    <s v="OK"/>
    <s v="OK"/>
    <m/>
    <d v="1900-01-01T00:00:00"/>
    <s v="PE UG"/>
    <s v="OK"/>
    <s v="No"/>
    <m/>
    <m/>
    <m/>
    <m/>
    <m/>
    <m/>
    <m/>
    <m/>
    <m/>
    <d v="2018-12-19T09:05:50"/>
    <m/>
    <m/>
    <m/>
    <m/>
    <x v="107"/>
    <s v="Not  Calculated"/>
    <n v="0"/>
    <s v="No File"/>
    <s v="ANSG_0347 (SAW07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7 (SAW0717) Application.xlsx"/>
    <m/>
  </r>
  <r>
    <n v="185"/>
    <s v="ANMD_0273"/>
    <x v="0"/>
    <x v="2"/>
    <s v="MAW2383"/>
    <x v="2"/>
    <s v="Colocation"/>
    <m/>
    <s v="Colocation"/>
    <m/>
    <x v="65"/>
    <m/>
    <n v="3"/>
    <m/>
    <s v="EPA"/>
    <m/>
    <m/>
    <x v="3"/>
    <s v="AT decided to accommodate for Amara on existing pole."/>
    <s v="OK"/>
    <s v="23-May-18: Lease increase may raise while TI installtion."/>
    <s v="OK"/>
    <m/>
    <m/>
    <m/>
    <s v="Review"/>
    <m/>
    <m/>
    <m/>
    <s v="RT need to check"/>
    <s v="Review"/>
    <s v="TBA"/>
    <m/>
    <d v="1900-01-01T00:00:00"/>
    <s v="PE UG - BA/CW needed add space or LiPo4 - rooftop site"/>
    <m/>
    <m/>
    <m/>
    <m/>
    <m/>
    <m/>
    <m/>
    <m/>
    <m/>
    <m/>
    <m/>
    <m/>
    <m/>
    <m/>
    <m/>
    <m/>
    <x v="107"/>
    <s v="Not  Calculated"/>
    <n v="0"/>
    <s v="No File"/>
    <s v="ANMD_0273 (MAW23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73 (MAW2383) Application.xlsx"/>
    <m/>
  </r>
  <r>
    <n v="186"/>
    <s v="ANMD_0117"/>
    <x v="0"/>
    <x v="2"/>
    <s v="MAW2999"/>
    <x v="2"/>
    <s v="Colocation"/>
    <m/>
    <s v="Colocation"/>
    <m/>
    <x v="65"/>
    <m/>
    <n v="3"/>
    <m/>
    <s v="EPA"/>
    <m/>
    <m/>
    <x v="3"/>
    <m/>
    <s v="Rejected"/>
    <s v="23-May-18: Owner is concern about space, didn’t agree for new pole and slab."/>
    <s v="OK"/>
    <m/>
    <m/>
    <m/>
    <s v="Review"/>
    <m/>
    <m/>
    <m/>
    <s v="RT need to check"/>
    <m/>
    <m/>
    <m/>
    <d v="1900-01-01T00:00:00"/>
    <m/>
    <m/>
    <m/>
    <m/>
    <m/>
    <m/>
    <m/>
    <m/>
    <m/>
    <m/>
    <m/>
    <m/>
    <m/>
    <m/>
    <m/>
    <m/>
    <m/>
    <x v="107"/>
    <s v="Not  Calculated"/>
    <n v="0"/>
    <s v="No File"/>
    <s v="ANMD_0117 (MAW29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7 (MAW2999) Application.xlsx"/>
    <m/>
  </r>
  <r>
    <n v="187"/>
    <s v="ANMD_0005"/>
    <x v="0"/>
    <x v="2"/>
    <s v="MAW2976"/>
    <x v="2"/>
    <s v="Colocation"/>
    <m/>
    <s v="Colocation"/>
    <m/>
    <x v="65"/>
    <m/>
    <n v="3"/>
    <m/>
    <s v="EPA"/>
    <m/>
    <m/>
    <x v="3"/>
    <m/>
    <s v="Rejected"/>
    <s v="23-May-18: Owner is already in terms of cancelling the contract with Apollo."/>
    <s v="Rejected"/>
    <m/>
    <m/>
    <m/>
    <s v="Review"/>
    <m/>
    <m/>
    <m/>
    <s v="RT need to check"/>
    <m/>
    <m/>
    <m/>
    <d v="1900-01-01T00:00:00"/>
    <m/>
    <m/>
    <m/>
    <m/>
    <m/>
    <m/>
    <m/>
    <m/>
    <m/>
    <m/>
    <m/>
    <m/>
    <m/>
    <m/>
    <m/>
    <m/>
    <m/>
    <x v="107"/>
    <s v="Not  Calculated"/>
    <n v="0"/>
    <s v="No File"/>
    <s v="ANMD_0005 (MAW29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05 (MAW2976) Application.xlsx"/>
    <m/>
  </r>
  <r>
    <n v="188"/>
    <s v="ANMD_0092"/>
    <x v="0"/>
    <x v="2"/>
    <s v="MAW2196"/>
    <x v="2"/>
    <s v="Colocation"/>
    <m/>
    <s v="Colocation"/>
    <m/>
    <x v="65"/>
    <m/>
    <n v="3"/>
    <m/>
    <s v="EPA"/>
    <m/>
    <m/>
    <x v="3"/>
    <m/>
    <s v="Rejected"/>
    <s v="23-May-18: Wall mount site not possible for co-location"/>
    <s v="OK"/>
    <m/>
    <m/>
    <m/>
    <s v="Review"/>
    <m/>
    <m/>
    <m/>
    <s v="RT need to check"/>
    <m/>
    <m/>
    <m/>
    <d v="1900-01-01T00:00:00"/>
    <m/>
    <m/>
    <m/>
    <m/>
    <m/>
    <m/>
    <m/>
    <m/>
    <m/>
    <m/>
    <m/>
    <m/>
    <m/>
    <m/>
    <m/>
    <m/>
    <m/>
    <x v="107"/>
    <s v="Not  Calculated"/>
    <n v="0"/>
    <s v="No File"/>
    <s v="ANMD_0092 (MAW21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2 (MAW2196) Application.xlsx"/>
    <m/>
  </r>
  <r>
    <n v="189"/>
    <s v="ANMD_0164"/>
    <x v="0"/>
    <x v="2"/>
    <s v="MAW2764"/>
    <x v="2"/>
    <s v="Colocation"/>
    <m/>
    <s v="Colocation"/>
    <m/>
    <x v="65"/>
    <m/>
    <n v="3"/>
    <m/>
    <s v="EPA"/>
    <m/>
    <m/>
    <x v="3"/>
    <m/>
    <s v="OK"/>
    <s v="18-May-18: Good to go for OML, lease hike may raise while TI installation"/>
    <s v="OK"/>
    <m/>
    <s v="OK"/>
    <s v="OK"/>
    <s v="OK"/>
    <m/>
    <m/>
    <m/>
    <s v="OK"/>
    <s v="Rejected"/>
    <m/>
    <m/>
    <d v="1900-01-01T00:00:00"/>
    <s v="ANMD_0165 better candidate - HUB Offgrid"/>
    <s v="OK"/>
    <s v="No"/>
    <m/>
    <m/>
    <m/>
    <m/>
    <m/>
    <m/>
    <m/>
    <m/>
    <m/>
    <m/>
    <m/>
    <m/>
    <m/>
    <m/>
    <x v="107"/>
    <s v="Not  Calculated"/>
    <n v="0"/>
    <s v="No File"/>
    <s v="ANMD_0164 (MAW276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4 (MAW2764) Application.xlsx"/>
    <m/>
  </r>
  <r>
    <n v="191"/>
    <s v="ANMD_0073"/>
    <x v="0"/>
    <x v="2"/>
    <s v="MAW2959"/>
    <x v="2"/>
    <s v="Colocation"/>
    <m/>
    <s v="Colocation"/>
    <m/>
    <x v="65"/>
    <m/>
    <n v="3"/>
    <m/>
    <s v="EPA"/>
    <m/>
    <m/>
    <x v="1"/>
    <m/>
    <s v="OK"/>
    <s v="18-May-18: Good to go for OML, lease hike may raise while TI installation"/>
    <s v="OK"/>
    <m/>
    <s v="OK"/>
    <s v="LegBCD"/>
    <s v="OK"/>
    <m/>
    <m/>
    <m/>
    <s v="OK"/>
    <s v="OK"/>
    <s v="OK"/>
    <m/>
    <d v="1900-01-01T00:00:00"/>
    <s v="PE UG "/>
    <s v="OK"/>
    <s v="No"/>
    <m/>
    <m/>
    <m/>
    <m/>
    <m/>
    <m/>
    <m/>
    <m/>
    <m/>
    <d v="2018-12-19T09:05:50"/>
    <m/>
    <m/>
    <m/>
    <m/>
    <x v="107"/>
    <s v="Not  Calculated"/>
    <n v="0"/>
    <s v="No File"/>
    <s v="ANMD_0073 (MAW29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3 (MAW2959) Application.xlsx"/>
    <m/>
  </r>
  <r>
    <n v="192"/>
    <s v="ANMD_0168"/>
    <x v="0"/>
    <x v="2"/>
    <s v="MAW2993"/>
    <x v="2"/>
    <s v="Colocation"/>
    <m/>
    <s v="Colocation"/>
    <m/>
    <x v="65"/>
    <m/>
    <n v="3"/>
    <m/>
    <s v="EPA"/>
    <m/>
    <m/>
    <x v="2"/>
    <m/>
    <s v="OK"/>
    <s v="18-May-18: Good to go for OML, lease hike may raise while TI installation"/>
    <s v="OK"/>
    <m/>
    <s v="OK"/>
    <s v="OK"/>
    <s v="OK"/>
    <m/>
    <m/>
    <s v="5m"/>
    <m/>
    <s v="Review"/>
    <m/>
    <m/>
    <m/>
    <s v="PE UG"/>
    <s v="OK"/>
    <s v="No"/>
    <m/>
    <m/>
    <m/>
    <m/>
    <m/>
    <m/>
    <m/>
    <m/>
    <m/>
    <m/>
    <m/>
    <m/>
    <m/>
    <m/>
    <x v="0"/>
    <s v="Not  Calculated"/>
    <n v="0"/>
    <s v="No File"/>
    <s v="ANMD_0168 (MAW299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8 (MAW2993) Application.xlsx"/>
    <m/>
  </r>
  <r>
    <n v="193"/>
    <s v="ANMG_0017"/>
    <x v="0"/>
    <x v="1"/>
    <s v="MWW3484"/>
    <x v="2"/>
    <s v="Colocation"/>
    <m/>
    <s v="Colocation"/>
    <m/>
    <x v="65"/>
    <m/>
    <n v="3"/>
    <m/>
    <s v="EPA"/>
    <m/>
    <m/>
    <x v="1"/>
    <m/>
    <s v="OK"/>
    <s v="18-May-18: Good to go for OML, lease hike may raise while TI installation"/>
    <s v="OK"/>
    <m/>
    <s v="OK"/>
    <s v="OK"/>
    <s v="OK"/>
    <m/>
    <m/>
    <m/>
    <s v="OK"/>
    <s v="OK"/>
    <s v="90 Days"/>
    <m/>
    <d v="1900-01-02T12:00:00"/>
    <s v="Flex UG BB DG"/>
    <s v="OK"/>
    <s v="No"/>
    <m/>
    <m/>
    <m/>
    <m/>
    <m/>
    <m/>
    <m/>
    <m/>
    <m/>
    <d v="2018-12-19T09:05:50"/>
    <m/>
    <m/>
    <m/>
    <m/>
    <x v="107"/>
    <s v="Not  Calculated"/>
    <n v="0"/>
    <s v="No File"/>
    <s v="ANMG_0017 (MWW34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7 (MWW3484) Application.xlsx"/>
    <m/>
  </r>
  <r>
    <n v="194"/>
    <s v="ANNP_0276"/>
    <x v="0"/>
    <x v="1"/>
    <s v="Replacement_43"/>
    <x v="2"/>
    <s v="Colocation"/>
    <m/>
    <s v="Colocation"/>
    <m/>
    <x v="65"/>
    <m/>
    <n v="3"/>
    <m/>
    <s v="EPA"/>
    <m/>
    <m/>
    <x v="1"/>
    <m/>
    <s v="OK"/>
    <s v="18-May-18: Good to go for OML, lease hike may raise while TI installation"/>
    <s v="OK"/>
    <m/>
    <s v="OK"/>
    <s v="OK"/>
    <s v="OK"/>
    <m/>
    <m/>
    <s v="5m"/>
    <s v="Ok, small RF (8m2 remaining) need strengthening"/>
    <s v="Review"/>
    <m/>
    <m/>
    <m/>
    <s v="PE UG"/>
    <s v="OK"/>
    <s v="No"/>
    <m/>
    <m/>
    <m/>
    <m/>
    <m/>
    <m/>
    <m/>
    <m/>
    <m/>
    <m/>
    <m/>
    <m/>
    <m/>
    <m/>
    <x v="107"/>
    <s v="Not  Calculated"/>
    <n v="0"/>
    <s v="No File"/>
    <s v="ANNP_0276 (Replacement_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76 (Replacement_43) Application.xlsx"/>
    <m/>
  </r>
  <r>
    <n v="195"/>
    <s v="ANNP_0203"/>
    <x v="0"/>
    <x v="1"/>
    <s v="Replacement_45"/>
    <x v="2"/>
    <s v="Colocation"/>
    <m/>
    <s v="Colocation"/>
    <m/>
    <x v="65"/>
    <m/>
    <n v="3"/>
    <m/>
    <s v="EPA"/>
    <m/>
    <m/>
    <x v="1"/>
    <m/>
    <s v="OK"/>
    <s v="18-May-18: Good to go for OML, lease hike may raise while TI installation"/>
    <s v="OK"/>
    <m/>
    <s v="OK"/>
    <s v="OK"/>
    <s v="OK"/>
    <m/>
    <m/>
    <s v="5m"/>
    <s v="Ok, small RF (6m2 remaining) need strengthening"/>
    <s v="Review"/>
    <m/>
    <m/>
    <m/>
    <s v="OK - BB UG - Monitor PE - TN HUB"/>
    <s v="OK"/>
    <s v="Yes"/>
    <s v="Need to provide additional equipment slab"/>
    <m/>
    <m/>
    <m/>
    <m/>
    <m/>
    <m/>
    <m/>
    <m/>
    <m/>
    <m/>
    <m/>
    <m/>
    <m/>
    <x v="107"/>
    <s v="Not  Calculated"/>
    <n v="0"/>
    <s v="No File"/>
    <s v="ANNP_0203 (Replacement_4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03 (Replacement_45) Application.xlsx"/>
    <m/>
  </r>
  <r>
    <n v="196"/>
    <s v="ANMD_0079"/>
    <x v="0"/>
    <x v="2"/>
    <s v="MAW2908"/>
    <x v="2"/>
    <s v="Colocation"/>
    <m/>
    <s v="Colocation"/>
    <m/>
    <x v="65"/>
    <m/>
    <n v="3"/>
    <m/>
    <s v="EPA"/>
    <m/>
    <m/>
    <x v="3"/>
    <m/>
    <s v="Rejected"/>
    <s v="23-May-18: OML has already installed there own pole and they are on-air"/>
    <s v="OK"/>
    <m/>
    <m/>
    <m/>
    <s v="Review"/>
    <m/>
    <m/>
    <m/>
    <s v="RT need to check"/>
    <m/>
    <m/>
    <m/>
    <d v="1900-01-01T00:00:00"/>
    <m/>
    <m/>
    <m/>
    <m/>
    <m/>
    <m/>
    <m/>
    <m/>
    <m/>
    <m/>
    <m/>
    <m/>
    <m/>
    <m/>
    <m/>
    <m/>
    <m/>
    <x v="107"/>
    <s v="Not  Calculated"/>
    <n v="0"/>
    <s v="No File"/>
    <s v="ANMD_0079 (MAW2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9 (MAW2908) Application.xlsx"/>
    <m/>
  </r>
  <r>
    <n v="197"/>
    <s v="ASKH_0019"/>
    <x v="0"/>
    <x v="1"/>
    <s v="KYW6082"/>
    <x v="2"/>
    <s v="Colocation"/>
    <m/>
    <s v="Colocation"/>
    <m/>
    <x v="65"/>
    <m/>
    <n v="3"/>
    <m/>
    <s v="EPA"/>
    <m/>
    <m/>
    <x v="1"/>
    <m/>
    <s v="OK"/>
    <s v="18-May-18: Good to go for OML, lease hike may raise while TI installation"/>
    <s v="OK"/>
    <m/>
    <s v="OK"/>
    <s v="QA Report not updated"/>
    <s v="OK"/>
    <m/>
    <m/>
    <m/>
    <s v="OK"/>
    <s v="OK"/>
    <s v="90 Days"/>
    <m/>
    <d v="1900-01-02T12:00:00"/>
    <s v="Flex UG BB DG"/>
    <s v="OK"/>
    <s v="No"/>
    <m/>
    <m/>
    <m/>
    <m/>
    <m/>
    <m/>
    <m/>
    <m/>
    <m/>
    <d v="2018-12-19T09:05:50"/>
    <m/>
    <m/>
    <m/>
    <m/>
    <x v="107"/>
    <s v="Not  Calculated"/>
    <n v="0"/>
    <s v="No File"/>
    <s v="ASKH_0019 (KYW608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0019 (KYW6082) Application.xlsx"/>
    <m/>
  </r>
  <r>
    <n v="198"/>
    <s v="ASTN_0045"/>
    <x v="0"/>
    <x v="0"/>
    <s v="TAW6250"/>
    <x v="2"/>
    <s v="OML Phase 2 Colo"/>
    <s v="RFI"/>
    <s v="Colocation"/>
    <m/>
    <x v="65"/>
    <m/>
    <n v="3"/>
    <m/>
    <s v="EPA"/>
    <m/>
    <m/>
    <x v="1"/>
    <m/>
    <s v="OK"/>
    <s v="18-May-18: Good to go for OML, lease hike may raise while TI installation"/>
    <s v="OK"/>
    <m/>
    <s v="OK"/>
    <s v="OK"/>
    <s v="OK"/>
    <m/>
    <m/>
    <m/>
    <s v="OK"/>
    <s v="OK"/>
    <s v="120 Days"/>
    <m/>
    <d v="1900-01-02T12:00:00"/>
    <s v="BB+ Grid"/>
    <s v="OK"/>
    <s v="No"/>
    <m/>
    <m/>
    <m/>
    <m/>
    <m/>
    <m/>
    <m/>
    <m/>
    <m/>
    <d v="2018-12-19T09:05:51"/>
    <m/>
    <m/>
    <m/>
    <m/>
    <x v="107"/>
    <s v="Not  Calculated"/>
    <n v="0"/>
    <s v="No File"/>
    <s v="ASTN_0045 (TAW625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45 (TAW6250) Application.xlsx"/>
    <m/>
  </r>
  <r>
    <n v="199"/>
    <s v="ASTN_0035"/>
    <x v="0"/>
    <x v="0"/>
    <s v="TAW6249"/>
    <x v="2"/>
    <s v="OML Phase 2 Colo"/>
    <s v="RFI"/>
    <s v="Colocation"/>
    <m/>
    <x v="65"/>
    <m/>
    <n v="3"/>
    <m/>
    <s v="EPA"/>
    <m/>
    <m/>
    <x v="1"/>
    <m/>
    <s v="OK"/>
    <s v="18-May-18: Good to go for OML, lease hike may raise while TI installation"/>
    <s v="OK"/>
    <s v="OK"/>
    <s v="OK"/>
    <s v="OK"/>
    <s v="OK"/>
    <m/>
    <m/>
    <m/>
    <s v="OK"/>
    <s v="Review"/>
    <m/>
    <m/>
    <m/>
    <s v="36KW 2400 BB"/>
    <s v="OK"/>
    <s v="No"/>
    <m/>
    <m/>
    <m/>
    <m/>
    <m/>
    <m/>
    <s v="OK"/>
    <m/>
    <d v="2018-11-13T15:03:21"/>
    <m/>
    <d v="2018-11-13T16:19:19"/>
    <d v="2018-11-13T17:04:12"/>
    <d v="2018-11-13T16:30:56"/>
    <d v="2018-11-27T15:32:26"/>
    <x v="111"/>
    <n v="195.64752812500228"/>
    <n v="0"/>
    <s v="No File"/>
    <s v="ASTN_0035 (TAW6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35 (TAW6249) Application.xlsx"/>
    <m/>
  </r>
  <r>
    <n v="200"/>
    <s v="ASMO_0295"/>
    <x v="0"/>
    <x v="0"/>
    <s v="MOW6295"/>
    <x v="2"/>
    <s v="Colocation"/>
    <m/>
    <s v="Colocation"/>
    <m/>
    <x v="65"/>
    <m/>
    <n v="3"/>
    <m/>
    <s v="EPA"/>
    <m/>
    <m/>
    <x v="1"/>
    <m/>
    <s v="OK"/>
    <s v="23-May-18: Lease increase may raise while TI installtion."/>
    <s v="OK"/>
    <m/>
    <s v="OK"/>
    <s v="At this is ok after TSS will confirm available height"/>
    <s v="OK"/>
    <m/>
    <m/>
    <s v="No"/>
    <s v="OK for small RF"/>
    <s v="Review"/>
    <m/>
    <m/>
    <m/>
    <s v="36KW 1800 BB"/>
    <s v="OK"/>
    <s v="No"/>
    <m/>
    <m/>
    <m/>
    <m/>
    <m/>
    <m/>
    <m/>
    <m/>
    <m/>
    <m/>
    <m/>
    <m/>
    <m/>
    <m/>
    <x v="0"/>
    <s v="Not  Calculated"/>
    <n v="0"/>
    <s v="No File"/>
    <s v="ASMO_0295 (MOW62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95 (MOW6295) Application.xlsx"/>
    <m/>
  </r>
  <r>
    <n v="202"/>
    <s v="ACBA_0245"/>
    <x v="0"/>
    <x v="1"/>
    <s v="BAW5555"/>
    <x v="2"/>
    <s v="OML Phase 2 Colo"/>
    <s v="On Air"/>
    <s v="Colocation"/>
    <m/>
    <x v="65"/>
    <m/>
    <n v="3"/>
    <m/>
    <s v="EPA"/>
    <m/>
    <m/>
    <x v="1"/>
    <m/>
    <s v="OK"/>
    <s v="18-May-18: Good to go for OML, lease hike may raise while TI installation"/>
    <s v="OK"/>
    <m/>
    <s v="OK"/>
    <s v="OK"/>
    <s v="OK"/>
    <m/>
    <m/>
    <m/>
    <s v="OK"/>
    <s v="OK"/>
    <s v="90 Days"/>
    <m/>
    <d v="1900-01-02T12:00:00"/>
    <s v="BB"/>
    <s v="OK"/>
    <s v="No"/>
    <m/>
    <m/>
    <m/>
    <m/>
    <m/>
    <m/>
    <m/>
    <m/>
    <m/>
    <d v="2018-12-19T09:05:51"/>
    <m/>
    <m/>
    <m/>
    <m/>
    <x v="107"/>
    <s v="Not  Calculated"/>
    <n v="0"/>
    <s v="No File"/>
    <s v="ACBA_0245 (BAW55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45 (BAW5555) Application.xlsx"/>
    <m/>
  </r>
  <r>
    <n v="204"/>
    <s v="ACAY_0171"/>
    <x v="0"/>
    <x v="0"/>
    <s v="AYW5539"/>
    <x v="2"/>
    <s v="Colocation"/>
    <m/>
    <s v="Colocation"/>
    <m/>
    <x v="65"/>
    <m/>
    <n v="3"/>
    <m/>
    <s v="EPA"/>
    <m/>
    <m/>
    <x v="1"/>
    <m/>
    <s v="OK"/>
    <s v="18-May-18: Good to go for OML, lease hike may raise while TI installation"/>
    <s v="OK"/>
    <m/>
    <s v="OK"/>
    <s v="OK"/>
    <s v="OK"/>
    <m/>
    <m/>
    <m/>
    <s v="OK"/>
    <s v="OK"/>
    <s v="90 Days"/>
    <m/>
    <d v="1900-01-02T12:00:00"/>
    <s v="BB DG"/>
    <s v="OK"/>
    <s v="No"/>
    <m/>
    <m/>
    <m/>
    <m/>
    <m/>
    <m/>
    <m/>
    <m/>
    <m/>
    <d v="2018-12-19T09:05:51"/>
    <m/>
    <m/>
    <m/>
    <m/>
    <x v="107"/>
    <s v="Not  Calculated"/>
    <n v="0"/>
    <s v="No File"/>
    <s v="ACAY_0171 (AYW553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71 (AYW5539) Application.xlsx"/>
    <m/>
  </r>
  <r>
    <n v="205"/>
    <s v="ANMG_0183"/>
    <x v="0"/>
    <x v="1"/>
    <s v="MWW3494"/>
    <x v="2"/>
    <s v="OML Phase 2 Colo"/>
    <s v="RFI"/>
    <s v="Colocation"/>
    <m/>
    <x v="65"/>
    <m/>
    <n v="3"/>
    <m/>
    <s v="EPA"/>
    <m/>
    <m/>
    <x v="1"/>
    <m/>
    <s v="OK"/>
    <s v="18-May-18: Good to go for OML, lease hike may raise while TI installation"/>
    <s v="OK"/>
    <m/>
    <s v="OK"/>
    <s v="OK"/>
    <s v="OK"/>
    <m/>
    <m/>
    <m/>
    <s v="OK"/>
    <s v="OK"/>
    <s v="90 Days"/>
    <m/>
    <d v="1900-01-02T12:00:00"/>
    <s v="Flex UG BB DG"/>
    <s v="OK"/>
    <s v="No"/>
    <m/>
    <m/>
    <m/>
    <m/>
    <m/>
    <m/>
    <m/>
    <m/>
    <m/>
    <d v="2018-12-19T09:05:51"/>
    <m/>
    <m/>
    <m/>
    <m/>
    <x v="107"/>
    <s v="Not  Calculated"/>
    <n v="0"/>
    <s v="No File"/>
    <s v="ANMG_0183 (MWW34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83 (MWW3494) Application.xlsx"/>
    <m/>
  </r>
  <r>
    <n v="207"/>
    <s v="ANSG_0464"/>
    <x v="0"/>
    <x v="2"/>
    <s v="SAW0732"/>
    <x v="2"/>
    <s v="OML Phase 2 Colo"/>
    <s v="RFI"/>
    <s v="Colocation"/>
    <m/>
    <x v="65"/>
    <m/>
    <n v="3"/>
    <m/>
    <s v="EPA"/>
    <m/>
    <m/>
    <x v="1"/>
    <m/>
    <s v="OK"/>
    <s v="18-May-18: Good to go for OML, lease hike may raise while TI installation"/>
    <s v="OK"/>
    <m/>
    <s v="OK"/>
    <s v="OK"/>
    <s v="OK"/>
    <m/>
    <m/>
    <m/>
    <s v="OK"/>
    <s v="OK"/>
    <s v="90 Days"/>
    <m/>
    <d v="1900-01-02T12:00:00"/>
    <s v="BB DG"/>
    <s v="OK"/>
    <s v="No"/>
    <m/>
    <m/>
    <m/>
    <m/>
    <m/>
    <m/>
    <m/>
    <m/>
    <m/>
    <d v="2018-12-19T09:05:51"/>
    <m/>
    <m/>
    <m/>
    <m/>
    <x v="107"/>
    <s v="Not  Calculated"/>
    <n v="0"/>
    <s v="No File"/>
    <s v="ANSG_0464 (SAW073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64 (SAW0732) Application.xlsx"/>
    <m/>
  </r>
  <r>
    <n v="210"/>
    <s v="AYYN_0599"/>
    <x v="0"/>
    <x v="0"/>
    <s v="YAW7859"/>
    <x v="2"/>
    <s v="OML Phase 2 Colo"/>
    <s v="On Air"/>
    <s v="Colocation"/>
    <m/>
    <x v="65"/>
    <m/>
    <n v="3"/>
    <m/>
    <s v="EPA"/>
    <m/>
    <m/>
    <x v="1"/>
    <m/>
    <s v="OK"/>
    <s v="18-May-18: Good to go for OML, lease hike may raise while TI installation"/>
    <s v="OK"/>
    <m/>
    <s v="OK"/>
    <s v="OK"/>
    <s v="OK"/>
    <m/>
    <m/>
    <m/>
    <s v="OK"/>
    <s v="OK"/>
    <s v="90 Days"/>
    <m/>
    <d v="1900-01-02T12:00:00"/>
    <s v="DCDB"/>
    <s v="OK"/>
    <s v="No"/>
    <m/>
    <m/>
    <m/>
    <m/>
    <m/>
    <m/>
    <m/>
    <m/>
    <m/>
    <d v="2018-12-19T09:05:51"/>
    <m/>
    <m/>
    <m/>
    <m/>
    <x v="107"/>
    <s v="Not  Calculated"/>
    <n v="0"/>
    <s v="No File"/>
    <s v="AYYN_0599 (YAW78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99 (YAW7859) Application.xlsx"/>
    <m/>
  </r>
  <r>
    <n v="212"/>
    <s v="AYYN_0223"/>
    <x v="0"/>
    <x v="0"/>
    <s v="YAW7853"/>
    <x v="2"/>
    <s v="Colocation"/>
    <m/>
    <s v="Colocation"/>
    <m/>
    <x v="65"/>
    <m/>
    <n v="3"/>
    <m/>
    <s v="EPA"/>
    <m/>
    <m/>
    <x v="1"/>
    <m/>
    <s v="OK"/>
    <s v="18-May-18: Good to go for OML, lease hike may raise while TI installation"/>
    <s v="OK"/>
    <m/>
    <s v="OK"/>
    <s v="OK"/>
    <s v="OK"/>
    <m/>
    <m/>
    <m/>
    <s v="OK for small RF"/>
    <s v="OK"/>
    <s v="OK"/>
    <m/>
    <d v="1900-01-01T00:00:00"/>
    <s v="BB UG "/>
    <s v="OK"/>
    <s v="No"/>
    <m/>
    <m/>
    <m/>
    <m/>
    <m/>
    <m/>
    <m/>
    <m/>
    <m/>
    <d v="2018-12-19T09:05:51"/>
    <m/>
    <m/>
    <m/>
    <m/>
    <x v="107"/>
    <s v="Not  Calculated"/>
    <n v="0"/>
    <s v="No File"/>
    <s v="AYYN_0223 (YAW78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23 (YAW7853) Application.xlsx"/>
    <m/>
  </r>
  <r>
    <n v="213"/>
    <s v="AYYN_0206"/>
    <x v="0"/>
    <x v="0"/>
    <s v="YAW7848"/>
    <x v="2"/>
    <s v="OML Phase 2 Colo"/>
    <s v="On Air"/>
    <s v="Colocation"/>
    <m/>
    <x v="65"/>
    <m/>
    <n v="3"/>
    <m/>
    <s v="EPA"/>
    <m/>
    <m/>
    <x v="1"/>
    <m/>
    <s v="OK"/>
    <s v="18-May-18: Good to go for OML, lease hike may raise while TI installation"/>
    <s v="OK"/>
    <m/>
    <s v="OK"/>
    <s v="OK"/>
    <s v="OK"/>
    <m/>
    <m/>
    <m/>
    <s v="OK"/>
    <s v="OK"/>
    <s v="90 Days"/>
    <m/>
    <d v="1900-01-02T12:00:00"/>
    <s v="Flex UG BB DG"/>
    <s v="OK"/>
    <s v="No"/>
    <m/>
    <m/>
    <m/>
    <m/>
    <m/>
    <m/>
    <m/>
    <m/>
    <m/>
    <d v="2018-12-19T09:05:51"/>
    <m/>
    <m/>
    <m/>
    <m/>
    <x v="107"/>
    <s v="Not  Calculated"/>
    <n v="0"/>
    <s v="No File"/>
    <s v="AYYN_0206 (YAW78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06 (YAW7848) Application.xlsx"/>
    <m/>
  </r>
  <r>
    <n v="215"/>
    <s v="AYYN_0144"/>
    <x v="0"/>
    <x v="0"/>
    <s v="YAW7846"/>
    <x v="2"/>
    <s v="OML Phase 2 Colo"/>
    <s v="RFI"/>
    <s v="Colocation"/>
    <m/>
    <x v="65"/>
    <m/>
    <n v="3"/>
    <m/>
    <s v="EPA"/>
    <m/>
    <m/>
    <x v="1"/>
    <m/>
    <s v="OK"/>
    <s v="18-May-18: Good to go for OML, lease hike may raise while TI installation"/>
    <s v="OK"/>
    <m/>
    <s v="OK"/>
    <s v="OK"/>
    <s v="OK"/>
    <m/>
    <m/>
    <m/>
    <s v="OK"/>
    <s v="OK"/>
    <s v="120 Days"/>
    <m/>
    <d v="1900-01-02T12:00:00"/>
    <s v="BB DG+ Grid"/>
    <s v="OK"/>
    <s v="No"/>
    <m/>
    <m/>
    <m/>
    <m/>
    <m/>
    <m/>
    <m/>
    <m/>
    <m/>
    <d v="2018-12-19T09:05:51"/>
    <m/>
    <m/>
    <m/>
    <m/>
    <x v="107"/>
    <s v="Not  Calculated"/>
    <n v="0"/>
    <s v="No File"/>
    <s v="AYYN_0144 (YAW78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44 (YAW7846) Application.xlsx"/>
    <m/>
  </r>
  <r>
    <n v="216"/>
    <s v="AYYN_0066"/>
    <x v="0"/>
    <x v="0"/>
    <s v="YAW7843"/>
    <x v="2"/>
    <s v="OML Phase 2 Colo"/>
    <s v="RFI"/>
    <s v="Colocation"/>
    <m/>
    <x v="65"/>
    <m/>
    <n v="3"/>
    <m/>
    <s v="EPA"/>
    <m/>
    <m/>
    <x v="1"/>
    <m/>
    <s v="OK"/>
    <s v="18-May-18: Good to go for OML, lease hike may raise while TI installation"/>
    <s v="OK"/>
    <m/>
    <s v="OK"/>
    <s v="OK"/>
    <s v="OK"/>
    <m/>
    <m/>
    <s v="5m"/>
    <m/>
    <s v="Review"/>
    <m/>
    <m/>
    <m/>
    <s v="36KW 2400 BB"/>
    <s v="OK"/>
    <s v="No"/>
    <m/>
    <m/>
    <m/>
    <m/>
    <m/>
    <m/>
    <m/>
    <m/>
    <m/>
    <m/>
    <m/>
    <m/>
    <m/>
    <m/>
    <x v="0"/>
    <s v="Not  Calculated"/>
    <n v="0"/>
    <s v="No File"/>
    <s v="AYYN_0066 (YAW78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66 (YAW7843) Application.xlsx"/>
    <m/>
  </r>
  <r>
    <n v="59"/>
    <s v="ASKA_0137"/>
    <x v="0"/>
    <x v="0"/>
    <s v="KNW6140"/>
    <x v="2"/>
    <s v="OML Phase 1 Colo"/>
    <s v="On Air"/>
    <s v="Colocation"/>
    <m/>
    <x v="66"/>
    <m/>
    <n v="3"/>
    <n v="6"/>
    <s v="EPA"/>
    <s v="12"/>
    <s v="17"/>
    <x v="1"/>
    <m/>
    <s v="OK"/>
    <s v="18-May-18: Good to go for OML, lease hike is been cleared"/>
    <s v="OK"/>
    <m/>
    <s v="OK"/>
    <m/>
    <s v="OK"/>
    <m/>
    <m/>
    <m/>
    <m/>
    <s v="OK"/>
    <s v="90 Days"/>
    <m/>
    <d v="1900-01-02T12:00:00"/>
    <s v="LiPO4"/>
    <s v="OK"/>
    <s v="Yes"/>
    <m/>
    <m/>
    <m/>
    <m/>
    <m/>
    <m/>
    <m/>
    <m/>
    <m/>
    <d v="2018-12-19T09:05:43"/>
    <m/>
    <m/>
    <m/>
    <m/>
    <x v="112"/>
    <s v="Not  Calculated"/>
    <n v="0"/>
    <s v="No File"/>
    <s v="ASKA_0137 (KNW61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A_0137 (KNW6140) Application.xlsx"/>
    <m/>
  </r>
  <r>
    <n v="52"/>
    <s v="ANMD_0088"/>
    <x v="0"/>
    <x v="2"/>
    <s v="MDY0023"/>
    <x v="3"/>
    <s v="Colocation"/>
    <m/>
    <s v="Colocation"/>
    <m/>
    <x v="67"/>
    <m/>
    <n v="2"/>
    <n v="6"/>
    <s v="EPA"/>
    <s v="18"/>
    <s v="23"/>
    <x v="3"/>
    <m/>
    <s v="Rejected"/>
    <s v="04-May-18: Still same owner rejected_x000a_26-May-17: Owner not allowed additional equipment."/>
    <s v="OK"/>
    <m/>
    <s v="OK"/>
    <m/>
    <s v="Review"/>
    <m/>
    <m/>
    <m/>
    <s v="RT need to check"/>
    <s v="Review"/>
    <m/>
    <m/>
    <d v="1900-01-01T00:00:00"/>
    <s v="PE UG required material arriving WK26"/>
    <m/>
    <m/>
    <m/>
    <m/>
    <m/>
    <m/>
    <m/>
    <m/>
    <m/>
    <m/>
    <m/>
    <m/>
    <m/>
    <m/>
    <m/>
    <m/>
    <x v="113"/>
    <s v="Not  Calculated"/>
    <n v="0"/>
    <s v="No Fil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r>
  <r>
    <n v="53"/>
    <s v="ANMD_0122"/>
    <x v="0"/>
    <x v="2"/>
    <s v="MDY0080"/>
    <x v="3"/>
    <m/>
    <m/>
    <m/>
    <m/>
    <x v="67"/>
    <m/>
    <n v="2"/>
    <n v="6"/>
    <s v="EPA"/>
    <s v="18"/>
    <s v="23"/>
    <x v="2"/>
    <m/>
    <s v="OK"/>
    <s v="04-Apr-18: Okay for TI installation,  Lease hike request may raise while TI installation"/>
    <s v="OK"/>
    <m/>
    <s v="OK"/>
    <m/>
    <s v="OK"/>
    <m/>
    <m/>
    <m/>
    <s v="Need to build new pole and slab"/>
    <s v="OK"/>
    <s v="1 week after material arrives to date 4 wk delay"/>
    <m/>
    <d v="1900-01-01T00:00:00"/>
    <s v="PE UG required material arriving WK26 - FC now WK31"/>
    <s v="OK"/>
    <s v="Yes"/>
    <s v="Need to provide new cable tray (5.3m)."/>
    <m/>
    <m/>
    <m/>
    <m/>
    <m/>
    <m/>
    <m/>
    <m/>
    <d v="2018-12-19T09:05:42"/>
    <m/>
    <m/>
    <m/>
    <m/>
    <x v="113"/>
    <s v="Not  Calculated"/>
    <n v="0"/>
    <s v="No File"/>
    <s v="ANMD_0122 (MDY008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22 (MDY0080) Application.xlsx"/>
    <m/>
  </r>
  <r>
    <n v="54"/>
    <s v="ANMD_0166"/>
    <x v="0"/>
    <x v="2"/>
    <s v="MDY0188"/>
    <x v="3"/>
    <m/>
    <m/>
    <m/>
    <m/>
    <x v="67"/>
    <m/>
    <n v="2"/>
    <n v="6"/>
    <s v="EPA"/>
    <s v="35"/>
    <s v="40"/>
    <x v="2"/>
    <m/>
    <s v="OK"/>
    <s v="04-Apr-18: Okay for TI installation,  Lease hike request may raise while TI installation"/>
    <s v="OK"/>
    <m/>
    <s v="OK"/>
    <m/>
    <s v="OK"/>
    <m/>
    <m/>
    <m/>
    <m/>
    <s v="OK"/>
    <s v=" "/>
    <m/>
    <d v="1900-01-01T00:00:00"/>
    <s v="PE UG required material in stock"/>
    <s v="OK"/>
    <s v="No"/>
    <m/>
    <m/>
    <m/>
    <m/>
    <m/>
    <m/>
    <m/>
    <m/>
    <m/>
    <d v="2018-12-19T09:05:43"/>
    <m/>
    <m/>
    <m/>
    <m/>
    <x v="113"/>
    <s v="Not  Calculated"/>
    <n v="0"/>
    <s v="No File"/>
    <s v="ANMD_0166 (MDY018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66 (MDY0188) Application.xlsx"/>
    <m/>
  </r>
  <r>
    <n v="55"/>
    <s v="ANMD_0080"/>
    <x v="0"/>
    <x v="2"/>
    <s v="MDY0299"/>
    <x v="3"/>
    <s v="Mytel Phase 1a Colo"/>
    <s v="On Air"/>
    <s v="Colocation"/>
    <m/>
    <x v="67"/>
    <m/>
    <n v="2"/>
    <n v="6"/>
    <s v="EPA"/>
    <s v="25"/>
    <s v="30"/>
    <x v="1"/>
    <m/>
    <s v="OK"/>
    <s v="04-Apr-18: Okay for TI installation,  Lease hike request may raise while TI installation"/>
    <s v="OK"/>
    <m/>
    <s v="OK"/>
    <m/>
    <s v="OK"/>
    <m/>
    <m/>
    <m/>
    <m/>
    <s v="OK"/>
    <m/>
    <m/>
    <d v="1900-01-01T00:00:00"/>
    <s v="DG &amp; BB upgrade required material in stock - to be re ordered"/>
    <s v="OK"/>
    <s v="No"/>
    <m/>
    <m/>
    <m/>
    <m/>
    <m/>
    <m/>
    <m/>
    <m/>
    <m/>
    <d v="2018-12-19T09:05:43"/>
    <m/>
    <m/>
    <m/>
    <m/>
    <x v="113"/>
    <s v="Not  Calculated"/>
    <n v="0"/>
    <s v="No File"/>
    <s v="ANMD_0080 (MDY029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0 (MDY0299) Application.xlsx"/>
    <m/>
  </r>
  <r>
    <n v="56"/>
    <s v="ANMD_0004"/>
    <x v="0"/>
    <x v="2"/>
    <s v="MDY0338"/>
    <x v="3"/>
    <m/>
    <m/>
    <m/>
    <m/>
    <x v="67"/>
    <m/>
    <n v="2"/>
    <n v="6"/>
    <s v="EPA"/>
    <s v="22"/>
    <s v="27"/>
    <x v="2"/>
    <m/>
    <s v="OK"/>
    <s v="04-Apr-18: Okay for TI installation,  Lease hike request may raise while TI installation"/>
    <s v="OK"/>
    <m/>
    <s v="OK"/>
    <m/>
    <s v="OK"/>
    <m/>
    <m/>
    <m/>
    <s v="Need to build new slab and RF bracket"/>
    <s v="OK"/>
    <m/>
    <m/>
    <d v="1900-01-01T00:00:00"/>
    <s v="BA/CW add space BB UG"/>
    <m/>
    <m/>
    <m/>
    <m/>
    <m/>
    <m/>
    <m/>
    <m/>
    <m/>
    <m/>
    <m/>
    <d v="2018-12-19T09:05:43"/>
    <m/>
    <m/>
    <m/>
    <m/>
    <x v="113"/>
    <s v="Not  Calculated"/>
    <n v="1"/>
    <s v="No File"/>
    <s v="ANMD_0004 (MDY03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04 (MDY0338) Application.xlsx"/>
    <m/>
  </r>
  <r>
    <n v="57"/>
    <s v="AYYN_0527"/>
    <x v="0"/>
    <x v="0"/>
    <s v="YAW7098"/>
    <x v="2"/>
    <s v="OML Phase 2 Colo"/>
    <s v="On Air"/>
    <s v="Colocation"/>
    <m/>
    <x v="67"/>
    <m/>
    <n v="3"/>
    <n v="6"/>
    <s v="EPA"/>
    <s v="12"/>
    <s v="17"/>
    <x v="1"/>
    <m/>
    <s v="OK"/>
    <s v="04-Apr-18: Okay for TI installation,  Lease hike request may raise while TI installation"/>
    <s v="OK"/>
    <m/>
    <s v="OK"/>
    <m/>
    <s v="OK"/>
    <m/>
    <m/>
    <m/>
    <s v="Need to add new pole, need to do building Analysis"/>
    <s v="OK"/>
    <s v="90 Days"/>
    <m/>
    <d v="1900-01-02T12:00:00"/>
    <s v="LiPO4"/>
    <s v="OK"/>
    <s v="No"/>
    <s v="need to provide new pole, equipment slab and cable tray"/>
    <m/>
    <m/>
    <m/>
    <m/>
    <m/>
    <m/>
    <m/>
    <m/>
    <d v="2018-12-19T09:05:43"/>
    <m/>
    <m/>
    <m/>
    <m/>
    <x v="113"/>
    <s v="Not  Calculated"/>
    <n v="0"/>
    <s v="No File"/>
    <s v="AYYN_0527 (YAW70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7 (YAW7098) Application.xlsx"/>
    <m/>
  </r>
  <r>
    <n v="257"/>
    <s v="AYYN_0416"/>
    <x v="0"/>
    <x v="0"/>
    <s v="YGNDWBN001"/>
    <x v="1"/>
    <s v="Colocation"/>
    <m/>
    <s v="Colocation"/>
    <m/>
    <x v="68"/>
    <m/>
    <n v="2"/>
    <n v="3"/>
    <s v="EPA"/>
    <s v="16.2"/>
    <s v="19.2"/>
    <x v="3"/>
    <m/>
    <s v="Rejected"/>
    <s v="10-July-18: Owner rejected as top room owner is strongly complaining for additional opco."/>
    <s v="OK"/>
    <m/>
    <s v="OK"/>
    <s v="OK"/>
    <m/>
    <m/>
    <m/>
    <s v="No"/>
    <m/>
    <s v="OK"/>
    <s v="1 wk after site survey complete colo appl approved"/>
    <m/>
    <m/>
    <s v="AC connect material in stock - pending all clear from site survey"/>
    <s v="Rejected"/>
    <s v="Yes"/>
    <s v="no space for BTS"/>
    <m/>
    <m/>
    <m/>
    <m/>
    <m/>
    <m/>
    <m/>
    <m/>
    <d v="2018-12-19T09:05:54"/>
    <m/>
    <m/>
    <m/>
    <m/>
    <x v="114"/>
    <s v="Not  Calculated"/>
    <n v="0"/>
    <s v="No File"/>
    <s v="AYYN_0416 (YGNDWBN00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6 (YGNDWBN001) Application.xlsx"/>
    <m/>
  </r>
  <r>
    <n v="51"/>
    <s v="1-01-15010-001"/>
    <x v="1"/>
    <x v="2"/>
    <s v="SHW1189"/>
    <x v="2"/>
    <s v="OML Phase 1 B2S"/>
    <s v="On Air"/>
    <s v="Colocation"/>
    <m/>
    <x v="68"/>
    <m/>
    <n v="3"/>
    <n v="6"/>
    <s v="EPA"/>
    <s v="11"/>
    <s v="16"/>
    <x v="3"/>
    <s v="Security Issue"/>
    <s v="OK"/>
    <s v="04-Apr-18: Okay for TI installation,  Lease hike request may raise while TI installation"/>
    <s v="OK"/>
    <m/>
    <s v="OK"/>
    <m/>
    <s v="Review"/>
    <m/>
    <m/>
    <m/>
    <s v="RT need to check"/>
    <s v="OK"/>
    <m/>
    <m/>
    <d v="1900-01-01T00:00:00"/>
    <s v="PE upgrade required material order required."/>
    <m/>
    <m/>
    <m/>
    <m/>
    <m/>
    <m/>
    <m/>
    <m/>
    <m/>
    <m/>
    <m/>
    <d v="2018-12-19T09:05:42"/>
    <m/>
    <m/>
    <m/>
    <m/>
    <x v="114"/>
    <s v="Not  Calculated"/>
    <n v="0"/>
    <s v="No File"/>
    <s v="1-01-15010-001 (SHW118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1-01-15010-001 (SHW1189) Application.xlsx"/>
    <m/>
  </r>
  <r>
    <n v="50"/>
    <s v="ASMO_0202"/>
    <x v="0"/>
    <x v="0"/>
    <s v="MOW6163"/>
    <x v="2"/>
    <s v="Colocation"/>
    <m/>
    <s v="Colocation"/>
    <m/>
    <x v="69"/>
    <m/>
    <n v="3"/>
    <n v="10"/>
    <s v="EPA"/>
    <s v="50"/>
    <s v="55"/>
    <x v="3"/>
    <m/>
    <s v="OK"/>
    <s v="04-Apr-18: Okay for TI installation,  Lease hike request may raise while TI installation"/>
    <s v="OK"/>
    <m/>
    <s v="OK"/>
    <m/>
    <s v="OK"/>
    <m/>
    <m/>
    <m/>
    <m/>
    <s v="Rejected"/>
    <m/>
    <m/>
    <d v="1900-01-01T00:00:00"/>
    <s v="REJECT"/>
    <m/>
    <m/>
    <m/>
    <m/>
    <m/>
    <m/>
    <m/>
    <m/>
    <m/>
    <m/>
    <m/>
    <m/>
    <m/>
    <m/>
    <m/>
    <m/>
    <x v="115"/>
    <s v="Not  Calculated"/>
    <n v="0"/>
    <s v="No File"/>
    <s v="ASMO_0202 (MOW61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xlsx"/>
    <m/>
  </r>
  <r>
    <n v="42"/>
    <s v="ACBA_0052"/>
    <x v="0"/>
    <x v="0"/>
    <s v="BGO0947"/>
    <x v="3"/>
    <s v="Mytel Phase 1a Colo"/>
    <s v="On Air"/>
    <s v="Colocation"/>
    <m/>
    <x v="70"/>
    <m/>
    <n v="2"/>
    <n v="6"/>
    <s v="EPA"/>
    <s v="55"/>
    <s v="60"/>
    <x v="1"/>
    <m/>
    <s v="OK"/>
    <s v="04-Apr-18: Okay for TI installation,  Lease hike request may raise while TI installation"/>
    <s v="OK"/>
    <m/>
    <s v="OK"/>
    <s v="3-Leg free(ABC)"/>
    <s v="OK"/>
    <m/>
    <m/>
    <m/>
    <m/>
    <s v="OK"/>
    <s v="1 week "/>
    <m/>
    <d v="1900-01-01T00:00:00"/>
    <s v="Please confirm OML old request OK for MYTEL only"/>
    <s v="OK"/>
    <s v="No"/>
    <m/>
    <m/>
    <m/>
    <m/>
    <m/>
    <m/>
    <m/>
    <m/>
    <m/>
    <d v="2018-12-19T09:05:41"/>
    <m/>
    <m/>
    <m/>
    <m/>
    <x v="116"/>
    <s v="Not  Calculated"/>
    <n v="0"/>
    <s v="No File"/>
    <s v="ACBA_0052 (BGO094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52 (BGO0947) Application.xlsx"/>
    <m/>
  </r>
  <r>
    <n v="43"/>
    <s v="ACBA_0118"/>
    <x v="0"/>
    <x v="1"/>
    <s v="BGO0948"/>
    <x v="3"/>
    <s v="Mytel Phase 1a Colo"/>
    <s v="On Air"/>
    <s v="Colocation"/>
    <m/>
    <x v="70"/>
    <m/>
    <n v="2"/>
    <n v="6"/>
    <s v="EPA"/>
    <s v="55"/>
    <s v="60"/>
    <x v="1"/>
    <m/>
    <s v="OK"/>
    <s v="04-Apr-18: Okay for TI installation,  Lease hike request may raise while TI installation"/>
    <s v="OK"/>
    <m/>
    <s v="OK"/>
    <s v="3-Leg free(ABC), MW can get higher space"/>
    <s v="OK"/>
    <m/>
    <m/>
    <m/>
    <m/>
    <s v="OK"/>
    <s v="1 week "/>
    <m/>
    <d v="1900-01-01T00:00:00"/>
    <s v="Initially BB UG required PE sys UG later"/>
    <s v="OK"/>
    <s v="No"/>
    <m/>
    <m/>
    <m/>
    <m/>
    <m/>
    <m/>
    <m/>
    <m/>
    <m/>
    <d v="2018-12-19T09:05:41"/>
    <m/>
    <m/>
    <m/>
    <m/>
    <x v="116"/>
    <s v="Not  Calculated"/>
    <n v="0"/>
    <s v="No File"/>
    <s v="ACBA_0118 (BGO094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18 (BGO0948) Application.xlsx"/>
    <m/>
  </r>
  <r>
    <n v="44"/>
    <s v="ACBA_0075"/>
    <x v="0"/>
    <x v="1"/>
    <s v="BGO0949"/>
    <x v="3"/>
    <s v="Mytel Phase 1a Colo"/>
    <s v="On Air"/>
    <s v="Colocation"/>
    <m/>
    <x v="70"/>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16"/>
    <s v="Not  Calculated"/>
    <n v="0"/>
    <s v="No File"/>
    <s v="ACBA_0075 (BGO09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5 (BGO0949) Application.xlsx"/>
    <m/>
  </r>
  <r>
    <n v="45"/>
    <s v="ACBA_0073"/>
    <x v="0"/>
    <x v="1"/>
    <s v="BGO0950"/>
    <x v="3"/>
    <s v="Mytel Phase 1a Colo"/>
    <s v="On Air"/>
    <s v="Colocation"/>
    <m/>
    <x v="70"/>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16"/>
    <s v="Not  Calculated"/>
    <n v="0"/>
    <s v="No File"/>
    <s v="ACBA_0073 (BGO095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3 (BGO0950) Application.xlsx"/>
    <m/>
  </r>
  <r>
    <n v="46"/>
    <s v="ACBA_0067"/>
    <x v="0"/>
    <x v="1"/>
    <s v="BGO0965"/>
    <x v="3"/>
    <s v="Mytel Phase 1a Colo"/>
    <s v="On Air"/>
    <s v="Colocation"/>
    <m/>
    <x v="70"/>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16"/>
    <s v="Not  Calculated"/>
    <n v="0"/>
    <s v="No File"/>
    <s v="ACBA_0067 (BGO09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67 (BGO0965) Application.xlsx"/>
    <m/>
  </r>
  <r>
    <n v="47"/>
    <s v="ACBA_0124"/>
    <x v="0"/>
    <x v="1"/>
    <s v="BGO0970"/>
    <x v="3"/>
    <s v="Mytel Phase 1a Colo"/>
    <s v="On Air"/>
    <s v="Colocation"/>
    <m/>
    <x v="70"/>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16"/>
    <s v="Not  Calculated"/>
    <n v="0"/>
    <s v="No File"/>
    <s v="ACBA_0124 (BGO097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24 (BGO0970) Application.xlsx"/>
    <m/>
  </r>
  <r>
    <n v="48"/>
    <s v="ANNP_0243"/>
    <x v="0"/>
    <x v="1"/>
    <s v="NPW0263"/>
    <x v="3"/>
    <s v="Mytel Phase 1a Colo"/>
    <s v="On Air"/>
    <s v="Colocation"/>
    <m/>
    <x v="70"/>
    <m/>
    <n v="2"/>
    <n v="6"/>
    <s v="EPA"/>
    <s v="55"/>
    <s v="60"/>
    <x v="1"/>
    <m/>
    <s v="OK"/>
    <s v="04-Apr-18: Okay for TI installation,  Lease hike request may raise while TI installation"/>
    <s v="OK"/>
    <m/>
    <s v="OK"/>
    <m/>
    <s v="OK"/>
    <m/>
    <m/>
    <m/>
    <m/>
    <s v="OK"/>
    <s v="1 week "/>
    <m/>
    <d v="1900-01-01T00:00:00"/>
    <s v="DG &amp; BB UG required need to re-order"/>
    <s v="OK"/>
    <s v="No"/>
    <m/>
    <m/>
    <m/>
    <m/>
    <m/>
    <m/>
    <m/>
    <m/>
    <m/>
    <d v="2018-12-19T09:05:42"/>
    <m/>
    <m/>
    <m/>
    <m/>
    <x v="116"/>
    <s v="Not  Calculated"/>
    <n v="0"/>
    <s v="No File"/>
    <s v="ANNP_0243 (NPW02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3 (NPW0263) Application.xlsx"/>
    <m/>
  </r>
  <r>
    <n v="49"/>
    <s v="ANNP_0241"/>
    <x v="0"/>
    <x v="1"/>
    <s v="NPW0264"/>
    <x v="3"/>
    <s v="Mytel Phase 1a Colo"/>
    <s v="On Air"/>
    <s v="Colocation"/>
    <m/>
    <x v="70"/>
    <m/>
    <n v="2"/>
    <n v="6"/>
    <s v="EPA"/>
    <s v="55"/>
    <s v="60"/>
    <x v="1"/>
    <m/>
    <s v="OK"/>
    <s v="04-Apr-18: Okay for TI installation,  Lease hike request may raise while TI installation"/>
    <s v="OK"/>
    <m/>
    <s v="OK"/>
    <s v="3-Leg free(ACD)"/>
    <s v="OK"/>
    <m/>
    <m/>
    <m/>
    <s v="Review-EPA almost over desing need to check tower and strengthening if need"/>
    <s v="OK"/>
    <s v="1 week "/>
    <m/>
    <d v="1900-01-01T00:00:00"/>
    <s v="DG UG required"/>
    <s v="OK"/>
    <s v="Yes"/>
    <s v="Need to provide additional normal equipment slab with S2 type Platform"/>
    <m/>
    <m/>
    <m/>
    <m/>
    <m/>
    <m/>
    <m/>
    <m/>
    <d v="2018-12-19T09:05:42"/>
    <m/>
    <m/>
    <m/>
    <m/>
    <x v="116"/>
    <s v="Not  Calculated"/>
    <n v="0"/>
    <s v="No File"/>
    <s v="ANNP_0241 (NPW026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1 (NPW0264) Application.xlsx"/>
    <m/>
  </r>
  <r>
    <n v="36"/>
    <s v="ANKC_0017"/>
    <x v="0"/>
    <x v="2"/>
    <s v="KCN0349"/>
    <x v="3"/>
    <s v="Mytel Phase 1a Colo"/>
    <s v="RFI"/>
    <s v="Colocation"/>
    <m/>
    <x v="71"/>
    <m/>
    <n v="2"/>
    <n v="6"/>
    <s v="EPA"/>
    <s v="45"/>
    <s v="50"/>
    <x v="1"/>
    <m/>
    <s v="OK"/>
    <s v="04-Apr-18: Okay for TI installation,  Lease hike request may raise while TI installation"/>
    <s v="OK"/>
    <m/>
    <s v="OK"/>
    <s v="Extension not required"/>
    <s v="OK"/>
    <m/>
    <m/>
    <m/>
    <m/>
    <s v="OK"/>
    <s v="FC WK19-20"/>
    <m/>
    <d v="1900-01-01T00:00:00"/>
    <s v="DG &amp; BB UG required need to re-order"/>
    <s v="OK"/>
    <s v="Yes"/>
    <s v="Normal Slab and need to extend"/>
    <m/>
    <m/>
    <m/>
    <m/>
    <m/>
    <m/>
    <m/>
    <m/>
    <d v="2018-12-19T09:05:40"/>
    <m/>
    <m/>
    <m/>
    <m/>
    <x v="117"/>
    <s v="Not  Calculated"/>
    <n v="0"/>
    <s v="No File"/>
    <s v="ANKC_0017 (KCN03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7 (KCN0349) Application.xlsx"/>
    <m/>
  </r>
  <r>
    <n v="37"/>
    <s v="ANMD_0073"/>
    <x v="0"/>
    <x v="2"/>
    <s v="MDY0002"/>
    <x v="3"/>
    <s v="Mytel Phase 1a Colo"/>
    <s v="On Air"/>
    <s v="Colocation"/>
    <m/>
    <x v="71"/>
    <m/>
    <n v="2"/>
    <n v="6"/>
    <s v="EPA"/>
    <s v="45"/>
    <s v="50"/>
    <x v="1"/>
    <m/>
    <s v="OK"/>
    <s v="04-Apr-18: Okay for TI installation,  Lease hike request may raise while TI installation"/>
    <s v="OK"/>
    <m/>
    <s v="OK"/>
    <s v="Extension not required"/>
    <s v="OK"/>
    <m/>
    <m/>
    <m/>
    <m/>
    <s v="OK"/>
    <s v="FC WK19-20"/>
    <m/>
    <d v="1900-01-01T00:00:00"/>
    <s v="PE UG required. Need to re-order "/>
    <s v="OK"/>
    <s v="No"/>
    <m/>
    <m/>
    <m/>
    <m/>
    <m/>
    <m/>
    <m/>
    <m/>
    <m/>
    <d v="2018-12-19T09:05:40"/>
    <m/>
    <m/>
    <m/>
    <m/>
    <x v="117"/>
    <s v="Not  Calculated"/>
    <n v="0"/>
    <s v="No File"/>
    <s v="ANMD_0073 (MDY000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73 (MDY0002) Application.xlsx"/>
    <m/>
  </r>
  <r>
    <n v="38"/>
    <s v="ANMD_0088"/>
    <x v="0"/>
    <x v="2"/>
    <s v="MDY0023"/>
    <x v="3"/>
    <s v="Colocation"/>
    <m/>
    <s v="Colocation"/>
    <m/>
    <x v="71"/>
    <m/>
    <n v="2"/>
    <n v="6"/>
    <s v="EPA"/>
    <s v="20"/>
    <s v="25"/>
    <x v="3"/>
    <m/>
    <s v="Rejected"/>
    <s v="04-Apr-18: Still same owner rejected_x000a_26-May-17: Owner not allowed additional equipment."/>
    <s v="OK"/>
    <m/>
    <s v="OK"/>
    <s v="Need to check Pole Availabilty"/>
    <s v="Review"/>
    <m/>
    <m/>
    <m/>
    <s v="Review-RTP"/>
    <s v="OK"/>
    <s v="FC WK19-20"/>
    <m/>
    <d v="1900-01-01T00:00:00"/>
    <s v="PE UG required. Need to re-order  DG-N/A"/>
    <m/>
    <m/>
    <m/>
    <m/>
    <m/>
    <m/>
    <m/>
    <m/>
    <m/>
    <m/>
    <m/>
    <d v="2018-12-19T09:05:40"/>
    <m/>
    <m/>
    <m/>
    <m/>
    <x v="117"/>
    <s v="Not  Calculated"/>
    <n v="0"/>
    <s v="No Fil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r>
  <r>
    <n v="39"/>
    <s v="ANMG_0024"/>
    <x v="0"/>
    <x v="1"/>
    <s v="MGY0153"/>
    <x v="3"/>
    <s v="Colocation"/>
    <m/>
    <s v="Colocation"/>
    <m/>
    <x v="71"/>
    <m/>
    <n v="2"/>
    <n v="6"/>
    <s v="EPA"/>
    <s v="55"/>
    <s v="60"/>
    <x v="3"/>
    <m/>
    <s v="OK"/>
    <s v="04-Apr-18: Okay for TI installation,  Lease hike request may raise while TI installation"/>
    <s v="OK"/>
    <m/>
    <s v="OK"/>
    <s v="MW can get higher height for LOS"/>
    <s v="Review"/>
    <m/>
    <m/>
    <m/>
    <s v="Review-EPA over desing need to check tower"/>
    <s v="OK"/>
    <s v="FC WK19-20"/>
    <m/>
    <d v="1900-01-01T00:00:00"/>
    <s v="DG &amp; BB UG required need to re-order"/>
    <m/>
    <s v="Yes"/>
    <s v="Need to provide additional slab "/>
    <m/>
    <m/>
    <m/>
    <m/>
    <m/>
    <m/>
    <m/>
    <m/>
    <d v="2018-12-19T09:05:40"/>
    <m/>
    <m/>
    <m/>
    <m/>
    <x v="117"/>
    <s v="Not  Calculated"/>
    <n v="0"/>
    <s v="No File"/>
    <s v="ANMG_0024 (MGY01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24 (MGY0153) Application.xlsx"/>
    <m/>
  </r>
  <r>
    <n v="40"/>
    <s v="ANMG_0187"/>
    <x v="0"/>
    <x v="1"/>
    <s v="MGY0444"/>
    <x v="3"/>
    <s v="Mytel Phase 1a Colo"/>
    <s v="On Air"/>
    <s v="Colocation"/>
    <m/>
    <x v="71"/>
    <m/>
    <n v="2"/>
    <n v="6"/>
    <s v="EPA"/>
    <s v="20"/>
    <s v="25"/>
    <x v="1"/>
    <m/>
    <s v="OK"/>
    <s v="04-Apr-18: Okay for TI installation,  Lease hike request may raise while TI installation"/>
    <s v="OK"/>
    <m/>
    <s v="OK"/>
    <m/>
    <s v="OK"/>
    <m/>
    <m/>
    <m/>
    <m/>
    <s v="OK"/>
    <s v="FC WK19-20"/>
    <m/>
    <d v="1900-01-01T00:00:00"/>
    <s v="PE UG required. Need to re-order "/>
    <s v="OK"/>
    <s v="No"/>
    <m/>
    <m/>
    <m/>
    <m/>
    <m/>
    <m/>
    <m/>
    <m/>
    <m/>
    <d v="2018-12-19T09:05:41"/>
    <m/>
    <m/>
    <m/>
    <m/>
    <x v="117"/>
    <s v="Not  Calculated"/>
    <n v="0"/>
    <s v="No File"/>
    <s v="ANMG_0187 (MGY044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87 (MGY0444) Application.xlsx"/>
    <m/>
  </r>
  <r>
    <n v="41"/>
    <s v="ANSH_0034"/>
    <x v="0"/>
    <x v="2"/>
    <s v="SHN1065"/>
    <x v="3"/>
    <m/>
    <m/>
    <m/>
    <m/>
    <x v="71"/>
    <m/>
    <n v="2"/>
    <n v="6"/>
    <s v="EPA"/>
    <s v="20"/>
    <s v="25"/>
    <x v="2"/>
    <m/>
    <s v="OK"/>
    <s v="04-Apr-18: Okay for TI installation,  Lease hike request may raise while TI installation"/>
    <s v="OK"/>
    <m/>
    <s v="OK"/>
    <s v="only Macro Antenna Solution, MW can get higher height for LOS"/>
    <s v="Review"/>
    <m/>
    <m/>
    <m/>
    <s v="Review GMT if with small Rf will ok"/>
    <s v="OK"/>
    <s v="FC WK19-20"/>
    <m/>
    <d v="1900-01-01T00:00:00"/>
    <s v="PE UG required. Need to re-order  DG-N/A 24/7 run restriction"/>
    <s v="OK"/>
    <s v="No"/>
    <m/>
    <m/>
    <m/>
    <m/>
    <m/>
    <m/>
    <m/>
    <m/>
    <m/>
    <d v="2018-12-19T09:05:41"/>
    <m/>
    <m/>
    <m/>
    <m/>
    <x v="117"/>
    <s v="Not  Calculated"/>
    <n v="0"/>
    <s v="No File"/>
    <s v="ANSH_0034 (SHN10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34 (SHN1065) Application.xlsx"/>
    <m/>
  </r>
  <r>
    <n v="35"/>
    <s v="AYYN_0135"/>
    <x v="0"/>
    <x v="0"/>
    <s v="YGN02071"/>
    <x v="0"/>
    <s v="MPT  Phase 1a Colo"/>
    <s v="On Air"/>
    <s v="Colocation"/>
    <m/>
    <x v="72"/>
    <m/>
    <n v="1.3"/>
    <n v="5"/>
    <s v="EPA"/>
    <s v="22"/>
    <s v="27"/>
    <x v="1"/>
    <m/>
    <s v="OK"/>
    <s v="04-Apr-18: Okay for TI installation,  Lease hike request may raise while TI installation"/>
    <s v="OK"/>
    <m/>
    <s v="OK"/>
    <s v="22-27m"/>
    <s v="OK"/>
    <m/>
    <m/>
    <m/>
    <m/>
    <s v="OK"/>
    <s v="READY"/>
    <m/>
    <d v="1899-12-31T07:12:00"/>
    <s v="Ready for Mytel 08 Nov 17"/>
    <s v="OK"/>
    <s v="No"/>
    <m/>
    <m/>
    <m/>
    <m/>
    <m/>
    <m/>
    <m/>
    <m/>
    <m/>
    <d v="2018-12-19T09:05:39"/>
    <m/>
    <m/>
    <m/>
    <m/>
    <x v="118"/>
    <s v="Not  Calculated"/>
    <n v="0"/>
    <s v="No File"/>
    <s v="AYYN_0135 (YGN02071)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35 (YGN02071) Application.xlsx"/>
    <m/>
  </r>
  <r>
    <n v="34"/>
    <s v="ANNP_0252"/>
    <x v="0"/>
    <x v="1"/>
    <s v="NPW0260"/>
    <x v="3"/>
    <s v="Mytel Phase 1a Colo"/>
    <s v="On Air"/>
    <s v="Colocation"/>
    <m/>
    <x v="73"/>
    <m/>
    <n v="2"/>
    <n v="6"/>
    <s v="EPA"/>
    <s v="30"/>
    <s v="35"/>
    <x v="1"/>
    <m/>
    <s v="OK"/>
    <s v="04-Apr-18: Okay for TI installation,  Lease hike request may raise while TI installation"/>
    <s v="OK"/>
    <m/>
    <s v="OK"/>
    <s v="Ok"/>
    <s v="OK"/>
    <m/>
    <m/>
    <m/>
    <m/>
    <s v="OK"/>
    <s v="FC WK19-20"/>
    <m/>
    <d v="1900-01-01T00:00:00"/>
    <s v="PE UG required. Need to re-order "/>
    <s v="OK"/>
    <s v="No"/>
    <m/>
    <m/>
    <m/>
    <m/>
    <m/>
    <m/>
    <m/>
    <m/>
    <m/>
    <d v="2018-12-19T09:05:39"/>
    <m/>
    <m/>
    <m/>
    <m/>
    <x v="119"/>
    <s v="Not  Calculated"/>
    <n v="0"/>
    <s v="No File"/>
    <s v="ANNP_0252 (NPW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52 (NPW0260) Application.xlsx"/>
    <m/>
  </r>
  <r>
    <n v="33"/>
    <s v="ANSG_0343"/>
    <x v="0"/>
    <x v="2"/>
    <s v="SAW0697"/>
    <x v="2"/>
    <s v="OML Phase 2 Colo"/>
    <s v="On Air"/>
    <s v="Colocation"/>
    <m/>
    <x v="74"/>
    <m/>
    <n v="3.5"/>
    <n v="5.5"/>
    <s v="EPA"/>
    <s v="27"/>
    <s v="32"/>
    <x v="1"/>
    <m/>
    <s v="OK"/>
    <s v="04-Apr-18: Okay for TI installation,  Lease hike request may raise while TI installation"/>
    <s v="OK"/>
    <s v="Already RFI. (Rent increase to be negotiated for operator)"/>
    <s v="OK"/>
    <m/>
    <s v="OK"/>
    <m/>
    <m/>
    <m/>
    <s v="OML need to put small RF 5.4m2"/>
    <s v="OK"/>
    <m/>
    <m/>
    <m/>
    <s v="Proceed. Order Eqpt &amp; U/G later - Swap &amp; Expand to 1200AH"/>
    <s v="OK"/>
    <s v="Yes"/>
    <s v="Normal Slab and need to extend"/>
    <m/>
    <m/>
    <m/>
    <m/>
    <m/>
    <m/>
    <m/>
    <m/>
    <d v="2018-12-19T09:05:39"/>
    <m/>
    <m/>
    <m/>
    <m/>
    <x v="120"/>
    <s v="Not  Calculated"/>
    <n v="0"/>
    <s v="No File"/>
    <s v="ANSG_0343 (SAW069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3 (SAW0697) Application.xlsx"/>
    <m/>
  </r>
  <r>
    <n v="1"/>
    <s v="ACRK_0023"/>
    <x v="0"/>
    <x v="1"/>
    <s v="RKE0090"/>
    <x v="3"/>
    <s v="Colocation"/>
    <m/>
    <s v="Colocation"/>
    <m/>
    <x v="75"/>
    <m/>
    <m/>
    <m/>
    <s v="EPA"/>
    <m/>
    <m/>
    <x v="5"/>
    <m/>
    <s v="OK"/>
    <s v="04-Apr-18: Okay for TI installation,  Lease hike request may raise while TI installation"/>
    <s v="Review"/>
    <s v="Only if grid connected"/>
    <s v="OK"/>
    <s v="47-50M"/>
    <s v="OK"/>
    <m/>
    <m/>
    <m/>
    <m/>
    <s v="OK"/>
    <m/>
    <m/>
    <m/>
    <s v="Proceed.  Order Eqpt &amp; U/G later - DG &amp; Batt UG 1200Ah"/>
    <s v="OK"/>
    <s v="No"/>
    <m/>
    <m/>
    <m/>
    <m/>
    <m/>
    <m/>
    <m/>
    <m/>
    <m/>
    <d v="2018-12-19T09:05:34"/>
    <m/>
    <m/>
    <m/>
    <m/>
    <x v="0"/>
    <s v="Not  Calculated"/>
    <n v="0"/>
    <s v="No File"/>
    <s v="ACRK_0023 (RKE009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RK_0023 (RKE0090) Application.xlsx"/>
    <m/>
  </r>
  <r>
    <n v="2"/>
    <s v="ANKC_0015"/>
    <x v="0"/>
    <x v="2"/>
    <s v="KCN0160"/>
    <x v="3"/>
    <s v="Mytel Phase 1a Colo"/>
    <s v="On Air"/>
    <s v="Colocation"/>
    <m/>
    <x v="75"/>
    <m/>
    <m/>
    <m/>
    <s v="EPA"/>
    <m/>
    <m/>
    <x v="1"/>
    <m/>
    <s v="OK"/>
    <s v="04-Apr-18: Okay for TI installation,  Lease hike request may raise while TI installation"/>
    <s v="OK"/>
    <m/>
    <s v="OK"/>
    <s v="23-27M"/>
    <s v="OK"/>
    <m/>
    <m/>
    <m/>
    <m/>
    <s v="OK"/>
    <m/>
    <m/>
    <m/>
    <s v="Proceed.  Order Eqpt &amp; U/G later - Batt UG 1200AH"/>
    <s v="OK"/>
    <s v="No"/>
    <s v="Need to provide new equipment slab"/>
    <m/>
    <m/>
    <m/>
    <m/>
    <m/>
    <m/>
    <m/>
    <m/>
    <d v="2018-12-19T09:05:35"/>
    <m/>
    <m/>
    <m/>
    <m/>
    <x v="121"/>
    <s v="Not  Calculated"/>
    <n v="0"/>
    <s v="No File"/>
    <s v="ANKC_0015 (KCN01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5 (KCN0160) Application.xlsx"/>
    <m/>
  </r>
  <r>
    <n v="3"/>
    <s v="ANMD_0065"/>
    <x v="0"/>
    <x v="2"/>
    <s v="MDY0723"/>
    <x v="3"/>
    <s v="Mytel Phase 1a Colo"/>
    <s v="On Air"/>
    <s v="Colocation"/>
    <m/>
    <x v="75"/>
    <m/>
    <m/>
    <m/>
    <s v="EPA"/>
    <m/>
    <m/>
    <x v="1"/>
    <m/>
    <s v="OK"/>
    <s v="04-Apr-18: Okay for TI installation,  Lease hike request may raise while TI installation"/>
    <s v="OK"/>
    <m/>
    <s v="OK"/>
    <s v="47-50M"/>
    <s v="OK"/>
    <m/>
    <m/>
    <m/>
    <m/>
    <s v="OK"/>
    <m/>
    <m/>
    <m/>
    <s v="Proceed.  Order Eqpt &amp; U/G later - DG &amp; Batt 1200Ah"/>
    <s v="OK"/>
    <s v="No"/>
    <s v="Need to provide new equipment slab"/>
    <m/>
    <m/>
    <m/>
    <m/>
    <m/>
    <m/>
    <m/>
    <m/>
    <d v="2018-12-19T09:05:35"/>
    <m/>
    <m/>
    <m/>
    <m/>
    <x v="121"/>
    <s v="Not  Calculated"/>
    <n v="0"/>
    <s v="No File"/>
    <s v="ANMD_0065 (MDY07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65 (MDY0723) Application.xlsx"/>
    <m/>
  </r>
  <r>
    <n v="4"/>
    <s v="ANMD_0119"/>
    <x v="0"/>
    <x v="2"/>
    <s v="MDY0093"/>
    <x v="3"/>
    <s v="Mytel Phase 1a Colo"/>
    <s v="On Air"/>
    <s v="Colocation"/>
    <m/>
    <x v="75"/>
    <m/>
    <m/>
    <m/>
    <s v="EPA"/>
    <m/>
    <m/>
    <x v="1"/>
    <m/>
    <s v="OK"/>
    <s v="04-Apr-18: Okay for TI installation,  Lease hike request may raise while TI installation"/>
    <s v="OK"/>
    <m/>
    <s v="OK"/>
    <s v="17-21M"/>
    <s v="OK"/>
    <m/>
    <m/>
    <m/>
    <s v="Ok with temporay height. EPA over desing need to check and strengthening Tower,"/>
    <s v="OK"/>
    <m/>
    <m/>
    <m/>
    <s v="Proceed.  Order Eqpt &amp; U/G later - Flex24 &amp; Batt 1200Ah"/>
    <s v="OK"/>
    <s v="No"/>
    <s v="Need to provide additional cable tray"/>
    <m/>
    <m/>
    <m/>
    <m/>
    <m/>
    <m/>
    <m/>
    <m/>
    <d v="2018-12-19T09:05:35"/>
    <m/>
    <m/>
    <m/>
    <m/>
    <x v="121"/>
    <s v="Not  Calculated"/>
    <n v="0"/>
    <s v="No File"/>
    <s v="ANMD_0119 (MDY009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19 (MDY0093) Application.xlsx"/>
    <m/>
  </r>
  <r>
    <n v="5"/>
    <s v="ANMD_0148"/>
    <x v="0"/>
    <x v="2"/>
    <s v="MDY0915"/>
    <x v="3"/>
    <s v="Colocation"/>
    <m/>
    <s v="Colocation"/>
    <m/>
    <x v="75"/>
    <m/>
    <m/>
    <m/>
    <s v="EPA"/>
    <m/>
    <m/>
    <x v="3"/>
    <m/>
    <s v="OK"/>
    <s v="04-Apr-18: Okay for TI installation,  Lease hike request may raise while TI installation"/>
    <s v="OK"/>
    <m/>
    <s v="OK"/>
    <s v="with macro Solution"/>
    <s v="Rejected"/>
    <m/>
    <m/>
    <m/>
    <s v="GMT"/>
    <s v="OK"/>
    <m/>
    <m/>
    <m/>
    <s v="Proceed.  Order Eqpt &amp; U/G later - Flex21 &amp; Batt 1200Ah"/>
    <m/>
    <m/>
    <m/>
    <m/>
    <m/>
    <m/>
    <m/>
    <m/>
    <m/>
    <m/>
    <m/>
    <d v="2018-12-19T09:05:35"/>
    <m/>
    <m/>
    <m/>
    <m/>
    <x v="121"/>
    <s v="Not  Calculated"/>
    <n v="0"/>
    <s v="No File"/>
    <s v="ANMD_0148 (MDY091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48 (MDY0915) Application.xlsx"/>
    <m/>
  </r>
  <r>
    <n v="6"/>
    <s v="ANMD_0174"/>
    <x v="0"/>
    <x v="2"/>
    <s v="MDY0004"/>
    <x v="3"/>
    <s v="Mytel Phase 1a Colo"/>
    <s v="On Air"/>
    <s v="Colocation"/>
    <m/>
    <x v="75"/>
    <m/>
    <m/>
    <m/>
    <s v="EPA"/>
    <m/>
    <m/>
    <x v="1"/>
    <m/>
    <s v="OK"/>
    <s v="04-Apr-18: Okay for TI installation,  Lease hike request may raise while TI installation"/>
    <s v="OK"/>
    <m/>
    <s v="OK"/>
    <s v="45-50M"/>
    <s v="OK"/>
    <m/>
    <m/>
    <m/>
    <m/>
    <s v="OK"/>
    <m/>
    <m/>
    <m/>
    <s v="Proceed.  Order Eqpt &amp; U/G later - Flex24 &amp; Batt 1200Ah"/>
    <s v="OK"/>
    <s v="No"/>
    <m/>
    <m/>
    <m/>
    <m/>
    <m/>
    <m/>
    <m/>
    <m/>
    <m/>
    <d v="2018-12-19T09:05:35"/>
    <m/>
    <m/>
    <m/>
    <m/>
    <x v="121"/>
    <s v="Not  Calculated"/>
    <n v="0"/>
    <s v="No File"/>
    <s v="ANMD_0174 (MDY000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74 (MDY0004) Application.xlsx"/>
    <m/>
  </r>
  <r>
    <n v="7"/>
    <s v="ANSG_0344"/>
    <x v="0"/>
    <x v="2"/>
    <s v="SGG0260"/>
    <x v="3"/>
    <s v="Mytel Phase 1a Colo"/>
    <s v="On Air"/>
    <s v="Colocation"/>
    <m/>
    <x v="75"/>
    <m/>
    <m/>
    <m/>
    <s v="EPA"/>
    <m/>
    <m/>
    <x v="1"/>
    <m/>
    <s v="OK"/>
    <s v="04-Apr-18: Okay for TI installation,  Lease hike request may raise while TI installation"/>
    <s v="OK"/>
    <m/>
    <s v="OK"/>
    <s v="42-45"/>
    <s v="OK"/>
    <m/>
    <m/>
    <m/>
    <m/>
    <s v="OK"/>
    <m/>
    <m/>
    <m/>
    <s v="Proceed.  Order Eqpt &amp; U/G later - DG &amp; Batt UG 1200Ah"/>
    <s v="OK"/>
    <s v="No"/>
    <m/>
    <m/>
    <m/>
    <m/>
    <m/>
    <m/>
    <m/>
    <m/>
    <m/>
    <d v="2018-12-19T09:05:36"/>
    <m/>
    <m/>
    <m/>
    <m/>
    <x v="121"/>
    <s v="Not  Calculated"/>
    <n v="0"/>
    <s v="No File"/>
    <s v="ANSG_0344 (SGG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44 (SGG0260) Application.xlsx"/>
    <m/>
  </r>
  <r>
    <n v="8"/>
    <s v="ANSG_0363"/>
    <x v="0"/>
    <x v="2"/>
    <s v="SGG0028"/>
    <x v="3"/>
    <s v="Colocation"/>
    <m/>
    <s v="Colocation"/>
    <m/>
    <x v="75"/>
    <m/>
    <m/>
    <m/>
    <s v="EPA"/>
    <m/>
    <m/>
    <x v="3"/>
    <m/>
    <s v="OK"/>
    <s v="04-Apr-18: Okay for TI installation,  Lease hike request may raise while TI installation"/>
    <s v="OK"/>
    <m/>
    <m/>
    <s v="new 3M Pole//Need to Review"/>
    <s v="Rejected"/>
    <m/>
    <m/>
    <m/>
    <s v="No space for new pole"/>
    <s v="OK"/>
    <m/>
    <m/>
    <m/>
    <s v="Proceed. Order Eqpt &amp; U/G later - Add Lio4 batteries "/>
    <m/>
    <m/>
    <m/>
    <m/>
    <m/>
    <m/>
    <m/>
    <m/>
    <m/>
    <m/>
    <m/>
    <d v="2018-12-19T09:05:36"/>
    <m/>
    <m/>
    <m/>
    <m/>
    <x v="121"/>
    <s v="Not  Calculated"/>
    <n v="0"/>
    <s v="No File"/>
    <s v="ANSG_0363 (SGG002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63 (SGG0028) Application.xlsx"/>
    <m/>
  </r>
  <r>
    <n v="9"/>
    <s v="ANSH_0006"/>
    <x v="0"/>
    <x v="1"/>
    <s v="SHN0876"/>
    <x v="3"/>
    <s v="Mytel Phase 1a Colo"/>
    <s v="On Air"/>
    <s v="Colocation"/>
    <m/>
    <x v="75"/>
    <m/>
    <m/>
    <m/>
    <s v="EPA"/>
    <m/>
    <m/>
    <x v="1"/>
    <m/>
    <s v="OK"/>
    <s v="04-Apr-18: Okay for TI installation,  Lease hike request may raise while TI installation"/>
    <s v="OK"/>
    <m/>
    <s v="OK"/>
    <s v="RF-25M-30M//MW-can get higher"/>
    <s v="OK"/>
    <m/>
    <m/>
    <m/>
    <m/>
    <s v="OK"/>
    <m/>
    <m/>
    <m/>
    <s v="Proceed. Swap existing 1200AH BB re order batteries for stock"/>
    <s v="OK"/>
    <s v="No"/>
    <m/>
    <m/>
    <m/>
    <m/>
    <m/>
    <m/>
    <m/>
    <m/>
    <m/>
    <d v="2018-12-19T09:05:36"/>
    <m/>
    <m/>
    <m/>
    <m/>
    <x v="121"/>
    <s v="Not  Calculated"/>
    <n v="0"/>
    <s v="No File"/>
    <s v="ANSH_0006 (SHN087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06 (SHN0876) Application.xlsx"/>
    <m/>
  </r>
  <r>
    <n v="10"/>
    <s v="ASKA_0150"/>
    <x v="0"/>
    <x v="0"/>
    <s v="KYN0014"/>
    <x v="3"/>
    <s v="Mytel Phase 1a Colo"/>
    <s v="On Air"/>
    <s v="Colocation"/>
    <m/>
    <x v="75"/>
    <m/>
    <m/>
    <m/>
    <s v="EPA"/>
    <m/>
    <m/>
    <x v="1"/>
    <m/>
    <s v="OK"/>
    <s v="04-Apr-18: Okay for TI installation,  Lease hike request may raise while TI installation"/>
    <s v="OK"/>
    <m/>
    <s v="OK"/>
    <s v="RF &amp; MW-48-53M"/>
    <s v="OK"/>
    <m/>
    <m/>
    <m/>
    <m/>
    <s v="OK"/>
    <m/>
    <m/>
    <m/>
    <s v="Proceed.  Order Eqpt &amp; U/G later "/>
    <s v="OK"/>
    <s v="No"/>
    <m/>
    <m/>
    <m/>
    <m/>
    <m/>
    <m/>
    <m/>
    <m/>
    <m/>
    <d v="2018-12-19T09:05:36"/>
    <m/>
    <m/>
    <m/>
    <m/>
    <x v="121"/>
    <s v="Not  Calculated"/>
    <n v="0"/>
    <s v="No File"/>
    <s v="ASKA_0150 (KY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KA_0150 (KYN0014) Application.xlsx"/>
    <m/>
  </r>
  <r>
    <n v="11"/>
    <s v="ASMO_0275"/>
    <x v="0"/>
    <x v="0"/>
    <s v="MON0306"/>
    <x v="3"/>
    <s v="Mytel Phase 1a Colo"/>
    <s v="On Air"/>
    <s v="Colocation"/>
    <m/>
    <x v="75"/>
    <m/>
    <m/>
    <m/>
    <s v="EPA"/>
    <m/>
    <m/>
    <x v="1"/>
    <m/>
    <s v="OK"/>
    <s v="04-Apr-18: Okay for TI installation,  Lease hike request may raise while TI installation"/>
    <s v="OK"/>
    <m/>
    <s v="OK"/>
    <s v="31-35"/>
    <s v="OK"/>
    <m/>
    <m/>
    <m/>
    <m/>
    <s v="OK"/>
    <m/>
    <m/>
    <m/>
    <s v="Proceed.  Order Eqpt &amp; U/G later  - BB U/G 1200AH &amp; Grid Con"/>
    <s v="OK"/>
    <s v="No"/>
    <m/>
    <m/>
    <m/>
    <m/>
    <m/>
    <m/>
    <m/>
    <m/>
    <m/>
    <d v="2018-12-19T09:05:36"/>
    <m/>
    <m/>
    <m/>
    <m/>
    <x v="121"/>
    <s v="Not  Calculated"/>
    <n v="0"/>
    <s v="No File"/>
    <s v="ASMO_0275 (MON030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75 (MON0306) Application.xlsx"/>
    <m/>
  </r>
  <r>
    <n v="12"/>
    <s v="AYYN_0095"/>
    <x v="0"/>
    <x v="0"/>
    <s v="YGN0408"/>
    <x v="3"/>
    <s v="Colocation"/>
    <m/>
    <s v="Colocation"/>
    <m/>
    <x v="75"/>
    <m/>
    <m/>
    <m/>
    <s v="EPA"/>
    <m/>
    <m/>
    <x v="3"/>
    <m/>
    <s v="OK"/>
    <s v="04-Apr-18: Okay for TI installation,  Lease hike request may raise while TI installation"/>
    <s v="OK"/>
    <m/>
    <s v="OK"/>
    <s v="RF-15M-20M// MW-can get higher"/>
    <s v="OK"/>
    <m/>
    <m/>
    <m/>
    <m/>
    <s v="OK"/>
    <m/>
    <m/>
    <m/>
    <s v="Proceed.  Order Eqpt &amp; U/G later  - swap 600AH"/>
    <s v="OK"/>
    <s v="No"/>
    <m/>
    <m/>
    <m/>
    <m/>
    <m/>
    <m/>
    <m/>
    <m/>
    <m/>
    <d v="2018-12-19T09:05:36"/>
    <m/>
    <m/>
    <m/>
    <m/>
    <x v="121"/>
    <s v="Not  Calculated"/>
    <n v="0"/>
    <s v="No File"/>
    <s v="AYYN_0095 (YGN040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95 (YGN0408) Application.xlsx"/>
    <m/>
  </r>
  <r>
    <n v="13"/>
    <s v="AYYN_0121"/>
    <x v="0"/>
    <x v="0"/>
    <s v="YGN1319"/>
    <x v="3"/>
    <s v="Mytel Phase 1a Colo"/>
    <s v="On Air"/>
    <s v="Colocation"/>
    <m/>
    <x v="75"/>
    <m/>
    <m/>
    <m/>
    <s v="EPA"/>
    <m/>
    <m/>
    <x v="1"/>
    <m/>
    <s v="OK"/>
    <s v="04-Apr-18: Okay for TI installation,  Lease hike request may raise while TI installation"/>
    <s v="OK"/>
    <m/>
    <s v="OK"/>
    <s v="25-28//Under 16M"/>
    <s v="OK"/>
    <m/>
    <m/>
    <m/>
    <s v="Ok with temporay height. EPA over desing need to check and strengthening Tower,"/>
    <s v="OK"/>
    <m/>
    <m/>
    <m/>
    <s v="Proceed.  Order Eqpt &amp; U/G later - Flex24 &amp; Batt 1200Ah"/>
    <s v="OK"/>
    <s v="No"/>
    <m/>
    <m/>
    <m/>
    <m/>
    <m/>
    <m/>
    <m/>
    <m/>
    <m/>
    <d v="2018-12-19T09:05:37"/>
    <m/>
    <m/>
    <m/>
    <m/>
    <x v="121"/>
    <s v="Not  Calculated"/>
    <n v="0"/>
    <s v="No File"/>
    <s v="AYYN_0121 (YGN131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21 (YGN1319) Application.xlsx"/>
    <m/>
  </r>
  <r>
    <n v="14"/>
    <s v="AYYN_0148"/>
    <x v="0"/>
    <x v="0"/>
    <s v="YGN1354"/>
    <x v="3"/>
    <s v="Colocation"/>
    <m/>
    <s v="Colocation"/>
    <m/>
    <x v="75"/>
    <m/>
    <m/>
    <m/>
    <s v="EPA"/>
    <m/>
    <m/>
    <x v="3"/>
    <m/>
    <s v="OK"/>
    <s v="04-Apr-18: Okay for TI installation,  Lease hike request may raise while TI installation"/>
    <s v="Review"/>
    <s v="Contractual issue with the owner, to check with Saq"/>
    <s v="OK"/>
    <s v="20-23"/>
    <s v="Review"/>
    <m/>
    <m/>
    <m/>
    <s v="Review-RTP"/>
    <s v="OK"/>
    <m/>
    <m/>
    <m/>
    <s v="Proceed.  Order Eqpt &amp; U/G later - Swap to GP PE"/>
    <s v="Rejected"/>
    <m/>
    <s v="Yoyoyoyoyoo"/>
    <m/>
    <m/>
    <m/>
    <m/>
    <m/>
    <m/>
    <m/>
    <m/>
    <d v="2018-12-19T09:05:37"/>
    <m/>
    <m/>
    <m/>
    <m/>
    <x v="121"/>
    <s v="Not  Calculated"/>
    <n v="0"/>
    <s v="No File"/>
    <s v="AYYN_0148 (YGN135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48 (YGN1354) Application.xlsx"/>
    <m/>
  </r>
  <r>
    <n v="15"/>
    <s v="AYYN_0153"/>
    <x v="0"/>
    <x v="0"/>
    <s v="YGN0038"/>
    <x v="3"/>
    <s v="Colocation"/>
    <m/>
    <s v="Colocation"/>
    <m/>
    <x v="75"/>
    <m/>
    <m/>
    <m/>
    <s v="EPA"/>
    <m/>
    <m/>
    <x v="3"/>
    <m/>
    <s v="OK"/>
    <s v="04-Apr-18: Okay for TI installation,  Lease hike request may raise while TI installation"/>
    <s v="OK"/>
    <m/>
    <s v="OK"/>
    <s v="45M (New Pole)"/>
    <s v="Review"/>
    <m/>
    <m/>
    <m/>
    <s v="Review-RTP"/>
    <s v="Rejected"/>
    <m/>
    <m/>
    <m/>
    <s v="Not possible to UG PE no access no space"/>
    <s v="OK"/>
    <m/>
    <s v="Yoyoyoyoyoo"/>
    <m/>
    <m/>
    <m/>
    <m/>
    <m/>
    <m/>
    <m/>
    <m/>
    <m/>
    <m/>
    <m/>
    <m/>
    <m/>
    <x v="121"/>
    <s v="Not  Calculated"/>
    <n v="0"/>
    <s v="No File"/>
    <s v="AYYN_0153 (YGN00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53 (YGN0038) Application.xlsx"/>
    <m/>
  </r>
  <r>
    <n v="16"/>
    <s v="AYYN_0363"/>
    <x v="0"/>
    <x v="0"/>
    <s v="YGN1489"/>
    <x v="3"/>
    <s v="Colocation"/>
    <m/>
    <s v="Colocation"/>
    <m/>
    <x v="75"/>
    <m/>
    <m/>
    <m/>
    <s v="EPA"/>
    <m/>
    <m/>
    <x v="3"/>
    <m/>
    <s v="OK"/>
    <s v="04-Apr-18: Okay for TI installation,  Lease hike request may raise while TI installation"/>
    <s v="OK"/>
    <m/>
    <s v="OK"/>
    <s v="6m Pole + 18.6m (Building ht)"/>
    <s v="Rejected"/>
    <m/>
    <m/>
    <m/>
    <s v="Pole over load"/>
    <s v="Rejected"/>
    <m/>
    <m/>
    <m/>
    <s v="Not possible to UG PE no access no space"/>
    <s v="Rejected"/>
    <m/>
    <s v="Yoyoyoyoyoo"/>
    <m/>
    <m/>
    <m/>
    <m/>
    <m/>
    <m/>
    <m/>
    <m/>
    <m/>
    <m/>
    <m/>
    <m/>
    <m/>
    <x v="121"/>
    <s v="Not  Calculated"/>
    <n v="0"/>
    <s v="No File"/>
    <s v="AYYN_0363 (YGN148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63 (YGN1489) Application.xlsx"/>
    <m/>
  </r>
  <r>
    <n v="17"/>
    <s v="AYYN_0389"/>
    <x v="0"/>
    <x v="0"/>
    <s v="YGN0167"/>
    <x v="3"/>
    <s v="Colocation"/>
    <m/>
    <s v="Colocation"/>
    <m/>
    <x v="75"/>
    <m/>
    <m/>
    <m/>
    <s v="EPA"/>
    <m/>
    <m/>
    <x v="1"/>
    <m/>
    <s v="OK"/>
    <s v="04-Apr-18: Okay for TI installation,  Lease hike request may raise while TI installation"/>
    <s v="OK"/>
    <m/>
    <s v="OK"/>
    <s v="6m Pole + 22.2m (building ht)"/>
    <s v="OK"/>
    <m/>
    <m/>
    <m/>
    <s v="Need to build new pole at down floor"/>
    <s v="OK"/>
    <s v="No ETA"/>
    <m/>
    <m/>
    <s v="Awaiting VISION Lio4 option to arrive no ETA "/>
    <s v="OK"/>
    <m/>
    <s v="Yoyoyoyoyoo"/>
    <m/>
    <m/>
    <m/>
    <m/>
    <m/>
    <m/>
    <m/>
    <m/>
    <d v="2018-12-19T09:05:37"/>
    <m/>
    <m/>
    <m/>
    <m/>
    <x v="121"/>
    <s v="Not  Calculated"/>
    <n v="0"/>
    <s v="No File"/>
    <s v="AYYN_0389 (YGN016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89 (YGN0167) Application.xlsx"/>
    <m/>
  </r>
  <r>
    <n v="18"/>
    <s v="AYYN_0396"/>
    <x v="0"/>
    <x v="0"/>
    <s v="YGN0171"/>
    <x v="3"/>
    <s v="Colocation"/>
    <m/>
    <s v="Colocation"/>
    <m/>
    <x v="75"/>
    <m/>
    <m/>
    <m/>
    <s v="EPA"/>
    <m/>
    <m/>
    <x v="1"/>
    <m/>
    <s v="OK"/>
    <s v="04-Apr-18: Okay for TI installation,  Lease hike request may raise while TI installation"/>
    <s v="OK"/>
    <m/>
    <s v="OK"/>
    <s v="6m Pole + 23.75m (Building ht)"/>
    <s v="OK"/>
    <m/>
    <m/>
    <m/>
    <s v="Need to build new slab"/>
    <s v="OK"/>
    <m/>
    <m/>
    <m/>
    <s v="Proceed.  Order Eqpt &amp; U/G later - Swap to GP PE"/>
    <s v="OK"/>
    <m/>
    <s v="Yoyoyoyoyoo"/>
    <m/>
    <m/>
    <m/>
    <m/>
    <m/>
    <m/>
    <m/>
    <m/>
    <d v="2018-12-19T09:05:37"/>
    <m/>
    <m/>
    <m/>
    <m/>
    <x v="121"/>
    <s v="Not  Calculated"/>
    <n v="0"/>
    <s v="No File"/>
    <s v="AYYN_0396 (YGN017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96 (YGN0171) Application.xlsx"/>
    <m/>
  </r>
  <r>
    <n v="19"/>
    <s v="AYYN_0583"/>
    <x v="0"/>
    <x v="0"/>
    <s v="YGN1201"/>
    <x v="3"/>
    <s v="Mytel Phase 1a Colo"/>
    <s v="On Air"/>
    <s v="Colocation"/>
    <m/>
    <x v="75"/>
    <m/>
    <m/>
    <m/>
    <s v="EPA"/>
    <m/>
    <m/>
    <x v="1"/>
    <m/>
    <s v="OK"/>
    <s v="04-Apr-18: Okay for TI installation,  Lease hike request may raise while TI installation"/>
    <s v="OK"/>
    <m/>
    <s v="OK"/>
    <s v="23-26.5"/>
    <s v="OK"/>
    <m/>
    <m/>
    <m/>
    <s v="Ok with temporay height. EPA over desing need to check and strengthening Tower,"/>
    <s v="OK"/>
    <m/>
    <m/>
    <m/>
    <s v="Proceed. Order Eqpt &amp; U/G later - 1200AH Swap.  30KVA DG"/>
    <s v="OK"/>
    <m/>
    <s v="Yoyoyoyoyoo"/>
    <m/>
    <m/>
    <m/>
    <m/>
    <m/>
    <m/>
    <m/>
    <m/>
    <d v="2018-12-19T09:05:37"/>
    <m/>
    <m/>
    <m/>
    <m/>
    <x v="121"/>
    <s v="Not  Calculated"/>
    <n v="0"/>
    <s v="No File"/>
    <s v="AYYN_0583 (YGN120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83 (YGN1201) Application.xlsx"/>
    <m/>
  </r>
  <r>
    <n v="20"/>
    <s v="ANMD_0273"/>
    <x v="0"/>
    <x v="2"/>
    <s v="MDY0760"/>
    <x v="3"/>
    <s v="Colocation"/>
    <m/>
    <s v="Colocation"/>
    <m/>
    <x v="75"/>
    <m/>
    <m/>
    <m/>
    <s v="EPA"/>
    <m/>
    <m/>
    <x v="3"/>
    <m/>
    <s v="OK"/>
    <s v="04-Apr-18: Okay for TI installation,  Lease hike request may raise while TI installation"/>
    <s v="Rejected"/>
    <s v="24/7 DG restriction and long grid outages"/>
    <s v="OK"/>
    <s v="Building HT. 34 + 6m Pole"/>
    <s v="OK"/>
    <m/>
    <m/>
    <m/>
    <m/>
    <s v="OK"/>
    <s v="No ETA"/>
    <m/>
    <m/>
    <s v="Awaiting VISION Lio4 option to arrive no ETA "/>
    <s v="OK"/>
    <s v="No"/>
    <s v="Need to extend equipment slab between Tower beam and existing equipment slab"/>
    <m/>
    <m/>
    <m/>
    <m/>
    <m/>
    <m/>
    <m/>
    <m/>
    <d v="2018-12-19T09:05:37"/>
    <m/>
    <m/>
    <m/>
    <m/>
    <x v="121"/>
    <s v="Not  Calculated"/>
    <n v="0"/>
    <s v="No File"/>
    <s v="ANMD_0273 (MDY07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273 (MDY0760) Application.xlsx"/>
    <m/>
  </r>
  <r>
    <n v="21"/>
    <s v="AYYN_0269"/>
    <x v="0"/>
    <x v="0"/>
    <s v="YGNINSN052"/>
    <x v="1"/>
    <s v="Amara Phase 1"/>
    <s v="On Air"/>
    <s v="Colocation"/>
    <m/>
    <x v="75"/>
    <m/>
    <m/>
    <m/>
    <s v="EPA"/>
    <m/>
    <m/>
    <x v="1"/>
    <m/>
    <s v="OK"/>
    <s v="04-Apr-18: Okay for TI installation,  Lease hike request may raise while TI installation"/>
    <s v="OK"/>
    <m/>
    <s v="OK"/>
    <m/>
    <s v="OK"/>
    <m/>
    <m/>
    <m/>
    <m/>
    <s v="OK"/>
    <m/>
    <m/>
    <m/>
    <s v="ACDB &amp; Smart meter installation planned for WK12"/>
    <s v="OK"/>
    <m/>
    <m/>
    <m/>
    <m/>
    <m/>
    <m/>
    <m/>
    <m/>
    <m/>
    <m/>
    <d v="2018-12-19T09:05:38"/>
    <m/>
    <m/>
    <m/>
    <m/>
    <x v="121"/>
    <s v="Not  Calculated"/>
    <n v="0"/>
    <s v="No File"/>
    <s v="AYYN_0269 (YGNINSN05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9 (YGNINSN052) Application.xlsx"/>
    <m/>
  </r>
  <r>
    <n v="22"/>
    <s v="AYYN_0171"/>
    <x v="0"/>
    <x v="0"/>
    <s v="YGN01927"/>
    <x v="0"/>
    <s v="MPT  Phase 1a Colo"/>
    <s v="On Air"/>
    <s v="Colocation"/>
    <m/>
    <x v="75"/>
    <m/>
    <m/>
    <m/>
    <s v="EPA"/>
    <m/>
    <m/>
    <x v="1"/>
    <m/>
    <s v="OK"/>
    <s v="04-Apr-18: Okay for TI installation,  Lease hike request may raise while TI installation"/>
    <s v="OK"/>
    <m/>
    <s v="OK"/>
    <m/>
    <s v="OK"/>
    <m/>
    <m/>
    <m/>
    <m/>
    <s v="OK"/>
    <m/>
    <m/>
    <m/>
    <s v="Proceed"/>
    <s v="OK"/>
    <s v="No"/>
    <m/>
    <m/>
    <m/>
    <m/>
    <m/>
    <m/>
    <m/>
    <m/>
    <m/>
    <d v="2018-12-19T09:05:38"/>
    <m/>
    <m/>
    <m/>
    <m/>
    <x v="121"/>
    <s v="Not  Calculated"/>
    <n v="0"/>
    <s v="No File"/>
    <s v="AYYN_0171 (YGN01927)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71 (YGN01927) Application.xlsx"/>
    <m/>
  </r>
  <r>
    <n v="23"/>
    <s v="ANSG_0355"/>
    <x v="0"/>
    <x v="2"/>
    <s v="SGG01165"/>
    <x v="0"/>
    <s v="MPT  Phase 1a Colo"/>
    <s v="On Air"/>
    <s v="Colocation"/>
    <m/>
    <x v="75"/>
    <m/>
    <m/>
    <m/>
    <s v="EPA"/>
    <m/>
    <m/>
    <x v="1"/>
    <m/>
    <s v="OK"/>
    <s v="04-Apr-18: Okay for TI installation,  Lease hike request may raise while TI installation"/>
    <s v="OK"/>
    <m/>
    <s v="OK"/>
    <m/>
    <s v="OK"/>
    <m/>
    <m/>
    <m/>
    <m/>
    <s v="OK"/>
    <m/>
    <m/>
    <m/>
    <s v="BB to order"/>
    <s v="OK"/>
    <s v="No"/>
    <m/>
    <m/>
    <m/>
    <m/>
    <m/>
    <m/>
    <m/>
    <m/>
    <m/>
    <d v="2018-12-19T09:05:38"/>
    <m/>
    <m/>
    <m/>
    <m/>
    <x v="121"/>
    <s v="Not  Calculated"/>
    <n v="0"/>
    <s v="No File"/>
    <s v="ANSG_0355 (SGG01165)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55 (SGG01165) Application.xlsx"/>
    <m/>
  </r>
  <r>
    <n v="24"/>
    <s v="AYYN_0099"/>
    <x v="0"/>
    <x v="0"/>
    <s v="YGN02508"/>
    <x v="0"/>
    <s v="MPT  Phase 1a Colo"/>
    <s v="On Air"/>
    <s v="Colocation"/>
    <m/>
    <x v="75"/>
    <m/>
    <m/>
    <m/>
    <s v="EPA"/>
    <m/>
    <m/>
    <x v="1"/>
    <m/>
    <s v="OK"/>
    <s v="04-Apr-18: Okay for TI installation,  Lease hike request may raise while TI installation"/>
    <s v="OK"/>
    <m/>
    <s v="OK"/>
    <m/>
    <s v="OK"/>
    <m/>
    <m/>
    <m/>
    <m/>
    <s v="OK"/>
    <m/>
    <m/>
    <m/>
    <s v="24KW PE UG required "/>
    <s v="OK"/>
    <s v="No"/>
    <m/>
    <m/>
    <m/>
    <m/>
    <m/>
    <m/>
    <m/>
    <m/>
    <m/>
    <d v="2018-12-19T09:05:38"/>
    <m/>
    <m/>
    <m/>
    <m/>
    <x v="121"/>
    <s v="Not  Calculated"/>
    <n v="0"/>
    <s v="No File"/>
    <s v="AYYN_0099 (YGN02508)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99 (YGN02508) Application.xlsx"/>
    <m/>
  </r>
  <r>
    <n v="25"/>
    <s v="AYYN_0251"/>
    <x v="0"/>
    <x v="0"/>
    <s v="YGN01769"/>
    <x v="0"/>
    <s v="MPT  Phase 1a Colo"/>
    <s v="On Air"/>
    <s v="Colocation"/>
    <m/>
    <x v="75"/>
    <m/>
    <m/>
    <m/>
    <s v="EPA"/>
    <m/>
    <m/>
    <x v="1"/>
    <m/>
    <s v="OK"/>
    <s v="04-Apr-18: Okay for TI installation,  Lease hike request may raise while TI installation"/>
    <s v="OK"/>
    <m/>
    <s v="OK"/>
    <m/>
    <s v="OK"/>
    <m/>
    <m/>
    <m/>
    <m/>
    <s v="OK"/>
    <m/>
    <m/>
    <m/>
    <s v="Proceed. Order Eqpt &amp; U/G later - EOL Swap 600AH -  20KVA DG"/>
    <s v="OK"/>
    <s v="No"/>
    <m/>
    <m/>
    <m/>
    <m/>
    <m/>
    <m/>
    <m/>
    <m/>
    <m/>
    <d v="2018-12-19T09:05:38"/>
    <m/>
    <m/>
    <m/>
    <m/>
    <x v="121"/>
    <s v="Not  Calculated"/>
    <n v="0"/>
    <s v="No File"/>
    <s v="AYYN_0251 (YGN01769)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xlsx"/>
    <m/>
  </r>
  <r>
    <n v="26"/>
    <s v="AYYN_0583"/>
    <x v="0"/>
    <x v="0"/>
    <s v="YGN02364"/>
    <x v="0"/>
    <s v="MPT  Phase 1a Colo"/>
    <s v="On Air"/>
    <s v="Colocation"/>
    <m/>
    <x v="75"/>
    <m/>
    <m/>
    <m/>
    <s v="EPA"/>
    <m/>
    <m/>
    <x v="1"/>
    <m/>
    <s v="OK"/>
    <s v="04-Apr-18: Okay for TI installation,  Lease hike request may raise while TI installation"/>
    <s v="OK"/>
    <m/>
    <s v="OK"/>
    <m/>
    <s v="OK"/>
    <m/>
    <m/>
    <m/>
    <s v="Ok with easy Macro solution"/>
    <s v="OK"/>
    <m/>
    <m/>
    <m/>
    <s v="Proceed. Order Eqpt &amp; U/G later - 1200AH Swap.  30KVA DG"/>
    <s v="OK"/>
    <s v="No"/>
    <m/>
    <m/>
    <m/>
    <m/>
    <m/>
    <m/>
    <m/>
    <m/>
    <m/>
    <d v="2018-12-19T09:05:38"/>
    <m/>
    <m/>
    <m/>
    <m/>
    <x v="121"/>
    <s v="Not  Calculated"/>
    <n v="0"/>
    <s v="No File"/>
    <s v="AYYN_0583 (YGN02364)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83 (YGN02364) Application.xlsx"/>
    <m/>
  </r>
  <r>
    <n v="27"/>
    <s v="ANMD_0224"/>
    <x v="0"/>
    <x v="2"/>
    <s v="MAW2259"/>
    <x v="2"/>
    <s v="OML Phase 1 Colo"/>
    <s v="On Air"/>
    <s v="Colocation"/>
    <m/>
    <x v="75"/>
    <m/>
    <m/>
    <m/>
    <s v="EPA"/>
    <m/>
    <m/>
    <x v="1"/>
    <m/>
    <s v="OK"/>
    <s v="04-Apr-18: Okay for TI installation,  Lease hike request may raise while TI installation"/>
    <s v="OK"/>
    <m/>
    <s v="OK"/>
    <m/>
    <s v="OK"/>
    <m/>
    <m/>
    <m/>
    <m/>
    <s v="OK"/>
    <m/>
    <m/>
    <m/>
    <s v="Ready 28 March"/>
    <s v="OK"/>
    <m/>
    <s v="Already RFI"/>
    <m/>
    <m/>
    <m/>
    <m/>
    <m/>
    <m/>
    <m/>
    <m/>
    <d v="2018-12-19T09:05:38"/>
    <m/>
    <m/>
    <m/>
    <m/>
    <x v="121"/>
    <s v="Not  Calculated"/>
    <n v="0"/>
    <s v="No File"/>
    <s v="ANMD_0224 (MA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24 (MAW2259) Application.xlsx"/>
    <m/>
  </r>
  <r>
    <n v="28"/>
    <s v="ASMO_0163"/>
    <x v="0"/>
    <x v="0"/>
    <s v="MOW6065"/>
    <x v="2"/>
    <s v="OML Phase 1 Colo"/>
    <s v="On Air"/>
    <s v="Colocation"/>
    <m/>
    <x v="75"/>
    <m/>
    <m/>
    <m/>
    <s v="EPA"/>
    <m/>
    <m/>
    <x v="1"/>
    <m/>
    <s v="OK"/>
    <s v="04-Apr-18: Okay for TI installation,  Lease hike request may raise while TI installation"/>
    <s v="OK"/>
    <m/>
    <s v="OK"/>
    <m/>
    <s v="OK"/>
    <m/>
    <m/>
    <m/>
    <m/>
    <s v="OK"/>
    <m/>
    <m/>
    <m/>
    <s v="PE UG required - 30 March "/>
    <s v="OK"/>
    <s v="No"/>
    <m/>
    <m/>
    <m/>
    <m/>
    <m/>
    <m/>
    <m/>
    <m/>
    <m/>
    <d v="2018-12-19T09:05:38"/>
    <m/>
    <m/>
    <m/>
    <m/>
    <x v="121"/>
    <s v="Not  Calculated"/>
    <n v="0"/>
    <s v="No File"/>
    <s v="ASMO_0163 (MOW60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3 (MOW6065) Application.xlsx"/>
    <m/>
  </r>
  <r>
    <n v="29"/>
    <s v="AYYN_0338"/>
    <x v="0"/>
    <x v="0"/>
    <s v="YAW4265"/>
    <x v="2"/>
    <s v="Colocation"/>
    <m/>
    <s v="Colocation"/>
    <m/>
    <x v="75"/>
    <m/>
    <m/>
    <m/>
    <s v="EPA"/>
    <m/>
    <m/>
    <x v="3"/>
    <m/>
    <s v="OK"/>
    <s v="04-Apr-18: Okay for TI installation,  Lease hike request may raise while TI installation"/>
    <s v="OK"/>
    <m/>
    <m/>
    <s v="Required Latest Audit Report"/>
    <s v="Review"/>
    <m/>
    <m/>
    <m/>
    <s v="Review-EPA over desing need to check tower"/>
    <s v="OK"/>
    <s v="90 Days"/>
    <m/>
    <d v="1900-01-02T12:00:00"/>
    <s v="BB DG"/>
    <s v="OK"/>
    <s v="Yes"/>
    <s v="Need to provide additional cable tray"/>
    <m/>
    <m/>
    <m/>
    <m/>
    <m/>
    <m/>
    <m/>
    <m/>
    <d v="2018-12-19T09:05:39"/>
    <m/>
    <m/>
    <m/>
    <m/>
    <x v="121"/>
    <s v="Not  Calculated"/>
    <n v="0"/>
    <s v="No File"/>
    <s v="AYYN_0338 (YAW42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8 (YAW4265) Application.xlsx"/>
    <m/>
  </r>
  <r>
    <n v="30"/>
    <s v="AYYN_0611"/>
    <x v="0"/>
    <x v="0"/>
    <s v="YAW4436"/>
    <x v="2"/>
    <s v="Colocation"/>
    <m/>
    <s v="Colocation"/>
    <m/>
    <x v="75"/>
    <m/>
    <m/>
    <m/>
    <s v="EPA"/>
    <m/>
    <m/>
    <x v="1"/>
    <m/>
    <s v="OK"/>
    <s v="04-Apr-18: Okay for TI installation,  Lease hike request may raise while TI installation"/>
    <s v="Review"/>
    <s v="DG noise issue"/>
    <s v="OK"/>
    <m/>
    <s v="Review"/>
    <m/>
    <m/>
    <m/>
    <s v="Review-EPA over desing need to check tower"/>
    <s v="Review"/>
    <m/>
    <m/>
    <m/>
    <s v="BB DG+ Grid"/>
    <s v="OK"/>
    <s v="No"/>
    <m/>
    <m/>
    <m/>
    <m/>
    <m/>
    <m/>
    <m/>
    <m/>
    <m/>
    <m/>
    <m/>
    <m/>
    <m/>
    <m/>
    <x v="0"/>
    <s v="Not  Calculated"/>
    <n v="0"/>
    <s v="No File"/>
    <s v="AYYN_0611 (YAW44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xlsx"/>
    <m/>
  </r>
  <r>
    <n v="31"/>
    <s v="AYYN_0529"/>
    <x v="0"/>
    <x v="0"/>
    <s v="YAW4447"/>
    <x v="2"/>
    <m/>
    <m/>
    <m/>
    <m/>
    <x v="75"/>
    <m/>
    <m/>
    <m/>
    <s v="EPA"/>
    <m/>
    <m/>
    <x v="2"/>
    <m/>
    <s v="OK"/>
    <s v="04-Apr-18: Okay for TI installation,  Lease hike request may raise while TI installation"/>
    <s v="OK"/>
    <m/>
    <m/>
    <s v="Required Latest Audit Report"/>
    <s v="OK"/>
    <m/>
    <m/>
    <m/>
    <m/>
    <s v="OK"/>
    <m/>
    <m/>
    <m/>
    <s v="PE UG required - ready 30 March "/>
    <s v="OK"/>
    <s v="Yes"/>
    <m/>
    <m/>
    <m/>
    <m/>
    <m/>
    <m/>
    <m/>
    <m/>
    <m/>
    <d v="2018-12-19T09:05:39"/>
    <m/>
    <m/>
    <m/>
    <m/>
    <x v="121"/>
    <s v="Not  Calculated"/>
    <n v="0"/>
    <s v="No File"/>
    <s v="AYYN_0529 (YAW444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xlsx"/>
    <m/>
  </r>
  <r>
    <n v="32"/>
    <s v="ANSG_0380"/>
    <x v="0"/>
    <x v="2"/>
    <s v="SAW0729"/>
    <x v="2"/>
    <s v="OML Phase 1 Colo"/>
    <s v="On Air"/>
    <s v="Colocation"/>
    <m/>
    <x v="75"/>
    <m/>
    <m/>
    <m/>
    <s v="EPA"/>
    <m/>
    <m/>
    <x v="1"/>
    <m/>
    <s v="OK"/>
    <s v="04-Apr-18: Okay for TI installation,  Lease hike request may raise while TI installation"/>
    <s v="OK"/>
    <m/>
    <s v="OK"/>
    <m/>
    <s v="OK"/>
    <m/>
    <m/>
    <m/>
    <s v="OML need to put small RF 5.4m2"/>
    <s v="OK"/>
    <m/>
    <m/>
    <m/>
    <s v="Add Lio4 mods"/>
    <s v="OK"/>
    <s v="No"/>
    <m/>
    <m/>
    <m/>
    <m/>
    <m/>
    <m/>
    <m/>
    <m/>
    <m/>
    <d v="2018-12-19T09:05:39"/>
    <m/>
    <m/>
    <m/>
    <m/>
    <x v="121"/>
    <s v="Not  Calculated"/>
    <n v="0"/>
    <s v="No File"/>
    <s v="ANSG_0380 (SAW072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8"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I42" firstHeaderRow="1" firstDataRow="2" firstDataCol="1" rowPageCount="2" colPageCount="1"/>
  <pivotFields count="63">
    <pivotField numFmtId="304" showAll="0"/>
    <pivotField dataField="1" showAll="0"/>
    <pivotField axis="axisRow" showAll="0">
      <items count="3">
        <item x="0"/>
        <item x="1"/>
        <item t="default"/>
      </items>
    </pivotField>
    <pivotField showAll="0">
      <items count="4">
        <item x="1"/>
        <item x="2"/>
        <item x="0"/>
        <item t="default"/>
      </items>
    </pivotField>
    <pivotField showAll="0"/>
    <pivotField axis="axisCol" showAll="0" nonAutoSortDefault="1">
      <items count="6">
        <item x="0"/>
        <item x="1"/>
        <item x="2"/>
        <item x="3"/>
        <item x="4"/>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3"/>
        <item x="2"/>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23">
        <item x="121"/>
        <item x="120"/>
        <item x="119"/>
        <item x="118"/>
        <item x="117"/>
        <item x="116"/>
        <item x="115"/>
        <item x="114"/>
        <item x="113"/>
        <item x="112"/>
        <item x="107"/>
        <item x="106"/>
        <item x="105"/>
        <item x="104"/>
        <item x="103"/>
        <item x="102"/>
        <item x="100"/>
        <item x="99"/>
        <item x="98"/>
        <item x="97"/>
        <item x="96"/>
        <item x="95"/>
        <item x="94"/>
        <item x="93"/>
        <item x="92"/>
        <item x="90"/>
        <item x="89"/>
        <item x="88"/>
        <item x="86"/>
        <item x="84"/>
        <item x="83"/>
        <item x="82"/>
        <item x="81"/>
        <item x="79"/>
        <item x="78"/>
        <item x="76"/>
        <item x="75"/>
        <item x="74"/>
        <item x="73"/>
        <item x="85"/>
        <item x="87"/>
        <item x="68"/>
        <item x="69"/>
        <item x="72"/>
        <item x="65"/>
        <item x="60"/>
        <item x="61"/>
        <item x="62"/>
        <item x="63"/>
        <item x="111"/>
        <item x="58"/>
        <item x="59"/>
        <item x="80"/>
        <item x="56"/>
        <item x="71"/>
        <item x="54"/>
        <item x="55"/>
        <item x="50"/>
        <item x="52"/>
        <item x="53"/>
        <item x="77"/>
        <item x="41"/>
        <item x="42"/>
        <item x="44"/>
        <item x="40"/>
        <item x="38"/>
        <item x="70"/>
        <item x="66"/>
        <item x="67"/>
        <item x="36"/>
        <item x="64"/>
        <item x="57"/>
        <item x="45"/>
        <item x="35"/>
        <item x="37"/>
        <item x="39"/>
        <item x="33"/>
        <item x="34"/>
        <item x="108"/>
        <item x="109"/>
        <item x="110"/>
        <item x="32"/>
        <item x="101"/>
        <item x="91"/>
        <item x="25"/>
        <item x="24"/>
        <item x="26"/>
        <item x="27"/>
        <item x="47"/>
        <item x="48"/>
        <item x="18"/>
        <item x="20"/>
        <item x="43"/>
        <item x="15"/>
        <item x="17"/>
        <item x="19"/>
        <item x="12"/>
        <item x="30"/>
        <item x="9"/>
        <item x="49"/>
        <item x="11"/>
        <item x="21"/>
        <item x="13"/>
        <item x="31"/>
        <item x="29"/>
        <item x="28"/>
        <item x="22"/>
        <item x="14"/>
        <item x="10"/>
        <item x="23"/>
        <item x="16"/>
        <item x="51"/>
        <item x="46"/>
        <item x="6"/>
        <item x="7"/>
        <item x="5"/>
        <item x="4"/>
        <item x="8"/>
        <item x="2"/>
        <item x="3"/>
        <item x="1"/>
        <item x="0"/>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2">
    <i>
      <x/>
    </i>
    <i r="1">
      <x/>
    </i>
    <i r="1">
      <x v="1"/>
    </i>
    <i>
      <x v="1"/>
    </i>
    <i r="1">
      <x/>
    </i>
    <i r="1">
      <x v="1"/>
    </i>
    <i>
      <x v="2"/>
    </i>
    <i r="1">
      <x/>
    </i>
    <i>
      <x v="3"/>
    </i>
    <i r="1">
      <x/>
    </i>
    <i r="1">
      <x v="1"/>
    </i>
    <i t="grand">
      <x/>
    </i>
  </rowItems>
  <colFields count="1">
    <field x="5"/>
  </colFields>
  <colItems count="6">
    <i>
      <x/>
    </i>
    <i>
      <x v="1"/>
    </i>
    <i>
      <x v="2"/>
    </i>
    <i>
      <x v="3"/>
    </i>
    <i>
      <x v="4"/>
    </i>
    <i t="grand">
      <x/>
    </i>
  </colItems>
  <pageFields count="2">
    <pageField fld="10" hier="-1"/>
    <pageField fld="62" hier="-1"/>
  </pageFields>
  <dataFields count="1">
    <dataField name="Count of Site ID" fld="1" subtotal="count" baseField="0" baseItem="0"/>
  </dataFields>
  <formats count="47">
    <format dxfId="197">
      <pivotArea type="all" dataOnly="0" outline="0" fieldPosition="0"/>
    </format>
    <format dxfId="196">
      <pivotArea outline="0" collapsedLevelsAreSubtotals="1" fieldPosition="0"/>
    </format>
    <format dxfId="195">
      <pivotArea dataOnly="0" labelOnly="1" outline="0" axis="axisValues" fieldPosition="0"/>
    </format>
    <format dxfId="194">
      <pivotArea type="all" dataOnly="0" outline="0" fieldPosition="0"/>
    </format>
    <format dxfId="193">
      <pivotArea outline="0" collapsedLevelsAreSubtotals="1" fieldPosition="0"/>
    </format>
    <format dxfId="192">
      <pivotArea type="origin" dataOnly="0" labelOnly="1" outline="0" fieldPosition="0"/>
    </format>
    <format dxfId="191">
      <pivotArea field="5" type="button" dataOnly="0" labelOnly="1" outline="0" axis="axisCol" fieldPosition="0"/>
    </format>
    <format dxfId="190">
      <pivotArea type="topRight" dataOnly="0" labelOnly="1" outline="0" fieldPosition="0"/>
    </format>
    <format dxfId="189">
      <pivotArea field="17" type="button" dataOnly="0" labelOnly="1" outline="0" axis="axisRow" fieldPosition="0"/>
    </format>
    <format dxfId="188">
      <pivotArea dataOnly="0" labelOnly="1" fieldPosition="0">
        <references count="1">
          <reference field="17" count="3">
            <x v="0"/>
            <x v="1"/>
            <x v="3"/>
          </reference>
        </references>
      </pivotArea>
    </format>
    <format dxfId="187">
      <pivotArea dataOnly="0" labelOnly="1" grandRow="1" outline="0" fieldPosition="0"/>
    </format>
    <format dxfId="186">
      <pivotArea dataOnly="0" labelOnly="1" fieldPosition="0">
        <references count="1">
          <reference field="5" count="0"/>
        </references>
      </pivotArea>
    </format>
    <format dxfId="185">
      <pivotArea dataOnly="0" labelOnly="1" grandCol="1" outline="0" fieldPosition="0"/>
    </format>
    <format dxfId="184">
      <pivotArea collapsedLevelsAreSubtotals="1" fieldPosition="0">
        <references count="1">
          <reference field="17" count="1">
            <x v="1"/>
          </reference>
        </references>
      </pivotArea>
    </format>
    <format dxfId="183">
      <pivotArea collapsedLevelsAreSubtotals="1" fieldPosition="0">
        <references count="2">
          <reference field="2" count="0"/>
          <reference field="17" count="1" selected="0">
            <x v="1"/>
          </reference>
        </references>
      </pivotArea>
    </format>
    <format dxfId="182">
      <pivotArea collapsedLevelsAreSubtotals="1" fieldPosition="0">
        <references count="1">
          <reference field="17" count="1">
            <x v="0"/>
          </reference>
        </references>
      </pivotArea>
    </format>
    <format dxfId="181">
      <pivotArea collapsedLevelsAreSubtotals="1" fieldPosition="0">
        <references count="2">
          <reference field="2" count="0"/>
          <reference field="17" count="1" selected="0">
            <x v="0"/>
          </reference>
        </references>
      </pivotArea>
    </format>
    <format dxfId="180">
      <pivotArea collapsedLevelsAreSubtotals="1" fieldPosition="0">
        <references count="1">
          <reference field="17" count="1">
            <x v="3"/>
          </reference>
        </references>
      </pivotArea>
    </format>
    <format dxfId="179">
      <pivotArea collapsedLevelsAreSubtotals="1" fieldPosition="0">
        <references count="1">
          <reference field="17" count="1">
            <x v="3"/>
          </reference>
        </references>
      </pivotArea>
    </format>
    <format dxfId="178">
      <pivotArea dataOnly="0" labelOnly="1" fieldPosition="0">
        <references count="1">
          <reference field="17" count="1">
            <x v="3"/>
          </reference>
        </references>
      </pivotArea>
    </format>
    <format dxfId="177">
      <pivotArea outline="0" collapsedLevelsAreSubtotals="1" fieldPosition="0"/>
    </format>
    <format dxfId="176">
      <pivotArea dataOnly="0" labelOnly="1" fieldPosition="0">
        <references count="1">
          <reference field="5" count="0"/>
        </references>
      </pivotArea>
    </format>
    <format dxfId="175">
      <pivotArea dataOnly="0" labelOnly="1" grandCol="1" outline="0" fieldPosition="0"/>
    </format>
    <format dxfId="174">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173">
      <pivotArea dataOnly="0" fieldPosition="0">
        <references count="1">
          <reference field="17" count="1">
            <x v="0"/>
          </reference>
        </references>
      </pivotArea>
    </format>
    <format dxfId="172">
      <pivotArea collapsedLevelsAreSubtotals="1" fieldPosition="0">
        <references count="1">
          <reference field="17" count="1">
            <x v="1"/>
          </reference>
        </references>
      </pivotArea>
    </format>
    <format dxfId="171">
      <pivotArea dataOnly="0" labelOnly="1" fieldPosition="0">
        <references count="1">
          <reference field="17" count="1">
            <x v="1"/>
          </reference>
        </references>
      </pivotArea>
    </format>
    <format dxfId="170">
      <pivotArea collapsedLevelsAreSubtotals="1" fieldPosition="0">
        <references count="1">
          <reference field="17" count="1">
            <x v="2"/>
          </reference>
        </references>
      </pivotArea>
    </format>
    <format dxfId="169">
      <pivotArea dataOnly="0" labelOnly="1" fieldPosition="0">
        <references count="1">
          <reference field="17" count="1">
            <x v="2"/>
          </reference>
        </references>
      </pivotArea>
    </format>
    <format dxfId="168">
      <pivotArea collapsedLevelsAreSubtotals="1" fieldPosition="0">
        <references count="1">
          <reference field="17" count="1">
            <x v="4"/>
          </reference>
        </references>
      </pivotArea>
    </format>
    <format dxfId="167">
      <pivotArea collapsedLevelsAreSubtotals="1" fieldPosition="0">
        <references count="2">
          <reference field="2" count="1">
            <x v="0"/>
          </reference>
          <reference field="17" count="1" selected="0">
            <x v="4"/>
          </reference>
        </references>
      </pivotArea>
    </format>
    <format dxfId="166">
      <pivotArea collapsedLevelsAreSubtotals="1" fieldPosition="0">
        <references count="1">
          <reference field="17" count="1">
            <x v="5"/>
          </reference>
        </references>
      </pivotArea>
    </format>
    <format dxfId="165">
      <pivotArea collapsedLevelsAreSubtotals="1" fieldPosition="0">
        <references count="2">
          <reference field="2" count="1">
            <x v="0"/>
          </reference>
          <reference field="17" count="1" selected="0">
            <x v="5"/>
          </reference>
        </references>
      </pivotArea>
    </format>
    <format dxfId="164">
      <pivotArea dataOnly="0" labelOnly="1" fieldPosition="0">
        <references count="1">
          <reference field="17" count="2">
            <x v="4"/>
            <x v="5"/>
          </reference>
        </references>
      </pivotArea>
    </format>
    <format dxfId="163">
      <pivotArea dataOnly="0" labelOnly="1" fieldPosition="0">
        <references count="2">
          <reference field="2" count="1">
            <x v="0"/>
          </reference>
          <reference field="17" count="1" selected="0">
            <x v="3"/>
          </reference>
        </references>
      </pivotArea>
    </format>
    <format dxfId="162">
      <pivotArea collapsedLevelsAreSubtotals="1" fieldPosition="0">
        <references count="2">
          <reference field="2" count="0"/>
          <reference field="17" count="1" selected="0">
            <x v="2"/>
          </reference>
        </references>
      </pivotArea>
    </format>
    <format dxfId="161">
      <pivotArea dataOnly="0" labelOnly="1" fieldPosition="0">
        <references count="2">
          <reference field="2" count="0"/>
          <reference field="17" count="1" selected="0">
            <x v="2"/>
          </reference>
        </references>
      </pivotArea>
    </format>
    <format dxfId="160">
      <pivotArea collapsedLevelsAreSubtotals="1" fieldPosition="0">
        <references count="1">
          <reference field="17" count="1">
            <x v="3"/>
          </reference>
        </references>
      </pivotArea>
    </format>
    <format dxfId="159">
      <pivotArea dataOnly="0" labelOnly="1" fieldPosition="0">
        <references count="1">
          <reference field="17" count="1">
            <x v="3"/>
          </reference>
        </references>
      </pivotArea>
    </format>
    <format dxfId="158">
      <pivotArea dataOnly="0" labelOnly="1" fieldPosition="0">
        <references count="2">
          <reference field="2" count="1">
            <x v="0"/>
          </reference>
          <reference field="17" count="1" selected="0">
            <x v="3"/>
          </reference>
        </references>
      </pivotArea>
    </format>
    <format dxfId="157">
      <pivotArea collapsedLevelsAreSubtotals="1" fieldPosition="0">
        <references count="2">
          <reference field="2" count="0"/>
          <reference field="17" count="1" selected="0">
            <x v="0"/>
          </reference>
        </references>
      </pivotArea>
    </format>
    <format dxfId="156">
      <pivotArea dataOnly="0" labelOnly="1" fieldPosition="0">
        <references count="2">
          <reference field="2" count="0"/>
          <reference field="17" count="1" selected="0">
            <x v="0"/>
          </reference>
        </references>
      </pivotArea>
    </format>
    <format dxfId="155">
      <pivotArea collapsedLevelsAreSubtotals="1" fieldPosition="0">
        <references count="2">
          <reference field="2" count="0"/>
          <reference field="17" count="1" selected="0">
            <x v="1"/>
          </reference>
        </references>
      </pivotArea>
    </format>
    <format dxfId="154">
      <pivotArea dataOnly="0" labelOnly="1" fieldPosition="0">
        <references count="2">
          <reference field="2" count="0"/>
          <reference field="17" count="1" selected="0">
            <x v="1"/>
          </reference>
        </references>
      </pivotArea>
    </format>
    <format dxfId="153">
      <pivotArea dataOnly="0" labelOnly="1" fieldPosition="0">
        <references count="2">
          <reference field="2" count="1">
            <x v="1"/>
          </reference>
          <reference field="17" count="1" selected="0">
            <x v="3"/>
          </reference>
        </references>
      </pivotArea>
    </format>
    <format dxfId="152">
      <pivotArea collapsedLevelsAreSubtotals="1" fieldPosition="0">
        <references count="2">
          <reference field="2" count="0"/>
          <reference field="17" count="1" selected="0">
            <x v="3"/>
          </reference>
        </references>
      </pivotArea>
    </format>
    <format dxfId="151">
      <pivotArea collapsedLevelsAreSubtotals="1" fieldPosition="0">
        <references count="2">
          <reference field="2" count="0"/>
          <reference field="17" count="1" selected="0">
            <x v="3"/>
          </reference>
        </references>
      </pivotArea>
    </format>
  </formats>
  <pivotTableStyleInfo name="PivotStyleLight15" showRowHeaders="1" showColHeaders="1" showRowStripes="0" showColStripes="0" showLastColumn="1"/>
  <filters count="1">
    <filter fld="10" type="dateBetween" evalOrder="-1" id="33"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8" firstHeaderRow="1" firstDataRow="1" firstDataCol="1"/>
  <pivotFields count="63">
    <pivotField numFmtId="304" showAll="0"/>
    <pivotField dataField="1" showAll="0"/>
    <pivotField showAll="0">
      <items count="3">
        <item x="0"/>
        <item x="1"/>
        <item t="default"/>
      </items>
    </pivotField>
    <pivotField showAll="0">
      <items count="4">
        <item x="1"/>
        <item x="2"/>
        <item x="0"/>
        <item t="default"/>
      </items>
    </pivotField>
    <pivotField showAll="0"/>
    <pivotField showAll="0">
      <items count="6">
        <item x="1"/>
        <item x="0"/>
        <item x="3"/>
        <item x="2"/>
        <item x="4"/>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3"/>
        <item x="2"/>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23">
        <item x="121"/>
        <item x="120"/>
        <item x="119"/>
        <item x="118"/>
        <item x="117"/>
        <item x="116"/>
        <item x="115"/>
        <item x="114"/>
        <item x="113"/>
        <item x="112"/>
        <item x="107"/>
        <item x="106"/>
        <item x="105"/>
        <item x="104"/>
        <item x="103"/>
        <item x="102"/>
        <item x="100"/>
        <item x="99"/>
        <item x="98"/>
        <item x="97"/>
        <item x="96"/>
        <item x="95"/>
        <item x="94"/>
        <item x="93"/>
        <item x="92"/>
        <item x="90"/>
        <item x="89"/>
        <item x="88"/>
        <item x="86"/>
        <item x="84"/>
        <item x="83"/>
        <item x="82"/>
        <item x="81"/>
        <item x="79"/>
        <item x="78"/>
        <item x="76"/>
        <item x="75"/>
        <item x="74"/>
        <item x="73"/>
        <item x="85"/>
        <item x="87"/>
        <item x="68"/>
        <item x="69"/>
        <item x="72"/>
        <item x="65"/>
        <item x="60"/>
        <item x="61"/>
        <item x="62"/>
        <item x="63"/>
        <item x="111"/>
        <item x="58"/>
        <item x="59"/>
        <item x="80"/>
        <item x="56"/>
        <item x="71"/>
        <item x="54"/>
        <item x="55"/>
        <item x="50"/>
        <item x="52"/>
        <item x="53"/>
        <item x="77"/>
        <item x="41"/>
        <item x="42"/>
        <item x="44"/>
        <item x="40"/>
        <item x="38"/>
        <item x="70"/>
        <item x="66"/>
        <item x="67"/>
        <item x="36"/>
        <item x="64"/>
        <item x="57"/>
        <item x="45"/>
        <item x="35"/>
        <item x="37"/>
        <item x="39"/>
        <item x="33"/>
        <item x="34"/>
        <item x="108"/>
        <item x="109"/>
        <item x="110"/>
        <item x="32"/>
        <item x="101"/>
        <item x="91"/>
        <item x="25"/>
        <item x="24"/>
        <item x="26"/>
        <item x="27"/>
        <item x="47"/>
        <item x="48"/>
        <item x="18"/>
        <item x="20"/>
        <item x="43"/>
        <item x="15"/>
        <item x="17"/>
        <item x="19"/>
        <item x="12"/>
        <item x="30"/>
        <item x="9"/>
        <item x="49"/>
        <item x="11"/>
        <item x="21"/>
        <item x="13"/>
        <item x="31"/>
        <item x="29"/>
        <item x="28"/>
        <item x="22"/>
        <item x="14"/>
        <item x="10"/>
        <item x="23"/>
        <item x="16"/>
        <item x="51"/>
        <item x="46"/>
        <item x="6"/>
        <item x="7"/>
        <item x="5"/>
        <item x="4"/>
        <item x="8"/>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5">
    <i>
      <x v="1"/>
    </i>
    <i>
      <x v="2"/>
    </i>
    <i>
      <x v="3"/>
    </i>
    <i>
      <x v="4"/>
    </i>
    <i t="grand">
      <x/>
    </i>
  </rowItems>
  <colItems count="1">
    <i/>
  </colItems>
  <dataFields count="1">
    <dataField name="Count of Site ID" fld="1" subtotal="count" baseField="0" baseItem="0"/>
  </dataFields>
  <formats count="2">
    <format dxfId="145">
      <pivotArea outline="0" collapsedLevelsAreSubtotals="1" fieldPosition="0"/>
    </format>
    <format dxfId="144">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19"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81" unboundColumnsRight="10">
    <queryTableFields count="62">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7" name="PM Forecast" tableColumnId="83"/>
      <queryTableField id="88" name="PM Review" tableColumnId="84"/>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s>
  <data>
    <tabular pivotCacheId="112447729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5">
        <i x="1" s="1"/>
        <i x="0" s="1"/>
        <i x="3"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3" s="1"/>
        <i x="1" s="1"/>
        <i x="2" s="1"/>
        <i x="5" s="1"/>
        <i x="4"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Entit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J533" tableType="queryTable" totalsRowShown="0" headerRowDxfId="150" dataDxfId="148" headerRowBorderDxfId="149" tableBorderDxfId="147" totalsRowBorderDxfId="146">
  <autoFilter ref="A15:BJ533" xr:uid="{70CBA71C-3365-4A47-B443-03D3AAF30D7E}"/>
  <tableColumns count="62">
    <tableColumn id="54" xr3:uid="{62A2B9C1-3922-4BED-A409-972861C6BF2D}" uniqueName="54" name="Request ID" queryTableFieldId="58" dataDxfId="94"/>
    <tableColumn id="55" xr3:uid="{B8B9E131-829C-41EA-80B9-7824C28B0069}" uniqueName="55" name="Site ID" queryTableFieldId="59" dataDxfId="93"/>
    <tableColumn id="3" xr3:uid="{22B8728B-0A35-402A-8D5F-0DA0665ADA3D}" uniqueName="3" name="Legacy" queryTableFieldId="3" dataDxfId="92"/>
    <tableColumn id="41" xr3:uid="{543424FC-C036-4C46-B765-F9DE2FAF4527}" uniqueName="41" name="Region" queryTableFieldId="41" dataDxfId="91"/>
    <tableColumn id="56" xr3:uid="{6641A20C-AA99-4156-82C8-B5457C0E6398}" uniqueName="56" name="tenant id" queryTableFieldId="60" dataDxfId="90"/>
    <tableColumn id="5" xr3:uid="{BA91B3B5-96E2-4352-B7F6-C233BD4E40D6}" uniqueName="5" name="Operator" queryTableFieldId="5" dataDxfId="89"/>
    <tableColumn id="1" xr3:uid="{C104C8DD-45A0-40E3-B550-5E0ABD926F9F}" uniqueName="1" name="Tenant Category" queryTableFieldId="137" dataDxfId="88"/>
    <tableColumn id="2" xr3:uid="{B5D38774-272D-4DC4-82FF-815C954E666A}" uniqueName="2" name="Tenant Status" queryTableFieldId="138" dataDxfId="87"/>
    <tableColumn id="4" xr3:uid="{4361FAA3-DB30-47DB-AB01-15514B15AEA7}" uniqueName="4" name="Scope" queryTableFieldId="139" dataDxfId="86"/>
    <tableColumn id="57" xr3:uid="{52E3523B-9B03-4AE3-8B89-7EAA7AB2DEC1}" uniqueName="57" name="Colo Rev" queryTableFieldId="61" dataDxfId="85"/>
    <tableColumn id="58" xr3:uid="{5EF073EE-125D-4B3B-8C05-EC0014906759}" uniqueName="58" name="Request Date" queryTableFieldId="62" dataDxfId="84"/>
    <tableColumn id="6" xr3:uid="{6DA0110C-FA68-4920-92E6-EF809DF55DAC}" uniqueName="6" name="Average Power Requested" queryTableFieldId="140" dataDxfId="83"/>
    <tableColumn id="7" xr3:uid="{D64778D4-26C2-4676-BF0F-25DF82985C27}" uniqueName="7" name="Peak Power Requested" queryTableFieldId="141" dataDxfId="82"/>
    <tableColumn id="59" xr3:uid="{CD47B2EB-57FE-4890-8264-6955E009862B}" uniqueName="59" name="Capacity Requested" queryTableFieldId="63" dataDxfId="81"/>
    <tableColumn id="60" xr3:uid="{174B9820-CFBE-45DF-AB85-412C68BEC4B6}" uniqueName="60" name="Capacity Model" queryTableFieldId="64" dataDxfId="80"/>
    <tableColumn id="8" xr3:uid="{32259D7F-4F2D-460E-BE53-ED542E2BD206}" uniqueName="8" name="Lower Space Requested" queryTableFieldId="147" dataDxfId="79"/>
    <tableColumn id="9" xr3:uid="{3B2A378A-CAD1-4E74-A585-4CCB5E1197CE}" uniqueName="9" name="Upper Space Requested" queryTableFieldId="148" dataDxfId="78"/>
    <tableColumn id="10" xr3:uid="{49875419-6610-47D2-BD2C-DC26ABFEFF86}" uniqueName="10" name="Prevalidation Status" queryTableFieldId="149" dataDxfId="77"/>
    <tableColumn id="63" xr3:uid="{2D396A95-525A-4D40-99DB-EBC76DEA746B}" uniqueName="63" name="General Remark" queryTableFieldId="67" dataDxfId="76"/>
    <tableColumn id="64" xr3:uid="{AAE77C60-1D40-41D7-AA06-BF433F0D4075}" uniqueName="64" name="LandLord" queryTableFieldId="68" dataDxfId="75"/>
    <tableColumn id="65" xr3:uid="{D0C3DD2C-49B4-47D5-BC20-C9B0FA8455E2}" uniqueName="65" name="LandLord Remarks" queryTableFieldId="69" dataDxfId="74"/>
    <tableColumn id="79" xr3:uid="{2D518667-8BD0-4724-B1AA-DDF10052875A}" uniqueName="79" name="Community" queryTableFieldId="83" dataDxfId="73"/>
    <tableColumn id="80" xr3:uid="{8468CD52-49AB-4F07-9663-B60ED03608B3}" uniqueName="80" name="Community Remarks" queryTableFieldId="84" dataDxfId="72"/>
    <tableColumn id="66" xr3:uid="{D9DDBBEA-8ABA-4EE4-9867-36DCEE1D7462}" uniqueName="66" name="Tower Space" queryTableFieldId="70" dataDxfId="71"/>
    <tableColumn id="67" xr3:uid="{83F25E90-AAAE-4188-B9A6-13B931E3A3A9}" uniqueName="67" name="Tower Space Remarks" queryTableFieldId="71" dataDxfId="70"/>
    <tableColumn id="68" xr3:uid="{713DF634-7898-4688-9D77-8B3820C1618B}" uniqueName="68" name="Structural" queryTableFieldId="72" dataDxfId="69"/>
    <tableColumn id="22" xr3:uid="{45E9DAE5-4B95-4A85-B4BB-9D51B6C82862}" uniqueName="22" name="Tower Strengthening" queryTableFieldId="175" dataDxfId="68"/>
    <tableColumn id="23" xr3:uid="{418DEC3F-B998-461E-8BDF-35C94E5AFAA5}" uniqueName="23" name="Foundation Retrofit" queryTableFieldId="176" dataDxfId="67"/>
    <tableColumn id="69" xr3:uid="{1279078D-CD15-413E-B3CC-7AE7E90B0D56}" uniqueName="69" name="Tower Extension" queryTableFieldId="73" dataDxfId="66"/>
    <tableColumn id="70" xr3:uid="{BF5D19F5-D86B-4917-B6E4-00C6CE9D78F8}" uniqueName="70" name="Structural Remarks" queryTableFieldId="74" dataDxfId="65"/>
    <tableColumn id="74" xr3:uid="{B2FF5A31-C436-4E31-83C8-9AA09C3F30CF}" uniqueName="74" name="Power" queryTableFieldId="78" dataDxfId="64"/>
    <tableColumn id="77" xr3:uid="{7AC621D4-9EEA-4A1B-9583-DB876F889E62}" uniqueName="77" name="Power Forecast" queryTableFieldId="81" dataDxfId="63"/>
    <tableColumn id="75" xr3:uid="{9F2B8D84-212A-43E8-8DD2-EADBC8DA8780}" uniqueName="75" name="Power Average" queryTableFieldId="79" dataDxfId="62"/>
    <tableColumn id="76" xr3:uid="{07616BA6-EBD9-4471-A4E1-5ECFC56091FC}" uniqueName="76" name="Power Peak" queryTableFieldId="80" dataDxfId="61"/>
    <tableColumn id="78" xr3:uid="{A2F27213-63A5-4BDA-90BE-22C91C01EBCD}" uniqueName="78" name="Power Remarks" queryTableFieldId="82" dataDxfId="60"/>
    <tableColumn id="71" xr3:uid="{8A0B0B90-D80A-4F31-9D97-1D651E3948DF}" uniqueName="71" name="Ground Space" queryTableFieldId="75" dataDxfId="59"/>
    <tableColumn id="72" xr3:uid="{A8F5875F-0374-4CB5-A1BC-51382D045BA4}" uniqueName="72" name="Slab Extension Needed" queryTableFieldId="76" dataDxfId="58"/>
    <tableColumn id="73" xr3:uid="{7A0DEBF3-7286-44A3-BCA0-1DDE26426A79}" uniqueName="73" name="Ground Space Remarks" queryTableFieldId="77" dataDxfId="57"/>
    <tableColumn id="81" xr3:uid="{02C9A0BD-8025-46AA-9B10-CC816554F0D3}" uniqueName="81" name="RM Review" queryTableFieldId="85" dataDxfId="56"/>
    <tableColumn id="82" xr3:uid="{B0BFF7AA-76C2-4518-8225-D1726DF09FD8}" uniqueName="82" name="RM Remarks" queryTableFieldId="86" dataDxfId="55"/>
    <tableColumn id="83" xr3:uid="{D883C152-46E5-4A07-B9A1-E886E5669501}" uniqueName="83" name="PM Forecast" queryTableFieldId="87" dataDxfId="54"/>
    <tableColumn id="84" xr3:uid="{58553CD6-9678-420B-8F6E-CB6E2AD53164}" uniqueName="84" name="PM Review" queryTableFieldId="88" dataDxfId="53"/>
    <tableColumn id="85" xr3:uid="{9FD987B7-5A39-41E9-85EC-CA48E83ACAF8}" uniqueName="85" name="PM Remarks" queryTableFieldId="89" dataDxfId="52"/>
    <tableColumn id="89" xr3:uid="{54E40D0D-45AA-4D13-9E1F-274AC026DF20}" uniqueName="89" name="AM Review" queryTableFieldId="127" dataDxfId="51"/>
    <tableColumn id="90" xr3:uid="{EDF9B05A-449E-46B3-AF6A-E48478A264C6}" uniqueName="90" name="AM Remarks" queryTableFieldId="128" dataDxfId="50"/>
    <tableColumn id="91" xr3:uid="{452B98D4-79E6-4F6A-9B8D-31E4EB0795A1}" uniqueName="91" name="Tower Space Time" queryTableFieldId="129" dataDxfId="49"/>
    <tableColumn id="92" xr3:uid="{D12E1EFD-CB79-46D2-88BC-CA2F4EB3DEFB}" uniqueName="92" name="Power Time" queryTableFieldId="130" dataDxfId="48"/>
    <tableColumn id="93" xr3:uid="{3ECB135B-2850-495F-9149-40556F8B1164}" uniqueName="93" name="Structural Time" queryTableFieldId="131" dataDxfId="47"/>
    <tableColumn id="94" xr3:uid="{722C167F-1834-44FD-8063-E92C6375D25B}" uniqueName="94" name="CW Time" queryTableFieldId="132" dataDxfId="46"/>
    <tableColumn id="95" xr3:uid="{01408E78-E8EF-4C2D-AEB1-D26B09D77847}" uniqueName="95" name="LandLord Time" queryTableFieldId="133" dataDxfId="45"/>
    <tableColumn id="96" xr3:uid="{C548978D-1120-44BE-9DD1-35AFC72843C6}" uniqueName="96" name="Community Time" queryTableFieldId="134" dataDxfId="44"/>
    <tableColumn id="20" xr3:uid="{8B66D146-649D-44FF-84DA-291690033276}" uniqueName="20" name="Close Date" queryTableFieldId="170" dataDxfId="43"/>
    <tableColumn id="11" xr3:uid="{1B145FC2-2CC3-4B5C-8544-6B6674F11278}" uniqueName="11" name="Prevalidation Leadtime" queryTableFieldId="160" dataDxfId="42">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41">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40"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39">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38">
      <calculatedColumnFormula>FIND("Process &amp; Database\",CELL("filename",$A$1))</calculatedColumnFormula>
    </tableColumn>
    <tableColumn id="15" xr3:uid="{F565D522-84F9-4977-86FF-25BD94E74030}" uniqueName="15" name="Folder Path1" queryTableFieldId="164" dataDxfId="37">
      <calculatedColumnFormula>LEFT(CELL("filename",A1),_05preva_view43[[#This Row],[Find Process &amp; Database]]-1)</calculatedColumnFormula>
    </tableColumn>
    <tableColumn id="16" xr3:uid="{6F3D65C8-422A-448B-96CB-D42CFAFEDCA3}" uniqueName="16" name="Folder Path2" queryTableFieldId="165" dataDxfId="36">
      <calculatedColumnFormula>_05preva_view43[Folder Path1]&amp;"Process &amp; Database\Documentation\Colo Applications"</calculatedColumnFormula>
    </tableColumn>
    <tableColumn id="17" xr3:uid="{AB897926-5ABE-4114-AB76-A575C3B326CB}" uniqueName="17" name="Folder Path3" queryTableFieldId="166" dataDxfId="35">
      <calculatedColumnFormula>_05preva_view43[Folder Path2]&amp;"\Colo App "&amp;_05preva_view43[[#This Row],[Operator]]&amp;"\"</calculatedColumnFormula>
    </tableColumn>
    <tableColumn id="18" xr3:uid="{53516091-646C-4EB3-8B33-DF067DA72DE1}" uniqueName="18" name="File Path" queryTableFieldId="167" dataDxfId="34">
      <calculatedColumnFormula>_05preva_view43[[#This Row],[Folder Path3]]&amp;_05preva_view43[[#This Row],[File Name]]</calculatedColumnFormula>
    </tableColumn>
    <tableColumn id="19" xr3:uid="{DA1B9A28-E32F-49C9-B32D-3129CB72644A}" uniqueName="19" name="Count Validated" queryTableFieldId="168" dataDxfId="3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2018-01-01T00:00:00" endDate="2020-01-01T10:22:21"/>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59" t="s">
        <v>1813</v>
      </c>
      <c r="D2" s="159"/>
      <c r="E2" s="159"/>
      <c r="F2" s="159"/>
      <c r="G2" s="159"/>
      <c r="H2" s="159"/>
      <c r="I2" s="159"/>
      <c r="J2" s="159"/>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s="137" t="s">
        <v>3</v>
      </c>
      <c r="D26" s="138" t="s">
        <v>1768</v>
      </c>
    </row>
    <row r="27" spans="3:30" ht="14.5" hidden="1" customHeight="1">
      <c r="C27" s="137" t="s">
        <v>1769</v>
      </c>
      <c r="D27" s="138" t="s">
        <v>1768</v>
      </c>
    </row>
    <row r="28" spans="3:30" hidden="1">
      <c r="C28"/>
      <c r="D28"/>
      <c r="E28"/>
      <c r="F28"/>
      <c r="G28"/>
      <c r="H28"/>
      <c r="I28"/>
    </row>
    <row r="29" spans="3:30" hidden="1">
      <c r="C29" s="137" t="s">
        <v>1767</v>
      </c>
      <c r="D29" s="138"/>
      <c r="E29" s="138"/>
      <c r="F29" s="138"/>
      <c r="G29" s="138"/>
      <c r="H29" s="138"/>
      <c r="I29" s="138"/>
    </row>
    <row r="30" spans="3:30">
      <c r="C30" s="138"/>
      <c r="D30" s="140" t="s">
        <v>35</v>
      </c>
      <c r="E30" s="140" t="s">
        <v>41</v>
      </c>
      <c r="F30" s="140" t="s">
        <v>40</v>
      </c>
      <c r="G30" s="140" t="s">
        <v>34</v>
      </c>
      <c r="H30" s="140" t="s">
        <v>38</v>
      </c>
      <c r="I30" s="140" t="s">
        <v>1766</v>
      </c>
    </row>
    <row r="31" spans="3:30">
      <c r="C31" s="143" t="s">
        <v>24</v>
      </c>
      <c r="D31" s="144">
        <v>173</v>
      </c>
      <c r="E31" s="144">
        <v>32</v>
      </c>
      <c r="F31" s="144">
        <v>6</v>
      </c>
      <c r="G31" s="144">
        <v>10</v>
      </c>
      <c r="H31" s="144">
        <v>8</v>
      </c>
      <c r="I31" s="144">
        <v>229</v>
      </c>
      <c r="J31"/>
      <c r="K31"/>
      <c r="L31"/>
      <c r="M31"/>
      <c r="N31"/>
      <c r="O31"/>
      <c r="P31"/>
      <c r="Q31"/>
      <c r="R31"/>
      <c r="S31"/>
      <c r="T31"/>
      <c r="U31"/>
      <c r="V31"/>
      <c r="W31"/>
      <c r="X31"/>
      <c r="Y31"/>
      <c r="Z31"/>
      <c r="AA31"/>
      <c r="AB31"/>
      <c r="AC31"/>
      <c r="AD31"/>
    </row>
    <row r="32" spans="3:30">
      <c r="C32" s="154" t="s">
        <v>116</v>
      </c>
      <c r="D32" s="153">
        <v>37</v>
      </c>
      <c r="E32" s="153">
        <v>31</v>
      </c>
      <c r="F32" s="153">
        <v>6</v>
      </c>
      <c r="G32" s="153"/>
      <c r="H32" s="153"/>
      <c r="I32" s="153">
        <v>74</v>
      </c>
      <c r="J32"/>
      <c r="K32"/>
      <c r="L32"/>
      <c r="M32"/>
      <c r="N32"/>
      <c r="O32"/>
      <c r="P32"/>
      <c r="Q32"/>
      <c r="R32"/>
      <c r="S32"/>
      <c r="T32"/>
      <c r="U32"/>
      <c r="V32"/>
      <c r="W32"/>
      <c r="X32"/>
      <c r="Y32"/>
      <c r="Z32"/>
      <c r="AA32"/>
      <c r="AB32"/>
      <c r="AC32"/>
      <c r="AD32"/>
    </row>
    <row r="33" spans="3:30">
      <c r="C33" s="154" t="s">
        <v>331</v>
      </c>
      <c r="D33" s="153">
        <v>136</v>
      </c>
      <c r="E33" s="153">
        <v>1</v>
      </c>
      <c r="F33" s="153"/>
      <c r="G33" s="153">
        <v>10</v>
      </c>
      <c r="H33" s="153">
        <v>8</v>
      </c>
      <c r="I33" s="153">
        <v>155</v>
      </c>
      <c r="J33"/>
      <c r="K33"/>
      <c r="L33"/>
      <c r="M33"/>
      <c r="N33"/>
      <c r="O33"/>
      <c r="P33"/>
      <c r="Q33"/>
      <c r="R33"/>
      <c r="S33"/>
      <c r="T33"/>
      <c r="U33"/>
      <c r="V33"/>
      <c r="W33"/>
      <c r="X33"/>
      <c r="Y33"/>
      <c r="Z33"/>
      <c r="AA33"/>
      <c r="AB33"/>
      <c r="AC33"/>
      <c r="AD33"/>
    </row>
    <row r="34" spans="3:30">
      <c r="C34" s="146" t="s">
        <v>25</v>
      </c>
      <c r="D34" s="145">
        <v>23</v>
      </c>
      <c r="E34" s="145">
        <v>8</v>
      </c>
      <c r="F34" s="145">
        <v>7</v>
      </c>
      <c r="G34" s="145">
        <v>3</v>
      </c>
      <c r="H34" s="145"/>
      <c r="I34" s="145">
        <v>41</v>
      </c>
      <c r="J34"/>
      <c r="K34"/>
      <c r="L34"/>
      <c r="M34"/>
      <c r="N34"/>
      <c r="O34"/>
      <c r="P34"/>
      <c r="Q34"/>
      <c r="R34"/>
      <c r="S34"/>
      <c r="T34"/>
      <c r="U34"/>
      <c r="V34"/>
      <c r="W34"/>
      <c r="X34"/>
      <c r="Y34"/>
      <c r="Z34"/>
      <c r="AA34"/>
      <c r="AB34"/>
      <c r="AC34"/>
      <c r="AD34"/>
    </row>
    <row r="35" spans="3:30">
      <c r="C35" s="156" t="s">
        <v>116</v>
      </c>
      <c r="D35" s="155">
        <v>8</v>
      </c>
      <c r="E35" s="155">
        <v>1</v>
      </c>
      <c r="F35" s="155">
        <v>7</v>
      </c>
      <c r="G35" s="155">
        <v>1</v>
      </c>
      <c r="H35" s="155"/>
      <c r="I35" s="155">
        <v>17</v>
      </c>
      <c r="J35"/>
      <c r="K35"/>
    </row>
    <row r="36" spans="3:30">
      <c r="C36" s="156" t="s">
        <v>331</v>
      </c>
      <c r="D36" s="155">
        <v>15</v>
      </c>
      <c r="E36" s="155">
        <v>7</v>
      </c>
      <c r="F36" s="155"/>
      <c r="G36" s="155">
        <v>2</v>
      </c>
      <c r="H36" s="155"/>
      <c r="I36" s="155">
        <v>24</v>
      </c>
      <c r="J36"/>
      <c r="K36"/>
    </row>
    <row r="37" spans="3:30">
      <c r="C37" s="142" t="s">
        <v>26</v>
      </c>
      <c r="D37" s="141"/>
      <c r="E37" s="141"/>
      <c r="F37" s="141">
        <v>4</v>
      </c>
      <c r="G37" s="141"/>
      <c r="H37" s="141"/>
      <c r="I37" s="141">
        <v>4</v>
      </c>
      <c r="J37"/>
      <c r="K37"/>
    </row>
    <row r="38" spans="3:30">
      <c r="C38" s="148" t="s">
        <v>116</v>
      </c>
      <c r="D38" s="147"/>
      <c r="E38" s="147"/>
      <c r="F38" s="147">
        <v>4</v>
      </c>
      <c r="G38" s="147"/>
      <c r="H38" s="147"/>
      <c r="I38" s="147">
        <v>4</v>
      </c>
      <c r="J38"/>
      <c r="K38"/>
    </row>
    <row r="39" spans="3:30">
      <c r="C39" s="150" t="s">
        <v>27</v>
      </c>
      <c r="D39" s="149"/>
      <c r="E39" s="149">
        <v>1</v>
      </c>
      <c r="F39" s="149">
        <v>3</v>
      </c>
      <c r="G39" s="149">
        <v>1</v>
      </c>
      <c r="H39" s="149"/>
      <c r="I39" s="149">
        <v>5</v>
      </c>
    </row>
    <row r="40" spans="3:30">
      <c r="C40" s="152" t="s">
        <v>116</v>
      </c>
      <c r="D40" s="151"/>
      <c r="E40" s="151">
        <v>1</v>
      </c>
      <c r="F40" s="151">
        <v>3</v>
      </c>
      <c r="G40" s="151"/>
      <c r="H40" s="151"/>
      <c r="I40" s="151">
        <v>4</v>
      </c>
    </row>
    <row r="41" spans="3:30">
      <c r="C41" s="152" t="s">
        <v>331</v>
      </c>
      <c r="D41" s="151"/>
      <c r="E41" s="151"/>
      <c r="F41" s="151"/>
      <c r="G41" s="151">
        <v>1</v>
      </c>
      <c r="H41" s="151"/>
      <c r="I41" s="151">
        <v>1</v>
      </c>
    </row>
    <row r="42" spans="3:30">
      <c r="C42" s="139" t="s">
        <v>1766</v>
      </c>
      <c r="D42" s="140">
        <v>196</v>
      </c>
      <c r="E42" s="140">
        <v>41</v>
      </c>
      <c r="F42" s="140">
        <v>20</v>
      </c>
      <c r="G42" s="140">
        <v>14</v>
      </c>
      <c r="H42" s="140">
        <v>8</v>
      </c>
      <c r="I42" s="140">
        <v>279</v>
      </c>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V533"/>
  <sheetViews>
    <sheetView showGridLines="0" tabSelected="1" workbookViewId="0">
      <pane xSplit="6" ySplit="15" topLeftCell="I16" activePane="bottomRight" state="frozen"/>
      <selection activeCell="A12" sqref="A12"/>
      <selection pane="topRight" activeCell="G12" sqref="G12"/>
      <selection pane="bottomLeft" activeCell="A16" sqref="A16"/>
      <selection pane="bottomRight" activeCell="V35" sqref="V35"/>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3.54296875" style="3" hidden="1" customWidth="1" outlineLevel="1"/>
    <col min="28" max="28" width="12.1796875" style="3" hidden="1" customWidth="1" outlineLevel="1"/>
    <col min="29" max="29" width="9.1796875" style="3" hidden="1" customWidth="1" outlineLevel="1"/>
    <col min="30" max="30" width="18.90625" style="3" hidden="1" customWidth="1" outlineLevel="1"/>
    <col min="31" max="31" width="5.7265625" style="3" customWidth="1" collapsed="1"/>
    <col min="32" max="32" width="13.453125" style="3" hidden="1" customWidth="1" outlineLevel="1"/>
    <col min="33" max="33" width="11.36328125" style="3" hidden="1" customWidth="1" outlineLevel="1"/>
    <col min="34" max="34" width="12.90625" style="3" hidden="1" customWidth="1" outlineLevel="1"/>
    <col min="35" max="35" width="65" style="3" hidden="1" customWidth="1" outlineLevel="1"/>
    <col min="36" max="36" width="5.7265625" style="3" customWidth="1" collapsed="1"/>
    <col min="37" max="37" width="12.26953125" style="3" hidden="1" customWidth="1" outlineLevel="1"/>
    <col min="38" max="38" width="87.26953125" style="3" hidden="1" customWidth="1" outlineLevel="1"/>
    <col min="39" max="39" width="7.6328125" style="3" customWidth="1" collapsed="1"/>
    <col min="40" max="40" width="34.1796875" style="3" hidden="1" customWidth="1" outlineLevel="1"/>
    <col min="41" max="41" width="13.7265625" style="3" hidden="1" customWidth="1" outlineLevel="1"/>
    <col min="42" max="42" width="9.6328125" style="8" customWidth="1" collapsed="1"/>
    <col min="43" max="43" width="15.1796875" style="6" hidden="1" customWidth="1" outlineLevel="1"/>
    <col min="44" max="44" width="10.08984375" style="6" customWidth="1" collapsed="1"/>
    <col min="45" max="52" width="15.1796875" style="6" hidden="1" customWidth="1" outlineLevel="1"/>
    <col min="53" max="54" width="15.1796875" style="6" customWidth="1"/>
    <col min="55" max="55" width="15.1796875" style="6" customWidth="1" collapsed="1"/>
    <col min="56" max="56" width="48.36328125" style="6" hidden="1" customWidth="1"/>
    <col min="57" max="57" width="15.1796875" style="6" hidden="1" customWidth="1"/>
    <col min="58" max="58" width="46" style="6" hidden="1" customWidth="1"/>
    <col min="59" max="59" width="15.1796875" style="64" hidden="1" customWidth="1"/>
    <col min="60" max="60" width="16.7265625" style="63" hidden="1" customWidth="1"/>
    <col min="61" max="61" width="13.81640625" style="63" hidden="1" customWidth="1"/>
    <col min="62" max="62" width="66.453125" style="63" hidden="1" customWidth="1"/>
    <col min="63" max="64" width="13.81640625" style="63" hidden="1" customWidth="1"/>
    <col min="65" max="89" width="13.81640625" style="3" customWidth="1"/>
    <col min="90" max="90" width="51.1796875" style="5" bestFit="1" customWidth="1"/>
    <col min="91" max="91" width="5.7265625" style="5" customWidth="1"/>
    <col min="92" max="92" width="61.26953125" style="3" customWidth="1"/>
    <col min="93" max="93" width="5.7265625" style="5" customWidth="1" collapsed="1"/>
    <col min="94" max="94" width="18.1796875" style="5" customWidth="1"/>
    <col min="95" max="95" width="58.453125" style="5" customWidth="1"/>
    <col min="96" max="96" width="17" style="5" customWidth="1" collapsed="1"/>
    <col min="97" max="97" width="54.453125" style="5" customWidth="1"/>
    <col min="98" max="98" width="5.7265625" style="3" customWidth="1" collapsed="1"/>
    <col min="99" max="99" width="81.1796875" style="3" customWidth="1"/>
    <col min="100" max="100" width="17" style="5" customWidth="1" collapsed="1"/>
    <col min="101" max="101" width="15.81640625" style="3" customWidth="1"/>
    <col min="102" max="102" width="5.26953125" style="3" customWidth="1"/>
    <col min="103" max="103" width="32" style="3" customWidth="1"/>
    <col min="104" max="104" width="24.1796875" style="3" customWidth="1"/>
    <col min="105" max="105" width="6" style="3" customWidth="1"/>
    <col min="106" max="107" width="24.1796875" style="3" customWidth="1"/>
    <col min="108" max="108" width="5.7265625" style="3" customWidth="1" collapsed="1"/>
    <col min="109" max="109" width="49" style="3" customWidth="1"/>
    <col min="110" max="110" width="5.7265625" style="3" customWidth="1" collapsed="1"/>
    <col min="111" max="111" width="24.1796875" style="3" customWidth="1"/>
    <col min="112" max="112" width="8" style="3" customWidth="1"/>
    <col min="113" max="121" width="38.81640625" style="3" customWidth="1"/>
    <col min="122" max="122" width="24.1796875" style="3" customWidth="1"/>
    <col min="123" max="123" width="35" style="3" customWidth="1"/>
    <col min="124" max="124" width="4.26953125" style="5" customWidth="1" collapsed="1"/>
    <col min="125" max="125" width="31.1796875" style="3" customWidth="1"/>
    <col min="126" max="126" width="4.26953125" style="3" customWidth="1" collapsed="1"/>
    <col min="127" max="127" width="22.1796875" style="3" customWidth="1"/>
    <col min="128" max="128" width="7.7265625" style="3" customWidth="1"/>
    <col min="129" max="131" width="34.81640625" style="3" customWidth="1"/>
    <col min="132" max="132" width="20" style="3" customWidth="1"/>
    <col min="133" max="134" width="22.1796875" style="3" customWidth="1"/>
    <col min="135" max="135" width="13.26953125" style="3" bestFit="1" customWidth="1"/>
    <col min="136" max="136" width="22.1796875" style="3" customWidth="1"/>
    <col min="137" max="137" width="14.1796875" style="3" customWidth="1"/>
    <col min="138" max="141" width="4.26953125" style="7" customWidth="1"/>
    <col min="142" max="142" width="58.453125" style="4" customWidth="1"/>
    <col min="143" max="143" width="10" style="4" customWidth="1"/>
    <col min="144" max="144" width="41.81640625" style="4" customWidth="1"/>
    <col min="145" max="145" width="12.54296875" style="4" customWidth="1"/>
    <col min="146" max="146" width="19.453125" style="4" customWidth="1"/>
    <col min="147" max="147" width="57.453125" style="4" customWidth="1"/>
    <col min="148" max="148" width="22.26953125" style="4" customWidth="1"/>
    <col min="149" max="149" width="30.1796875" style="4" customWidth="1"/>
    <col min="150" max="150" width="47.7265625" style="4" customWidth="1"/>
    <col min="151" max="152" width="9.1796875" style="4"/>
    <col min="153" max="16384" width="9.1796875" style="2"/>
  </cols>
  <sheetData>
    <row r="1" spans="1:152"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54"/>
      <c r="BH1" s="54"/>
      <c r="BI1" s="54"/>
      <c r="BJ1" s="54"/>
      <c r="BK1" s="54"/>
      <c r="BL1" s="54"/>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6"/>
      <c r="CY1" s="16"/>
      <c r="CZ1" s="16"/>
      <c r="DA1" s="16"/>
    </row>
    <row r="2" spans="1:152"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54"/>
      <c r="BH2" s="54"/>
      <c r="BI2" s="54"/>
      <c r="BJ2" s="54"/>
      <c r="BK2" s="54"/>
      <c r="BL2" s="54"/>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6"/>
      <c r="CY2" s="16"/>
      <c r="CZ2" s="16"/>
      <c r="DA2" s="16"/>
    </row>
    <row r="3" spans="1:152"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54"/>
      <c r="BH3" s="54"/>
      <c r="BI3" s="54"/>
      <c r="BJ3" s="54"/>
      <c r="BK3" s="54"/>
      <c r="BL3" s="54"/>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6"/>
      <c r="CV3" s="16"/>
      <c r="CW3" s="16"/>
      <c r="CX3" s="16"/>
    </row>
    <row r="4" spans="1:152"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20"/>
      <c r="BD4" s="20"/>
      <c r="BE4" s="20"/>
      <c r="BF4" s="20"/>
      <c r="BG4" s="55"/>
      <c r="BH4" s="55"/>
      <c r="BI4" s="55"/>
      <c r="BJ4" s="55"/>
      <c r="BK4" s="55"/>
      <c r="BL4" s="55"/>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16"/>
      <c r="CV4" s="16"/>
      <c r="CW4" s="16"/>
      <c r="CX4" s="16"/>
    </row>
    <row r="5" spans="1:152"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55"/>
      <c r="BH5" s="55"/>
      <c r="BI5" s="55"/>
      <c r="BJ5" s="55"/>
      <c r="BK5" s="55"/>
      <c r="BL5" s="55"/>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16"/>
      <c r="CV5" s="16"/>
      <c r="CW5" s="16"/>
      <c r="CX5" s="16"/>
    </row>
    <row r="6" spans="1:152" s="27" customFormat="1" hidden="1">
      <c r="A6" s="26" t="s">
        <v>5</v>
      </c>
      <c r="F6" s="28"/>
      <c r="G6" s="29"/>
      <c r="H6" s="29"/>
      <c r="AO6" s="30"/>
      <c r="AP6" s="30"/>
      <c r="AQ6" s="30"/>
      <c r="AR6" s="30"/>
      <c r="AS6" s="30"/>
      <c r="AT6" s="30"/>
      <c r="AU6" s="30"/>
      <c r="AV6" s="30"/>
      <c r="AW6" s="30"/>
      <c r="AX6" s="30"/>
      <c r="AY6" s="30"/>
      <c r="AZ6" s="30"/>
      <c r="BA6" s="30"/>
      <c r="BB6" s="30"/>
      <c r="BC6" s="30"/>
      <c r="BD6" s="30"/>
      <c r="BE6" s="30"/>
      <c r="BF6" s="30"/>
      <c r="BG6" s="56"/>
      <c r="BH6" s="56"/>
      <c r="BI6" s="56"/>
      <c r="BJ6" s="56"/>
      <c r="BK6" s="56"/>
      <c r="BL6" s="56"/>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1"/>
      <c r="CY6" s="31"/>
      <c r="CZ6" s="31"/>
      <c r="DA6" s="31"/>
    </row>
    <row r="7" spans="1:152"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56"/>
      <c r="BH7" s="56"/>
      <c r="BI7" s="56"/>
      <c r="BJ7" s="56"/>
      <c r="BK7" s="56"/>
      <c r="BL7" s="56"/>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1"/>
      <c r="CY7" s="31"/>
      <c r="CZ7" s="31"/>
      <c r="DA7" s="31"/>
    </row>
    <row r="8" spans="1:152"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30"/>
      <c r="BD8" s="30"/>
      <c r="BE8" s="30"/>
      <c r="BF8" s="30"/>
      <c r="BG8" s="56"/>
      <c r="BH8" s="56"/>
      <c r="BI8" s="56"/>
      <c r="BJ8" s="56"/>
      <c r="BK8" s="56"/>
      <c r="BL8" s="56"/>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1"/>
      <c r="CY8" s="31"/>
      <c r="CZ8" s="31"/>
      <c r="DA8" s="31"/>
    </row>
    <row r="9" spans="1:152"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A9" s="29"/>
      <c r="BB9" s="29"/>
      <c r="BC9" s="29"/>
      <c r="BD9" s="29"/>
      <c r="BG9" s="57"/>
      <c r="BH9" s="57"/>
      <c r="BI9" s="57"/>
      <c r="BJ9" s="57"/>
      <c r="BK9" s="57"/>
      <c r="BL9" s="57"/>
      <c r="DA9" s="31"/>
      <c r="DB9" s="31"/>
      <c r="DC9" s="31"/>
      <c r="DD9" s="31"/>
    </row>
    <row r="10" spans="1:152"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A10" s="68"/>
      <c r="BB10" s="68"/>
      <c r="BC10" s="68"/>
      <c r="BD10" s="68"/>
      <c r="BG10" s="54"/>
      <c r="BH10" s="54"/>
      <c r="BI10" s="54"/>
      <c r="BJ10" s="54"/>
      <c r="BK10" s="54"/>
      <c r="BL10" s="54"/>
      <c r="CX10" s="16"/>
      <c r="CY10" s="16"/>
      <c r="CZ10" s="16"/>
      <c r="DA10" s="16"/>
    </row>
    <row r="11" spans="1:152" s="29" customFormat="1" hidden="1">
      <c r="AP11" s="28"/>
      <c r="BG11" s="58"/>
      <c r="BH11" s="58"/>
      <c r="BI11" s="58"/>
      <c r="BJ11" s="58"/>
      <c r="BK11" s="58"/>
      <c r="BL11" s="58"/>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1"/>
      <c r="EH11" s="31"/>
      <c r="EI11" s="31"/>
      <c r="EJ11" s="31"/>
    </row>
    <row r="12" spans="1:152" s="41" customFormat="1" hidden="1">
      <c r="A12" s="40"/>
      <c r="C12" s="82"/>
      <c r="D12" s="82"/>
      <c r="AL12" s="43"/>
      <c r="AM12" s="40"/>
      <c r="AN12" s="40"/>
      <c r="BG12" s="59"/>
      <c r="BH12" s="59"/>
      <c r="BI12" s="59"/>
      <c r="BJ12" s="59"/>
      <c r="BK12" s="59"/>
      <c r="BL12" s="59"/>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5"/>
      <c r="ED12" s="45"/>
      <c r="EE12" s="45"/>
      <c r="EF12" s="45"/>
    </row>
    <row r="13" spans="1:152" s="41" customFormat="1" ht="21">
      <c r="A13" s="46" t="s">
        <v>1314</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58"/>
      <c r="BH13" s="59"/>
      <c r="BI13" s="59"/>
      <c r="BJ13" s="59"/>
      <c r="BK13" s="59"/>
      <c r="BL13" s="59"/>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9"/>
      <c r="EH13" s="49"/>
      <c r="EI13" s="49"/>
      <c r="EJ13" s="49"/>
    </row>
    <row r="14" spans="1:152"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50"/>
      <c r="BD14" s="50"/>
      <c r="BE14" s="50"/>
      <c r="BF14" s="50"/>
      <c r="BG14" s="60"/>
      <c r="BH14" s="60"/>
      <c r="BI14" s="60"/>
      <c r="BJ14" s="60"/>
      <c r="BK14" s="60"/>
      <c r="BL14" s="6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row>
    <row r="15" spans="1:152"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2115</v>
      </c>
      <c r="AB15" s="96" t="s">
        <v>2116</v>
      </c>
      <c r="AC15" s="96" t="s">
        <v>28</v>
      </c>
      <c r="AD15" s="96" t="s">
        <v>59</v>
      </c>
      <c r="AE15" s="97" t="s">
        <v>19</v>
      </c>
      <c r="AF15" s="98" t="s">
        <v>105</v>
      </c>
      <c r="AG15" s="98" t="s">
        <v>103</v>
      </c>
      <c r="AH15" s="98" t="s">
        <v>104</v>
      </c>
      <c r="AI15" s="98" t="s">
        <v>14</v>
      </c>
      <c r="AJ15" s="99" t="s">
        <v>60</v>
      </c>
      <c r="AK15" s="100" t="s">
        <v>29</v>
      </c>
      <c r="AL15" s="100" t="s">
        <v>61</v>
      </c>
      <c r="AM15" s="86" t="s">
        <v>106</v>
      </c>
      <c r="AN15" s="86" t="s">
        <v>62</v>
      </c>
      <c r="AO15" s="86" t="s">
        <v>107</v>
      </c>
      <c r="AP15" s="86" t="s">
        <v>108</v>
      </c>
      <c r="AQ15" s="86" t="s">
        <v>33</v>
      </c>
      <c r="AR15" s="86" t="s">
        <v>109</v>
      </c>
      <c r="AS15" s="86" t="s">
        <v>84</v>
      </c>
      <c r="AT15" s="69" t="s">
        <v>110</v>
      </c>
      <c r="AU15" s="70" t="s">
        <v>111</v>
      </c>
      <c r="AV15" s="71" t="s">
        <v>112</v>
      </c>
      <c r="AW15" s="72" t="s">
        <v>113</v>
      </c>
      <c r="AX15" s="73" t="s">
        <v>114</v>
      </c>
      <c r="AY15" s="106" t="s">
        <v>115</v>
      </c>
      <c r="AZ15" s="108" t="s">
        <v>1548</v>
      </c>
      <c r="BA15" s="107" t="s">
        <v>98</v>
      </c>
      <c r="BB15" s="74" t="s">
        <v>1315</v>
      </c>
      <c r="BC15" s="53" t="s">
        <v>80</v>
      </c>
      <c r="BD15" s="103" t="s">
        <v>85</v>
      </c>
      <c r="BE15" s="102" t="s">
        <v>87</v>
      </c>
      <c r="BF15" s="61" t="s">
        <v>81</v>
      </c>
      <c r="BG15" s="62" t="s">
        <v>82</v>
      </c>
      <c r="BH15" s="62" t="s">
        <v>83</v>
      </c>
      <c r="BI15" s="62" t="s">
        <v>86</v>
      </c>
      <c r="BJ15" s="74" t="s">
        <v>100</v>
      </c>
      <c r="BK15" s="3"/>
      <c r="BL15" s="3"/>
      <c r="CJ15" s="5"/>
      <c r="CK15" s="5"/>
      <c r="CL15" s="3"/>
      <c r="CN15" s="5"/>
      <c r="CR15" s="3"/>
      <c r="CS15" s="3"/>
      <c r="CT15" s="5"/>
      <c r="CV15" s="3"/>
      <c r="DR15" s="5"/>
      <c r="DT15" s="3"/>
      <c r="EF15" s="7"/>
      <c r="EG15" s="7"/>
      <c r="EJ15" s="4"/>
      <c r="EK15" s="4"/>
      <c r="EU15" s="2"/>
      <c r="EV15" s="2"/>
    </row>
    <row r="16" spans="1:152">
      <c r="A16" s="105">
        <v>3645</v>
      </c>
      <c r="B16" s="160" t="s">
        <v>2117</v>
      </c>
      <c r="C16" s="160" t="s">
        <v>116</v>
      </c>
      <c r="D16" s="160" t="s">
        <v>117</v>
      </c>
      <c r="E16" s="160" t="s">
        <v>2118</v>
      </c>
      <c r="F16" s="160" t="s">
        <v>35</v>
      </c>
      <c r="G16" s="160" t="s">
        <v>1919</v>
      </c>
      <c r="H16" s="160" t="s">
        <v>1619</v>
      </c>
      <c r="I16" s="160" t="s">
        <v>1311</v>
      </c>
      <c r="J16" s="160" t="s">
        <v>940</v>
      </c>
      <c r="K16" s="161">
        <v>43488</v>
      </c>
      <c r="L16" s="162">
        <v>0.72</v>
      </c>
      <c r="M16" s="162">
        <v>0.9</v>
      </c>
      <c r="N16" s="160">
        <v>6</v>
      </c>
      <c r="O16" s="160" t="s">
        <v>119</v>
      </c>
      <c r="P16" s="163" t="s">
        <v>1227</v>
      </c>
      <c r="Q16" s="163" t="s">
        <v>2119</v>
      </c>
      <c r="R16" s="160" t="s">
        <v>25</v>
      </c>
      <c r="S16" s="160"/>
      <c r="T16" s="164" t="s">
        <v>861</v>
      </c>
      <c r="U16" s="160"/>
      <c r="V16" s="164" t="s">
        <v>120</v>
      </c>
      <c r="W16" s="160"/>
      <c r="X16" s="164" t="s">
        <v>120</v>
      </c>
      <c r="Y16" s="160" t="s">
        <v>1920</v>
      </c>
      <c r="Z16" s="166" t="s">
        <v>125</v>
      </c>
      <c r="AA16" s="168"/>
      <c r="AB16" s="168"/>
      <c r="AC16" s="171"/>
      <c r="AD16" s="160"/>
      <c r="AE16" s="164"/>
      <c r="AF16" s="161"/>
      <c r="AG16" s="173"/>
      <c r="AH16" s="173"/>
      <c r="AI16" s="160"/>
      <c r="AJ16" s="164" t="s">
        <v>120</v>
      </c>
      <c r="AK16" s="160" t="s">
        <v>123</v>
      </c>
      <c r="AL16" s="160" t="s">
        <v>1493</v>
      </c>
      <c r="AM16" s="164"/>
      <c r="AN16" s="160"/>
      <c r="AO16" s="174"/>
      <c r="AP16" s="160"/>
      <c r="AQ16" s="160"/>
      <c r="AR16" s="164"/>
      <c r="AS16" s="160"/>
      <c r="AT16" s="161">
        <v>43488.658751388903</v>
      </c>
      <c r="AU16" s="161"/>
      <c r="AV16" s="161"/>
      <c r="AW16" s="161">
        <v>43488.681577661999</v>
      </c>
      <c r="AX16" s="161"/>
      <c r="AY16" s="161">
        <v>43488.558570138899</v>
      </c>
      <c r="AZ16" s="175"/>
      <c r="BA16" s="176">
        <f ca="1">IF(_05preva_view43[[#This Row],[Prevalidation Status]]="Under Prevalidation",NOW()-_05preva_view43[[#This Row],[Request Date]],IF(_05preva_view43[[#This Row],[Close Date]]&gt;_05preva_view43[[#This Row],[Request Date]],_05preva_view43[[#This Row],[Close Date]]-_05preva_view43[[#This Row],[Request Date]],"Not  Calculated"))</f>
        <v>0.70510648148047039</v>
      </c>
      <c r="BB16" s="177">
        <f>COUNTIFS(_05preva_view43[Site ID],_05preva_view43[[#This Row],[Site ID]],_05preva_view43[Prevalidation Status],"Under Prevalidation")</f>
        <v>1</v>
      </c>
      <c r="BC16" s="178" t="e">
        <f ca="1">HYPERLINK(CheckPath(_05preva_view43[[#This Row],[File Path]],_05preva_view43[[#This Row],[File Path]],_05preva_view43[[#This Row],[Folder Path3]]),CheckPath(_05preva_view43[[#This Row],[File Path]],"Open File","No File"))</f>
        <v>#VALUE!</v>
      </c>
      <c r="BD16" s="179" t="str">
        <f>CONCATENATE(_05preva_view43[[#This Row],[Site ID]]," (",_05preva_view43[[#This Row],[tenant id]],") Application",IF(_05preva_view43[[#This Row],[Colo Rev]]&gt;0," Rev "&amp;_05preva_view43[[#This Row],[Colo Rev]],""),".xlsx")</f>
        <v>ANPT00018 (NPT00540) Application Rev 0.xlsx</v>
      </c>
      <c r="BE16" s="64" t="e">
        <f t="shared" ref="BE16:BE79" ca="1" si="2">FIND("Process &amp; Database\",CELL("filename",$A$1))</f>
        <v>#VALUE!</v>
      </c>
      <c r="BF16" s="104" t="e">
        <f ca="1">LEFT(CELL("filename",A1),_05preva_view43[[#This Row],[Find Process &amp; Database]]-1)</f>
        <v>#VALUE!</v>
      </c>
      <c r="BG16" s="104" t="e">
        <f ca="1">_05preva_view43[Folder Path1]&amp;"Process &amp; Database\Documentation\Colo Applications"</f>
        <v>#VALUE!</v>
      </c>
      <c r="BH16" s="104" t="e">
        <f ca="1">_05preva_view43[Folder Path2]&amp;"\Colo App "&amp;_05preva_view43[[#This Row],[Operator]]&amp;"\"</f>
        <v>#VALUE!</v>
      </c>
      <c r="BI16" s="63" t="e">
        <f ca="1">_05preva_view43[[#This Row],[Folder Path3]]&amp;_05preva_view43[[#This Row],[File Name]]</f>
        <v>#VALUE!</v>
      </c>
      <c r="BJ16" s="104"/>
      <c r="BK16" s="3"/>
      <c r="BL16" s="3"/>
      <c r="CJ16" s="5"/>
      <c r="CK16" s="5"/>
      <c r="CL16" s="3"/>
      <c r="CN16" s="5"/>
      <c r="CR16" s="3"/>
      <c r="CS16" s="3"/>
      <c r="CT16" s="5"/>
      <c r="CV16" s="3"/>
      <c r="DR16" s="5"/>
      <c r="DT16" s="3"/>
      <c r="EF16" s="7"/>
      <c r="EG16" s="7"/>
      <c r="EJ16" s="4"/>
      <c r="EK16" s="4"/>
      <c r="EU16" s="2"/>
      <c r="EV16" s="2"/>
    </row>
    <row r="17" spans="1:152">
      <c r="A17" s="125">
        <v>3646</v>
      </c>
      <c r="B17" s="126" t="s">
        <v>2120</v>
      </c>
      <c r="C17" s="126" t="s">
        <v>331</v>
      </c>
      <c r="D17" s="126" t="s">
        <v>163</v>
      </c>
      <c r="E17" s="126" t="s">
        <v>2121</v>
      </c>
      <c r="F17" s="126" t="s">
        <v>35</v>
      </c>
      <c r="G17" s="126" t="s">
        <v>1919</v>
      </c>
      <c r="H17" s="126" t="s">
        <v>1619</v>
      </c>
      <c r="I17" s="126" t="s">
        <v>1311</v>
      </c>
      <c r="J17" s="126" t="s">
        <v>940</v>
      </c>
      <c r="K17" s="127">
        <v>43488</v>
      </c>
      <c r="L17" s="128">
        <v>0.72</v>
      </c>
      <c r="M17" s="128">
        <v>0.9</v>
      </c>
      <c r="N17" s="126">
        <v>6</v>
      </c>
      <c r="O17" s="126" t="s">
        <v>950</v>
      </c>
      <c r="P17" s="129" t="s">
        <v>291</v>
      </c>
      <c r="Q17" s="129" t="s">
        <v>292</v>
      </c>
      <c r="R17" s="126" t="s">
        <v>25</v>
      </c>
      <c r="S17" s="126"/>
      <c r="T17" s="130" t="s">
        <v>861</v>
      </c>
      <c r="U17" s="126"/>
      <c r="V17" s="130" t="s">
        <v>120</v>
      </c>
      <c r="W17" s="126"/>
      <c r="X17" s="130" t="s">
        <v>120</v>
      </c>
      <c r="Y17" s="126" t="s">
        <v>1920</v>
      </c>
      <c r="Z17" s="165" t="s">
        <v>125</v>
      </c>
      <c r="AA17" s="158"/>
      <c r="AB17" s="158"/>
      <c r="AC17" s="170"/>
      <c r="AD17" s="126"/>
      <c r="AE17" s="130"/>
      <c r="AF17" s="127"/>
      <c r="AG17" s="131"/>
      <c r="AH17" s="131"/>
      <c r="AI17" s="126"/>
      <c r="AJ17" s="130" t="s">
        <v>120</v>
      </c>
      <c r="AK17" s="126" t="s">
        <v>123</v>
      </c>
      <c r="AL17" s="126" t="s">
        <v>1493</v>
      </c>
      <c r="AM17" s="130"/>
      <c r="AN17" s="126"/>
      <c r="AO17" s="132"/>
      <c r="AP17" s="126"/>
      <c r="AQ17" s="126"/>
      <c r="AR17" s="130"/>
      <c r="AS17" s="126"/>
      <c r="AT17" s="127">
        <v>43488.658752661999</v>
      </c>
      <c r="AU17" s="127"/>
      <c r="AV17" s="127"/>
      <c r="AW17" s="127">
        <v>43488.658752661999</v>
      </c>
      <c r="AX17" s="127"/>
      <c r="AY17" s="127">
        <v>43488.558571412002</v>
      </c>
      <c r="AZ17" s="133"/>
      <c r="BA17" s="134">
        <f ca="1">IF(_05preva_view43[[#This Row],[Prevalidation Status]]="Under Prevalidation",NOW()-_05preva_view43[[#This Row],[Request Date]],IF(_05preva_view43[[#This Row],[Close Date]]&gt;_05preva_view43[[#This Row],[Request Date]],_05preva_view43[[#This Row],[Close Date]]-_05preva_view43[[#This Row],[Request Date]],"Not  Calculated"))</f>
        <v>0.70510648148047039</v>
      </c>
      <c r="BB17" s="135">
        <f>COUNTIFS(_05preva_view43[Site ID],_05preva_view43[[#This Row],[Site ID]],_05preva_view43[Prevalidation Status],"Under Prevalidation")</f>
        <v>1</v>
      </c>
      <c r="BC17" s="157" t="e">
        <f ca="1">HYPERLINK(CheckPath(_05preva_view43[[#This Row],[File Path]],_05preva_view43[[#This Row],[File Path]],_05preva_view43[[#This Row],[Folder Path3]]),CheckPath(_05preva_view43[[#This Row],[File Path]],"Open File","No File"))</f>
        <v>#VALUE!</v>
      </c>
      <c r="BD17" s="136" t="str">
        <f>CONCATENATE(_05preva_view43[[#This Row],[Site ID]]," (",_05preva_view43[[#This Row],[tenant id]],") Application",IF(_05preva_view43[[#This Row],[Colo Rev]]&gt;0," Rev "&amp;_05preva_view43[[#This Row],[Colo Rev]],""),".xlsx")</f>
        <v>PAYW00030 (AWD01425) Application Rev 0.xlsx</v>
      </c>
      <c r="BE17" s="64" t="e">
        <f t="shared" ca="1" si="2"/>
        <v>#VALUE!</v>
      </c>
      <c r="BF17" s="104" t="e">
        <f ca="1">LEFT(CELL("filename",A2),_05preva_view43[[#This Row],[Find Process &amp; Database]]-1)</f>
        <v>#VALUE!</v>
      </c>
      <c r="BG17" s="104" t="e">
        <f ca="1">_05preva_view43[Folder Path1]&amp;"Process &amp; Database\Documentation\Colo Applications"</f>
        <v>#VALUE!</v>
      </c>
      <c r="BH17" s="104" t="e">
        <f ca="1">_05preva_view43[Folder Path2]&amp;"\Colo App "&amp;_05preva_view43[[#This Row],[Operator]]&amp;"\"</f>
        <v>#VALUE!</v>
      </c>
      <c r="BI17" s="63" t="e">
        <f ca="1">_05preva_view43[[#This Row],[Folder Path3]]&amp;_05preva_view43[[#This Row],[File Name]]</f>
        <v>#VALUE!</v>
      </c>
      <c r="BJ17" s="104"/>
      <c r="BK17" s="3"/>
      <c r="BL17" s="3"/>
      <c r="CJ17" s="5"/>
      <c r="CK17" s="5"/>
      <c r="CL17" s="3"/>
      <c r="CN17" s="5"/>
      <c r="CR17" s="3"/>
      <c r="CS17" s="3"/>
      <c r="CT17" s="5"/>
      <c r="CV17" s="3"/>
      <c r="DR17" s="5"/>
      <c r="DT17" s="3"/>
      <c r="EF17" s="7"/>
      <c r="EG17" s="7"/>
      <c r="EJ17" s="4"/>
      <c r="EK17" s="4"/>
      <c r="EU17" s="2"/>
      <c r="EV17" s="2"/>
    </row>
    <row r="18" spans="1:152">
      <c r="A18" s="125">
        <v>3647</v>
      </c>
      <c r="B18" s="126" t="s">
        <v>2122</v>
      </c>
      <c r="C18" s="126" t="s">
        <v>331</v>
      </c>
      <c r="D18" s="126" t="s">
        <v>117</v>
      </c>
      <c r="E18" s="126" t="s">
        <v>2123</v>
      </c>
      <c r="F18" s="126" t="s">
        <v>35</v>
      </c>
      <c r="G18" s="126" t="s">
        <v>1919</v>
      </c>
      <c r="H18" s="126" t="s">
        <v>1619</v>
      </c>
      <c r="I18" s="126" t="s">
        <v>1311</v>
      </c>
      <c r="J18" s="126" t="s">
        <v>940</v>
      </c>
      <c r="K18" s="127">
        <v>43488</v>
      </c>
      <c r="L18" s="128">
        <v>0.72</v>
      </c>
      <c r="M18" s="128">
        <v>0.9</v>
      </c>
      <c r="N18" s="126">
        <v>6</v>
      </c>
      <c r="O18" s="126" t="s">
        <v>950</v>
      </c>
      <c r="P18" s="129" t="s">
        <v>291</v>
      </c>
      <c r="Q18" s="129" t="s">
        <v>292</v>
      </c>
      <c r="R18" s="126" t="s">
        <v>25</v>
      </c>
      <c r="S18" s="126"/>
      <c r="T18" s="130" t="s">
        <v>861</v>
      </c>
      <c r="U18" s="126"/>
      <c r="V18" s="130" t="s">
        <v>120</v>
      </c>
      <c r="W18" s="126"/>
      <c r="X18" s="130" t="s">
        <v>120</v>
      </c>
      <c r="Y18" s="126" t="s">
        <v>1920</v>
      </c>
      <c r="Z18" s="165" t="s">
        <v>125</v>
      </c>
      <c r="AA18" s="158"/>
      <c r="AB18" s="158"/>
      <c r="AC18" s="170"/>
      <c r="AD18" s="126"/>
      <c r="AE18" s="130"/>
      <c r="AF18" s="127"/>
      <c r="AG18" s="131"/>
      <c r="AH18" s="131"/>
      <c r="AI18" s="126"/>
      <c r="AJ18" s="130" t="s">
        <v>120</v>
      </c>
      <c r="AK18" s="126" t="s">
        <v>123</v>
      </c>
      <c r="AL18" s="126" t="s">
        <v>1493</v>
      </c>
      <c r="AM18" s="130"/>
      <c r="AN18" s="126"/>
      <c r="AO18" s="132"/>
      <c r="AP18" s="126"/>
      <c r="AQ18" s="126"/>
      <c r="AR18" s="130"/>
      <c r="AS18" s="126"/>
      <c r="AT18" s="127">
        <v>43488.658754976903</v>
      </c>
      <c r="AU18" s="127"/>
      <c r="AV18" s="127"/>
      <c r="AW18" s="127">
        <v>43488.658754976903</v>
      </c>
      <c r="AX18" s="127"/>
      <c r="AY18" s="127">
        <v>43488.558572453701</v>
      </c>
      <c r="AZ18" s="133"/>
      <c r="BA18" s="134">
        <f ca="1">IF(_05preva_view43[[#This Row],[Prevalidation Status]]="Under Prevalidation",NOW()-_05preva_view43[[#This Row],[Request Date]],IF(_05preva_view43[[#This Row],[Close Date]]&gt;_05preva_view43[[#This Row],[Request Date]],_05preva_view43[[#This Row],[Close Date]]-_05preva_view43[[#This Row],[Request Date]],"Not  Calculated"))</f>
        <v>0.70510648148047039</v>
      </c>
      <c r="BB18" s="135">
        <f>COUNTIFS(_05preva_view43[Site ID],_05preva_view43[[#This Row],[Site ID]],_05preva_view43[Prevalidation Status],"Under Prevalidation")</f>
        <v>1</v>
      </c>
      <c r="BC18" s="157" t="e">
        <f ca="1">HYPERLINK(CheckPath(_05preva_view43[[#This Row],[File Path]],_05preva_view43[[#This Row],[File Path]],_05preva_view43[[#This Row],[Folder Path3]]),CheckPath(_05preva_view43[[#This Row],[File Path]],"Open File","No File"))</f>
        <v>#VALUE!</v>
      </c>
      <c r="BD18" s="136" t="str">
        <f>CONCATENATE(_05preva_view43[[#This Row],[Site ID]]," (",_05preva_view43[[#This Row],[tenant id]],") Application",IF(_05preva_view43[[#This Row],[Colo Rev]]&gt;0," Rev "&amp;_05preva_view43[[#This Row],[Colo Rev]],""),".xlsx")</f>
        <v>PNPT00048 (NPT00548) Application Rev 0.xlsx</v>
      </c>
      <c r="BE18" s="64" t="e">
        <f t="shared" ca="1" si="2"/>
        <v>#VALUE!</v>
      </c>
      <c r="BF18" s="104" t="e">
        <f ca="1">LEFT(CELL("filename",A3),_05preva_view43[[#This Row],[Find Process &amp; Database]]-1)</f>
        <v>#VALUE!</v>
      </c>
      <c r="BG18" s="104" t="e">
        <f ca="1">_05preva_view43[Folder Path1]&amp;"Process &amp; Database\Documentation\Colo Applications"</f>
        <v>#VALUE!</v>
      </c>
      <c r="BH18" s="104" t="e">
        <f ca="1">_05preva_view43[Folder Path2]&amp;"\Colo App "&amp;_05preva_view43[[#This Row],[Operator]]&amp;"\"</f>
        <v>#VALUE!</v>
      </c>
      <c r="BI18" s="63" t="e">
        <f ca="1">_05preva_view43[[#This Row],[Folder Path3]]&amp;_05preva_view43[[#This Row],[File Name]]</f>
        <v>#VALUE!</v>
      </c>
      <c r="BJ18" s="104"/>
      <c r="BK18" s="3"/>
      <c r="BL18" s="3"/>
      <c r="CJ18" s="5"/>
      <c r="CK18" s="5"/>
      <c r="CL18" s="3"/>
      <c r="CN18" s="5"/>
      <c r="CR18" s="3"/>
      <c r="CS18" s="3"/>
      <c r="CT18" s="5"/>
      <c r="CV18" s="3"/>
      <c r="DR18" s="5"/>
      <c r="DT18" s="3"/>
      <c r="EF18" s="7"/>
      <c r="EG18" s="7"/>
      <c r="EJ18" s="4"/>
      <c r="EK18" s="4"/>
      <c r="EU18" s="2"/>
      <c r="EV18" s="2"/>
    </row>
    <row r="19" spans="1:152">
      <c r="A19" s="125">
        <v>3648</v>
      </c>
      <c r="B19" s="126" t="s">
        <v>2124</v>
      </c>
      <c r="C19" s="126" t="s">
        <v>331</v>
      </c>
      <c r="D19" s="126" t="s">
        <v>127</v>
      </c>
      <c r="E19" s="126" t="s">
        <v>2125</v>
      </c>
      <c r="F19" s="126" t="s">
        <v>35</v>
      </c>
      <c r="G19" s="126" t="s">
        <v>1919</v>
      </c>
      <c r="H19" s="126" t="s">
        <v>1619</v>
      </c>
      <c r="I19" s="126" t="s">
        <v>1311</v>
      </c>
      <c r="J19" s="126" t="s">
        <v>940</v>
      </c>
      <c r="K19" s="127">
        <v>43488</v>
      </c>
      <c r="L19" s="128">
        <v>1</v>
      </c>
      <c r="M19" s="128">
        <v>1.4</v>
      </c>
      <c r="N19" s="126">
        <v>6</v>
      </c>
      <c r="O19" s="126" t="s">
        <v>950</v>
      </c>
      <c r="P19" s="129" t="s">
        <v>291</v>
      </c>
      <c r="Q19" s="129" t="s">
        <v>292</v>
      </c>
      <c r="R19" s="126" t="s">
        <v>25</v>
      </c>
      <c r="S19" s="126"/>
      <c r="T19" s="130" t="s">
        <v>861</v>
      </c>
      <c r="U19" s="126"/>
      <c r="V19" s="130" t="s">
        <v>120</v>
      </c>
      <c r="W19" s="126"/>
      <c r="X19" s="130" t="s">
        <v>120</v>
      </c>
      <c r="Y19" s="126" t="s">
        <v>1920</v>
      </c>
      <c r="Z19" s="165" t="s">
        <v>125</v>
      </c>
      <c r="AA19" s="158"/>
      <c r="AB19" s="158"/>
      <c r="AC19" s="170"/>
      <c r="AD19" s="126"/>
      <c r="AE19" s="130"/>
      <c r="AF19" s="127"/>
      <c r="AG19" s="131"/>
      <c r="AH19" s="131"/>
      <c r="AI19" s="126"/>
      <c r="AJ19" s="130" t="s">
        <v>120</v>
      </c>
      <c r="AK19" s="126" t="s">
        <v>123</v>
      </c>
      <c r="AL19" s="126" t="s">
        <v>1493</v>
      </c>
      <c r="AM19" s="130"/>
      <c r="AN19" s="126"/>
      <c r="AO19" s="132"/>
      <c r="AP19" s="126"/>
      <c r="AQ19" s="126"/>
      <c r="AR19" s="130"/>
      <c r="AS19" s="126"/>
      <c r="AT19" s="127">
        <v>43488.6587565972</v>
      </c>
      <c r="AU19" s="127"/>
      <c r="AV19" s="127"/>
      <c r="AW19" s="127">
        <v>43488.6587565972</v>
      </c>
      <c r="AX19" s="127"/>
      <c r="AY19" s="127">
        <v>43488.558573726797</v>
      </c>
      <c r="AZ19" s="133"/>
      <c r="BA19" s="134">
        <f ca="1">IF(_05preva_view43[[#This Row],[Prevalidation Status]]="Under Prevalidation",NOW()-_05preva_view43[[#This Row],[Request Date]],IF(_05preva_view43[[#This Row],[Close Date]]&gt;_05preva_view43[[#This Row],[Request Date]],_05preva_view43[[#This Row],[Close Date]]-_05preva_view43[[#This Row],[Request Date]],"Not  Calculated"))</f>
        <v>0.70510648148047039</v>
      </c>
      <c r="BB19" s="135">
        <f>COUNTIFS(_05preva_view43[Site ID],_05preva_view43[[#This Row],[Site ID]],_05preva_view43[Prevalidation Status],"Under Prevalidation")</f>
        <v>1</v>
      </c>
      <c r="BC19" s="157" t="e">
        <f ca="1">HYPERLINK(CheckPath(_05preva_view43[[#This Row],[File Path]],_05preva_view43[[#This Row],[File Path]],_05preva_view43[[#This Row],[Folder Path3]]),CheckPath(_05preva_view43[[#This Row],[File Path]],"Open File","No File"))</f>
        <v>#VALUE!</v>
      </c>
      <c r="BD19" s="136" t="str">
        <f>CONCATENATE(_05preva_view43[[#This Row],[Site ID]]," (",_05preva_view43[[#This Row],[tenant id]],") Application",IF(_05preva_view43[[#This Row],[Colo Rev]]&gt;0," Rev "&amp;_05preva_view43[[#This Row],[Colo Rev]],""),".xlsx")</f>
        <v>PSGG00049 (SGG01676) Application Rev 0.xlsx</v>
      </c>
      <c r="BE19" s="64" t="e">
        <f t="shared" ca="1" si="2"/>
        <v>#VALUE!</v>
      </c>
      <c r="BF19" s="104" t="e">
        <f ca="1">LEFT(CELL("filename",A4),_05preva_view43[[#This Row],[Find Process &amp; Database]]-1)</f>
        <v>#VALUE!</v>
      </c>
      <c r="BG19" s="104" t="e">
        <f ca="1">_05preva_view43[Folder Path1]&amp;"Process &amp; Database\Documentation\Colo Applications"</f>
        <v>#VALUE!</v>
      </c>
      <c r="BH19" s="104" t="e">
        <f ca="1">_05preva_view43[Folder Path2]&amp;"\Colo App "&amp;_05preva_view43[[#This Row],[Operator]]&amp;"\"</f>
        <v>#VALUE!</v>
      </c>
      <c r="BI19" s="63" t="e">
        <f ca="1">_05preva_view43[[#This Row],[Folder Path3]]&amp;_05preva_view43[[#This Row],[File Name]]</f>
        <v>#VALUE!</v>
      </c>
      <c r="BJ19" s="104"/>
      <c r="BK19" s="3"/>
      <c r="BL19" s="3"/>
      <c r="CJ19" s="5"/>
      <c r="CK19" s="5"/>
      <c r="CL19" s="3"/>
      <c r="CN19" s="5"/>
      <c r="CR19" s="3"/>
      <c r="CS19" s="3"/>
      <c r="CT19" s="5"/>
      <c r="CV19" s="3"/>
      <c r="DR19" s="5"/>
      <c r="DT19" s="3"/>
      <c r="EF19" s="7"/>
      <c r="EG19" s="7"/>
      <c r="EJ19" s="4"/>
      <c r="EK19" s="4"/>
      <c r="EU19" s="2"/>
      <c r="EV19" s="2"/>
    </row>
    <row r="20" spans="1:152">
      <c r="A20" s="125">
        <v>3649</v>
      </c>
      <c r="B20" s="126" t="s">
        <v>2126</v>
      </c>
      <c r="C20" s="126" t="s">
        <v>116</v>
      </c>
      <c r="D20" s="126" t="s">
        <v>117</v>
      </c>
      <c r="E20" s="126" t="s">
        <v>2127</v>
      </c>
      <c r="F20" s="126" t="s">
        <v>35</v>
      </c>
      <c r="G20" s="126" t="s">
        <v>1919</v>
      </c>
      <c r="H20" s="126" t="s">
        <v>1619</v>
      </c>
      <c r="I20" s="126" t="s">
        <v>1311</v>
      </c>
      <c r="J20" s="126" t="s">
        <v>940</v>
      </c>
      <c r="K20" s="127">
        <v>43488</v>
      </c>
      <c r="L20" s="128">
        <v>0.72</v>
      </c>
      <c r="M20" s="128">
        <v>0.9</v>
      </c>
      <c r="N20" s="126">
        <v>6</v>
      </c>
      <c r="O20" s="126" t="s">
        <v>119</v>
      </c>
      <c r="P20" s="129" t="s">
        <v>291</v>
      </c>
      <c r="Q20" s="129" t="s">
        <v>292</v>
      </c>
      <c r="R20" s="126" t="s">
        <v>25</v>
      </c>
      <c r="S20" s="126"/>
      <c r="T20" s="130" t="s">
        <v>861</v>
      </c>
      <c r="U20" s="126"/>
      <c r="V20" s="130" t="s">
        <v>120</v>
      </c>
      <c r="W20" s="126"/>
      <c r="X20" s="130" t="s">
        <v>120</v>
      </c>
      <c r="Y20" s="126" t="s">
        <v>1920</v>
      </c>
      <c r="Z20" s="165" t="s">
        <v>125</v>
      </c>
      <c r="AA20" s="158"/>
      <c r="AB20" s="158"/>
      <c r="AC20" s="170"/>
      <c r="AD20" s="126"/>
      <c r="AE20" s="130"/>
      <c r="AF20" s="127"/>
      <c r="AG20" s="131"/>
      <c r="AH20" s="131"/>
      <c r="AI20" s="126"/>
      <c r="AJ20" s="130" t="s">
        <v>120</v>
      </c>
      <c r="AK20" s="126" t="s">
        <v>123</v>
      </c>
      <c r="AL20" s="126" t="s">
        <v>1493</v>
      </c>
      <c r="AM20" s="130"/>
      <c r="AN20" s="126"/>
      <c r="AO20" s="132"/>
      <c r="AP20" s="126"/>
      <c r="AQ20" s="126"/>
      <c r="AR20" s="130"/>
      <c r="AS20" s="126"/>
      <c r="AT20" s="127">
        <v>43488.658757870398</v>
      </c>
      <c r="AU20" s="127"/>
      <c r="AV20" s="127"/>
      <c r="AW20" s="127">
        <v>43488.658757870398</v>
      </c>
      <c r="AX20" s="127"/>
      <c r="AY20" s="127">
        <v>43488.5585748843</v>
      </c>
      <c r="AZ20" s="133"/>
      <c r="BA20" s="134">
        <f ca="1">IF(_05preva_view43[[#This Row],[Prevalidation Status]]="Under Prevalidation",NOW()-_05preva_view43[[#This Row],[Request Date]],IF(_05preva_view43[[#This Row],[Close Date]]&gt;_05preva_view43[[#This Row],[Request Date]],_05preva_view43[[#This Row],[Close Date]]-_05preva_view43[[#This Row],[Request Date]],"Not  Calculated"))</f>
        <v>0.70510648148047039</v>
      </c>
      <c r="BB20" s="135">
        <f>COUNTIFS(_05preva_view43[Site ID],_05preva_view43[[#This Row],[Site ID]],_05preva_view43[Prevalidation Status],"Under Prevalidation")</f>
        <v>1</v>
      </c>
      <c r="BC20" s="157" t="e">
        <f ca="1">HYPERLINK(CheckPath(_05preva_view43[[#This Row],[File Path]],_05preva_view43[[#This Row],[File Path]],_05preva_view43[[#This Row],[Folder Path3]]),CheckPath(_05preva_view43[[#This Row],[File Path]],"Open File","No File"))</f>
        <v>#VALUE!</v>
      </c>
      <c r="BD20" s="136" t="str">
        <f>CONCATENATE(_05preva_view43[[#This Row],[Site ID]]," (",_05preva_view43[[#This Row],[tenant id]],") Application",IF(_05preva_view43[[#This Row],[Colo Rev]]&gt;0," Rev "&amp;_05preva_view43[[#This Row],[Colo Rev]],""),".xlsx")</f>
        <v>ASHN00025 (SHS00969) Application Rev 0.xlsx</v>
      </c>
      <c r="BE20" s="64" t="e">
        <f t="shared" ca="1" si="2"/>
        <v>#VALUE!</v>
      </c>
      <c r="BF20" s="104" t="e">
        <f ca="1">LEFT(CELL("filename",A5),_05preva_view43[[#This Row],[Find Process &amp; Database]]-1)</f>
        <v>#VALUE!</v>
      </c>
      <c r="BG20" s="104" t="e">
        <f ca="1">_05preva_view43[Folder Path1]&amp;"Process &amp; Database\Documentation\Colo Applications"</f>
        <v>#VALUE!</v>
      </c>
      <c r="BH20" s="104" t="e">
        <f ca="1">_05preva_view43[Folder Path2]&amp;"\Colo App "&amp;_05preva_view43[[#This Row],[Operator]]&amp;"\"</f>
        <v>#VALUE!</v>
      </c>
      <c r="BI20" s="63" t="e">
        <f ca="1">_05preva_view43[[#This Row],[Folder Path3]]&amp;_05preva_view43[[#This Row],[File Name]]</f>
        <v>#VALUE!</v>
      </c>
      <c r="BJ20" s="104"/>
      <c r="BK20" s="3"/>
      <c r="BL20" s="3"/>
      <c r="CJ20" s="5"/>
      <c r="CK20" s="5"/>
      <c r="CL20" s="3"/>
      <c r="CN20" s="5"/>
      <c r="CR20" s="3"/>
      <c r="CS20" s="3"/>
      <c r="CT20" s="5"/>
      <c r="CV20" s="3"/>
      <c r="DR20" s="5"/>
      <c r="DT20" s="3"/>
      <c r="EF20" s="7"/>
      <c r="EG20" s="7"/>
      <c r="EJ20" s="4"/>
      <c r="EK20" s="4"/>
      <c r="EU20" s="2"/>
      <c r="EV20" s="2"/>
    </row>
    <row r="21" spans="1:152">
      <c r="A21" s="125">
        <v>3640</v>
      </c>
      <c r="B21" s="126" t="s">
        <v>2128</v>
      </c>
      <c r="C21" s="126" t="s">
        <v>116</v>
      </c>
      <c r="D21" s="126" t="s">
        <v>117</v>
      </c>
      <c r="E21" s="126" t="s">
        <v>2129</v>
      </c>
      <c r="F21" s="126" t="s">
        <v>35</v>
      </c>
      <c r="G21" s="126" t="s">
        <v>1919</v>
      </c>
      <c r="H21" s="126" t="s">
        <v>1619</v>
      </c>
      <c r="I21" s="126" t="s">
        <v>1311</v>
      </c>
      <c r="J21" s="126" t="s">
        <v>940</v>
      </c>
      <c r="K21" s="127">
        <v>43487</v>
      </c>
      <c r="L21" s="128">
        <v>0.72</v>
      </c>
      <c r="M21" s="128">
        <v>0.9</v>
      </c>
      <c r="N21" s="126">
        <v>6</v>
      </c>
      <c r="O21" s="126" t="s">
        <v>119</v>
      </c>
      <c r="P21" s="129" t="s">
        <v>276</v>
      </c>
      <c r="Q21" s="129" t="s">
        <v>277</v>
      </c>
      <c r="R21" s="126" t="s">
        <v>25</v>
      </c>
      <c r="S21" s="126"/>
      <c r="T21" s="130" t="s">
        <v>861</v>
      </c>
      <c r="U21" s="126"/>
      <c r="V21" s="130" t="s">
        <v>120</v>
      </c>
      <c r="W21" s="126"/>
      <c r="X21" s="130" t="s">
        <v>120</v>
      </c>
      <c r="Y21" s="126" t="s">
        <v>1920</v>
      </c>
      <c r="Z21" s="165" t="s">
        <v>125</v>
      </c>
      <c r="AA21" s="158"/>
      <c r="AB21" s="158"/>
      <c r="AC21" s="170"/>
      <c r="AD21" s="126"/>
      <c r="AE21" s="130"/>
      <c r="AF21" s="127"/>
      <c r="AG21" s="131"/>
      <c r="AH21" s="131"/>
      <c r="AI21" s="126"/>
      <c r="AJ21" s="130" t="s">
        <v>120</v>
      </c>
      <c r="AK21" s="126" t="s">
        <v>123</v>
      </c>
      <c r="AL21" s="126" t="s">
        <v>1198</v>
      </c>
      <c r="AM21" s="130"/>
      <c r="AN21" s="126"/>
      <c r="AO21" s="132"/>
      <c r="AP21" s="126"/>
      <c r="AQ21" s="126"/>
      <c r="AR21" s="130"/>
      <c r="AS21" s="126"/>
      <c r="AT21" s="127">
        <v>43487.531158333302</v>
      </c>
      <c r="AU21" s="127"/>
      <c r="AV21" s="127"/>
      <c r="AW21" s="127">
        <v>43487.531158333302</v>
      </c>
      <c r="AX21" s="127"/>
      <c r="AY21" s="127">
        <v>43487.663642361098</v>
      </c>
      <c r="AZ21" s="133"/>
      <c r="BA21" s="134">
        <f ca="1">IF(_05preva_view43[[#This Row],[Prevalidation Status]]="Under Prevalidation",NOW()-_05preva_view43[[#This Row],[Request Date]],IF(_05preva_view43[[#This Row],[Close Date]]&gt;_05preva_view43[[#This Row],[Request Date]],_05preva_view43[[#This Row],[Close Date]]-_05preva_view43[[#This Row],[Request Date]],"Not  Calculated"))</f>
        <v>1.7051064814804704</v>
      </c>
      <c r="BB21" s="135">
        <f>COUNTIFS(_05preva_view43[Site ID],_05preva_view43[[#This Row],[Site ID]],_05preva_view43[Prevalidation Status],"Under Prevalidation")</f>
        <v>1</v>
      </c>
      <c r="BC21" s="157" t="e">
        <f ca="1">HYPERLINK(CheckPath(_05preva_view43[[#This Row],[File Path]],_05preva_view43[[#This Row],[File Path]],_05preva_view43[[#This Row],[Folder Path3]]),CheckPath(_05preva_view43[[#This Row],[File Path]],"Open File","No File"))</f>
        <v>#VALUE!</v>
      </c>
      <c r="BD21" s="136" t="str">
        <f>CONCATENATE(_05preva_view43[[#This Row],[Site ID]]," (",_05preva_view43[[#This Row],[tenant id]],") Application",IF(_05preva_view43[[#This Row],[Colo Rev]]&gt;0," Rev "&amp;_05preva_view43[[#This Row],[Colo Rev]],""),".xlsx")</f>
        <v>ASHN00027 (SHS01307) Application Rev 0.xlsx</v>
      </c>
      <c r="BE21" s="64" t="e">
        <f t="shared" ca="1" si="2"/>
        <v>#VALUE!</v>
      </c>
      <c r="BF21" s="104" t="e">
        <f ca="1">LEFT(CELL("filename",A6),_05preva_view43[[#This Row],[Find Process &amp; Database]]-1)</f>
        <v>#VALUE!</v>
      </c>
      <c r="BG21" s="104" t="e">
        <f ca="1">_05preva_view43[Folder Path1]&amp;"Process &amp; Database\Documentation\Colo Applications"</f>
        <v>#VALUE!</v>
      </c>
      <c r="BH21" s="104" t="e">
        <f ca="1">_05preva_view43[Folder Path2]&amp;"\Colo App "&amp;_05preva_view43[[#This Row],[Operator]]&amp;"\"</f>
        <v>#VALUE!</v>
      </c>
      <c r="BI21" s="63" t="e">
        <f ca="1">_05preva_view43[[#This Row],[Folder Path3]]&amp;_05preva_view43[[#This Row],[File Name]]</f>
        <v>#VALUE!</v>
      </c>
      <c r="BJ21" s="104"/>
      <c r="BK21" s="3"/>
      <c r="BL21" s="3"/>
      <c r="CJ21" s="5"/>
      <c r="CK21" s="5"/>
      <c r="CL21" s="3"/>
      <c r="CN21" s="5"/>
      <c r="CR21" s="3"/>
      <c r="CS21" s="3"/>
      <c r="CT21" s="5"/>
      <c r="CV21" s="3"/>
      <c r="DR21" s="5"/>
      <c r="DT21" s="3"/>
      <c r="EF21" s="7"/>
      <c r="EG21" s="7"/>
      <c r="EJ21" s="4"/>
      <c r="EK21" s="4"/>
      <c r="EU21" s="2"/>
      <c r="EV21" s="2"/>
    </row>
    <row r="22" spans="1:152">
      <c r="A22" s="125">
        <v>3642</v>
      </c>
      <c r="B22" s="126" t="s">
        <v>2130</v>
      </c>
      <c r="C22" s="126" t="s">
        <v>331</v>
      </c>
      <c r="D22" s="126" t="s">
        <v>163</v>
      </c>
      <c r="E22" s="126" t="s">
        <v>2131</v>
      </c>
      <c r="F22" s="126" t="s">
        <v>35</v>
      </c>
      <c r="G22" s="126" t="s">
        <v>1919</v>
      </c>
      <c r="H22" s="126" t="s">
        <v>1619</v>
      </c>
      <c r="I22" s="126" t="s">
        <v>1311</v>
      </c>
      <c r="J22" s="126" t="s">
        <v>940</v>
      </c>
      <c r="K22" s="127">
        <v>43487</v>
      </c>
      <c r="L22" s="128">
        <v>0.72</v>
      </c>
      <c r="M22" s="128">
        <v>0.9</v>
      </c>
      <c r="N22" s="126">
        <v>6</v>
      </c>
      <c r="O22" s="126" t="s">
        <v>950</v>
      </c>
      <c r="P22" s="129" t="s">
        <v>291</v>
      </c>
      <c r="Q22" s="129" t="s">
        <v>292</v>
      </c>
      <c r="R22" s="126" t="s">
        <v>25</v>
      </c>
      <c r="S22" s="126"/>
      <c r="T22" s="130" t="s">
        <v>861</v>
      </c>
      <c r="U22" s="126"/>
      <c r="V22" s="130" t="s">
        <v>120</v>
      </c>
      <c r="W22" s="126"/>
      <c r="X22" s="130" t="s">
        <v>120</v>
      </c>
      <c r="Y22" s="126" t="s">
        <v>1920</v>
      </c>
      <c r="Z22" s="165" t="s">
        <v>125</v>
      </c>
      <c r="AA22" s="158"/>
      <c r="AB22" s="158"/>
      <c r="AC22" s="170"/>
      <c r="AD22" s="126"/>
      <c r="AE22" s="130"/>
      <c r="AF22" s="127"/>
      <c r="AG22" s="131"/>
      <c r="AH22" s="131"/>
      <c r="AI22" s="126"/>
      <c r="AJ22" s="130" t="s">
        <v>120</v>
      </c>
      <c r="AK22" s="126" t="s">
        <v>123</v>
      </c>
      <c r="AL22" s="126" t="s">
        <v>1493</v>
      </c>
      <c r="AM22" s="130"/>
      <c r="AN22" s="126"/>
      <c r="AO22" s="132"/>
      <c r="AP22" s="126"/>
      <c r="AQ22" s="126"/>
      <c r="AR22" s="130"/>
      <c r="AS22" s="126"/>
      <c r="AT22" s="127">
        <v>43488.3801783565</v>
      </c>
      <c r="AU22" s="127"/>
      <c r="AV22" s="127"/>
      <c r="AW22" s="127">
        <v>43488.3801783565</v>
      </c>
      <c r="AX22" s="127"/>
      <c r="AY22" s="127">
        <v>43487.663643171298</v>
      </c>
      <c r="AZ22" s="133"/>
      <c r="BA22" s="134">
        <f ca="1">IF(_05preva_view43[[#This Row],[Prevalidation Status]]="Under Prevalidation",NOW()-_05preva_view43[[#This Row],[Request Date]],IF(_05preva_view43[[#This Row],[Close Date]]&gt;_05preva_view43[[#This Row],[Request Date]],_05preva_view43[[#This Row],[Close Date]]-_05preva_view43[[#This Row],[Request Date]],"Not  Calculated"))</f>
        <v>1.7051064814804704</v>
      </c>
      <c r="BB22" s="135">
        <f>COUNTIFS(_05preva_view43[Site ID],_05preva_view43[[#This Row],[Site ID]],_05preva_view43[Prevalidation Status],"Under Prevalidation")</f>
        <v>1</v>
      </c>
      <c r="BC22" s="157" t="e">
        <f ca="1">HYPERLINK(CheckPath(_05preva_view43[[#This Row],[File Path]],_05preva_view43[[#This Row],[File Path]],_05preva_view43[[#This Row],[Folder Path3]]),CheckPath(_05preva_view43[[#This Row],[File Path]],"Open File","No File"))</f>
        <v>#VALUE!</v>
      </c>
      <c r="BD22" s="136" t="str">
        <f>CONCATENATE(_05preva_view43[[#This Row],[Site ID]]," (",_05preva_view43[[#This Row],[tenant id]],") Application",IF(_05preva_view43[[#This Row],[Colo Rev]]&gt;0," Rev "&amp;_05preva_view43[[#This Row],[Colo Rev]],""),".xlsx")</f>
        <v>PMON00045 (MON00569) Application Rev 0.xlsx</v>
      </c>
      <c r="BE22" s="64" t="e">
        <f t="shared" ca="1" si="2"/>
        <v>#VALUE!</v>
      </c>
      <c r="BF22" s="104" t="e">
        <f ca="1">LEFT(CELL("filename",A7),_05preva_view43[[#This Row],[Find Process &amp; Database]]-1)</f>
        <v>#VALUE!</v>
      </c>
      <c r="BG22" s="104" t="e">
        <f ca="1">_05preva_view43[Folder Path1]&amp;"Process &amp; Database\Documentation\Colo Applications"</f>
        <v>#VALUE!</v>
      </c>
      <c r="BH22" s="104" t="e">
        <f ca="1">_05preva_view43[Folder Path2]&amp;"\Colo App "&amp;_05preva_view43[[#This Row],[Operator]]&amp;"\"</f>
        <v>#VALUE!</v>
      </c>
      <c r="BI22" s="63" t="e">
        <f ca="1">_05preva_view43[[#This Row],[Folder Path3]]&amp;_05preva_view43[[#This Row],[File Name]]</f>
        <v>#VALUE!</v>
      </c>
      <c r="BJ22" s="104"/>
      <c r="BK22" s="3"/>
      <c r="BL22" s="3"/>
      <c r="CJ22" s="5"/>
      <c r="CK22" s="5"/>
      <c r="CL22" s="3"/>
      <c r="CN22" s="5"/>
      <c r="CR22" s="3"/>
      <c r="CS22" s="3"/>
      <c r="CT22" s="5"/>
      <c r="CV22" s="3"/>
      <c r="DR22" s="5"/>
      <c r="DT22" s="3"/>
      <c r="EF22" s="7"/>
      <c r="EG22" s="7"/>
      <c r="EJ22" s="4"/>
      <c r="EK22" s="4"/>
      <c r="EU22" s="2"/>
      <c r="EV22" s="2"/>
    </row>
    <row r="23" spans="1:152">
      <c r="A23" s="125">
        <v>3643</v>
      </c>
      <c r="B23" s="126" t="s">
        <v>2132</v>
      </c>
      <c r="C23" s="126" t="s">
        <v>331</v>
      </c>
      <c r="D23" s="126" t="s">
        <v>117</v>
      </c>
      <c r="E23" s="126" t="s">
        <v>2133</v>
      </c>
      <c r="F23" s="126" t="s">
        <v>35</v>
      </c>
      <c r="G23" s="126" t="s">
        <v>1919</v>
      </c>
      <c r="H23" s="126" t="s">
        <v>1619</v>
      </c>
      <c r="I23" s="126" t="s">
        <v>1311</v>
      </c>
      <c r="J23" s="126" t="s">
        <v>940</v>
      </c>
      <c r="K23" s="127">
        <v>43487</v>
      </c>
      <c r="L23" s="128">
        <v>0.72</v>
      </c>
      <c r="M23" s="128">
        <v>0.9</v>
      </c>
      <c r="N23" s="126">
        <v>6</v>
      </c>
      <c r="O23" s="126" t="s">
        <v>950</v>
      </c>
      <c r="P23" s="129" t="s">
        <v>291</v>
      </c>
      <c r="Q23" s="129" t="s">
        <v>292</v>
      </c>
      <c r="R23" s="126" t="s">
        <v>25</v>
      </c>
      <c r="S23" s="126"/>
      <c r="T23" s="130" t="s">
        <v>861</v>
      </c>
      <c r="U23" s="126"/>
      <c r="V23" s="130" t="s">
        <v>120</v>
      </c>
      <c r="W23" s="126"/>
      <c r="X23" s="130" t="s">
        <v>120</v>
      </c>
      <c r="Y23" s="126" t="s">
        <v>1920</v>
      </c>
      <c r="Z23" s="165" t="s">
        <v>125</v>
      </c>
      <c r="AA23" s="158"/>
      <c r="AB23" s="158"/>
      <c r="AC23" s="170"/>
      <c r="AD23" s="126"/>
      <c r="AE23" s="130"/>
      <c r="AF23" s="127"/>
      <c r="AG23" s="131"/>
      <c r="AH23" s="131"/>
      <c r="AI23" s="126"/>
      <c r="AJ23" s="130" t="s">
        <v>120</v>
      </c>
      <c r="AK23" s="126" t="s">
        <v>123</v>
      </c>
      <c r="AL23" s="126" t="s">
        <v>1493</v>
      </c>
      <c r="AM23" s="130"/>
      <c r="AN23" s="126"/>
      <c r="AO23" s="132"/>
      <c r="AP23" s="126"/>
      <c r="AQ23" s="126"/>
      <c r="AR23" s="130"/>
      <c r="AS23" s="126"/>
      <c r="AT23" s="127">
        <v>43488.380179629603</v>
      </c>
      <c r="AU23" s="127"/>
      <c r="AV23" s="127"/>
      <c r="AW23" s="127">
        <v>43488.380179629603</v>
      </c>
      <c r="AX23" s="127"/>
      <c r="AY23" s="127">
        <v>43487.663644444401</v>
      </c>
      <c r="AZ23" s="133"/>
      <c r="BA23" s="134">
        <f ca="1">IF(_05preva_view43[[#This Row],[Prevalidation Status]]="Under Prevalidation",NOW()-_05preva_view43[[#This Row],[Request Date]],IF(_05preva_view43[[#This Row],[Close Date]]&gt;_05preva_view43[[#This Row],[Request Date]],_05preva_view43[[#This Row],[Close Date]]-_05preva_view43[[#This Row],[Request Date]],"Not  Calculated"))</f>
        <v>1.7051064814804704</v>
      </c>
      <c r="BB23" s="135">
        <f>COUNTIFS(_05preva_view43[Site ID],_05preva_view43[[#This Row],[Site ID]],_05preva_view43[Prevalidation Status],"Under Prevalidation")</f>
        <v>1</v>
      </c>
      <c r="BC23" s="157" t="e">
        <f ca="1">HYPERLINK(CheckPath(_05preva_view43[[#This Row],[File Path]],_05preva_view43[[#This Row],[File Path]],_05preva_view43[[#This Row],[Folder Path3]]),CheckPath(_05preva_view43[[#This Row],[File Path]],"Open File","No File"))</f>
        <v>#VALUE!</v>
      </c>
      <c r="BD23" s="136" t="str">
        <f>CONCATENATE(_05preva_view43[[#This Row],[Site ID]]," (",_05preva_view43[[#This Row],[tenant id]],") Application",IF(_05preva_view43[[#This Row],[Colo Rev]]&gt;0," Rev "&amp;_05preva_view43[[#This Row],[Colo Rev]],""),".xlsx")</f>
        <v>PSHN00054 (SHS01046) Application Rev 0.xlsx</v>
      </c>
      <c r="BE23" s="64" t="e">
        <f t="shared" ca="1" si="2"/>
        <v>#VALUE!</v>
      </c>
      <c r="BF23" s="104" t="e">
        <f ca="1">LEFT(CELL("filename",A8),_05preva_view43[[#This Row],[Find Process &amp; Database]]-1)</f>
        <v>#VALUE!</v>
      </c>
      <c r="BG23" s="104" t="e">
        <f ca="1">_05preva_view43[Folder Path1]&amp;"Process &amp; Database\Documentation\Colo Applications"</f>
        <v>#VALUE!</v>
      </c>
      <c r="BH23" s="104" t="e">
        <f ca="1">_05preva_view43[Folder Path2]&amp;"\Colo App "&amp;_05preva_view43[[#This Row],[Operator]]&amp;"\"</f>
        <v>#VALUE!</v>
      </c>
      <c r="BI23" s="63" t="e">
        <f ca="1">_05preva_view43[[#This Row],[Folder Path3]]&amp;_05preva_view43[[#This Row],[File Name]]</f>
        <v>#VALUE!</v>
      </c>
      <c r="BJ23" s="104"/>
      <c r="BK23" s="3"/>
      <c r="BL23" s="3"/>
      <c r="CJ23" s="5"/>
      <c r="CK23" s="5"/>
      <c r="CL23" s="3"/>
      <c r="CN23" s="5"/>
      <c r="CR23" s="3"/>
      <c r="CS23" s="3"/>
      <c r="CT23" s="5"/>
      <c r="CV23" s="3"/>
      <c r="DR23" s="5"/>
      <c r="DT23" s="3"/>
      <c r="EF23" s="7"/>
      <c r="EG23" s="7"/>
      <c r="EJ23" s="4"/>
      <c r="EK23" s="4"/>
      <c r="EU23" s="2"/>
      <c r="EV23" s="2"/>
    </row>
    <row r="24" spans="1:152">
      <c r="A24" s="125">
        <v>3644</v>
      </c>
      <c r="B24" s="126" t="s">
        <v>2134</v>
      </c>
      <c r="C24" s="126" t="s">
        <v>331</v>
      </c>
      <c r="D24" s="126" t="s">
        <v>163</v>
      </c>
      <c r="E24" s="126" t="s">
        <v>2135</v>
      </c>
      <c r="F24" s="126" t="s">
        <v>41</v>
      </c>
      <c r="G24" s="126" t="s">
        <v>1412</v>
      </c>
      <c r="H24" s="126" t="s">
        <v>1319</v>
      </c>
      <c r="I24" s="126" t="s">
        <v>1143</v>
      </c>
      <c r="J24" s="126" t="s">
        <v>940</v>
      </c>
      <c r="K24" s="127">
        <v>43487</v>
      </c>
      <c r="L24" s="128">
        <v>0</v>
      </c>
      <c r="M24" s="128">
        <v>2</v>
      </c>
      <c r="N24" s="126">
        <v>5</v>
      </c>
      <c r="O24" s="126" t="s">
        <v>119</v>
      </c>
      <c r="P24" s="129" t="s">
        <v>363</v>
      </c>
      <c r="Q24" s="129" t="s">
        <v>270</v>
      </c>
      <c r="R24" s="126" t="s">
        <v>25</v>
      </c>
      <c r="S24" s="126"/>
      <c r="T24" s="130" t="s">
        <v>861</v>
      </c>
      <c r="U24" s="126"/>
      <c r="V24" s="130"/>
      <c r="W24" s="126"/>
      <c r="X24" s="130" t="s">
        <v>120</v>
      </c>
      <c r="Y24" s="126" t="s">
        <v>2136</v>
      </c>
      <c r="Z24" s="165" t="s">
        <v>125</v>
      </c>
      <c r="AA24" s="158"/>
      <c r="AB24" s="158"/>
      <c r="AC24" s="170"/>
      <c r="AD24" s="126" t="s">
        <v>2137</v>
      </c>
      <c r="AE24" s="130"/>
      <c r="AF24" s="127"/>
      <c r="AG24" s="131"/>
      <c r="AH24" s="131"/>
      <c r="AI24" s="126"/>
      <c r="AJ24" s="130" t="s">
        <v>125</v>
      </c>
      <c r="AK24" s="126"/>
      <c r="AL24" s="126" t="s">
        <v>2136</v>
      </c>
      <c r="AM24" s="130"/>
      <c r="AN24" s="126"/>
      <c r="AO24" s="132"/>
      <c r="AP24" s="126"/>
      <c r="AQ24" s="126"/>
      <c r="AR24" s="130"/>
      <c r="AS24" s="126"/>
      <c r="AT24" s="127">
        <v>43487.6826476852</v>
      </c>
      <c r="AU24" s="127"/>
      <c r="AV24" s="127"/>
      <c r="AW24" s="127"/>
      <c r="AX24" s="127"/>
      <c r="AY24" s="127"/>
      <c r="AZ24" s="133"/>
      <c r="BA24" s="134">
        <f ca="1">IF(_05preva_view43[[#This Row],[Prevalidation Status]]="Under Prevalidation",NOW()-_05preva_view43[[#This Row],[Request Date]],IF(_05preva_view43[[#This Row],[Close Date]]&gt;_05preva_view43[[#This Row],[Request Date]],_05preva_view43[[#This Row],[Close Date]]-_05preva_view43[[#This Row],[Request Date]],"Not  Calculated"))</f>
        <v>1.7051064814804704</v>
      </c>
      <c r="BB24" s="135">
        <f>COUNTIFS(_05preva_view43[Site ID],_05preva_view43[[#This Row],[Site ID]],_05preva_view43[Prevalidation Status],"Under Prevalidation")</f>
        <v>1</v>
      </c>
      <c r="BC24" s="157" t="e">
        <f ca="1">HYPERLINK(CheckPath(_05preva_view43[[#This Row],[File Path]],_05preva_view43[[#This Row],[File Path]],_05preva_view43[[#This Row],[Folder Path3]]),CheckPath(_05preva_view43[[#This Row],[File Path]],"Open File","No File"))</f>
        <v>#VALUE!</v>
      </c>
      <c r="BD24" s="136" t="str">
        <f>CONCATENATE(_05preva_view43[[#This Row],[Site ID]]," (",_05preva_view43[[#This Row],[tenant id]],") Application",IF(_05preva_view43[[#This Row],[Colo Rev]]&gt;0," Rev "&amp;_05preva_view43[[#This Row],[Colo Rev]],""),".xlsx")</f>
        <v>1-01-13043-006 (YGNDAGN003) Application Rev 0.xlsx</v>
      </c>
      <c r="BE24" s="64" t="e">
        <f t="shared" ca="1" si="2"/>
        <v>#VALUE!</v>
      </c>
      <c r="BF24" s="104" t="e">
        <f ca="1">LEFT(CELL("filename",A9),_05preva_view43[[#This Row],[Find Process &amp; Database]]-1)</f>
        <v>#VALUE!</v>
      </c>
      <c r="BG24" s="104" t="e">
        <f ca="1">_05preva_view43[Folder Path1]&amp;"Process &amp; Database\Documentation\Colo Applications"</f>
        <v>#VALUE!</v>
      </c>
      <c r="BH24" s="104" t="e">
        <f ca="1">_05preva_view43[Folder Path2]&amp;"\Colo App "&amp;_05preva_view43[[#This Row],[Operator]]&amp;"\"</f>
        <v>#VALUE!</v>
      </c>
      <c r="BI24" s="63" t="e">
        <f ca="1">_05preva_view43[[#This Row],[Folder Path3]]&amp;_05preva_view43[[#This Row],[File Name]]</f>
        <v>#VALUE!</v>
      </c>
      <c r="BJ24" s="104"/>
      <c r="BK24" s="3"/>
      <c r="BL24" s="3"/>
      <c r="CJ24" s="5"/>
      <c r="CK24" s="5"/>
      <c r="CL24" s="3"/>
      <c r="CN24" s="5"/>
      <c r="CR24" s="3"/>
      <c r="CS24" s="3"/>
      <c r="CT24" s="5"/>
      <c r="CV24" s="3"/>
      <c r="DR24" s="5"/>
      <c r="DT24" s="3"/>
      <c r="EF24" s="7"/>
      <c r="EG24" s="7"/>
      <c r="EJ24" s="4"/>
      <c r="EK24" s="4"/>
      <c r="EU24" s="2"/>
      <c r="EV24" s="2"/>
    </row>
    <row r="25" spans="1:152">
      <c r="A25" s="125">
        <v>3624</v>
      </c>
      <c r="B25" s="126" t="s">
        <v>1917</v>
      </c>
      <c r="C25" s="126" t="s">
        <v>116</v>
      </c>
      <c r="D25" s="126" t="s">
        <v>163</v>
      </c>
      <c r="E25" s="126" t="s">
        <v>1918</v>
      </c>
      <c r="F25" s="126" t="s">
        <v>35</v>
      </c>
      <c r="G25" s="126" t="s">
        <v>1919</v>
      </c>
      <c r="H25" s="126" t="s">
        <v>1619</v>
      </c>
      <c r="I25" s="126" t="s">
        <v>1311</v>
      </c>
      <c r="J25" s="126" t="s">
        <v>940</v>
      </c>
      <c r="K25" s="127">
        <v>43486</v>
      </c>
      <c r="L25" s="128">
        <v>0.72</v>
      </c>
      <c r="M25" s="128">
        <v>0.9</v>
      </c>
      <c r="N25" s="126">
        <v>6</v>
      </c>
      <c r="O25" s="126" t="s">
        <v>119</v>
      </c>
      <c r="P25" s="129" t="s">
        <v>291</v>
      </c>
      <c r="Q25" s="129" t="s">
        <v>292</v>
      </c>
      <c r="R25" s="126" t="s">
        <v>25</v>
      </c>
      <c r="S25" s="126"/>
      <c r="T25" s="130" t="s">
        <v>861</v>
      </c>
      <c r="U25" s="126"/>
      <c r="V25" s="130" t="s">
        <v>120</v>
      </c>
      <c r="W25" s="126"/>
      <c r="X25" s="130" t="s">
        <v>144</v>
      </c>
      <c r="Y25" s="126" t="s">
        <v>2138</v>
      </c>
      <c r="Z25" s="165" t="s">
        <v>125</v>
      </c>
      <c r="AA25" s="158"/>
      <c r="AB25" s="158"/>
      <c r="AC25" s="170"/>
      <c r="AD25" s="126" t="s">
        <v>2139</v>
      </c>
      <c r="AE25" s="130" t="s">
        <v>125</v>
      </c>
      <c r="AF25" s="127" t="s">
        <v>1921</v>
      </c>
      <c r="AG25" s="131"/>
      <c r="AH25" s="131"/>
      <c r="AI25" s="126" t="s">
        <v>1922</v>
      </c>
      <c r="AJ25" s="130" t="s">
        <v>120</v>
      </c>
      <c r="AK25" s="126" t="s">
        <v>123</v>
      </c>
      <c r="AL25" s="126" t="s">
        <v>1493</v>
      </c>
      <c r="AM25" s="130"/>
      <c r="AN25" s="126"/>
      <c r="AO25" s="132"/>
      <c r="AP25" s="126"/>
      <c r="AQ25" s="126"/>
      <c r="AR25" s="130"/>
      <c r="AS25" s="126"/>
      <c r="AT25" s="127"/>
      <c r="AU25" s="127"/>
      <c r="AV25" s="127"/>
      <c r="AW25" s="127">
        <v>43487.3767814815</v>
      </c>
      <c r="AX25" s="127"/>
      <c r="AY25" s="127">
        <v>43486.718659375001</v>
      </c>
      <c r="AZ25" s="133"/>
      <c r="BA25"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25" s="135">
        <f>COUNTIFS(_05preva_view43[Site ID],_05preva_view43[[#This Row],[Site ID]],_05preva_view43[Prevalidation Status],"Under Prevalidation")</f>
        <v>1</v>
      </c>
      <c r="BC25" s="157" t="e">
        <f ca="1">HYPERLINK(CheckPath(_05preva_view43[[#This Row],[File Path]],_05preva_view43[[#This Row],[File Path]],_05preva_view43[[#This Row],[Folder Path3]]),CheckPath(_05preva_view43[[#This Row],[File Path]],"Open File","No File"))</f>
        <v>#VALUE!</v>
      </c>
      <c r="BD25" s="136" t="str">
        <f>CONCATENATE(_05preva_view43[[#This Row],[Site ID]]," (",_05preva_view43[[#This Row],[tenant id]],") Application",IF(_05preva_view43[[#This Row],[Colo Rev]]&gt;0," Rev "&amp;_05preva_view43[[#This Row],[Colo Rev]],""),".xlsx")</f>
        <v>AAYW00001 (AWD01399) Application Rev 0.xlsx</v>
      </c>
      <c r="BE25" s="64" t="e">
        <f t="shared" ca="1" si="2"/>
        <v>#VALUE!</v>
      </c>
      <c r="BF25" s="104" t="e">
        <f ca="1">LEFT(CELL("filename",A10),_05preva_view43[[#This Row],[Find Process &amp; Database]]-1)</f>
        <v>#VALUE!</v>
      </c>
      <c r="BG25" s="104" t="e">
        <f ca="1">_05preva_view43[Folder Path1]&amp;"Process &amp; Database\Documentation\Colo Applications"</f>
        <v>#VALUE!</v>
      </c>
      <c r="BH25" s="104" t="e">
        <f ca="1">_05preva_view43[Folder Path2]&amp;"\Colo App "&amp;_05preva_view43[[#This Row],[Operator]]&amp;"\"</f>
        <v>#VALUE!</v>
      </c>
      <c r="BI25" s="63" t="e">
        <f ca="1">_05preva_view43[[#This Row],[Folder Path3]]&amp;_05preva_view43[[#This Row],[File Name]]</f>
        <v>#VALUE!</v>
      </c>
      <c r="BJ25" s="104"/>
      <c r="BK25" s="3"/>
      <c r="BL25" s="3"/>
      <c r="CJ25" s="5"/>
      <c r="CK25" s="5"/>
      <c r="CL25" s="3"/>
      <c r="CN25" s="5"/>
      <c r="CR25" s="3"/>
      <c r="CS25" s="3"/>
      <c r="CT25" s="5"/>
      <c r="CV25" s="3"/>
      <c r="DR25" s="5"/>
      <c r="DT25" s="3"/>
      <c r="EF25" s="7"/>
      <c r="EG25" s="7"/>
      <c r="EJ25" s="4"/>
      <c r="EK25" s="4"/>
      <c r="EU25" s="2"/>
      <c r="EV25" s="2"/>
    </row>
    <row r="26" spans="1:152">
      <c r="A26" s="125">
        <v>3625</v>
      </c>
      <c r="B26" s="126" t="s">
        <v>1923</v>
      </c>
      <c r="C26" s="126" t="s">
        <v>116</v>
      </c>
      <c r="D26" s="126" t="s">
        <v>117</v>
      </c>
      <c r="E26" s="126" t="s">
        <v>1924</v>
      </c>
      <c r="F26" s="126" t="s">
        <v>35</v>
      </c>
      <c r="G26" s="126" t="s">
        <v>1919</v>
      </c>
      <c r="H26" s="126" t="s">
        <v>1619</v>
      </c>
      <c r="I26" s="126" t="s">
        <v>1311</v>
      </c>
      <c r="J26" s="126" t="s">
        <v>940</v>
      </c>
      <c r="K26" s="127">
        <v>43486</v>
      </c>
      <c r="L26" s="128">
        <v>2.16</v>
      </c>
      <c r="M26" s="128">
        <v>2.7</v>
      </c>
      <c r="N26" s="126">
        <v>6</v>
      </c>
      <c r="O26" s="126" t="s">
        <v>119</v>
      </c>
      <c r="P26" s="129" t="s">
        <v>350</v>
      </c>
      <c r="Q26" s="129" t="s">
        <v>276</v>
      </c>
      <c r="R26" s="126" t="s">
        <v>25</v>
      </c>
      <c r="S26" s="126"/>
      <c r="T26" s="130" t="s">
        <v>861</v>
      </c>
      <c r="U26" s="126"/>
      <c r="V26" s="130" t="s">
        <v>120</v>
      </c>
      <c r="W26" s="126"/>
      <c r="X26" s="130" t="s">
        <v>120</v>
      </c>
      <c r="Y26" s="126" t="s">
        <v>1920</v>
      </c>
      <c r="Z26" s="165" t="s">
        <v>120</v>
      </c>
      <c r="AA26" s="158" t="s">
        <v>2140</v>
      </c>
      <c r="AB26" s="158" t="s">
        <v>2141</v>
      </c>
      <c r="AC26" s="170" t="s">
        <v>123</v>
      </c>
      <c r="AD26" s="126" t="s">
        <v>2142</v>
      </c>
      <c r="AE26" s="130" t="s">
        <v>125</v>
      </c>
      <c r="AF26" s="127" t="s">
        <v>1722</v>
      </c>
      <c r="AG26" s="131"/>
      <c r="AH26" s="131"/>
      <c r="AI26" s="126" t="s">
        <v>1922</v>
      </c>
      <c r="AJ26" s="130" t="s">
        <v>120</v>
      </c>
      <c r="AK26" s="126" t="s">
        <v>123</v>
      </c>
      <c r="AL26" s="126" t="s">
        <v>1493</v>
      </c>
      <c r="AM26" s="130"/>
      <c r="AN26" s="126"/>
      <c r="AO26" s="132"/>
      <c r="AP26" s="126"/>
      <c r="AQ26" s="126"/>
      <c r="AR26" s="130"/>
      <c r="AS26" s="126"/>
      <c r="AT26" s="127">
        <v>43487.376785069398</v>
      </c>
      <c r="AU26" s="127"/>
      <c r="AV26" s="127">
        <v>43488.585187268502</v>
      </c>
      <c r="AW26" s="127">
        <v>43487.376785069398</v>
      </c>
      <c r="AX26" s="127"/>
      <c r="AY26" s="127">
        <v>43486.718659953702</v>
      </c>
      <c r="AZ26" s="133"/>
      <c r="BA26"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26" s="135">
        <f>COUNTIFS(_05preva_view43[Site ID],_05preva_view43[[#This Row],[Site ID]],_05preva_view43[Prevalidation Status],"Under Prevalidation")</f>
        <v>1</v>
      </c>
      <c r="BC26" s="157" t="e">
        <f ca="1">HYPERLINK(CheckPath(_05preva_view43[[#This Row],[File Path]],_05preva_view43[[#This Row],[File Path]],_05preva_view43[[#This Row],[Folder Path3]]),CheckPath(_05preva_view43[[#This Row],[File Path]],"Open File","No File"))</f>
        <v>#VALUE!</v>
      </c>
      <c r="BD26" s="136" t="str">
        <f>CONCATENATE(_05preva_view43[[#This Row],[Site ID]]," (",_05preva_view43[[#This Row],[tenant id]],") Application",IF(_05preva_view43[[#This Row],[Colo Rev]]&gt;0," Rev "&amp;_05preva_view43[[#This Row],[Colo Rev]],""),".xlsx")</f>
        <v>ABAG00004 (BGW00450) Application Rev 0.xlsx</v>
      </c>
      <c r="BE26" s="64" t="e">
        <f t="shared" ca="1" si="2"/>
        <v>#VALUE!</v>
      </c>
      <c r="BF26" s="104" t="e">
        <f ca="1">LEFT(CELL("filename",A11),_05preva_view43[[#This Row],[Find Process &amp; Database]]-1)</f>
        <v>#VALUE!</v>
      </c>
      <c r="BG26" s="104" t="e">
        <f ca="1">_05preva_view43[Folder Path1]&amp;"Process &amp; Database\Documentation\Colo Applications"</f>
        <v>#VALUE!</v>
      </c>
      <c r="BH26" s="104" t="e">
        <f ca="1">_05preva_view43[Folder Path2]&amp;"\Colo App "&amp;_05preva_view43[[#This Row],[Operator]]&amp;"\"</f>
        <v>#VALUE!</v>
      </c>
      <c r="BI26" s="63" t="e">
        <f ca="1">_05preva_view43[[#This Row],[Folder Path3]]&amp;_05preva_view43[[#This Row],[File Name]]</f>
        <v>#VALUE!</v>
      </c>
      <c r="BJ26" s="104"/>
      <c r="BK26" s="3"/>
      <c r="BL26" s="3"/>
      <c r="CJ26" s="5"/>
      <c r="CK26" s="5"/>
      <c r="CL26" s="3"/>
      <c r="CN26" s="5"/>
      <c r="CR26" s="3"/>
      <c r="CS26" s="3"/>
      <c r="CT26" s="5"/>
      <c r="CV26" s="3"/>
      <c r="DR26" s="5"/>
      <c r="DT26" s="3"/>
      <c r="EF26" s="7"/>
      <c r="EG26" s="7"/>
      <c r="EJ26" s="4"/>
      <c r="EK26" s="4"/>
      <c r="EU26" s="2"/>
      <c r="EV26" s="2"/>
    </row>
    <row r="27" spans="1:152">
      <c r="A27" s="125">
        <v>3626</v>
      </c>
      <c r="B27" s="126" t="s">
        <v>1869</v>
      </c>
      <c r="C27" s="126" t="s">
        <v>331</v>
      </c>
      <c r="D27" s="126" t="s">
        <v>127</v>
      </c>
      <c r="E27" s="126" t="s">
        <v>1870</v>
      </c>
      <c r="F27" s="126" t="s">
        <v>35</v>
      </c>
      <c r="G27" s="126" t="s">
        <v>1583</v>
      </c>
      <c r="H27" s="126" t="s">
        <v>1575</v>
      </c>
      <c r="I27" s="126" t="s">
        <v>1288</v>
      </c>
      <c r="J27" s="126" t="s">
        <v>990</v>
      </c>
      <c r="K27" s="127">
        <v>43486</v>
      </c>
      <c r="L27" s="128">
        <v>1.399</v>
      </c>
      <c r="M27" s="128">
        <v>2.1989999999999998</v>
      </c>
      <c r="N27" s="126">
        <v>3.25</v>
      </c>
      <c r="O27" s="126" t="s">
        <v>950</v>
      </c>
      <c r="P27" s="129" t="s">
        <v>958</v>
      </c>
      <c r="Q27" s="129" t="s">
        <v>959</v>
      </c>
      <c r="R27" s="126" t="s">
        <v>25</v>
      </c>
      <c r="S27" s="126"/>
      <c r="T27" s="130" t="s">
        <v>861</v>
      </c>
      <c r="U27" s="126"/>
      <c r="V27" s="130" t="s">
        <v>120</v>
      </c>
      <c r="W27" s="126"/>
      <c r="X27" s="130" t="s">
        <v>120</v>
      </c>
      <c r="Y27" s="126" t="s">
        <v>1925</v>
      </c>
      <c r="Z27" s="165" t="s">
        <v>120</v>
      </c>
      <c r="AA27" s="158" t="s">
        <v>2140</v>
      </c>
      <c r="AB27" s="158" t="s">
        <v>2141</v>
      </c>
      <c r="AC27" s="170" t="s">
        <v>123</v>
      </c>
      <c r="AD27" s="126" t="s">
        <v>2143</v>
      </c>
      <c r="AE27" s="130" t="s">
        <v>125</v>
      </c>
      <c r="AF27" s="127"/>
      <c r="AG27" s="131"/>
      <c r="AH27" s="131"/>
      <c r="AI27" s="126"/>
      <c r="AJ27" s="130" t="s">
        <v>120</v>
      </c>
      <c r="AK27" s="126" t="s">
        <v>123</v>
      </c>
      <c r="AL27" s="126" t="s">
        <v>1198</v>
      </c>
      <c r="AM27" s="130"/>
      <c r="AN27" s="126"/>
      <c r="AO27" s="132"/>
      <c r="AP27" s="126"/>
      <c r="AQ27" s="126"/>
      <c r="AR27" s="130"/>
      <c r="AS27" s="126"/>
      <c r="AT27" s="127">
        <v>43487.3767881944</v>
      </c>
      <c r="AU27" s="127"/>
      <c r="AV27" s="127">
        <v>43488.585188078701</v>
      </c>
      <c r="AW27" s="127">
        <v>43487.3767881944</v>
      </c>
      <c r="AX27" s="127"/>
      <c r="AY27" s="127">
        <v>43486.643537615702</v>
      </c>
      <c r="AZ27" s="133"/>
      <c r="BA27"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27" s="135">
        <f>COUNTIFS(_05preva_view43[Site ID],_05preva_view43[[#This Row],[Site ID]],_05preva_view43[Prevalidation Status],"Under Prevalidation")</f>
        <v>1</v>
      </c>
      <c r="BC27" s="157" t="e">
        <f ca="1">HYPERLINK(CheckPath(_05preva_view43[[#This Row],[File Path]],_05preva_view43[[#This Row],[File Path]],_05preva_view43[[#This Row],[Folder Path3]]),CheckPath(_05preva_view43[[#This Row],[File Path]],"Open File","No File"))</f>
        <v>#VALUE!</v>
      </c>
      <c r="BD27" s="136" t="str">
        <f>CONCATENATE(_05preva_view43[[#This Row],[Site ID]]," (",_05preva_view43[[#This Row],[tenant id]],") Application",IF(_05preva_view43[[#This Row],[Colo Rev]]&gt;0," Rev "&amp;_05preva_view43[[#This Row],[Colo Rev]],""),".xlsx")</f>
        <v>1-01-10018-001 (MDY00339) Application Rev 3.xlsx</v>
      </c>
      <c r="BE27" s="64" t="e">
        <f t="shared" ca="1" si="2"/>
        <v>#VALUE!</v>
      </c>
      <c r="BF27" s="104" t="e">
        <f ca="1">LEFT(CELL("filename",A12),_05preva_view43[[#This Row],[Find Process &amp; Database]]-1)</f>
        <v>#VALUE!</v>
      </c>
      <c r="BG27" s="104" t="e">
        <f ca="1">_05preva_view43[Folder Path1]&amp;"Process &amp; Database\Documentation\Colo Applications"</f>
        <v>#VALUE!</v>
      </c>
      <c r="BH27" s="104" t="e">
        <f ca="1">_05preva_view43[Folder Path2]&amp;"\Colo App "&amp;_05preva_view43[[#This Row],[Operator]]&amp;"\"</f>
        <v>#VALUE!</v>
      </c>
      <c r="BI27" s="63" t="e">
        <f ca="1">_05preva_view43[[#This Row],[Folder Path3]]&amp;_05preva_view43[[#This Row],[File Name]]</f>
        <v>#VALUE!</v>
      </c>
      <c r="BJ27" s="104"/>
      <c r="BK27" s="3"/>
      <c r="BL27" s="3"/>
      <c r="CJ27" s="5"/>
      <c r="CK27" s="5"/>
      <c r="CL27" s="3"/>
      <c r="CN27" s="5"/>
      <c r="CR27" s="3"/>
      <c r="CS27" s="3"/>
      <c r="CT27" s="5"/>
      <c r="CV27" s="3"/>
      <c r="DR27" s="5"/>
      <c r="DT27" s="3"/>
      <c r="EF27" s="7"/>
      <c r="EG27" s="7"/>
      <c r="EJ27" s="4"/>
      <c r="EK27" s="4"/>
      <c r="EU27" s="2"/>
      <c r="EV27" s="2"/>
    </row>
    <row r="28" spans="1:152">
      <c r="A28" s="125">
        <v>3627</v>
      </c>
      <c r="B28" s="126" t="s">
        <v>1926</v>
      </c>
      <c r="C28" s="126" t="s">
        <v>331</v>
      </c>
      <c r="D28" s="126" t="s">
        <v>127</v>
      </c>
      <c r="E28" s="126" t="s">
        <v>1927</v>
      </c>
      <c r="F28" s="126" t="s">
        <v>35</v>
      </c>
      <c r="G28" s="126" t="s">
        <v>1583</v>
      </c>
      <c r="H28" s="126" t="s">
        <v>1575</v>
      </c>
      <c r="I28" s="126" t="s">
        <v>1288</v>
      </c>
      <c r="J28" s="126" t="s">
        <v>931</v>
      </c>
      <c r="K28" s="127">
        <v>43486</v>
      </c>
      <c r="L28" s="128">
        <v>1.399</v>
      </c>
      <c r="M28" s="128">
        <v>2.1989999999999998</v>
      </c>
      <c r="N28" s="126">
        <v>5.13</v>
      </c>
      <c r="O28" s="126" t="s">
        <v>950</v>
      </c>
      <c r="P28" s="129" t="s">
        <v>958</v>
      </c>
      <c r="Q28" s="129" t="s">
        <v>959</v>
      </c>
      <c r="R28" s="126" t="s">
        <v>25</v>
      </c>
      <c r="S28" s="126"/>
      <c r="T28" s="130" t="s">
        <v>861</v>
      </c>
      <c r="U28" s="126"/>
      <c r="V28" s="130" t="s">
        <v>120</v>
      </c>
      <c r="W28" s="126"/>
      <c r="X28" s="130" t="s">
        <v>120</v>
      </c>
      <c r="Y28" s="126" t="s">
        <v>1928</v>
      </c>
      <c r="Z28" s="165" t="s">
        <v>120</v>
      </c>
      <c r="AA28" s="158" t="s">
        <v>2140</v>
      </c>
      <c r="AB28" s="158" t="s">
        <v>2141</v>
      </c>
      <c r="AC28" s="170" t="s">
        <v>123</v>
      </c>
      <c r="AD28" s="126" t="s">
        <v>2144</v>
      </c>
      <c r="AE28" s="130" t="s">
        <v>120</v>
      </c>
      <c r="AF28" s="127" t="s">
        <v>1929</v>
      </c>
      <c r="AG28" s="131"/>
      <c r="AH28" s="131"/>
      <c r="AI28" s="126" t="s">
        <v>1930</v>
      </c>
      <c r="AJ28" s="130" t="s">
        <v>120</v>
      </c>
      <c r="AK28" s="126" t="s">
        <v>123</v>
      </c>
      <c r="AL28" s="126" t="s">
        <v>1198</v>
      </c>
      <c r="AM28" s="130"/>
      <c r="AN28" s="126"/>
      <c r="AO28" s="132"/>
      <c r="AP28" s="126"/>
      <c r="AQ28" s="126"/>
      <c r="AR28" s="130"/>
      <c r="AS28" s="126"/>
      <c r="AT28" s="127">
        <v>43487.376791666698</v>
      </c>
      <c r="AU28" s="127">
        <v>43486.753532754599</v>
      </c>
      <c r="AV28" s="127">
        <v>43488.650206481499</v>
      </c>
      <c r="AW28" s="127">
        <v>43487.376791666698</v>
      </c>
      <c r="AX28" s="127"/>
      <c r="AY28" s="127">
        <v>43486.643538194403</v>
      </c>
      <c r="AZ28" s="133"/>
      <c r="BA28"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28" s="135">
        <f>COUNTIFS(_05preva_view43[Site ID],_05preva_view43[[#This Row],[Site ID]],_05preva_view43[Prevalidation Status],"Under Prevalidation")</f>
        <v>1</v>
      </c>
      <c r="BC28" s="157" t="e">
        <f ca="1">HYPERLINK(CheckPath(_05preva_view43[[#This Row],[File Path]],_05preva_view43[[#This Row],[File Path]],_05preva_view43[[#This Row],[Folder Path3]]),CheckPath(_05preva_view43[[#This Row],[File Path]],"Open File","No File"))</f>
        <v>#VALUE!</v>
      </c>
      <c r="BD28" s="136" t="str">
        <f>CONCATENATE(_05preva_view43[[#This Row],[Site ID]]," (",_05preva_view43[[#This Row],[tenant id]],") Application",IF(_05preva_view43[[#This Row],[Colo Rev]]&gt;0," Rev "&amp;_05preva_view43[[#This Row],[Colo Rev]],""),".xlsx")</f>
        <v>1-01-10029-006 (MDY00358) Application Rev 1.xlsx</v>
      </c>
      <c r="BE28" s="64" t="e">
        <f t="shared" ca="1" si="2"/>
        <v>#VALUE!</v>
      </c>
      <c r="BF28" s="104" t="e">
        <f ca="1">LEFT(CELL("filename",A13),_05preva_view43[[#This Row],[Find Process &amp; Database]]-1)</f>
        <v>#VALUE!</v>
      </c>
      <c r="BG28" s="104" t="e">
        <f ca="1">_05preva_view43[Folder Path1]&amp;"Process &amp; Database\Documentation\Colo Applications"</f>
        <v>#VALUE!</v>
      </c>
      <c r="BH28" s="104" t="e">
        <f ca="1">_05preva_view43[Folder Path2]&amp;"\Colo App "&amp;_05preva_view43[[#This Row],[Operator]]&amp;"\"</f>
        <v>#VALUE!</v>
      </c>
      <c r="BI28" s="63" t="e">
        <f ca="1">_05preva_view43[[#This Row],[Folder Path3]]&amp;_05preva_view43[[#This Row],[File Name]]</f>
        <v>#VALUE!</v>
      </c>
      <c r="BJ28" s="104"/>
      <c r="BK28" s="3"/>
      <c r="BL28" s="3"/>
      <c r="CJ28" s="5"/>
      <c r="CK28" s="5"/>
      <c r="CL28" s="3"/>
      <c r="CN28" s="5"/>
      <c r="CR28" s="3"/>
      <c r="CS28" s="3"/>
      <c r="CT28" s="5"/>
      <c r="CV28" s="3"/>
      <c r="DR28" s="5"/>
      <c r="DT28" s="3"/>
      <c r="EF28" s="7"/>
      <c r="EG28" s="7"/>
      <c r="EJ28" s="4"/>
      <c r="EK28" s="4"/>
      <c r="EU28" s="2"/>
      <c r="EV28" s="2"/>
    </row>
    <row r="29" spans="1:152">
      <c r="A29" s="125">
        <v>3628</v>
      </c>
      <c r="B29" s="126" t="s">
        <v>1931</v>
      </c>
      <c r="C29" s="126" t="s">
        <v>331</v>
      </c>
      <c r="D29" s="126" t="s">
        <v>117</v>
      </c>
      <c r="E29" s="126" t="s">
        <v>1932</v>
      </c>
      <c r="F29" s="126" t="s">
        <v>35</v>
      </c>
      <c r="G29" s="126" t="s">
        <v>1583</v>
      </c>
      <c r="H29" s="126" t="s">
        <v>1575</v>
      </c>
      <c r="I29" s="126" t="s">
        <v>1288</v>
      </c>
      <c r="J29" s="126" t="s">
        <v>931</v>
      </c>
      <c r="K29" s="127">
        <v>43486</v>
      </c>
      <c r="L29" s="128">
        <v>1.399</v>
      </c>
      <c r="M29" s="128">
        <v>2.1989999999999998</v>
      </c>
      <c r="N29" s="126">
        <v>4.3600000000000003</v>
      </c>
      <c r="O29" s="126" t="s">
        <v>950</v>
      </c>
      <c r="P29" s="129" t="s">
        <v>958</v>
      </c>
      <c r="Q29" s="129" t="s">
        <v>959</v>
      </c>
      <c r="R29" s="126" t="s">
        <v>25</v>
      </c>
      <c r="S29" s="126"/>
      <c r="T29" s="130" t="s">
        <v>861</v>
      </c>
      <c r="U29" s="126"/>
      <c r="V29" s="130" t="s">
        <v>120</v>
      </c>
      <c r="W29" s="126" t="s">
        <v>1933</v>
      </c>
      <c r="X29" s="130" t="s">
        <v>120</v>
      </c>
      <c r="Y29" s="126" t="s">
        <v>1934</v>
      </c>
      <c r="Z29" s="165" t="s">
        <v>125</v>
      </c>
      <c r="AA29" s="158"/>
      <c r="AB29" s="158"/>
      <c r="AC29" s="170"/>
      <c r="AD29" s="126"/>
      <c r="AE29" s="130" t="s">
        <v>120</v>
      </c>
      <c r="AF29" s="127" t="s">
        <v>1929</v>
      </c>
      <c r="AG29" s="131"/>
      <c r="AH29" s="131"/>
      <c r="AI29" s="126" t="s">
        <v>1930</v>
      </c>
      <c r="AJ29" s="130" t="s">
        <v>120</v>
      </c>
      <c r="AK29" s="126" t="s">
        <v>123</v>
      </c>
      <c r="AL29" s="126" t="s">
        <v>1198</v>
      </c>
      <c r="AM29" s="130"/>
      <c r="AN29" s="126"/>
      <c r="AO29" s="132"/>
      <c r="AP29" s="126"/>
      <c r="AQ29" s="126"/>
      <c r="AR29" s="130"/>
      <c r="AS29" s="126"/>
      <c r="AT29" s="127">
        <v>43487.376794907403</v>
      </c>
      <c r="AU29" s="127">
        <v>43486.753536574099</v>
      </c>
      <c r="AV29" s="127"/>
      <c r="AW29" s="127">
        <v>43487.376794907403</v>
      </c>
      <c r="AX29" s="127"/>
      <c r="AY29" s="127">
        <v>43486.6435391204</v>
      </c>
      <c r="AZ29" s="133"/>
      <c r="BA29"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29" s="135">
        <f>COUNTIFS(_05preva_view43[Site ID],_05preva_view43[[#This Row],[Site ID]],_05preva_view43[Prevalidation Status],"Under Prevalidation")</f>
        <v>1</v>
      </c>
      <c r="BC29" s="157" t="e">
        <f ca="1">HYPERLINK(CheckPath(_05preva_view43[[#This Row],[File Path]],_05preva_view43[[#This Row],[File Path]],_05preva_view43[[#This Row],[Folder Path3]]),CheckPath(_05preva_view43[[#This Row],[File Path]],"Open File","No File"))</f>
        <v>#VALUE!</v>
      </c>
      <c r="BD29" s="136" t="str">
        <f>CONCATENATE(_05preva_view43[[#This Row],[Site ID]]," (",_05preva_view43[[#This Row],[tenant id]],") Application",IF(_05preva_view43[[#This Row],[Colo Rev]]&gt;0," Rev "&amp;_05preva_view43[[#This Row],[Colo Rev]],""),".xlsx")</f>
        <v>1-01-09022-002 (MGW00204) Application Rev 1.xlsx</v>
      </c>
      <c r="BE29" s="64" t="e">
        <f t="shared" ca="1" si="2"/>
        <v>#VALUE!</v>
      </c>
      <c r="BF29" s="104" t="e">
        <f ca="1">LEFT(CELL("filename",A14),_05preva_view43[[#This Row],[Find Process &amp; Database]]-1)</f>
        <v>#VALUE!</v>
      </c>
      <c r="BG29" s="104" t="e">
        <f ca="1">_05preva_view43[Folder Path1]&amp;"Process &amp; Database\Documentation\Colo Applications"</f>
        <v>#VALUE!</v>
      </c>
      <c r="BH29" s="104" t="e">
        <f ca="1">_05preva_view43[Folder Path2]&amp;"\Colo App "&amp;_05preva_view43[[#This Row],[Operator]]&amp;"\"</f>
        <v>#VALUE!</v>
      </c>
      <c r="BI29" s="63" t="e">
        <f ca="1">_05preva_view43[[#This Row],[Folder Path3]]&amp;_05preva_view43[[#This Row],[File Name]]</f>
        <v>#VALUE!</v>
      </c>
      <c r="BJ29" s="104"/>
      <c r="BK29" s="3"/>
      <c r="BL29" s="3"/>
      <c r="CJ29" s="5"/>
      <c r="CK29" s="5"/>
      <c r="CL29" s="3"/>
      <c r="CN29" s="5"/>
      <c r="CR29" s="3"/>
      <c r="CS29" s="3"/>
      <c r="CT29" s="5"/>
      <c r="CV29" s="3"/>
      <c r="DR29" s="5"/>
      <c r="DT29" s="3"/>
      <c r="EF29" s="7"/>
      <c r="EG29" s="7"/>
      <c r="EJ29" s="4"/>
      <c r="EK29" s="4"/>
      <c r="EU29" s="2"/>
      <c r="EV29" s="2"/>
    </row>
    <row r="30" spans="1:152">
      <c r="A30" s="125">
        <v>3629</v>
      </c>
      <c r="B30" s="126" t="s">
        <v>1631</v>
      </c>
      <c r="C30" s="126" t="s">
        <v>331</v>
      </c>
      <c r="D30" s="126" t="s">
        <v>127</v>
      </c>
      <c r="E30" s="126" t="s">
        <v>1632</v>
      </c>
      <c r="F30" s="126" t="s">
        <v>35</v>
      </c>
      <c r="G30" s="126" t="s">
        <v>1583</v>
      </c>
      <c r="H30" s="126" t="s">
        <v>1575</v>
      </c>
      <c r="I30" s="126" t="s">
        <v>1288</v>
      </c>
      <c r="J30" s="126" t="s">
        <v>931</v>
      </c>
      <c r="K30" s="127">
        <v>43486</v>
      </c>
      <c r="L30" s="128">
        <v>1.399</v>
      </c>
      <c r="M30" s="128">
        <v>2.1989999999999998</v>
      </c>
      <c r="N30" s="126">
        <v>3.12</v>
      </c>
      <c r="O30" s="126" t="s">
        <v>950</v>
      </c>
      <c r="P30" s="129" t="s">
        <v>1062</v>
      </c>
      <c r="Q30" s="129" t="s">
        <v>958</v>
      </c>
      <c r="R30" s="126" t="s">
        <v>24</v>
      </c>
      <c r="S30" s="126"/>
      <c r="T30" s="130" t="s">
        <v>861</v>
      </c>
      <c r="U30" s="126"/>
      <c r="V30" s="130" t="s">
        <v>120</v>
      </c>
      <c r="W30" s="126"/>
      <c r="X30" s="130" t="s">
        <v>120</v>
      </c>
      <c r="Y30" s="126" t="s">
        <v>1935</v>
      </c>
      <c r="Z30" s="165" t="s">
        <v>120</v>
      </c>
      <c r="AA30" s="158" t="s">
        <v>2140</v>
      </c>
      <c r="AB30" s="158" t="s">
        <v>2141</v>
      </c>
      <c r="AC30" s="170" t="s">
        <v>123</v>
      </c>
      <c r="AD30" s="126" t="s">
        <v>2145</v>
      </c>
      <c r="AE30" s="130" t="s">
        <v>120</v>
      </c>
      <c r="AF30" s="127" t="s">
        <v>1936</v>
      </c>
      <c r="AG30" s="131"/>
      <c r="AH30" s="131"/>
      <c r="AI30" s="126" t="s">
        <v>1930</v>
      </c>
      <c r="AJ30" s="130" t="s">
        <v>120</v>
      </c>
      <c r="AK30" s="126" t="s">
        <v>123</v>
      </c>
      <c r="AL30" s="126" t="s">
        <v>1198</v>
      </c>
      <c r="AM30" s="130"/>
      <c r="AN30" s="126"/>
      <c r="AO30" s="132"/>
      <c r="AP30" s="126"/>
      <c r="AQ30" s="126"/>
      <c r="AR30" s="130"/>
      <c r="AS30" s="126"/>
      <c r="AT30" s="127">
        <v>43487.376798495403</v>
      </c>
      <c r="AU30" s="127">
        <v>43486.753538773097</v>
      </c>
      <c r="AV30" s="127">
        <v>43488.5851899306</v>
      </c>
      <c r="AW30" s="127">
        <v>43487.376798495403</v>
      </c>
      <c r="AX30" s="127"/>
      <c r="AY30" s="127">
        <v>43486.643539583303</v>
      </c>
      <c r="AZ30" s="133">
        <v>43488.593204166697</v>
      </c>
      <c r="BA30" s="134">
        <f ca="1">IF(_05preva_view43[[#This Row],[Prevalidation Status]]="Under Prevalidation",NOW()-_05preva_view43[[#This Row],[Request Date]],IF(_05preva_view43[[#This Row],[Close Date]]&gt;_05preva_view43[[#This Row],[Request Date]],_05preva_view43[[#This Row],[Close Date]]-_05preva_view43[[#This Row],[Request Date]],"Not  Calculated"))</f>
        <v>2.5932041666965233</v>
      </c>
      <c r="BB30" s="135">
        <f>COUNTIFS(_05preva_view43[Site ID],_05preva_view43[[#This Row],[Site ID]],_05preva_view43[Prevalidation Status],"Under Prevalidation")</f>
        <v>0</v>
      </c>
      <c r="BC30" s="157" t="e">
        <f ca="1">HYPERLINK(CheckPath(_05preva_view43[[#This Row],[File Path]],_05preva_view43[[#This Row],[File Path]],_05preva_view43[[#This Row],[Folder Path3]]),CheckPath(_05preva_view43[[#This Row],[File Path]],"Open File","No File"))</f>
        <v>#VALUE!</v>
      </c>
      <c r="BD30" s="136" t="str">
        <f>CONCATENATE(_05preva_view43[[#This Row],[Site ID]]," (",_05preva_view43[[#This Row],[tenant id]],") Application",IF(_05preva_view43[[#This Row],[Colo Rev]]&gt;0," Rev "&amp;_05preva_view43[[#This Row],[Colo Rev]],""),".xlsx")</f>
        <v>1-01-05015-002 (SGG00199) Application Rev 1.xlsx</v>
      </c>
      <c r="BE30" s="64" t="e">
        <f t="shared" ca="1" si="2"/>
        <v>#VALUE!</v>
      </c>
      <c r="BF30" s="104" t="e">
        <f ca="1">LEFT(CELL("filename",A15),_05preva_view43[[#This Row],[Find Process &amp; Database]]-1)</f>
        <v>#VALUE!</v>
      </c>
      <c r="BG30" s="104" t="e">
        <f ca="1">_05preva_view43[Folder Path1]&amp;"Process &amp; Database\Documentation\Colo Applications"</f>
        <v>#VALUE!</v>
      </c>
      <c r="BH30" s="104" t="e">
        <f ca="1">_05preva_view43[Folder Path2]&amp;"\Colo App "&amp;_05preva_view43[[#This Row],[Operator]]&amp;"\"</f>
        <v>#VALUE!</v>
      </c>
      <c r="BI30" s="63" t="e">
        <f ca="1">_05preva_view43[[#This Row],[Folder Path3]]&amp;_05preva_view43[[#This Row],[File Name]]</f>
        <v>#VALUE!</v>
      </c>
      <c r="BJ30" s="104"/>
      <c r="BK30" s="3"/>
      <c r="BL30" s="3"/>
      <c r="CJ30" s="5"/>
      <c r="CK30" s="5"/>
      <c r="CL30" s="3"/>
      <c r="CN30" s="5"/>
      <c r="CR30" s="3"/>
      <c r="CS30" s="3"/>
      <c r="CT30" s="5"/>
      <c r="CV30" s="3"/>
      <c r="DR30" s="5"/>
      <c r="DT30" s="3"/>
      <c r="EF30" s="7"/>
      <c r="EG30" s="7"/>
      <c r="EJ30" s="4"/>
      <c r="EK30" s="4"/>
      <c r="EU30" s="2"/>
      <c r="EV30" s="2"/>
    </row>
    <row r="31" spans="1:152">
      <c r="A31" s="125">
        <v>3630</v>
      </c>
      <c r="B31" s="126" t="s">
        <v>1871</v>
      </c>
      <c r="C31" s="126" t="s">
        <v>331</v>
      </c>
      <c r="D31" s="126" t="s">
        <v>127</v>
      </c>
      <c r="E31" s="126" t="s">
        <v>1872</v>
      </c>
      <c r="F31" s="126" t="s">
        <v>35</v>
      </c>
      <c r="G31" s="126" t="s">
        <v>1583</v>
      </c>
      <c r="H31" s="126" t="s">
        <v>1575</v>
      </c>
      <c r="I31" s="126" t="s">
        <v>1288</v>
      </c>
      <c r="J31" s="126" t="s">
        <v>949</v>
      </c>
      <c r="K31" s="127">
        <v>43486</v>
      </c>
      <c r="L31" s="128">
        <v>1.399</v>
      </c>
      <c r="M31" s="128">
        <v>2.2610000000000001</v>
      </c>
      <c r="N31" s="126">
        <v>4.04</v>
      </c>
      <c r="O31" s="126" t="s">
        <v>950</v>
      </c>
      <c r="P31" s="129" t="s">
        <v>958</v>
      </c>
      <c r="Q31" s="129" t="s">
        <v>959</v>
      </c>
      <c r="R31" s="126" t="s">
        <v>24</v>
      </c>
      <c r="S31" s="126"/>
      <c r="T31" s="130" t="s">
        <v>861</v>
      </c>
      <c r="U31" s="126"/>
      <c r="V31" s="130" t="s">
        <v>120</v>
      </c>
      <c r="W31" s="126"/>
      <c r="X31" s="130" t="s">
        <v>120</v>
      </c>
      <c r="Y31" s="126" t="s">
        <v>2146</v>
      </c>
      <c r="Z31" s="165" t="s">
        <v>120</v>
      </c>
      <c r="AA31" s="158" t="s">
        <v>2140</v>
      </c>
      <c r="AB31" s="158" t="s">
        <v>2141</v>
      </c>
      <c r="AC31" s="170" t="s">
        <v>123</v>
      </c>
      <c r="AD31" s="126" t="s">
        <v>2147</v>
      </c>
      <c r="AE31" s="130" t="s">
        <v>120</v>
      </c>
      <c r="AF31" s="127" t="s">
        <v>1937</v>
      </c>
      <c r="AG31" s="131"/>
      <c r="AH31" s="131"/>
      <c r="AI31" s="126" t="s">
        <v>1938</v>
      </c>
      <c r="AJ31" s="130" t="s">
        <v>120</v>
      </c>
      <c r="AK31" s="126" t="s">
        <v>123</v>
      </c>
      <c r="AL31" s="126" t="s">
        <v>1198</v>
      </c>
      <c r="AM31" s="130"/>
      <c r="AN31" s="126"/>
      <c r="AO31" s="132"/>
      <c r="AP31" s="126"/>
      <c r="AQ31" s="126"/>
      <c r="AR31" s="130"/>
      <c r="AS31" s="126"/>
      <c r="AT31" s="127">
        <v>43487.500028935203</v>
      </c>
      <c r="AU31" s="127">
        <v>43486.753542592603</v>
      </c>
      <c r="AV31" s="127">
        <v>43488.585190856502</v>
      </c>
      <c r="AW31" s="127">
        <v>43487.500028935203</v>
      </c>
      <c r="AX31" s="127"/>
      <c r="AY31" s="127">
        <v>43486.643540972203</v>
      </c>
      <c r="AZ31" s="133">
        <v>43488.593205092599</v>
      </c>
      <c r="BA31" s="134">
        <f ca="1">IF(_05preva_view43[[#This Row],[Prevalidation Status]]="Under Prevalidation",NOW()-_05preva_view43[[#This Row],[Request Date]],IF(_05preva_view43[[#This Row],[Close Date]]&gt;_05preva_view43[[#This Row],[Request Date]],_05preva_view43[[#This Row],[Close Date]]-_05preva_view43[[#This Row],[Request Date]],"Not  Calculated"))</f>
        <v>2.5932050925985095</v>
      </c>
      <c r="BB31" s="135">
        <f>COUNTIFS(_05preva_view43[Site ID],_05preva_view43[[#This Row],[Site ID]],_05preva_view43[Prevalidation Status],"Under Prevalidation")</f>
        <v>0</v>
      </c>
      <c r="BC31" s="157" t="e">
        <f ca="1">HYPERLINK(CheckPath(_05preva_view43[[#This Row],[File Path]],_05preva_view43[[#This Row],[File Path]],_05preva_view43[[#This Row],[Folder Path3]]),CheckPath(_05preva_view43[[#This Row],[File Path]],"Open File","No File"))</f>
        <v>#VALUE!</v>
      </c>
      <c r="BD31" s="136" t="str">
        <f>CONCATENATE(_05preva_view43[[#This Row],[Site ID]]," (",_05preva_view43[[#This Row],[tenant id]],") Application",IF(_05preva_view43[[#This Row],[Colo Rev]]&gt;0," Rev "&amp;_05preva_view43[[#This Row],[Colo Rev]],""),".xlsx")</f>
        <v>1-01-15013-009 (SHN00040) Application Rev 2.xlsx</v>
      </c>
      <c r="BE31" s="64" t="e">
        <f t="shared" ca="1" si="2"/>
        <v>#VALUE!</v>
      </c>
      <c r="BF31" s="104" t="e">
        <f ca="1">LEFT(CELL("filename",A16),_05preva_view43[[#This Row],[Find Process &amp; Database]]-1)</f>
        <v>#VALUE!</v>
      </c>
      <c r="BG31" s="104" t="e">
        <f ca="1">_05preva_view43[Folder Path1]&amp;"Process &amp; Database\Documentation\Colo Applications"</f>
        <v>#VALUE!</v>
      </c>
      <c r="BH31" s="104" t="e">
        <f ca="1">_05preva_view43[Folder Path2]&amp;"\Colo App "&amp;_05preva_view43[[#This Row],[Operator]]&amp;"\"</f>
        <v>#VALUE!</v>
      </c>
      <c r="BI31" s="63" t="e">
        <f ca="1">_05preva_view43[[#This Row],[Folder Path3]]&amp;_05preva_view43[[#This Row],[File Name]]</f>
        <v>#VALUE!</v>
      </c>
      <c r="BJ31" s="104"/>
      <c r="BK31" s="3"/>
      <c r="BL31" s="3"/>
      <c r="CJ31" s="5"/>
      <c r="CK31" s="5"/>
      <c r="CL31" s="3"/>
      <c r="CN31" s="5"/>
      <c r="CR31" s="3"/>
      <c r="CS31" s="3"/>
      <c r="CT31" s="5"/>
      <c r="CV31" s="3"/>
      <c r="DR31" s="5"/>
      <c r="DT31" s="3"/>
      <c r="EF31" s="7"/>
      <c r="EG31" s="7"/>
      <c r="EJ31" s="4"/>
      <c r="EK31" s="4"/>
      <c r="EU31" s="2"/>
      <c r="EV31" s="2"/>
    </row>
    <row r="32" spans="1:152">
      <c r="A32" s="125">
        <v>3631</v>
      </c>
      <c r="B32" s="126" t="s">
        <v>1939</v>
      </c>
      <c r="C32" s="126" t="s">
        <v>331</v>
      </c>
      <c r="D32" s="126" t="s">
        <v>127</v>
      </c>
      <c r="E32" s="126" t="s">
        <v>1940</v>
      </c>
      <c r="F32" s="126" t="s">
        <v>35</v>
      </c>
      <c r="G32" s="126" t="s">
        <v>1583</v>
      </c>
      <c r="H32" s="126" t="s">
        <v>1575</v>
      </c>
      <c r="I32" s="126" t="s">
        <v>1288</v>
      </c>
      <c r="J32" s="126" t="s">
        <v>990</v>
      </c>
      <c r="K32" s="127">
        <v>43486</v>
      </c>
      <c r="L32" s="128">
        <v>1.399</v>
      </c>
      <c r="M32" s="128">
        <v>2.2610000000000001</v>
      </c>
      <c r="N32" s="126">
        <v>6.63</v>
      </c>
      <c r="O32" s="126" t="s">
        <v>950</v>
      </c>
      <c r="P32" s="129" t="s">
        <v>958</v>
      </c>
      <c r="Q32" s="129" t="s">
        <v>959</v>
      </c>
      <c r="R32" s="126" t="s">
        <v>24</v>
      </c>
      <c r="S32" s="126"/>
      <c r="T32" s="130" t="s">
        <v>861</v>
      </c>
      <c r="U32" s="126"/>
      <c r="V32" s="130" t="s">
        <v>120</v>
      </c>
      <c r="W32" s="126"/>
      <c r="X32" s="130" t="s">
        <v>120</v>
      </c>
      <c r="Y32" s="126" t="s">
        <v>2148</v>
      </c>
      <c r="Z32" s="165" t="s">
        <v>120</v>
      </c>
      <c r="AA32" s="158" t="s">
        <v>2140</v>
      </c>
      <c r="AB32" s="158" t="s">
        <v>2141</v>
      </c>
      <c r="AC32" s="170" t="s">
        <v>240</v>
      </c>
      <c r="AD32" s="126" t="s">
        <v>2149</v>
      </c>
      <c r="AE32" s="130" t="s">
        <v>120</v>
      </c>
      <c r="AF32" s="127" t="s">
        <v>1936</v>
      </c>
      <c r="AG32" s="131"/>
      <c r="AH32" s="131"/>
      <c r="AI32" s="126" t="s">
        <v>1930</v>
      </c>
      <c r="AJ32" s="130" t="s">
        <v>120</v>
      </c>
      <c r="AK32" s="126" t="s">
        <v>123</v>
      </c>
      <c r="AL32" s="126" t="s">
        <v>1198</v>
      </c>
      <c r="AM32" s="130"/>
      <c r="AN32" s="126"/>
      <c r="AO32" s="132"/>
      <c r="AP32" s="126"/>
      <c r="AQ32" s="126"/>
      <c r="AR32" s="130"/>
      <c r="AS32" s="126"/>
      <c r="AT32" s="127">
        <v>43487.500029745403</v>
      </c>
      <c r="AU32" s="127">
        <v>43486.753544791703</v>
      </c>
      <c r="AV32" s="127"/>
      <c r="AW32" s="127">
        <v>43487.500029745403</v>
      </c>
      <c r="AX32" s="127"/>
      <c r="AY32" s="127">
        <v>43486.643543634302</v>
      </c>
      <c r="AZ32" s="133">
        <v>43488.593206365702</v>
      </c>
      <c r="BA32" s="134">
        <f ca="1">IF(_05preva_view43[[#This Row],[Prevalidation Status]]="Under Prevalidation",NOW()-_05preva_view43[[#This Row],[Request Date]],IF(_05preva_view43[[#This Row],[Close Date]]&gt;_05preva_view43[[#This Row],[Request Date]],_05preva_view43[[#This Row],[Close Date]]-_05preva_view43[[#This Row],[Request Date]],"Not  Calculated"))</f>
        <v>2.5932063657019171</v>
      </c>
      <c r="BB32" s="135">
        <f>COUNTIFS(_05preva_view43[Site ID],_05preva_view43[[#This Row],[Site ID]],_05preva_view43[Prevalidation Status],"Under Prevalidation")</f>
        <v>0</v>
      </c>
      <c r="BC32" s="157" t="e">
        <f ca="1">HYPERLINK(CheckPath(_05preva_view43[[#This Row],[File Path]],_05preva_view43[[#This Row],[File Path]],_05preva_view43[[#This Row],[Folder Path3]]),CheckPath(_05preva_view43[[#This Row],[File Path]],"Open File","No File"))</f>
        <v>#VALUE!</v>
      </c>
      <c r="BD32" s="136" t="str">
        <f>CONCATENATE(_05preva_view43[[#This Row],[Site ID]]," (",_05preva_view43[[#This Row],[tenant id]],") Application",IF(_05preva_view43[[#This Row],[Colo Rev]]&gt;0," Rev "&amp;_05preva_view43[[#This Row],[Colo Rev]],""),".xlsx")</f>
        <v>1-01-15018-003 (SHN00063) Application Rev 3.xlsx</v>
      </c>
      <c r="BE32" s="64" t="e">
        <f t="shared" ca="1" si="2"/>
        <v>#VALUE!</v>
      </c>
      <c r="BF32" s="104" t="e">
        <f ca="1">LEFT(CELL("filename",A17),_05preva_view43[[#This Row],[Find Process &amp; Database]]-1)</f>
        <v>#VALUE!</v>
      </c>
      <c r="BG32" s="104" t="e">
        <f ca="1">_05preva_view43[Folder Path1]&amp;"Process &amp; Database\Documentation\Colo Applications"</f>
        <v>#VALUE!</v>
      </c>
      <c r="BH32" s="104" t="e">
        <f ca="1">_05preva_view43[Folder Path2]&amp;"\Colo App "&amp;_05preva_view43[[#This Row],[Operator]]&amp;"\"</f>
        <v>#VALUE!</v>
      </c>
      <c r="BI32" s="63" t="e">
        <f ca="1">_05preva_view43[[#This Row],[Folder Path3]]&amp;_05preva_view43[[#This Row],[File Name]]</f>
        <v>#VALUE!</v>
      </c>
      <c r="BJ32" s="104"/>
      <c r="BK32" s="3"/>
      <c r="BL32" s="3"/>
      <c r="CJ32" s="5"/>
      <c r="CK32" s="5"/>
      <c r="CL32" s="3"/>
      <c r="CN32" s="5"/>
      <c r="CR32" s="3"/>
      <c r="CS32" s="3"/>
      <c r="CT32" s="5"/>
      <c r="CV32" s="3"/>
      <c r="DR32" s="5"/>
      <c r="DT32" s="3"/>
      <c r="EF32" s="7"/>
      <c r="EG32" s="7"/>
      <c r="EJ32" s="4"/>
      <c r="EK32" s="4"/>
      <c r="EU32" s="2"/>
      <c r="EV32" s="2"/>
    </row>
    <row r="33" spans="1:152">
      <c r="A33" s="125">
        <v>3632</v>
      </c>
      <c r="B33" s="126" t="s">
        <v>1941</v>
      </c>
      <c r="C33" s="126" t="s">
        <v>331</v>
      </c>
      <c r="D33" s="126" t="s">
        <v>163</v>
      </c>
      <c r="E33" s="126" t="s">
        <v>1942</v>
      </c>
      <c r="F33" s="126" t="s">
        <v>35</v>
      </c>
      <c r="G33" s="126" t="s">
        <v>1919</v>
      </c>
      <c r="H33" s="126" t="s">
        <v>1619</v>
      </c>
      <c r="I33" s="126" t="s">
        <v>1311</v>
      </c>
      <c r="J33" s="126" t="s">
        <v>940</v>
      </c>
      <c r="K33" s="127">
        <v>43486</v>
      </c>
      <c r="L33" s="128">
        <v>0.72</v>
      </c>
      <c r="M33" s="128">
        <v>0.9</v>
      </c>
      <c r="N33" s="126">
        <v>6</v>
      </c>
      <c r="O33" s="126" t="s">
        <v>950</v>
      </c>
      <c r="P33" s="129" t="s">
        <v>291</v>
      </c>
      <c r="Q33" s="129" t="s">
        <v>292</v>
      </c>
      <c r="R33" s="126" t="s">
        <v>24</v>
      </c>
      <c r="S33" s="126"/>
      <c r="T33" s="130" t="s">
        <v>861</v>
      </c>
      <c r="U33" s="126"/>
      <c r="V33" s="130" t="s">
        <v>120</v>
      </c>
      <c r="W33" s="126"/>
      <c r="X33" s="130" t="s">
        <v>120</v>
      </c>
      <c r="Y33" s="126" t="s">
        <v>1920</v>
      </c>
      <c r="Z33" s="165" t="s">
        <v>120</v>
      </c>
      <c r="AA33" s="158" t="s">
        <v>2140</v>
      </c>
      <c r="AB33" s="158" t="s">
        <v>2141</v>
      </c>
      <c r="AC33" s="170" t="s">
        <v>123</v>
      </c>
      <c r="AD33" s="126" t="s">
        <v>2150</v>
      </c>
      <c r="AE33" s="130" t="s">
        <v>120</v>
      </c>
      <c r="AF33" s="127"/>
      <c r="AG33" s="131"/>
      <c r="AH33" s="131"/>
      <c r="AI33" s="126"/>
      <c r="AJ33" s="130" t="s">
        <v>120</v>
      </c>
      <c r="AK33" s="126" t="s">
        <v>123</v>
      </c>
      <c r="AL33" s="126" t="s">
        <v>1493</v>
      </c>
      <c r="AM33" s="130"/>
      <c r="AN33" s="126"/>
      <c r="AO33" s="132"/>
      <c r="AP33" s="126"/>
      <c r="AQ33" s="126"/>
      <c r="AR33" s="130"/>
      <c r="AS33" s="126"/>
      <c r="AT33" s="127">
        <v>43487.376804629603</v>
      </c>
      <c r="AU33" s="127">
        <v>43486.753548495399</v>
      </c>
      <c r="AV33" s="127">
        <v>43488.585192476901</v>
      </c>
      <c r="AW33" s="127">
        <v>43487.376804629603</v>
      </c>
      <c r="AX33" s="127"/>
      <c r="AY33" s="127">
        <v>43486.718662152802</v>
      </c>
      <c r="AZ33" s="133">
        <v>43488.593207060199</v>
      </c>
      <c r="BA33" s="134">
        <f ca="1">IF(_05preva_view43[[#This Row],[Prevalidation Status]]="Under Prevalidation",NOW()-_05preva_view43[[#This Row],[Request Date]],IF(_05preva_view43[[#This Row],[Close Date]]&gt;_05preva_view43[[#This Row],[Request Date]],_05preva_view43[[#This Row],[Close Date]]-_05preva_view43[[#This Row],[Request Date]],"Not  Calculated"))</f>
        <v>2.5932070601993473</v>
      </c>
      <c r="BB33" s="135">
        <f>COUNTIFS(_05preva_view43[Site ID],_05preva_view43[[#This Row],[Site ID]],_05preva_view43[Prevalidation Status],"Under Prevalidation")</f>
        <v>0</v>
      </c>
      <c r="BC33" s="157" t="e">
        <f ca="1">HYPERLINK(CheckPath(_05preva_view43[[#This Row],[File Path]],_05preva_view43[[#This Row],[File Path]],_05preva_view43[[#This Row],[Folder Path3]]),CheckPath(_05preva_view43[[#This Row],[File Path]],"Open File","No File"))</f>
        <v>#VALUE!</v>
      </c>
      <c r="BD33" s="136" t="str">
        <f>CONCATENATE(_05preva_view43[[#This Row],[Site ID]]," (",_05preva_view43[[#This Row],[tenant id]],") Application",IF(_05preva_view43[[#This Row],[Colo Rev]]&gt;0," Rev "&amp;_05preva_view43[[#This Row],[Colo Rev]],""),".xlsx")</f>
        <v>PBAG00032 (BGE00825) Application Rev 0.xlsx</v>
      </c>
      <c r="BE33" s="64" t="e">
        <f t="shared" ca="1" si="2"/>
        <v>#VALUE!</v>
      </c>
      <c r="BF33" s="104" t="e">
        <f ca="1">LEFT(CELL("filename",A18),_05preva_view43[[#This Row],[Find Process &amp; Database]]-1)</f>
        <v>#VALUE!</v>
      </c>
      <c r="BG33" s="104" t="e">
        <f ca="1">_05preva_view43[Folder Path1]&amp;"Process &amp; Database\Documentation\Colo Applications"</f>
        <v>#VALUE!</v>
      </c>
      <c r="BH33" s="104" t="e">
        <f ca="1">_05preva_view43[Folder Path2]&amp;"\Colo App "&amp;_05preva_view43[[#This Row],[Operator]]&amp;"\"</f>
        <v>#VALUE!</v>
      </c>
      <c r="BI33" s="63" t="e">
        <f ca="1">_05preva_view43[[#This Row],[Folder Path3]]&amp;_05preva_view43[[#This Row],[File Name]]</f>
        <v>#VALUE!</v>
      </c>
      <c r="BJ33" s="104"/>
      <c r="BK33" s="3"/>
      <c r="BL33" s="3"/>
      <c r="CJ33" s="5"/>
      <c r="CK33" s="5"/>
      <c r="CL33" s="3"/>
      <c r="CN33" s="5"/>
      <c r="CR33" s="3"/>
      <c r="CS33" s="3"/>
      <c r="CT33" s="5"/>
      <c r="CV33" s="3"/>
      <c r="DR33" s="5"/>
      <c r="DT33" s="3"/>
      <c r="EF33" s="7"/>
      <c r="EG33" s="7"/>
      <c r="EJ33" s="4"/>
      <c r="EK33" s="4"/>
      <c r="EU33" s="2"/>
      <c r="EV33" s="2"/>
    </row>
    <row r="34" spans="1:152">
      <c r="A34" s="125">
        <v>3633</v>
      </c>
      <c r="B34" s="126" t="s">
        <v>1943</v>
      </c>
      <c r="C34" s="126" t="s">
        <v>331</v>
      </c>
      <c r="D34" s="126" t="s">
        <v>117</v>
      </c>
      <c r="E34" s="126" t="s">
        <v>1944</v>
      </c>
      <c r="F34" s="126" t="s">
        <v>35</v>
      </c>
      <c r="G34" s="126" t="s">
        <v>1583</v>
      </c>
      <c r="H34" s="126" t="s">
        <v>1575</v>
      </c>
      <c r="I34" s="126" t="s">
        <v>1048</v>
      </c>
      <c r="J34" s="126" t="s">
        <v>990</v>
      </c>
      <c r="K34" s="127">
        <v>43486</v>
      </c>
      <c r="L34" s="128">
        <v>3.548</v>
      </c>
      <c r="M34" s="128">
        <v>5.5259999999999998</v>
      </c>
      <c r="N34" s="126">
        <v>4.6219999999999999</v>
      </c>
      <c r="O34" s="126" t="s">
        <v>950</v>
      </c>
      <c r="P34" s="129" t="s">
        <v>1945</v>
      </c>
      <c r="Q34" s="129" t="s">
        <v>1946</v>
      </c>
      <c r="R34" s="126" t="s">
        <v>25</v>
      </c>
      <c r="S34" s="126"/>
      <c r="T34" s="130" t="s">
        <v>861</v>
      </c>
      <c r="U34" s="126"/>
      <c r="V34" s="130" t="s">
        <v>120</v>
      </c>
      <c r="W34" s="126"/>
      <c r="X34" s="130" t="s">
        <v>120</v>
      </c>
      <c r="Y34" s="126" t="s">
        <v>2151</v>
      </c>
      <c r="Z34" s="165" t="s">
        <v>2152</v>
      </c>
      <c r="AA34" s="158" t="s">
        <v>2153</v>
      </c>
      <c r="AB34" s="158" t="s">
        <v>2141</v>
      </c>
      <c r="AC34" s="170" t="s">
        <v>123</v>
      </c>
      <c r="AD34" s="126" t="s">
        <v>2154</v>
      </c>
      <c r="AE34" s="130" t="s">
        <v>120</v>
      </c>
      <c r="AF34" s="127"/>
      <c r="AG34" s="131"/>
      <c r="AH34" s="131"/>
      <c r="AI34" s="126"/>
      <c r="AJ34" s="130" t="s">
        <v>120</v>
      </c>
      <c r="AK34" s="126" t="s">
        <v>123</v>
      </c>
      <c r="AL34" s="126" t="s">
        <v>1198</v>
      </c>
      <c r="AM34" s="130"/>
      <c r="AN34" s="126"/>
      <c r="AO34" s="132"/>
      <c r="AP34" s="126"/>
      <c r="AQ34" s="126"/>
      <c r="AR34" s="130"/>
      <c r="AS34" s="126"/>
      <c r="AT34" s="127">
        <v>43487.500030787</v>
      </c>
      <c r="AU34" s="127">
        <v>43486.753550694397</v>
      </c>
      <c r="AV34" s="127">
        <v>43488.690378587999</v>
      </c>
      <c r="AW34" s="127">
        <v>43487.500030787</v>
      </c>
      <c r="AX34" s="127"/>
      <c r="AY34" s="127">
        <v>43486.643544907398</v>
      </c>
      <c r="AZ34" s="133"/>
      <c r="BA34"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34" s="135">
        <f>COUNTIFS(_05preva_view43[Site ID],_05preva_view43[[#This Row],[Site ID]],_05preva_view43[Prevalidation Status],"Under Prevalidation")</f>
        <v>1</v>
      </c>
      <c r="BC34" s="157" t="e">
        <f ca="1">HYPERLINK(CheckPath(_05preva_view43[[#This Row],[File Path]],_05preva_view43[[#This Row],[File Path]],_05preva_view43[[#This Row],[Folder Path3]]),CheckPath(_05preva_view43[[#This Row],[File Path]],"Open File","No File"))</f>
        <v>#VALUE!</v>
      </c>
      <c r="BD34" s="136" t="str">
        <f>CONCATENATE(_05preva_view43[[#This Row],[Site ID]]," (",_05preva_view43[[#This Row],[tenant id]],") Application",IF(_05preva_view43[[#This Row],[Colo Rev]]&gt;0," Rev "&amp;_05preva_view43[[#This Row],[Colo Rev]],""),".xlsx")</f>
        <v>1-01-04002-007 (CHN00140) Application Rev 3.xlsx</v>
      </c>
      <c r="BE34" s="64" t="e">
        <f t="shared" ca="1" si="2"/>
        <v>#VALUE!</v>
      </c>
      <c r="BF34" s="104" t="e">
        <f ca="1">LEFT(CELL("filename",A19),_05preva_view43[[#This Row],[Find Process &amp; Database]]-1)</f>
        <v>#VALUE!</v>
      </c>
      <c r="BG34" s="104" t="e">
        <f ca="1">_05preva_view43[Folder Path1]&amp;"Process &amp; Database\Documentation\Colo Applications"</f>
        <v>#VALUE!</v>
      </c>
      <c r="BH34" s="104" t="e">
        <f ca="1">_05preva_view43[Folder Path2]&amp;"\Colo App "&amp;_05preva_view43[[#This Row],[Operator]]&amp;"\"</f>
        <v>#VALUE!</v>
      </c>
      <c r="BI34" s="63" t="e">
        <f ca="1">_05preva_view43[[#This Row],[Folder Path3]]&amp;_05preva_view43[[#This Row],[File Name]]</f>
        <v>#VALUE!</v>
      </c>
      <c r="BJ34" s="104"/>
      <c r="BK34" s="3"/>
      <c r="BL34" s="3"/>
      <c r="CJ34" s="5"/>
      <c r="CK34" s="5"/>
      <c r="CL34" s="3"/>
      <c r="CN34" s="5"/>
      <c r="CR34" s="3"/>
      <c r="CS34" s="3"/>
      <c r="CT34" s="5"/>
      <c r="CV34" s="3"/>
      <c r="DR34" s="5"/>
      <c r="DT34" s="3"/>
      <c r="EF34" s="7"/>
      <c r="EG34" s="7"/>
      <c r="EJ34" s="4"/>
      <c r="EK34" s="4"/>
      <c r="EU34" s="2"/>
      <c r="EV34" s="2"/>
    </row>
    <row r="35" spans="1:152">
      <c r="A35" s="125">
        <v>3634</v>
      </c>
      <c r="B35" s="126" t="s">
        <v>1947</v>
      </c>
      <c r="C35" s="126" t="s">
        <v>331</v>
      </c>
      <c r="D35" s="126" t="s">
        <v>117</v>
      </c>
      <c r="E35" s="126" t="s">
        <v>1948</v>
      </c>
      <c r="F35" s="126" t="s">
        <v>35</v>
      </c>
      <c r="G35" s="126" t="s">
        <v>1583</v>
      </c>
      <c r="H35" s="126" t="s">
        <v>1575</v>
      </c>
      <c r="I35" s="126" t="s">
        <v>1053</v>
      </c>
      <c r="J35" s="126" t="s">
        <v>931</v>
      </c>
      <c r="K35" s="127">
        <v>43486</v>
      </c>
      <c r="L35" s="128">
        <v>2.0590000000000002</v>
      </c>
      <c r="M35" s="128">
        <v>3.5489999999999999</v>
      </c>
      <c r="N35" s="126">
        <v>4.0999999999999996</v>
      </c>
      <c r="O35" s="126" t="s">
        <v>950</v>
      </c>
      <c r="P35" s="129" t="s">
        <v>958</v>
      </c>
      <c r="Q35" s="129" t="s">
        <v>959</v>
      </c>
      <c r="R35" s="126" t="s">
        <v>25</v>
      </c>
      <c r="S35" s="126"/>
      <c r="T35" s="130" t="s">
        <v>861</v>
      </c>
      <c r="U35" s="126"/>
      <c r="V35" s="130" t="s">
        <v>120</v>
      </c>
      <c r="W35" s="126"/>
      <c r="X35" s="130" t="s">
        <v>120</v>
      </c>
      <c r="Y35" s="126" t="s">
        <v>2155</v>
      </c>
      <c r="Z35" s="165" t="s">
        <v>125</v>
      </c>
      <c r="AA35" s="158"/>
      <c r="AB35" s="158"/>
      <c r="AC35" s="170"/>
      <c r="AD35" s="126"/>
      <c r="AE35" s="130" t="s">
        <v>120</v>
      </c>
      <c r="AF35" s="127" t="s">
        <v>1949</v>
      </c>
      <c r="AG35" s="131"/>
      <c r="AH35" s="131"/>
      <c r="AI35" s="126" t="s">
        <v>1950</v>
      </c>
      <c r="AJ35" s="130" t="s">
        <v>120</v>
      </c>
      <c r="AK35" s="126" t="s">
        <v>123</v>
      </c>
      <c r="AL35" s="126" t="s">
        <v>1198</v>
      </c>
      <c r="AM35" s="130"/>
      <c r="AN35" s="126"/>
      <c r="AO35" s="132"/>
      <c r="AP35" s="126"/>
      <c r="AQ35" s="126"/>
      <c r="AR35" s="130"/>
      <c r="AS35" s="126"/>
      <c r="AT35" s="127">
        <v>43487.500031249998</v>
      </c>
      <c r="AU35" s="127">
        <v>43486.753554513904</v>
      </c>
      <c r="AV35" s="127"/>
      <c r="AW35" s="127">
        <v>43487.500031249998</v>
      </c>
      <c r="AX35" s="127"/>
      <c r="AY35" s="127">
        <v>43486.643545370403</v>
      </c>
      <c r="AZ35" s="133"/>
      <c r="BA35"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35" s="135">
        <f>COUNTIFS(_05preva_view43[Site ID],_05preva_view43[[#This Row],[Site ID]],_05preva_view43[Prevalidation Status],"Under Prevalidation")</f>
        <v>1</v>
      </c>
      <c r="BC35" s="157" t="e">
        <f ca="1">HYPERLINK(CheckPath(_05preva_view43[[#This Row],[File Path]],_05preva_view43[[#This Row],[File Path]],_05preva_view43[[#This Row],[Folder Path3]]),CheckPath(_05preva_view43[[#This Row],[File Path]],"Open File","No File"))</f>
        <v>#VALUE!</v>
      </c>
      <c r="BD35" s="136" t="str">
        <f>CONCATENATE(_05preva_view43[[#This Row],[Site ID]]," (",_05preva_view43[[#This Row],[tenant id]],") Application",IF(_05preva_view43[[#This Row],[Colo Rev]]&gt;0," Rev "&amp;_05preva_view43[[#This Row],[Colo Rev]],""),".xlsx")</f>
        <v>1-01-09021-002 (MGW00156) Application Rev 1.xlsx</v>
      </c>
      <c r="BE35" s="64" t="e">
        <f t="shared" ca="1" si="2"/>
        <v>#VALUE!</v>
      </c>
      <c r="BF35" s="104" t="e">
        <f ca="1">LEFT(CELL("filename",A20),_05preva_view43[[#This Row],[Find Process &amp; Database]]-1)</f>
        <v>#VALUE!</v>
      </c>
      <c r="BG35" s="104" t="e">
        <f ca="1">_05preva_view43[Folder Path1]&amp;"Process &amp; Database\Documentation\Colo Applications"</f>
        <v>#VALUE!</v>
      </c>
      <c r="BH35" s="104" t="e">
        <f ca="1">_05preva_view43[Folder Path2]&amp;"\Colo App "&amp;_05preva_view43[[#This Row],[Operator]]&amp;"\"</f>
        <v>#VALUE!</v>
      </c>
      <c r="BI35" s="63" t="e">
        <f ca="1">_05preva_view43[[#This Row],[Folder Path3]]&amp;_05preva_view43[[#This Row],[File Name]]</f>
        <v>#VALUE!</v>
      </c>
      <c r="BJ35" s="104"/>
      <c r="BK35" s="3"/>
      <c r="BL35" s="3"/>
      <c r="CJ35" s="5"/>
      <c r="CK35" s="5"/>
      <c r="CL35" s="3"/>
      <c r="CN35" s="5"/>
      <c r="CR35" s="3"/>
      <c r="CS35" s="3"/>
      <c r="CT35" s="5"/>
      <c r="CV35" s="3"/>
      <c r="DR35" s="5"/>
      <c r="DT35" s="3"/>
      <c r="EF35" s="7"/>
      <c r="EG35" s="7"/>
      <c r="EJ35" s="4"/>
      <c r="EK35" s="4"/>
      <c r="EU35" s="2"/>
      <c r="EV35" s="2"/>
    </row>
    <row r="36" spans="1:152">
      <c r="A36" s="125">
        <v>3635</v>
      </c>
      <c r="B36" s="126" t="s">
        <v>1951</v>
      </c>
      <c r="C36" s="126" t="s">
        <v>331</v>
      </c>
      <c r="D36" s="126" t="s">
        <v>127</v>
      </c>
      <c r="E36" s="126" t="s">
        <v>1952</v>
      </c>
      <c r="F36" s="126" t="s">
        <v>35</v>
      </c>
      <c r="G36" s="126" t="s">
        <v>1583</v>
      </c>
      <c r="H36" s="126" t="s">
        <v>1575</v>
      </c>
      <c r="I36" s="126" t="s">
        <v>1048</v>
      </c>
      <c r="J36" s="126" t="s">
        <v>931</v>
      </c>
      <c r="K36" s="127">
        <v>43486</v>
      </c>
      <c r="L36" s="128">
        <v>2.1970000000000001</v>
      </c>
      <c r="M36" s="128">
        <v>3.7970000000000002</v>
      </c>
      <c r="N36" s="126">
        <v>3.3519999999999999</v>
      </c>
      <c r="O36" s="126" t="s">
        <v>950</v>
      </c>
      <c r="P36" s="129" t="s">
        <v>1062</v>
      </c>
      <c r="Q36" s="129" t="s">
        <v>958</v>
      </c>
      <c r="R36" s="126" t="s">
        <v>25</v>
      </c>
      <c r="S36" s="126"/>
      <c r="T36" s="130" t="s">
        <v>861</v>
      </c>
      <c r="U36" s="126"/>
      <c r="V36" s="130" t="s">
        <v>120</v>
      </c>
      <c r="W36" s="126"/>
      <c r="X36" s="130" t="s">
        <v>120</v>
      </c>
      <c r="Y36" s="126" t="s">
        <v>2156</v>
      </c>
      <c r="Z36" s="165" t="s">
        <v>125</v>
      </c>
      <c r="AA36" s="158"/>
      <c r="AB36" s="158"/>
      <c r="AC36" s="170"/>
      <c r="AD36" s="126"/>
      <c r="AE36" s="130" t="s">
        <v>120</v>
      </c>
      <c r="AF36" s="127" t="s">
        <v>1953</v>
      </c>
      <c r="AG36" s="131"/>
      <c r="AH36" s="131"/>
      <c r="AI36" s="126" t="s">
        <v>1954</v>
      </c>
      <c r="AJ36" s="130" t="s">
        <v>120</v>
      </c>
      <c r="AK36" s="126" t="s">
        <v>123</v>
      </c>
      <c r="AL36" s="126" t="s">
        <v>1198</v>
      </c>
      <c r="AM36" s="130"/>
      <c r="AN36" s="126"/>
      <c r="AO36" s="132"/>
      <c r="AP36" s="126"/>
      <c r="AQ36" s="126"/>
      <c r="AR36" s="130"/>
      <c r="AS36" s="126"/>
      <c r="AT36" s="127">
        <v>43487.500031828698</v>
      </c>
      <c r="AU36" s="127">
        <v>43486.753556713003</v>
      </c>
      <c r="AV36" s="127"/>
      <c r="AW36" s="127">
        <v>43487.500031828698</v>
      </c>
      <c r="AX36" s="127"/>
      <c r="AY36" s="127">
        <v>43486.643546296298</v>
      </c>
      <c r="AZ36" s="133"/>
      <c r="BA36"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36" s="135">
        <f>COUNTIFS(_05preva_view43[Site ID],_05preva_view43[[#This Row],[Site ID]],_05preva_view43[Prevalidation Status],"Under Prevalidation")</f>
        <v>1</v>
      </c>
      <c r="BC36" s="157" t="e">
        <f ca="1">HYPERLINK(CheckPath(_05preva_view43[[#This Row],[File Path]],_05preva_view43[[#This Row],[File Path]],_05preva_view43[[#This Row],[Folder Path3]]),CheckPath(_05preva_view43[[#This Row],[File Path]],"Open File","No File"))</f>
        <v>#VALUE!</v>
      </c>
      <c r="BD36" s="136" t="str">
        <f>CONCATENATE(_05preva_view43[[#This Row],[Site ID]]," (",_05preva_view43[[#This Row],[tenant id]],") Application",IF(_05preva_view43[[#This Row],[Colo Rev]]&gt;0," Rev "&amp;_05preva_view43[[#This Row],[Colo Rev]],""),".xlsx")</f>
        <v>1-01-05027-007 (SGG00242) Application Rev 1.xlsx</v>
      </c>
      <c r="BE36" s="64" t="e">
        <f t="shared" ca="1" si="2"/>
        <v>#VALUE!</v>
      </c>
      <c r="BF36" s="104" t="e">
        <f ca="1">LEFT(CELL("filename",A21),_05preva_view43[[#This Row],[Find Process &amp; Database]]-1)</f>
        <v>#VALUE!</v>
      </c>
      <c r="BG36" s="104" t="e">
        <f ca="1">_05preva_view43[Folder Path1]&amp;"Process &amp; Database\Documentation\Colo Applications"</f>
        <v>#VALUE!</v>
      </c>
      <c r="BH36" s="104" t="e">
        <f ca="1">_05preva_view43[Folder Path2]&amp;"\Colo App "&amp;_05preva_view43[[#This Row],[Operator]]&amp;"\"</f>
        <v>#VALUE!</v>
      </c>
      <c r="BI36" s="63" t="e">
        <f ca="1">_05preva_view43[[#This Row],[Folder Path3]]&amp;_05preva_view43[[#This Row],[File Name]]</f>
        <v>#VALUE!</v>
      </c>
      <c r="BJ36" s="104"/>
      <c r="BK36" s="3"/>
      <c r="BL36" s="3"/>
      <c r="CJ36" s="5"/>
      <c r="CK36" s="5"/>
      <c r="CL36" s="3"/>
      <c r="CN36" s="5"/>
      <c r="CR36" s="3"/>
      <c r="CS36" s="3"/>
      <c r="CT36" s="5"/>
      <c r="CV36" s="3"/>
      <c r="DR36" s="5"/>
      <c r="DT36" s="3"/>
      <c r="EF36" s="7"/>
      <c r="EG36" s="7"/>
      <c r="EJ36" s="4"/>
      <c r="EK36" s="4"/>
      <c r="EU36" s="2"/>
      <c r="EV36" s="2"/>
    </row>
    <row r="37" spans="1:152">
      <c r="A37" s="125">
        <v>3636</v>
      </c>
      <c r="B37" s="126" t="s">
        <v>1363</v>
      </c>
      <c r="C37" s="126" t="s">
        <v>331</v>
      </c>
      <c r="D37" s="126" t="s">
        <v>163</v>
      </c>
      <c r="E37" s="126" t="s">
        <v>1364</v>
      </c>
      <c r="F37" s="126" t="s">
        <v>35</v>
      </c>
      <c r="G37" s="126" t="s">
        <v>1583</v>
      </c>
      <c r="H37" s="126" t="s">
        <v>1575</v>
      </c>
      <c r="I37" s="126" t="s">
        <v>1955</v>
      </c>
      <c r="J37" s="126" t="s">
        <v>1304</v>
      </c>
      <c r="K37" s="127">
        <v>43486</v>
      </c>
      <c r="L37" s="128">
        <v>1.92</v>
      </c>
      <c r="M37" s="128">
        <v>4</v>
      </c>
      <c r="N37" s="126">
        <v>4.4400000000000004</v>
      </c>
      <c r="O37" s="126" t="s">
        <v>950</v>
      </c>
      <c r="P37" s="129" t="s">
        <v>736</v>
      </c>
      <c r="Q37" s="129" t="s">
        <v>880</v>
      </c>
      <c r="R37" s="126" t="s">
        <v>25</v>
      </c>
      <c r="S37" s="126"/>
      <c r="T37" s="130" t="s">
        <v>861</v>
      </c>
      <c r="U37" s="126"/>
      <c r="V37" s="130" t="s">
        <v>120</v>
      </c>
      <c r="W37" s="126"/>
      <c r="X37" s="130" t="s">
        <v>120</v>
      </c>
      <c r="Y37" s="126" t="s">
        <v>2157</v>
      </c>
      <c r="Z37" s="165" t="s">
        <v>125</v>
      </c>
      <c r="AA37" s="158"/>
      <c r="AB37" s="158"/>
      <c r="AC37" s="170"/>
      <c r="AD37" s="126"/>
      <c r="AE37" s="130" t="s">
        <v>120</v>
      </c>
      <c r="AF37" s="127" t="s">
        <v>1956</v>
      </c>
      <c r="AG37" s="131"/>
      <c r="AH37" s="131"/>
      <c r="AI37" s="126" t="s">
        <v>1954</v>
      </c>
      <c r="AJ37" s="130" t="s">
        <v>120</v>
      </c>
      <c r="AK37" s="126" t="s">
        <v>123</v>
      </c>
      <c r="AL37" s="126" t="s">
        <v>1198</v>
      </c>
      <c r="AM37" s="130"/>
      <c r="AN37" s="126"/>
      <c r="AO37" s="132"/>
      <c r="AP37" s="126"/>
      <c r="AQ37" s="126"/>
      <c r="AR37" s="130"/>
      <c r="AS37" s="126"/>
      <c r="AT37" s="127">
        <v>43487.500032523101</v>
      </c>
      <c r="AU37" s="127">
        <v>43486.753560532401</v>
      </c>
      <c r="AV37" s="127"/>
      <c r="AW37" s="127">
        <v>43487.500032523101</v>
      </c>
      <c r="AX37" s="127"/>
      <c r="AY37" s="127">
        <v>43486.643546874999</v>
      </c>
      <c r="AZ37" s="133"/>
      <c r="BA37"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37" s="135">
        <f>COUNTIFS(_05preva_view43[Site ID],_05preva_view43[[#This Row],[Site ID]],_05preva_view43[Prevalidation Status],"Under Prevalidation")</f>
        <v>1</v>
      </c>
      <c r="BC37" s="157" t="e">
        <f ca="1">HYPERLINK(CheckPath(_05preva_view43[[#This Row],[File Path]],_05preva_view43[[#This Row],[File Path]],_05preva_view43[[#This Row],[Folder Path3]]),CheckPath(_05preva_view43[[#This Row],[File Path]],"Open File","No File"))</f>
        <v>#VALUE!</v>
      </c>
      <c r="BD37" s="136" t="str">
        <f>CONCATENATE(_05preva_view43[[#This Row],[Site ID]]," (",_05preva_view43[[#This Row],[tenant id]],") Application",IF(_05preva_view43[[#This Row],[Colo Rev]]&gt;0," Rev "&amp;_05preva_view43[[#This Row],[Colo Rev]],""),".xlsx")</f>
        <v>1-01-06001-002 (TNY00288) Application Rev 5.xlsx</v>
      </c>
      <c r="BE37" s="64" t="e">
        <f t="shared" ca="1" si="2"/>
        <v>#VALUE!</v>
      </c>
      <c r="BF37" s="104" t="e">
        <f ca="1">LEFT(CELL("filename",A22),_05preva_view43[[#This Row],[Find Process &amp; Database]]-1)</f>
        <v>#VALUE!</v>
      </c>
      <c r="BG37" s="104" t="e">
        <f ca="1">_05preva_view43[Folder Path1]&amp;"Process &amp; Database\Documentation\Colo Applications"</f>
        <v>#VALUE!</v>
      </c>
      <c r="BH37" s="104" t="e">
        <f ca="1">_05preva_view43[Folder Path2]&amp;"\Colo App "&amp;_05preva_view43[[#This Row],[Operator]]&amp;"\"</f>
        <v>#VALUE!</v>
      </c>
      <c r="BI37" s="63" t="e">
        <f ca="1">_05preva_view43[[#This Row],[Folder Path3]]&amp;_05preva_view43[[#This Row],[File Name]]</f>
        <v>#VALUE!</v>
      </c>
      <c r="BJ37" s="104"/>
      <c r="BK37" s="3"/>
      <c r="BL37" s="3"/>
      <c r="CJ37" s="5"/>
      <c r="CK37" s="5"/>
      <c r="CL37" s="3"/>
      <c r="CN37" s="5"/>
      <c r="CR37" s="3"/>
      <c r="CS37" s="3"/>
      <c r="CT37" s="5"/>
      <c r="CV37" s="3"/>
      <c r="DR37" s="5"/>
      <c r="DT37" s="3"/>
      <c r="EF37" s="7"/>
      <c r="EG37" s="7"/>
      <c r="EJ37" s="4"/>
      <c r="EK37" s="4"/>
      <c r="EU37" s="2"/>
      <c r="EV37" s="2"/>
    </row>
    <row r="38" spans="1:152">
      <c r="A38" s="125">
        <v>3637</v>
      </c>
      <c r="B38" s="126" t="s">
        <v>1957</v>
      </c>
      <c r="C38" s="126" t="s">
        <v>331</v>
      </c>
      <c r="D38" s="126" t="s">
        <v>163</v>
      </c>
      <c r="E38" s="126" t="s">
        <v>1958</v>
      </c>
      <c r="F38" s="126" t="s">
        <v>35</v>
      </c>
      <c r="G38" s="126" t="s">
        <v>1919</v>
      </c>
      <c r="H38" s="126" t="s">
        <v>1619</v>
      </c>
      <c r="I38" s="126" t="s">
        <v>1311</v>
      </c>
      <c r="J38" s="126" t="s">
        <v>940</v>
      </c>
      <c r="K38" s="127">
        <v>43486</v>
      </c>
      <c r="L38" s="128">
        <v>0.72</v>
      </c>
      <c r="M38" s="128">
        <v>0.9</v>
      </c>
      <c r="N38" s="126">
        <v>6</v>
      </c>
      <c r="O38" s="126" t="s">
        <v>950</v>
      </c>
      <c r="P38" s="129" t="s">
        <v>291</v>
      </c>
      <c r="Q38" s="129" t="s">
        <v>292</v>
      </c>
      <c r="R38" s="126" t="s">
        <v>25</v>
      </c>
      <c r="S38" s="126"/>
      <c r="T38" s="130" t="s">
        <v>861</v>
      </c>
      <c r="U38" s="126"/>
      <c r="V38" s="130" t="s">
        <v>120</v>
      </c>
      <c r="W38" s="126"/>
      <c r="X38" s="130" t="s">
        <v>120</v>
      </c>
      <c r="Y38" s="126" t="s">
        <v>1920</v>
      </c>
      <c r="Z38" s="165" t="s">
        <v>125</v>
      </c>
      <c r="AA38" s="158"/>
      <c r="AB38" s="158"/>
      <c r="AC38" s="170"/>
      <c r="AD38" s="126"/>
      <c r="AE38" s="130" t="s">
        <v>120</v>
      </c>
      <c r="AF38" s="127"/>
      <c r="AG38" s="131"/>
      <c r="AH38" s="131"/>
      <c r="AI38" s="126"/>
      <c r="AJ38" s="130" t="s">
        <v>120</v>
      </c>
      <c r="AK38" s="126" t="s">
        <v>123</v>
      </c>
      <c r="AL38" s="126" t="s">
        <v>1493</v>
      </c>
      <c r="AM38" s="130"/>
      <c r="AN38" s="126"/>
      <c r="AO38" s="132"/>
      <c r="AP38" s="126"/>
      <c r="AQ38" s="126"/>
      <c r="AR38" s="130"/>
      <c r="AS38" s="126"/>
      <c r="AT38" s="127">
        <v>43487.376810763897</v>
      </c>
      <c r="AU38" s="127">
        <v>43486.753572916699</v>
      </c>
      <c r="AV38" s="127"/>
      <c r="AW38" s="127">
        <v>43487.376810763897</v>
      </c>
      <c r="AX38" s="127"/>
      <c r="AY38" s="127">
        <v>43486.718663310203</v>
      </c>
      <c r="AZ38" s="133"/>
      <c r="BA38"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38" s="135">
        <f>COUNTIFS(_05preva_view43[Site ID],_05preva_view43[[#This Row],[Site ID]],_05preva_view43[Prevalidation Status],"Under Prevalidation")</f>
        <v>1</v>
      </c>
      <c r="BC38" s="157" t="e">
        <f ca="1">HYPERLINK(CheckPath(_05preva_view43[[#This Row],[File Path]],_05preva_view43[[#This Row],[File Path]],_05preva_view43[[#This Row],[Folder Path3]]),CheckPath(_05preva_view43[[#This Row],[File Path]],"Open File","No File"))</f>
        <v>#VALUE!</v>
      </c>
      <c r="BD38" s="136" t="str">
        <f>CONCATENATE(_05preva_view43[[#This Row],[Site ID]]," (",_05preva_view43[[#This Row],[tenant id]],") Application",IF(_05preva_view43[[#This Row],[Colo Rev]]&gt;0," Rev "&amp;_05preva_view43[[#This Row],[Colo Rev]],""),".xlsx")</f>
        <v>PTNT00059 (TNY00789) Application Rev 0.xlsx</v>
      </c>
      <c r="BE38" s="64" t="e">
        <f t="shared" ca="1" si="2"/>
        <v>#VALUE!</v>
      </c>
      <c r="BF38" s="104" t="e">
        <f ca="1">LEFT(CELL("filename",A23),_05preva_view43[[#This Row],[Find Process &amp; Database]]-1)</f>
        <v>#VALUE!</v>
      </c>
      <c r="BG38" s="104" t="e">
        <f ca="1">_05preva_view43[Folder Path1]&amp;"Process &amp; Database\Documentation\Colo Applications"</f>
        <v>#VALUE!</v>
      </c>
      <c r="BH38" s="104" t="e">
        <f ca="1">_05preva_view43[Folder Path2]&amp;"\Colo App "&amp;_05preva_view43[[#This Row],[Operator]]&amp;"\"</f>
        <v>#VALUE!</v>
      </c>
      <c r="BI38" s="63" t="e">
        <f ca="1">_05preva_view43[[#This Row],[Folder Path3]]&amp;_05preva_view43[[#This Row],[File Name]]</f>
        <v>#VALUE!</v>
      </c>
      <c r="BJ38" s="104"/>
      <c r="BK38" s="3"/>
      <c r="BL38" s="3"/>
      <c r="CJ38" s="5"/>
      <c r="CK38" s="5"/>
      <c r="CL38" s="3"/>
      <c r="CN38" s="5"/>
      <c r="CR38" s="3"/>
      <c r="CS38" s="3"/>
      <c r="CT38" s="5"/>
      <c r="CV38" s="3"/>
      <c r="DR38" s="5"/>
      <c r="DT38" s="3"/>
      <c r="EF38" s="7"/>
      <c r="EG38" s="7"/>
      <c r="EJ38" s="4"/>
      <c r="EK38" s="4"/>
      <c r="EU38" s="2"/>
      <c r="EV38" s="2"/>
    </row>
    <row r="39" spans="1:152">
      <c r="A39" s="125">
        <v>3638</v>
      </c>
      <c r="B39" s="126" t="s">
        <v>1959</v>
      </c>
      <c r="C39" s="126" t="s">
        <v>331</v>
      </c>
      <c r="D39" s="126" t="s">
        <v>127</v>
      </c>
      <c r="E39" s="126" t="s">
        <v>1960</v>
      </c>
      <c r="F39" s="126" t="s">
        <v>35</v>
      </c>
      <c r="G39" s="126" t="s">
        <v>1583</v>
      </c>
      <c r="H39" s="126" t="s">
        <v>1575</v>
      </c>
      <c r="I39" s="126" t="s">
        <v>1288</v>
      </c>
      <c r="J39" s="126" t="s">
        <v>949</v>
      </c>
      <c r="K39" s="127">
        <v>43486</v>
      </c>
      <c r="L39" s="128">
        <v>1.399</v>
      </c>
      <c r="M39" s="128">
        <v>2.2989999999999999</v>
      </c>
      <c r="N39" s="126">
        <v>3.72</v>
      </c>
      <c r="O39" s="126" t="s">
        <v>950</v>
      </c>
      <c r="P39" s="129" t="s">
        <v>958</v>
      </c>
      <c r="Q39" s="129" t="s">
        <v>959</v>
      </c>
      <c r="R39" s="126" t="s">
        <v>25</v>
      </c>
      <c r="S39" s="126"/>
      <c r="T39" s="130" t="s">
        <v>861</v>
      </c>
      <c r="U39" s="126"/>
      <c r="V39" s="130" t="s">
        <v>120</v>
      </c>
      <c r="W39" s="126"/>
      <c r="X39" s="130" t="s">
        <v>120</v>
      </c>
      <c r="Y39" s="126" t="s">
        <v>2158</v>
      </c>
      <c r="Z39" s="165" t="s">
        <v>125</v>
      </c>
      <c r="AA39" s="158"/>
      <c r="AB39" s="158"/>
      <c r="AC39" s="170"/>
      <c r="AD39" s="126"/>
      <c r="AE39" s="130" t="s">
        <v>120</v>
      </c>
      <c r="AF39" s="127" t="s">
        <v>1961</v>
      </c>
      <c r="AG39" s="131"/>
      <c r="AH39" s="131"/>
      <c r="AI39" s="126" t="s">
        <v>1930</v>
      </c>
      <c r="AJ39" s="130" t="s">
        <v>120</v>
      </c>
      <c r="AK39" s="126" t="s">
        <v>123</v>
      </c>
      <c r="AL39" s="126" t="s">
        <v>1198</v>
      </c>
      <c r="AM39" s="130"/>
      <c r="AN39" s="126"/>
      <c r="AO39" s="132"/>
      <c r="AP39" s="126"/>
      <c r="AQ39" s="126"/>
      <c r="AR39" s="130"/>
      <c r="AS39" s="126"/>
      <c r="AT39" s="127">
        <v>43487.500033333301</v>
      </c>
      <c r="AU39" s="127">
        <v>43486.753575000002</v>
      </c>
      <c r="AV39" s="127"/>
      <c r="AW39" s="127">
        <v>43487.500033333301</v>
      </c>
      <c r="AX39" s="127"/>
      <c r="AY39" s="127">
        <v>43486.717576967603</v>
      </c>
      <c r="AZ39" s="133"/>
      <c r="BA39" s="134">
        <f ca="1">IF(_05preva_view43[[#This Row],[Prevalidation Status]]="Under Prevalidation",NOW()-_05preva_view43[[#This Row],[Request Date]],IF(_05preva_view43[[#This Row],[Close Date]]&gt;_05preva_view43[[#This Row],[Request Date]],_05preva_view43[[#This Row],[Close Date]]-_05preva_view43[[#This Row],[Request Date]],"Not  Calculated"))</f>
        <v>2.7051064814804704</v>
      </c>
      <c r="BB39" s="135">
        <f>COUNTIFS(_05preva_view43[Site ID],_05preva_view43[[#This Row],[Site ID]],_05preva_view43[Prevalidation Status],"Under Prevalidation")</f>
        <v>1</v>
      </c>
      <c r="BC39" s="157" t="e">
        <f ca="1">HYPERLINK(CheckPath(_05preva_view43[[#This Row],[File Path]],_05preva_view43[[#This Row],[File Path]],_05preva_view43[[#This Row],[Folder Path3]]),CheckPath(_05preva_view43[[#This Row],[File Path]],"Open File","No File"))</f>
        <v>#VALUE!</v>
      </c>
      <c r="BD39" s="136" t="str">
        <f>CONCATENATE(_05preva_view43[[#This Row],[Site ID]]," (",_05preva_view43[[#This Row],[tenant id]],") Application",IF(_05preva_view43[[#This Row],[Colo Rev]]&gt;0," Rev "&amp;_05preva_view43[[#This Row],[Colo Rev]],""),".xlsx")</f>
        <v>1-01-05027-016 (SGG00226) Application Rev 2.xlsx</v>
      </c>
      <c r="BE39" s="64" t="e">
        <f t="shared" ca="1" si="2"/>
        <v>#VALUE!</v>
      </c>
      <c r="BF39" s="104" t="e">
        <f ca="1">LEFT(CELL("filename",A24),_05preva_view43[[#This Row],[Find Process &amp; Database]]-1)</f>
        <v>#VALUE!</v>
      </c>
      <c r="BG39" s="104" t="e">
        <f ca="1">_05preva_view43[Folder Path1]&amp;"Process &amp; Database\Documentation\Colo Applications"</f>
        <v>#VALUE!</v>
      </c>
      <c r="BH39" s="104" t="e">
        <f ca="1">_05preva_view43[Folder Path2]&amp;"\Colo App "&amp;_05preva_view43[[#This Row],[Operator]]&amp;"\"</f>
        <v>#VALUE!</v>
      </c>
      <c r="BI39" s="63" t="e">
        <f ca="1">_05preva_view43[[#This Row],[Folder Path3]]&amp;_05preva_view43[[#This Row],[File Name]]</f>
        <v>#VALUE!</v>
      </c>
      <c r="BJ39" s="104"/>
      <c r="BK39" s="3"/>
      <c r="BL39" s="3"/>
      <c r="CJ39" s="5"/>
      <c r="CK39" s="5"/>
      <c r="CL39" s="3"/>
      <c r="CN39" s="5"/>
      <c r="CR39" s="3"/>
      <c r="CS39" s="3"/>
      <c r="CT39" s="5"/>
      <c r="CV39" s="3"/>
      <c r="DR39" s="5"/>
      <c r="DT39" s="3"/>
      <c r="EF39" s="7"/>
      <c r="EG39" s="7"/>
      <c r="EJ39" s="4"/>
      <c r="EK39" s="4"/>
      <c r="EU39" s="2"/>
      <c r="EV39" s="2"/>
    </row>
    <row r="40" spans="1:152">
      <c r="A40" s="125">
        <v>3639</v>
      </c>
      <c r="B40" s="126" t="s">
        <v>1568</v>
      </c>
      <c r="C40" s="126" t="s">
        <v>331</v>
      </c>
      <c r="D40" s="126" t="s">
        <v>127</v>
      </c>
      <c r="E40" s="126" t="s">
        <v>1569</v>
      </c>
      <c r="F40" s="126" t="s">
        <v>35</v>
      </c>
      <c r="G40" s="126" t="s">
        <v>1583</v>
      </c>
      <c r="H40" s="126" t="s">
        <v>1575</v>
      </c>
      <c r="I40" s="126" t="s">
        <v>1570</v>
      </c>
      <c r="J40" s="126" t="s">
        <v>1304</v>
      </c>
      <c r="K40" s="127">
        <v>43486</v>
      </c>
      <c r="L40" s="128">
        <v>1.399</v>
      </c>
      <c r="M40" s="128">
        <v>2.1989999999999998</v>
      </c>
      <c r="N40" s="126"/>
      <c r="O40" s="126" t="s">
        <v>950</v>
      </c>
      <c r="P40" s="129" t="s">
        <v>958</v>
      </c>
      <c r="Q40" s="129" t="s">
        <v>959</v>
      </c>
      <c r="R40" s="126" t="s">
        <v>24</v>
      </c>
      <c r="S40" s="126"/>
      <c r="T40" s="130" t="s">
        <v>861</v>
      </c>
      <c r="U40" s="126"/>
      <c r="V40" s="130" t="s">
        <v>861</v>
      </c>
      <c r="W40" s="126"/>
      <c r="X40" s="130" t="s">
        <v>861</v>
      </c>
      <c r="Y40" s="126"/>
      <c r="Z40" s="165" t="s">
        <v>861</v>
      </c>
      <c r="AA40" s="158"/>
      <c r="AB40" s="158"/>
      <c r="AC40" s="170"/>
      <c r="AD40" s="126"/>
      <c r="AE40" s="130" t="s">
        <v>120</v>
      </c>
      <c r="AF40" s="127" t="s">
        <v>1962</v>
      </c>
      <c r="AG40" s="131"/>
      <c r="AH40" s="131"/>
      <c r="AI40" s="126" t="s">
        <v>1938</v>
      </c>
      <c r="AJ40" s="130" t="s">
        <v>861</v>
      </c>
      <c r="AK40" s="126"/>
      <c r="AL40" s="126"/>
      <c r="AM40" s="130"/>
      <c r="AN40" s="126"/>
      <c r="AO40" s="132"/>
      <c r="AP40" s="126"/>
      <c r="AQ40" s="126"/>
      <c r="AR40" s="130"/>
      <c r="AS40" s="126"/>
      <c r="AT40" s="127"/>
      <c r="AU40" s="127">
        <v>43486.753569212997</v>
      </c>
      <c r="AV40" s="127"/>
      <c r="AW40" s="127"/>
      <c r="AX40" s="127"/>
      <c r="AY40" s="127"/>
      <c r="AZ40" s="133">
        <v>43487.432190972198</v>
      </c>
      <c r="BA40" s="134">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B40" s="135">
        <f>COUNTIFS(_05preva_view43[Site ID],_05preva_view43[[#This Row],[Site ID]],_05preva_view43[Prevalidation Status],"Under Prevalidation")</f>
        <v>0</v>
      </c>
      <c r="BC40" s="157" t="e">
        <f ca="1">HYPERLINK(CheckPath(_05preva_view43[[#This Row],[File Path]],_05preva_view43[[#This Row],[File Path]],_05preva_view43[[#This Row],[Folder Path3]]),CheckPath(_05preva_view43[[#This Row],[File Path]],"Open File","No File"))</f>
        <v>#VALUE!</v>
      </c>
      <c r="BD40" s="136" t="str">
        <f>CONCATENATE(_05preva_view43[[#This Row],[Site ID]]," (",_05preva_view43[[#This Row],[tenant id]],") Application",IF(_05preva_view43[[#This Row],[Colo Rev]]&gt;0," Rev "&amp;_05preva_view43[[#This Row],[Colo Rev]],""),".xlsx")</f>
        <v>1-01-01014-005 (KCN00119) Application Rev 5.xlsx</v>
      </c>
      <c r="BE40" s="64" t="e">
        <f t="shared" ca="1" si="2"/>
        <v>#VALUE!</v>
      </c>
      <c r="BF40" s="104" t="e">
        <f ca="1">LEFT(CELL("filename",A25),_05preva_view43[[#This Row],[Find Process &amp; Database]]-1)</f>
        <v>#VALUE!</v>
      </c>
      <c r="BG40" s="104" t="e">
        <f ca="1">_05preva_view43[Folder Path1]&amp;"Process &amp; Database\Documentation\Colo Applications"</f>
        <v>#VALUE!</v>
      </c>
      <c r="BH40" s="104" t="e">
        <f ca="1">_05preva_view43[Folder Path2]&amp;"\Colo App "&amp;_05preva_view43[[#This Row],[Operator]]&amp;"\"</f>
        <v>#VALUE!</v>
      </c>
      <c r="BI40" s="63" t="e">
        <f ca="1">_05preva_view43[[#This Row],[Folder Path3]]&amp;_05preva_view43[[#This Row],[File Name]]</f>
        <v>#VALUE!</v>
      </c>
      <c r="BJ40" s="104"/>
      <c r="BK40" s="3"/>
      <c r="BL40" s="3"/>
      <c r="CJ40" s="5"/>
      <c r="CK40" s="5"/>
      <c r="CL40" s="3"/>
      <c r="CN40" s="5"/>
      <c r="CR40" s="3"/>
      <c r="CS40" s="3"/>
      <c r="CT40" s="5"/>
      <c r="CV40" s="3"/>
      <c r="DR40" s="5"/>
      <c r="DT40" s="3"/>
      <c r="EF40" s="7"/>
      <c r="EG40" s="7"/>
      <c r="EJ40" s="4"/>
      <c r="EK40" s="4"/>
      <c r="EU40" s="2"/>
      <c r="EV40" s="2"/>
    </row>
    <row r="41" spans="1:152">
      <c r="A41" s="125">
        <v>3619</v>
      </c>
      <c r="B41" s="126" t="s">
        <v>1419</v>
      </c>
      <c r="C41" s="126" t="s">
        <v>116</v>
      </c>
      <c r="D41" s="126" t="s">
        <v>127</v>
      </c>
      <c r="E41" s="126" t="s">
        <v>1420</v>
      </c>
      <c r="F41" s="126" t="s">
        <v>41</v>
      </c>
      <c r="G41" s="126" t="s">
        <v>1412</v>
      </c>
      <c r="H41" s="126" t="s">
        <v>1319</v>
      </c>
      <c r="I41" s="126" t="s">
        <v>1252</v>
      </c>
      <c r="J41" s="126" t="s">
        <v>931</v>
      </c>
      <c r="K41" s="127">
        <v>43483</v>
      </c>
      <c r="L41" s="128"/>
      <c r="M41" s="128">
        <v>1.9</v>
      </c>
      <c r="N41" s="126">
        <v>3</v>
      </c>
      <c r="O41" s="126" t="s">
        <v>119</v>
      </c>
      <c r="P41" s="129" t="s">
        <v>284</v>
      </c>
      <c r="Q41" s="129" t="s">
        <v>285</v>
      </c>
      <c r="R41" s="126" t="s">
        <v>24</v>
      </c>
      <c r="S41" s="126"/>
      <c r="T41" s="130" t="s">
        <v>861</v>
      </c>
      <c r="U41" s="126"/>
      <c r="V41" s="130" t="s">
        <v>861</v>
      </c>
      <c r="W41" s="126"/>
      <c r="X41" s="130" t="s">
        <v>120</v>
      </c>
      <c r="Y41" s="126" t="s">
        <v>1963</v>
      </c>
      <c r="Z41" s="165" t="s">
        <v>861</v>
      </c>
      <c r="AA41" s="158"/>
      <c r="AB41" s="158"/>
      <c r="AC41" s="170"/>
      <c r="AD41" s="126"/>
      <c r="AE41" s="130" t="s">
        <v>861</v>
      </c>
      <c r="AF41" s="127"/>
      <c r="AG41" s="131"/>
      <c r="AH41" s="131"/>
      <c r="AI41" s="126"/>
      <c r="AJ41" s="130" t="s">
        <v>861</v>
      </c>
      <c r="AK41" s="126"/>
      <c r="AL41" s="126"/>
      <c r="AM41" s="130"/>
      <c r="AN41" s="126"/>
      <c r="AO41" s="132"/>
      <c r="AP41" s="126"/>
      <c r="AQ41" s="126"/>
      <c r="AR41" s="130"/>
      <c r="AS41" s="126"/>
      <c r="AT41" s="127">
        <v>43486.724100115702</v>
      </c>
      <c r="AU41" s="127"/>
      <c r="AV41" s="127"/>
      <c r="AW41" s="127"/>
      <c r="AX41" s="127"/>
      <c r="AY41" s="127"/>
      <c r="AZ41" s="133">
        <v>43486.939399189803</v>
      </c>
      <c r="BA41" s="134">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B41" s="135">
        <f>COUNTIFS(_05preva_view43[Site ID],_05preva_view43[[#This Row],[Site ID]],_05preva_view43[Prevalidation Status],"Under Prevalidation")</f>
        <v>0</v>
      </c>
      <c r="BC41" s="157" t="e">
        <f ca="1">HYPERLINK(CheckPath(_05preva_view43[[#This Row],[File Path]],_05preva_view43[[#This Row],[File Path]],_05preva_view43[[#This Row],[Folder Path3]]),CheckPath(_05preva_view43[[#This Row],[File Path]],"Open File","No File"))</f>
        <v>#VALUE!</v>
      </c>
      <c r="BD41" s="136" t="str">
        <f>CONCATENATE(_05preva_view43[[#This Row],[Site ID]]," (",_05preva_view43[[#This Row],[tenant id]],") Application",IF(_05preva_view43[[#This Row],[Colo Rev]]&gt;0," Rev "&amp;_05preva_view43[[#This Row],[Colo Rev]],""),".xlsx")</f>
        <v>ANMD_0066 (MDYAMPR011) Application Rev 1.xlsx</v>
      </c>
      <c r="BE41" s="64" t="e">
        <f t="shared" ca="1" si="2"/>
        <v>#VALUE!</v>
      </c>
      <c r="BF41" s="104" t="e">
        <f ca="1">LEFT(CELL("filename",A26),_05preva_view43[[#This Row],[Find Process &amp; Database]]-1)</f>
        <v>#VALUE!</v>
      </c>
      <c r="BG41" s="104" t="e">
        <f ca="1">_05preva_view43[Folder Path1]&amp;"Process &amp; Database\Documentation\Colo Applications"</f>
        <v>#VALUE!</v>
      </c>
      <c r="BH41" s="104" t="e">
        <f ca="1">_05preva_view43[Folder Path2]&amp;"\Colo App "&amp;_05preva_view43[[#This Row],[Operator]]&amp;"\"</f>
        <v>#VALUE!</v>
      </c>
      <c r="BI41" s="63" t="e">
        <f ca="1">_05preva_view43[[#This Row],[Folder Path3]]&amp;_05preva_view43[[#This Row],[File Name]]</f>
        <v>#VALUE!</v>
      </c>
      <c r="BJ41" s="104"/>
      <c r="BK41" s="3"/>
      <c r="BL41" s="3"/>
      <c r="CJ41" s="5"/>
      <c r="CK41" s="5"/>
      <c r="CL41" s="3"/>
      <c r="CN41" s="5"/>
      <c r="CR41" s="3"/>
      <c r="CS41" s="3"/>
      <c r="CT41" s="5"/>
      <c r="CV41" s="3"/>
      <c r="DR41" s="5"/>
      <c r="DT41" s="3"/>
      <c r="EF41" s="7"/>
      <c r="EG41" s="7"/>
      <c r="EJ41" s="4"/>
      <c r="EK41" s="4"/>
      <c r="EU41" s="2"/>
      <c r="EV41" s="2"/>
    </row>
    <row r="42" spans="1:152">
      <c r="A42" s="125">
        <v>3620</v>
      </c>
      <c r="B42" s="126" t="s">
        <v>1423</v>
      </c>
      <c r="C42" s="126" t="s">
        <v>116</v>
      </c>
      <c r="D42" s="126" t="s">
        <v>127</v>
      </c>
      <c r="E42" s="126" t="s">
        <v>1424</v>
      </c>
      <c r="F42" s="126" t="s">
        <v>41</v>
      </c>
      <c r="G42" s="126" t="s">
        <v>1412</v>
      </c>
      <c r="H42" s="126" t="s">
        <v>1319</v>
      </c>
      <c r="I42" s="126" t="s">
        <v>1252</v>
      </c>
      <c r="J42" s="126" t="s">
        <v>931</v>
      </c>
      <c r="K42" s="127">
        <v>43483</v>
      </c>
      <c r="L42" s="128"/>
      <c r="M42" s="128">
        <v>2</v>
      </c>
      <c r="N42" s="126">
        <v>3</v>
      </c>
      <c r="O42" s="126" t="s">
        <v>119</v>
      </c>
      <c r="P42" s="129" t="s">
        <v>284</v>
      </c>
      <c r="Q42" s="129" t="s">
        <v>285</v>
      </c>
      <c r="R42" s="126" t="s">
        <v>24</v>
      </c>
      <c r="S42" s="126"/>
      <c r="T42" s="130" t="s">
        <v>861</v>
      </c>
      <c r="U42" s="126"/>
      <c r="V42" s="130" t="s">
        <v>861</v>
      </c>
      <c r="W42" s="126"/>
      <c r="X42" s="130" t="s">
        <v>120</v>
      </c>
      <c r="Y42" s="126" t="s">
        <v>1964</v>
      </c>
      <c r="Z42" s="165" t="s">
        <v>861</v>
      </c>
      <c r="AA42" s="158"/>
      <c r="AB42" s="158"/>
      <c r="AC42" s="170"/>
      <c r="AD42" s="126"/>
      <c r="AE42" s="130" t="s">
        <v>861</v>
      </c>
      <c r="AF42" s="127"/>
      <c r="AG42" s="131"/>
      <c r="AH42" s="131"/>
      <c r="AI42" s="126"/>
      <c r="AJ42" s="130" t="s">
        <v>861</v>
      </c>
      <c r="AK42" s="126"/>
      <c r="AL42" s="126"/>
      <c r="AM42" s="130"/>
      <c r="AN42" s="126"/>
      <c r="AO42" s="132"/>
      <c r="AP42" s="126"/>
      <c r="AQ42" s="126"/>
      <c r="AR42" s="130"/>
      <c r="AS42" s="126"/>
      <c r="AT42" s="127">
        <v>43486.7241013889</v>
      </c>
      <c r="AU42" s="127"/>
      <c r="AV42" s="127"/>
      <c r="AW42" s="127"/>
      <c r="AX42" s="127"/>
      <c r="AY42" s="127"/>
      <c r="AZ42" s="133">
        <v>43486.939403703698</v>
      </c>
      <c r="BA42" s="134">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B42" s="135">
        <f>COUNTIFS(_05preva_view43[Site ID],_05preva_view43[[#This Row],[Site ID]],_05preva_view43[Prevalidation Status],"Under Prevalidation")</f>
        <v>0</v>
      </c>
      <c r="BC42" s="157" t="e">
        <f ca="1">HYPERLINK(CheckPath(_05preva_view43[[#This Row],[File Path]],_05preva_view43[[#This Row],[File Path]],_05preva_view43[[#This Row],[Folder Path3]]),CheckPath(_05preva_view43[[#This Row],[File Path]],"Open File","No File"))</f>
        <v>#VALUE!</v>
      </c>
      <c r="BD42" s="136" t="str">
        <f>CONCATENATE(_05preva_view43[[#This Row],[Site ID]]," (",_05preva_view43[[#This Row],[tenant id]],") Application",IF(_05preva_view43[[#This Row],[Colo Rev]]&gt;0," Rev "&amp;_05preva_view43[[#This Row],[Colo Rev]],""),".xlsx")</f>
        <v>ANMD_0067 (MDYAMPR012) Application Rev 1.xlsx</v>
      </c>
      <c r="BE42" s="64" t="e">
        <f t="shared" ca="1" si="2"/>
        <v>#VALUE!</v>
      </c>
      <c r="BF42" s="104" t="e">
        <f ca="1">LEFT(CELL("filename",A27),_05preva_view43[[#This Row],[Find Process &amp; Database]]-1)</f>
        <v>#VALUE!</v>
      </c>
      <c r="BG42" s="104" t="e">
        <f ca="1">_05preva_view43[Folder Path1]&amp;"Process &amp; Database\Documentation\Colo Applications"</f>
        <v>#VALUE!</v>
      </c>
      <c r="BH42" s="104" t="e">
        <f ca="1">_05preva_view43[Folder Path2]&amp;"\Colo App "&amp;_05preva_view43[[#This Row],[Operator]]&amp;"\"</f>
        <v>#VALUE!</v>
      </c>
      <c r="BI42" s="63" t="e">
        <f ca="1">_05preva_view43[[#This Row],[Folder Path3]]&amp;_05preva_view43[[#This Row],[File Name]]</f>
        <v>#VALUE!</v>
      </c>
      <c r="BJ42" s="104"/>
      <c r="BK42" s="3"/>
      <c r="BL42" s="3"/>
      <c r="CJ42" s="5"/>
      <c r="CK42" s="5"/>
      <c r="CL42" s="3"/>
      <c r="CN42" s="5"/>
      <c r="CR42" s="3"/>
      <c r="CS42" s="3"/>
      <c r="CT42" s="5"/>
      <c r="CV42" s="3"/>
      <c r="DR42" s="5"/>
      <c r="DT42" s="3"/>
      <c r="EF42" s="7"/>
      <c r="EG42" s="7"/>
      <c r="EJ42" s="4"/>
      <c r="EK42" s="4"/>
      <c r="EU42" s="2"/>
      <c r="EV42" s="2"/>
    </row>
    <row r="43" spans="1:152">
      <c r="A43" s="125">
        <v>3621</v>
      </c>
      <c r="B43" s="126" t="s">
        <v>1445</v>
      </c>
      <c r="C43" s="126" t="s">
        <v>116</v>
      </c>
      <c r="D43" s="126" t="s">
        <v>127</v>
      </c>
      <c r="E43" s="126" t="s">
        <v>1446</v>
      </c>
      <c r="F43" s="126" t="s">
        <v>41</v>
      </c>
      <c r="G43" s="126" t="s">
        <v>1412</v>
      </c>
      <c r="H43" s="126" t="s">
        <v>1319</v>
      </c>
      <c r="I43" s="126" t="s">
        <v>1252</v>
      </c>
      <c r="J43" s="126" t="s">
        <v>931</v>
      </c>
      <c r="K43" s="127">
        <v>43483</v>
      </c>
      <c r="L43" s="128"/>
      <c r="M43" s="128">
        <v>2</v>
      </c>
      <c r="N43" s="126">
        <v>3</v>
      </c>
      <c r="O43" s="126" t="s">
        <v>119</v>
      </c>
      <c r="P43" s="129" t="s">
        <v>1447</v>
      </c>
      <c r="Q43" s="129" t="s">
        <v>747</v>
      </c>
      <c r="R43" s="126" t="s">
        <v>24</v>
      </c>
      <c r="S43" s="126"/>
      <c r="T43" s="130" t="s">
        <v>861</v>
      </c>
      <c r="U43" s="126"/>
      <c r="V43" s="130" t="s">
        <v>861</v>
      </c>
      <c r="W43" s="126"/>
      <c r="X43" s="130" t="s">
        <v>120</v>
      </c>
      <c r="Y43" s="126" t="s">
        <v>1965</v>
      </c>
      <c r="Z43" s="165" t="s">
        <v>861</v>
      </c>
      <c r="AA43" s="158"/>
      <c r="AB43" s="158"/>
      <c r="AC43" s="170"/>
      <c r="AD43" s="126"/>
      <c r="AE43" s="130" t="s">
        <v>861</v>
      </c>
      <c r="AF43" s="127"/>
      <c r="AG43" s="131"/>
      <c r="AH43" s="131"/>
      <c r="AI43" s="126"/>
      <c r="AJ43" s="130" t="s">
        <v>861</v>
      </c>
      <c r="AK43" s="126"/>
      <c r="AL43" s="126"/>
      <c r="AM43" s="130"/>
      <c r="AN43" s="126"/>
      <c r="AO43" s="132"/>
      <c r="AP43" s="126"/>
      <c r="AQ43" s="126"/>
      <c r="AR43" s="130"/>
      <c r="AS43" s="126"/>
      <c r="AT43" s="127">
        <v>43486.724102662003</v>
      </c>
      <c r="AU43" s="127"/>
      <c r="AV43" s="127"/>
      <c r="AW43" s="127"/>
      <c r="AX43" s="127"/>
      <c r="AY43" s="127"/>
      <c r="AZ43" s="133">
        <v>43486.939407870399</v>
      </c>
      <c r="BA43" s="134">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B43" s="135">
        <f>COUNTIFS(_05preva_view43[Site ID],_05preva_view43[[#This Row],[Site ID]],_05preva_view43[Prevalidation Status],"Under Prevalidation")</f>
        <v>0</v>
      </c>
      <c r="BC43" s="157" t="e">
        <f ca="1">HYPERLINK(CheckPath(_05preva_view43[[#This Row],[File Path]],_05preva_view43[[#This Row],[File Path]],_05preva_view43[[#This Row],[Folder Path3]]),CheckPath(_05preva_view43[[#This Row],[File Path]],"Open File","No File"))</f>
        <v>#VALUE!</v>
      </c>
      <c r="BD43" s="136" t="str">
        <f>CONCATENATE(_05preva_view43[[#This Row],[Site ID]]," (",_05preva_view43[[#This Row],[tenant id]],") Application",IF(_05preva_view43[[#This Row],[Colo Rev]]&gt;0," Rev "&amp;_05preva_view43[[#This Row],[Colo Rev]],""),".xlsx")</f>
        <v>ANMD_0165 (MDYPGTG033) Application Rev 1.xlsx</v>
      </c>
      <c r="BE43" s="64" t="e">
        <f t="shared" ca="1" si="2"/>
        <v>#VALUE!</v>
      </c>
      <c r="BF43" s="104" t="e">
        <f ca="1">LEFT(CELL("filename",A28),_05preva_view43[[#This Row],[Find Process &amp; Database]]-1)</f>
        <v>#VALUE!</v>
      </c>
      <c r="BG43" s="104" t="e">
        <f ca="1">_05preva_view43[Folder Path1]&amp;"Process &amp; Database\Documentation\Colo Applications"</f>
        <v>#VALUE!</v>
      </c>
      <c r="BH43" s="104" t="e">
        <f ca="1">_05preva_view43[Folder Path2]&amp;"\Colo App "&amp;_05preva_view43[[#This Row],[Operator]]&amp;"\"</f>
        <v>#VALUE!</v>
      </c>
      <c r="BI43" s="63" t="e">
        <f ca="1">_05preva_view43[[#This Row],[Folder Path3]]&amp;_05preva_view43[[#This Row],[File Name]]</f>
        <v>#VALUE!</v>
      </c>
      <c r="BJ43" s="104"/>
      <c r="BK43" s="3"/>
      <c r="BL43" s="3"/>
      <c r="CJ43" s="5"/>
      <c r="CK43" s="5"/>
      <c r="CL43" s="3"/>
      <c r="CN43" s="5"/>
      <c r="CR43" s="3"/>
      <c r="CS43" s="3"/>
      <c r="CT43" s="5"/>
      <c r="CV43" s="3"/>
      <c r="DR43" s="5"/>
      <c r="DT43" s="3"/>
      <c r="EF43" s="7"/>
      <c r="EG43" s="7"/>
      <c r="EJ43" s="4"/>
      <c r="EK43" s="4"/>
      <c r="EU43" s="2"/>
      <c r="EV43" s="2"/>
    </row>
    <row r="44" spans="1:152">
      <c r="A44" s="125">
        <v>3622</v>
      </c>
      <c r="B44" s="126" t="s">
        <v>1453</v>
      </c>
      <c r="C44" s="126" t="s">
        <v>116</v>
      </c>
      <c r="D44" s="126" t="s">
        <v>127</v>
      </c>
      <c r="E44" s="126" t="s">
        <v>1454</v>
      </c>
      <c r="F44" s="126" t="s">
        <v>41</v>
      </c>
      <c r="G44" s="126" t="s">
        <v>1412</v>
      </c>
      <c r="H44" s="126" t="s">
        <v>1319</v>
      </c>
      <c r="I44" s="126" t="s">
        <v>1252</v>
      </c>
      <c r="J44" s="126" t="s">
        <v>931</v>
      </c>
      <c r="K44" s="127">
        <v>43483</v>
      </c>
      <c r="L44" s="128"/>
      <c r="M44" s="128">
        <v>2</v>
      </c>
      <c r="N44" s="126">
        <v>3</v>
      </c>
      <c r="O44" s="126" t="s">
        <v>119</v>
      </c>
      <c r="P44" s="129" t="s">
        <v>1455</v>
      </c>
      <c r="Q44" s="129" t="s">
        <v>363</v>
      </c>
      <c r="R44" s="126" t="s">
        <v>24</v>
      </c>
      <c r="S44" s="126"/>
      <c r="T44" s="130" t="s">
        <v>861</v>
      </c>
      <c r="U44" s="126"/>
      <c r="V44" s="130" t="s">
        <v>861</v>
      </c>
      <c r="W44" s="126"/>
      <c r="X44" s="130" t="s">
        <v>120</v>
      </c>
      <c r="Y44" s="126" t="s">
        <v>1966</v>
      </c>
      <c r="Z44" s="165" t="s">
        <v>861</v>
      </c>
      <c r="AA44" s="158"/>
      <c r="AB44" s="158"/>
      <c r="AC44" s="170"/>
      <c r="AD44" s="126"/>
      <c r="AE44" s="130" t="s">
        <v>861</v>
      </c>
      <c r="AF44" s="127"/>
      <c r="AG44" s="131"/>
      <c r="AH44" s="131"/>
      <c r="AI44" s="126"/>
      <c r="AJ44" s="130" t="s">
        <v>861</v>
      </c>
      <c r="AK44" s="126"/>
      <c r="AL44" s="126"/>
      <c r="AM44" s="130"/>
      <c r="AN44" s="126"/>
      <c r="AO44" s="132"/>
      <c r="AP44" s="126"/>
      <c r="AQ44" s="126"/>
      <c r="AR44" s="130"/>
      <c r="AS44" s="126"/>
      <c r="AT44" s="127">
        <v>43486.724104861103</v>
      </c>
      <c r="AU44" s="127"/>
      <c r="AV44" s="127"/>
      <c r="AW44" s="127"/>
      <c r="AX44" s="127"/>
      <c r="AY44" s="127"/>
      <c r="AZ44" s="133">
        <v>43486.939411921303</v>
      </c>
      <c r="BA44" s="134">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B44" s="135">
        <f>COUNTIFS(_05preva_view43[Site ID],_05preva_view43[[#This Row],[Site ID]],_05preva_view43[Prevalidation Status],"Under Prevalidation")</f>
        <v>0</v>
      </c>
      <c r="BC44" s="157" t="e">
        <f ca="1">HYPERLINK(CheckPath(_05preva_view43[[#This Row],[File Path]],_05preva_view43[[#This Row],[File Path]],_05preva_view43[[#This Row],[Folder Path3]]),CheckPath(_05preva_view43[[#This Row],[File Path]],"Open File","No File"))</f>
        <v>#VALUE!</v>
      </c>
      <c r="BD44" s="136" t="str">
        <f>CONCATENATE(_05preva_view43[[#This Row],[Site ID]]," (",_05preva_view43[[#This Row],[tenant id]],") Application",IF(_05preva_view43[[#This Row],[Colo Rev]]&gt;0," Rev "&amp;_05preva_view43[[#This Row],[Colo Rev]],""),".xlsx")</f>
        <v>ANMD_0172 (MDYPGTG039) Application Rev 1.xlsx</v>
      </c>
      <c r="BE44" s="64" t="e">
        <f t="shared" ca="1" si="2"/>
        <v>#VALUE!</v>
      </c>
      <c r="BF44" s="104" t="e">
        <f ca="1">LEFT(CELL("filename",A29),_05preva_view43[[#This Row],[Find Process &amp; Database]]-1)</f>
        <v>#VALUE!</v>
      </c>
      <c r="BG44" s="104" t="e">
        <f ca="1">_05preva_view43[Folder Path1]&amp;"Process &amp; Database\Documentation\Colo Applications"</f>
        <v>#VALUE!</v>
      </c>
      <c r="BH44" s="104" t="e">
        <f ca="1">_05preva_view43[Folder Path2]&amp;"\Colo App "&amp;_05preva_view43[[#This Row],[Operator]]&amp;"\"</f>
        <v>#VALUE!</v>
      </c>
      <c r="BI44" s="63" t="e">
        <f ca="1">_05preva_view43[[#This Row],[Folder Path3]]&amp;_05preva_view43[[#This Row],[File Name]]</f>
        <v>#VALUE!</v>
      </c>
      <c r="BJ44" s="104"/>
      <c r="BK44" s="3"/>
      <c r="BL44" s="3"/>
      <c r="CJ44" s="5"/>
      <c r="CK44" s="5"/>
      <c r="CL44" s="3"/>
      <c r="CN44" s="5"/>
      <c r="CR44" s="3"/>
      <c r="CS44" s="3"/>
      <c r="CT44" s="5"/>
      <c r="CV44" s="3"/>
      <c r="DR44" s="5"/>
      <c r="DT44" s="3"/>
      <c r="EF44" s="7"/>
      <c r="EG44" s="7"/>
      <c r="EJ44" s="4"/>
      <c r="EK44" s="4"/>
      <c r="EU44" s="2"/>
      <c r="EV44" s="2"/>
    </row>
    <row r="45" spans="1:152">
      <c r="A45" s="125">
        <v>3623</v>
      </c>
      <c r="B45" s="126" t="s">
        <v>1967</v>
      </c>
      <c r="C45" s="126" t="s">
        <v>331</v>
      </c>
      <c r="D45" s="126" t="s">
        <v>117</v>
      </c>
      <c r="E45" s="126" t="s">
        <v>1968</v>
      </c>
      <c r="F45" s="126" t="s">
        <v>41</v>
      </c>
      <c r="G45" s="126" t="s">
        <v>1412</v>
      </c>
      <c r="H45" s="126" t="s">
        <v>1319</v>
      </c>
      <c r="I45" s="126" t="s">
        <v>1143</v>
      </c>
      <c r="J45" s="126" t="s">
        <v>940</v>
      </c>
      <c r="K45" s="127">
        <v>43483</v>
      </c>
      <c r="L45" s="128"/>
      <c r="M45" s="128">
        <v>2</v>
      </c>
      <c r="N45" s="126">
        <v>5</v>
      </c>
      <c r="O45" s="126" t="s">
        <v>119</v>
      </c>
      <c r="P45" s="129" t="s">
        <v>1455</v>
      </c>
      <c r="Q45" s="129" t="s">
        <v>1447</v>
      </c>
      <c r="R45" s="126" t="s">
        <v>25</v>
      </c>
      <c r="S45" s="126"/>
      <c r="T45" s="130" t="s">
        <v>861</v>
      </c>
      <c r="U45" s="126"/>
      <c r="V45" s="130" t="s">
        <v>120</v>
      </c>
      <c r="W45" s="126"/>
      <c r="X45" s="130" t="s">
        <v>125</v>
      </c>
      <c r="Y45" s="126" t="s">
        <v>2159</v>
      </c>
      <c r="Z45" s="165"/>
      <c r="AA45" s="158"/>
      <c r="AB45" s="158"/>
      <c r="AC45" s="170"/>
      <c r="AD45" s="126"/>
      <c r="AE45" s="130" t="s">
        <v>120</v>
      </c>
      <c r="AF45" s="127"/>
      <c r="AG45" s="131"/>
      <c r="AH45" s="131"/>
      <c r="AI45" s="126" t="s">
        <v>1417</v>
      </c>
      <c r="AJ45" s="130" t="s">
        <v>125</v>
      </c>
      <c r="AK45" s="126"/>
      <c r="AL45" s="126" t="s">
        <v>1969</v>
      </c>
      <c r="AM45" s="130"/>
      <c r="AN45" s="126"/>
      <c r="AO45" s="132"/>
      <c r="AP45" s="126"/>
      <c r="AQ45" s="126"/>
      <c r="AR45" s="130"/>
      <c r="AS45" s="126"/>
      <c r="AT45" s="127"/>
      <c r="AU45" s="127">
        <v>43486.487017129599</v>
      </c>
      <c r="AV45" s="127"/>
      <c r="AW45" s="127"/>
      <c r="AX45" s="127"/>
      <c r="AY45" s="127">
        <v>43486.406113657402</v>
      </c>
      <c r="AZ45" s="133"/>
      <c r="BA45" s="134">
        <f ca="1">IF(_05preva_view43[[#This Row],[Prevalidation Status]]="Under Prevalidation",NOW()-_05preva_view43[[#This Row],[Request Date]],IF(_05preva_view43[[#This Row],[Close Date]]&gt;_05preva_view43[[#This Row],[Request Date]],_05preva_view43[[#This Row],[Close Date]]-_05preva_view43[[#This Row],[Request Date]],"Not  Calculated"))</f>
        <v>5.7051064814804704</v>
      </c>
      <c r="BB45" s="135">
        <f>COUNTIFS(_05preva_view43[Site ID],_05preva_view43[[#This Row],[Site ID]],_05preva_view43[Prevalidation Status],"Under Prevalidation")</f>
        <v>1</v>
      </c>
      <c r="BC45" s="157" t="e">
        <f ca="1">HYPERLINK(CheckPath(_05preva_view43[[#This Row],[File Path]],_05preva_view43[[#This Row],[File Path]],_05preva_view43[[#This Row],[Folder Path3]]),CheckPath(_05preva_view43[[#This Row],[File Path]],"Open File","No File"))</f>
        <v>#VALUE!</v>
      </c>
      <c r="BD45" s="136" t="str">
        <f>CONCATENATE(_05preva_view43[[#This Row],[Site ID]]," (",_05preva_view43[[#This Row],[tenant id]],") Application",IF(_05preva_view43[[#This Row],[Colo Rev]]&gt;0," Rev "&amp;_05preva_view43[[#This Row],[Colo Rev]],""),".xlsx")</f>
        <v>1-01-13039-001 (YGNSNCG017_3) Application Rev 0.xlsx</v>
      </c>
      <c r="BE45" s="64" t="e">
        <f t="shared" ca="1" si="2"/>
        <v>#VALUE!</v>
      </c>
      <c r="BF45" s="104" t="e">
        <f ca="1">LEFT(CELL("filename",A30),_05preva_view43[[#This Row],[Find Process &amp; Database]]-1)</f>
        <v>#VALUE!</v>
      </c>
      <c r="BG45" s="104" t="e">
        <f ca="1">_05preva_view43[Folder Path1]&amp;"Process &amp; Database\Documentation\Colo Applications"</f>
        <v>#VALUE!</v>
      </c>
      <c r="BH45" s="104" t="e">
        <f ca="1">_05preva_view43[Folder Path2]&amp;"\Colo App "&amp;_05preva_view43[[#This Row],[Operator]]&amp;"\"</f>
        <v>#VALUE!</v>
      </c>
      <c r="BI45" s="63" t="e">
        <f ca="1">_05preva_view43[[#This Row],[Folder Path3]]&amp;_05preva_view43[[#This Row],[File Name]]</f>
        <v>#VALUE!</v>
      </c>
      <c r="BJ45" s="104"/>
      <c r="BK45" s="3"/>
      <c r="BL45" s="3"/>
      <c r="CJ45" s="5"/>
      <c r="CK45" s="5"/>
      <c r="CL45" s="3"/>
      <c r="CN45" s="5"/>
      <c r="CR45" s="3"/>
      <c r="CS45" s="3"/>
      <c r="CT45" s="5"/>
      <c r="CV45" s="3"/>
      <c r="DR45" s="5"/>
      <c r="DT45" s="3"/>
      <c r="EF45" s="7"/>
      <c r="EG45" s="7"/>
      <c r="EJ45" s="4"/>
      <c r="EK45" s="4"/>
      <c r="EU45" s="2"/>
      <c r="EV45" s="2"/>
    </row>
    <row r="46" spans="1:152">
      <c r="A46" s="125">
        <v>3614</v>
      </c>
      <c r="B46" s="126" t="s">
        <v>1970</v>
      </c>
      <c r="C46" s="126" t="s">
        <v>116</v>
      </c>
      <c r="D46" s="126" t="s">
        <v>163</v>
      </c>
      <c r="E46" s="126" t="s">
        <v>1971</v>
      </c>
      <c r="F46" s="126" t="s">
        <v>35</v>
      </c>
      <c r="G46" s="126" t="s">
        <v>1919</v>
      </c>
      <c r="H46" s="126" t="s">
        <v>1619</v>
      </c>
      <c r="I46" s="126" t="s">
        <v>1311</v>
      </c>
      <c r="J46" s="126" t="s">
        <v>940</v>
      </c>
      <c r="K46" s="127">
        <v>43482</v>
      </c>
      <c r="L46" s="128">
        <v>0.72</v>
      </c>
      <c r="M46" s="128">
        <v>0.9</v>
      </c>
      <c r="N46" s="126">
        <v>3.18</v>
      </c>
      <c r="O46" s="126" t="s">
        <v>119</v>
      </c>
      <c r="P46" s="129" t="s">
        <v>276</v>
      </c>
      <c r="Q46" s="129" t="s">
        <v>277</v>
      </c>
      <c r="R46" s="126" t="s">
        <v>24</v>
      </c>
      <c r="S46" s="126"/>
      <c r="T46" s="130" t="s">
        <v>861</v>
      </c>
      <c r="U46" s="126"/>
      <c r="V46" s="130" t="s">
        <v>120</v>
      </c>
      <c r="W46" s="126"/>
      <c r="X46" s="130" t="s">
        <v>120</v>
      </c>
      <c r="Y46" s="126" t="s">
        <v>1972</v>
      </c>
      <c r="Z46" s="165" t="s">
        <v>120</v>
      </c>
      <c r="AA46" s="158"/>
      <c r="AB46" s="158"/>
      <c r="AC46" s="170" t="s">
        <v>123</v>
      </c>
      <c r="AD46" s="126" t="s">
        <v>1973</v>
      </c>
      <c r="AE46" s="130" t="s">
        <v>120</v>
      </c>
      <c r="AF46" s="127"/>
      <c r="AG46" s="131"/>
      <c r="AH46" s="131"/>
      <c r="AI46" s="126"/>
      <c r="AJ46" s="130" t="s">
        <v>120</v>
      </c>
      <c r="AK46" s="126" t="s">
        <v>240</v>
      </c>
      <c r="AL46" s="126" t="s">
        <v>1493</v>
      </c>
      <c r="AM46" s="130"/>
      <c r="AN46" s="126"/>
      <c r="AO46" s="132"/>
      <c r="AP46" s="126"/>
      <c r="AQ46" s="126"/>
      <c r="AR46" s="130"/>
      <c r="AS46" s="126"/>
      <c r="AT46" s="127">
        <v>43482.654079976899</v>
      </c>
      <c r="AU46" s="127">
        <v>43483.4762885417</v>
      </c>
      <c r="AV46" s="127">
        <v>43486.662597569397</v>
      </c>
      <c r="AW46" s="127">
        <v>43482.654079976899</v>
      </c>
      <c r="AX46" s="127"/>
      <c r="AY46" s="127">
        <v>43483.471711458304</v>
      </c>
      <c r="AZ46" s="133">
        <v>43486.693751967599</v>
      </c>
      <c r="BA46" s="134">
        <f ca="1">IF(_05preva_view43[[#This Row],[Prevalidation Status]]="Under Prevalidation",NOW()-_05preva_view43[[#This Row],[Request Date]],IF(_05preva_view43[[#This Row],[Close Date]]&gt;_05preva_view43[[#This Row],[Request Date]],_05preva_view43[[#This Row],[Close Date]]-_05preva_view43[[#This Row],[Request Date]],"Not  Calculated"))</f>
        <v>4.6937519675993826</v>
      </c>
      <c r="BB46" s="135">
        <f>COUNTIFS(_05preva_view43[Site ID],_05preva_view43[[#This Row],[Site ID]],_05preva_view43[Prevalidation Status],"Under Prevalidation")</f>
        <v>0</v>
      </c>
      <c r="BC46" s="157" t="e">
        <f ca="1">HYPERLINK(CheckPath(_05preva_view43[[#This Row],[File Path]],_05preva_view43[[#This Row],[File Path]],_05preva_view43[[#This Row],[Folder Path3]]),CheckPath(_05preva_view43[[#This Row],[File Path]],"Open File","No File"))</f>
        <v>#VALUE!</v>
      </c>
      <c r="BD46" s="136" t="str">
        <f>CONCATENATE(_05preva_view43[[#This Row],[Site ID]]," (",_05preva_view43[[#This Row],[tenant id]],") Application",IF(_05preva_view43[[#This Row],[Colo Rev]]&gt;0," Rev "&amp;_05preva_view43[[#This Row],[Colo Rev]],""),".xlsx")</f>
        <v>ABAG00003 (BGE00821) Application Rev 0.xlsx</v>
      </c>
      <c r="BE46" s="64" t="e">
        <f t="shared" ca="1" si="2"/>
        <v>#VALUE!</v>
      </c>
      <c r="BF46" s="104" t="e">
        <f ca="1">LEFT(CELL("filename",A31),_05preva_view43[[#This Row],[Find Process &amp; Database]]-1)</f>
        <v>#VALUE!</v>
      </c>
      <c r="BG46" s="104" t="e">
        <f ca="1">_05preva_view43[Folder Path1]&amp;"Process &amp; Database\Documentation\Colo Applications"</f>
        <v>#VALUE!</v>
      </c>
      <c r="BH46" s="104" t="e">
        <f ca="1">_05preva_view43[Folder Path2]&amp;"\Colo App "&amp;_05preva_view43[[#This Row],[Operator]]&amp;"\"</f>
        <v>#VALUE!</v>
      </c>
      <c r="BI46" s="63" t="e">
        <f ca="1">_05preva_view43[[#This Row],[Folder Path3]]&amp;_05preva_view43[[#This Row],[File Name]]</f>
        <v>#VALUE!</v>
      </c>
      <c r="BJ46" s="104"/>
      <c r="BK46" s="3"/>
      <c r="BL46" s="3"/>
      <c r="CJ46" s="5"/>
      <c r="CK46" s="5"/>
      <c r="CL46" s="3"/>
      <c r="CN46" s="5"/>
      <c r="CR46" s="3"/>
      <c r="CS46" s="3"/>
      <c r="CT46" s="5"/>
      <c r="CV46" s="3"/>
      <c r="DR46" s="5"/>
      <c r="DT46" s="3"/>
      <c r="EF46" s="7"/>
      <c r="EG46" s="7"/>
      <c r="EJ46" s="4"/>
      <c r="EK46" s="4"/>
      <c r="EU46" s="2"/>
      <c r="EV46" s="2"/>
    </row>
    <row r="47" spans="1:152">
      <c r="A47" s="125">
        <v>3615</v>
      </c>
      <c r="B47" s="126" t="s">
        <v>1974</v>
      </c>
      <c r="C47" s="126" t="s">
        <v>116</v>
      </c>
      <c r="D47" s="126" t="s">
        <v>127</v>
      </c>
      <c r="E47" s="126" t="s">
        <v>1975</v>
      </c>
      <c r="F47" s="126" t="s">
        <v>35</v>
      </c>
      <c r="G47" s="126" t="s">
        <v>1577</v>
      </c>
      <c r="H47" s="126" t="s">
        <v>1575</v>
      </c>
      <c r="I47" s="126" t="s">
        <v>1053</v>
      </c>
      <c r="J47" s="126" t="s">
        <v>949</v>
      </c>
      <c r="K47" s="127">
        <v>43482</v>
      </c>
      <c r="L47" s="128">
        <v>2.5590000000000002</v>
      </c>
      <c r="M47" s="128">
        <v>4.2910000000000004</v>
      </c>
      <c r="N47" s="126"/>
      <c r="O47" s="126" t="s">
        <v>119</v>
      </c>
      <c r="P47" s="129" t="s">
        <v>1062</v>
      </c>
      <c r="Q47" s="129" t="s">
        <v>958</v>
      </c>
      <c r="R47" s="126" t="s">
        <v>25</v>
      </c>
      <c r="S47" s="126"/>
      <c r="T47" s="130" t="s">
        <v>861</v>
      </c>
      <c r="U47" s="126"/>
      <c r="V47" s="130" t="s">
        <v>120</v>
      </c>
      <c r="W47" s="126"/>
      <c r="X47" s="130" t="s">
        <v>120</v>
      </c>
      <c r="Y47" s="126" t="s">
        <v>1976</v>
      </c>
      <c r="Z47" s="165" t="s">
        <v>144</v>
      </c>
      <c r="AA47" s="158" t="s">
        <v>2140</v>
      </c>
      <c r="AB47" s="158" t="s">
        <v>2160</v>
      </c>
      <c r="AC47" s="170" t="s">
        <v>240</v>
      </c>
      <c r="AD47" s="126" t="s">
        <v>2161</v>
      </c>
      <c r="AE47" s="130" t="s">
        <v>120</v>
      </c>
      <c r="AF47" s="127"/>
      <c r="AG47" s="131"/>
      <c r="AH47" s="131"/>
      <c r="AI47" s="126"/>
      <c r="AJ47" s="130" t="s">
        <v>120</v>
      </c>
      <c r="AK47" s="126" t="s">
        <v>123</v>
      </c>
      <c r="AL47" s="126" t="s">
        <v>1198</v>
      </c>
      <c r="AM47" s="130"/>
      <c r="AN47" s="126"/>
      <c r="AO47" s="132"/>
      <c r="AP47" s="126"/>
      <c r="AQ47" s="126"/>
      <c r="AR47" s="130"/>
      <c r="AS47" s="126"/>
      <c r="AT47" s="127">
        <v>43482.6540811343</v>
      </c>
      <c r="AU47" s="127">
        <v>43483.476295138898</v>
      </c>
      <c r="AV47" s="127">
        <v>43488.585184953699</v>
      </c>
      <c r="AW47" s="127">
        <v>43482.6540811343</v>
      </c>
      <c r="AX47" s="127"/>
      <c r="AY47" s="127">
        <v>43482.693492361097</v>
      </c>
      <c r="AZ47" s="133"/>
      <c r="BA47" s="134">
        <f ca="1">IF(_05preva_view43[[#This Row],[Prevalidation Status]]="Under Prevalidation",NOW()-_05preva_view43[[#This Row],[Request Date]],IF(_05preva_view43[[#This Row],[Close Date]]&gt;_05preva_view43[[#This Row],[Request Date]],_05preva_view43[[#This Row],[Close Date]]-_05preva_view43[[#This Row],[Request Date]],"Not  Calculated"))</f>
        <v>6.7051064814804704</v>
      </c>
      <c r="BB47" s="135">
        <f>COUNTIFS(_05preva_view43[Site ID],_05preva_view43[[#This Row],[Site ID]],_05preva_view43[Prevalidation Status],"Under Prevalidation")</f>
        <v>1</v>
      </c>
      <c r="BC47" s="157" t="e">
        <f ca="1">HYPERLINK(CheckPath(_05preva_view43[[#This Row],[File Path]],_05preva_view43[[#This Row],[File Path]],_05preva_view43[[#This Row],[Folder Path3]]),CheckPath(_05preva_view43[[#This Row],[File Path]],"Open File","No File"))</f>
        <v>#VALUE!</v>
      </c>
      <c r="BD47" s="136" t="str">
        <f>CONCATENATE(_05preva_view43[[#This Row],[Site ID]]," (",_05preva_view43[[#This Row],[tenant id]],") Application",IF(_05preva_view43[[#This Row],[Colo Rev]]&gt;0," Rev "&amp;_05preva_view43[[#This Row],[Colo Rev]],""),".xlsx")</f>
        <v>ANSG_0374 (SGG00338) Application Rev 2.xlsx</v>
      </c>
      <c r="BE47" s="64" t="e">
        <f t="shared" ca="1" si="2"/>
        <v>#VALUE!</v>
      </c>
      <c r="BF47" s="104" t="e">
        <f ca="1">LEFT(CELL("filename",A32),_05preva_view43[[#This Row],[Find Process &amp; Database]]-1)</f>
        <v>#VALUE!</v>
      </c>
      <c r="BG47" s="104" t="e">
        <f ca="1">_05preva_view43[Folder Path1]&amp;"Process &amp; Database\Documentation\Colo Applications"</f>
        <v>#VALUE!</v>
      </c>
      <c r="BH47" s="104" t="e">
        <f ca="1">_05preva_view43[Folder Path2]&amp;"\Colo App "&amp;_05preva_view43[[#This Row],[Operator]]&amp;"\"</f>
        <v>#VALUE!</v>
      </c>
      <c r="BI47" s="63" t="e">
        <f ca="1">_05preva_view43[[#This Row],[Folder Path3]]&amp;_05preva_view43[[#This Row],[File Name]]</f>
        <v>#VALUE!</v>
      </c>
      <c r="BJ47" s="104"/>
      <c r="BK47" s="3"/>
      <c r="BL47" s="3"/>
      <c r="CJ47" s="5"/>
      <c r="CK47" s="5"/>
      <c r="CL47" s="3"/>
      <c r="CN47" s="5"/>
      <c r="CR47" s="3"/>
      <c r="CS47" s="3"/>
      <c r="CT47" s="5"/>
      <c r="CV47" s="3"/>
      <c r="DR47" s="5"/>
      <c r="DT47" s="3"/>
      <c r="EF47" s="7"/>
      <c r="EG47" s="7"/>
      <c r="EJ47" s="4"/>
      <c r="EK47" s="4"/>
      <c r="EU47" s="2"/>
      <c r="EV47" s="2"/>
    </row>
    <row r="48" spans="1:152">
      <c r="A48" s="125">
        <v>3616</v>
      </c>
      <c r="B48" s="126" t="s">
        <v>1977</v>
      </c>
      <c r="C48" s="126" t="s">
        <v>331</v>
      </c>
      <c r="D48" s="126" t="s">
        <v>127</v>
      </c>
      <c r="E48" s="126" t="s">
        <v>1978</v>
      </c>
      <c r="F48" s="126" t="s">
        <v>35</v>
      </c>
      <c r="G48" s="126" t="s">
        <v>1583</v>
      </c>
      <c r="H48" s="126" t="s">
        <v>1575</v>
      </c>
      <c r="I48" s="126" t="s">
        <v>1263</v>
      </c>
      <c r="J48" s="126" t="s">
        <v>990</v>
      </c>
      <c r="K48" s="127">
        <v>43482</v>
      </c>
      <c r="L48" s="128">
        <v>1.054</v>
      </c>
      <c r="M48" s="128">
        <v>1.46</v>
      </c>
      <c r="N48" s="126">
        <v>3.52</v>
      </c>
      <c r="O48" s="126" t="s">
        <v>950</v>
      </c>
      <c r="P48" s="129" t="s">
        <v>958</v>
      </c>
      <c r="Q48" s="129" t="s">
        <v>959</v>
      </c>
      <c r="R48" s="126" t="s">
        <v>24</v>
      </c>
      <c r="S48" s="126"/>
      <c r="T48" s="130" t="s">
        <v>861</v>
      </c>
      <c r="U48" s="126"/>
      <c r="V48" s="130" t="s">
        <v>120</v>
      </c>
      <c r="W48" s="126"/>
      <c r="X48" s="130" t="s">
        <v>120</v>
      </c>
      <c r="Y48" s="126" t="s">
        <v>1979</v>
      </c>
      <c r="Z48" s="165" t="s">
        <v>120</v>
      </c>
      <c r="AA48" s="158"/>
      <c r="AB48" s="158"/>
      <c r="AC48" s="170" t="s">
        <v>123</v>
      </c>
      <c r="AD48" s="126" t="s">
        <v>1980</v>
      </c>
      <c r="AE48" s="130" t="s">
        <v>120</v>
      </c>
      <c r="AF48" s="127"/>
      <c r="AG48" s="131"/>
      <c r="AH48" s="131"/>
      <c r="AI48" s="126"/>
      <c r="AJ48" s="130" t="s">
        <v>120</v>
      </c>
      <c r="AK48" s="126" t="s">
        <v>123</v>
      </c>
      <c r="AL48" s="126" t="s">
        <v>1198</v>
      </c>
      <c r="AM48" s="130"/>
      <c r="AN48" s="126"/>
      <c r="AO48" s="132"/>
      <c r="AP48" s="126"/>
      <c r="AQ48" s="126"/>
      <c r="AR48" s="130"/>
      <c r="AS48" s="126"/>
      <c r="AT48" s="127">
        <v>43483.472496759299</v>
      </c>
      <c r="AU48" s="127">
        <v>43483.476301273098</v>
      </c>
      <c r="AV48" s="127">
        <v>43486.590974305604</v>
      </c>
      <c r="AW48" s="127">
        <v>43483.472496759299</v>
      </c>
      <c r="AX48" s="127"/>
      <c r="AY48" s="127">
        <v>43483.387676851897</v>
      </c>
      <c r="AZ48" s="133">
        <v>43486.6937533565</v>
      </c>
      <c r="BA48" s="134">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B48" s="135">
        <f>COUNTIFS(_05preva_view43[Site ID],_05preva_view43[[#This Row],[Site ID]],_05preva_view43[Prevalidation Status],"Under Prevalidation")</f>
        <v>0</v>
      </c>
      <c r="BC48" s="157" t="e">
        <f ca="1">HYPERLINK(CheckPath(_05preva_view43[[#This Row],[File Path]],_05preva_view43[[#This Row],[File Path]],_05preva_view43[[#This Row],[Folder Path3]]),CheckPath(_05preva_view43[[#This Row],[File Path]],"Open File","No File"))</f>
        <v>#VALUE!</v>
      </c>
      <c r="BD48" s="136" t="str">
        <f>CONCATENATE(_05preva_view43[[#This Row],[Site ID]]," (",_05preva_view43[[#This Row],[tenant id]],") Application",IF(_05preva_view43[[#This Row],[Colo Rev]]&gt;0," Rev "&amp;_05preva_view43[[#This Row],[Colo Rev]],""),".xlsx")</f>
        <v>3-00-01014-001 (KCN00056) Application Rev 3.xlsx</v>
      </c>
      <c r="BE48" s="64" t="e">
        <f t="shared" ca="1" si="2"/>
        <v>#VALUE!</v>
      </c>
      <c r="BF48" s="104" t="e">
        <f ca="1">LEFT(CELL("filename",A33),_05preva_view43[[#This Row],[Find Process &amp; Database]]-1)</f>
        <v>#VALUE!</v>
      </c>
      <c r="BG48" s="104" t="e">
        <f ca="1">_05preva_view43[Folder Path1]&amp;"Process &amp; Database\Documentation\Colo Applications"</f>
        <v>#VALUE!</v>
      </c>
      <c r="BH48" s="104" t="e">
        <f ca="1">_05preva_view43[Folder Path2]&amp;"\Colo App "&amp;_05preva_view43[[#This Row],[Operator]]&amp;"\"</f>
        <v>#VALUE!</v>
      </c>
      <c r="BI48" s="63" t="e">
        <f ca="1">_05preva_view43[[#This Row],[Folder Path3]]&amp;_05preva_view43[[#This Row],[File Name]]</f>
        <v>#VALUE!</v>
      </c>
      <c r="BJ48" s="104"/>
      <c r="BK48" s="3"/>
      <c r="BL48" s="3"/>
      <c r="CJ48" s="5"/>
      <c r="CK48" s="5"/>
      <c r="CL48" s="3"/>
      <c r="CN48" s="5"/>
      <c r="CR48" s="3"/>
      <c r="CS48" s="3"/>
      <c r="CT48" s="5"/>
      <c r="CV48" s="3"/>
      <c r="DR48" s="5"/>
      <c r="DT48" s="3"/>
      <c r="EF48" s="7"/>
      <c r="EG48" s="7"/>
      <c r="EJ48" s="4"/>
      <c r="EK48" s="4"/>
      <c r="EU48" s="2"/>
      <c r="EV48" s="2"/>
    </row>
    <row r="49" spans="1:152">
      <c r="A49" s="125">
        <v>3617</v>
      </c>
      <c r="B49" s="126" t="s">
        <v>1981</v>
      </c>
      <c r="C49" s="126" t="s">
        <v>116</v>
      </c>
      <c r="D49" s="126" t="s">
        <v>127</v>
      </c>
      <c r="E49" s="126" t="s">
        <v>1982</v>
      </c>
      <c r="F49" s="126" t="s">
        <v>35</v>
      </c>
      <c r="G49" s="126" t="s">
        <v>1577</v>
      </c>
      <c r="H49" s="126" t="s">
        <v>1575</v>
      </c>
      <c r="I49" s="126" t="s">
        <v>1263</v>
      </c>
      <c r="J49" s="126" t="s">
        <v>949</v>
      </c>
      <c r="K49" s="127">
        <v>43482</v>
      </c>
      <c r="L49" s="128">
        <v>1.054</v>
      </c>
      <c r="M49" s="128">
        <v>1.46</v>
      </c>
      <c r="N49" s="126">
        <v>6</v>
      </c>
      <c r="O49" s="126" t="s">
        <v>119</v>
      </c>
      <c r="P49" s="129" t="s">
        <v>968</v>
      </c>
      <c r="Q49" s="129" t="s">
        <v>969</v>
      </c>
      <c r="R49" s="126" t="s">
        <v>24</v>
      </c>
      <c r="S49" s="126"/>
      <c r="T49" s="130" t="s">
        <v>861</v>
      </c>
      <c r="U49" s="126"/>
      <c r="V49" s="130" t="s">
        <v>120</v>
      </c>
      <c r="W49" s="126"/>
      <c r="X49" s="130" t="s">
        <v>120</v>
      </c>
      <c r="Y49" s="126" t="s">
        <v>1983</v>
      </c>
      <c r="Z49" s="165" t="s">
        <v>120</v>
      </c>
      <c r="AA49" s="158" t="s">
        <v>2140</v>
      </c>
      <c r="AB49" s="158" t="s">
        <v>2141</v>
      </c>
      <c r="AC49" s="170" t="s">
        <v>123</v>
      </c>
      <c r="AD49" s="126" t="s">
        <v>2162</v>
      </c>
      <c r="AE49" s="130" t="s">
        <v>120</v>
      </c>
      <c r="AF49" s="127"/>
      <c r="AG49" s="131"/>
      <c r="AH49" s="131"/>
      <c r="AI49" s="126"/>
      <c r="AJ49" s="130" t="s">
        <v>120</v>
      </c>
      <c r="AK49" s="126" t="s">
        <v>123</v>
      </c>
      <c r="AL49" s="126" t="s">
        <v>1198</v>
      </c>
      <c r="AM49" s="130"/>
      <c r="AN49" s="126"/>
      <c r="AO49" s="132"/>
      <c r="AP49" s="126"/>
      <c r="AQ49" s="126"/>
      <c r="AR49" s="130"/>
      <c r="AS49" s="126"/>
      <c r="AT49" s="127">
        <v>43483.472498495401</v>
      </c>
      <c r="AU49" s="127">
        <v>43483.476307523102</v>
      </c>
      <c r="AV49" s="127">
        <v>43488.5851861111</v>
      </c>
      <c r="AW49" s="127">
        <v>43483.472498495401</v>
      </c>
      <c r="AX49" s="127"/>
      <c r="AY49" s="127">
        <v>43482.844667708297</v>
      </c>
      <c r="AZ49" s="133">
        <v>43488.591693750001</v>
      </c>
      <c r="BA49" s="134">
        <f ca="1">IF(_05preva_view43[[#This Row],[Prevalidation Status]]="Under Prevalidation",NOW()-_05preva_view43[[#This Row],[Request Date]],IF(_05preva_view43[[#This Row],[Close Date]]&gt;_05preva_view43[[#This Row],[Request Date]],_05preva_view43[[#This Row],[Close Date]]-_05preva_view43[[#This Row],[Request Date]],"Not  Calculated"))</f>
        <v>6.5916937500005588</v>
      </c>
      <c r="BB49" s="135">
        <f>COUNTIFS(_05preva_view43[Site ID],_05preva_view43[[#This Row],[Site ID]],_05preva_view43[Prevalidation Status],"Under Prevalidation")</f>
        <v>0</v>
      </c>
      <c r="BC49" s="157" t="e">
        <f ca="1">HYPERLINK(CheckPath(_05preva_view43[[#This Row],[File Path]],_05preva_view43[[#This Row],[File Path]],_05preva_view43[[#This Row],[Folder Path3]]),CheckPath(_05preva_view43[[#This Row],[File Path]],"Open File","No File"))</f>
        <v>#VALUE!</v>
      </c>
      <c r="BD49" s="136" t="str">
        <f>CONCATENATE(_05preva_view43[[#This Row],[Site ID]]," (",_05preva_view43[[#This Row],[tenant id]],") Application",IF(_05preva_view43[[#This Row],[Colo Rev]]&gt;0," Rev "&amp;_05preva_view43[[#This Row],[Colo Rev]],""),".xlsx")</f>
        <v>ANMD_0236 (MDY00844) Application Rev 2.xlsx</v>
      </c>
      <c r="BE49" s="64" t="e">
        <f t="shared" ca="1" si="2"/>
        <v>#VALUE!</v>
      </c>
      <c r="BF49" s="104" t="e">
        <f ca="1">LEFT(CELL("filename",A34),_05preva_view43[[#This Row],[Find Process &amp; Database]]-1)</f>
        <v>#VALUE!</v>
      </c>
      <c r="BG49" s="104" t="e">
        <f ca="1">_05preva_view43[Folder Path1]&amp;"Process &amp; Database\Documentation\Colo Applications"</f>
        <v>#VALUE!</v>
      </c>
      <c r="BH49" s="104" t="e">
        <f ca="1">_05preva_view43[Folder Path2]&amp;"\Colo App "&amp;_05preva_view43[[#This Row],[Operator]]&amp;"\"</f>
        <v>#VALUE!</v>
      </c>
      <c r="BI49" s="63" t="e">
        <f ca="1">_05preva_view43[[#This Row],[Folder Path3]]&amp;_05preva_view43[[#This Row],[File Name]]</f>
        <v>#VALUE!</v>
      </c>
      <c r="BJ49" s="104"/>
      <c r="BK49" s="3"/>
      <c r="BL49" s="3"/>
      <c r="CJ49" s="5"/>
      <c r="CK49" s="5"/>
      <c r="CL49" s="3"/>
      <c r="CN49" s="5"/>
      <c r="CR49" s="3"/>
      <c r="CS49" s="3"/>
      <c r="CT49" s="5"/>
      <c r="CV49" s="3"/>
      <c r="DR49" s="5"/>
      <c r="DT49" s="3"/>
      <c r="EF49" s="7"/>
      <c r="EG49" s="7"/>
      <c r="EJ49" s="4"/>
      <c r="EK49" s="4"/>
      <c r="EU49" s="2"/>
      <c r="EV49" s="2"/>
    </row>
    <row r="50" spans="1:152">
      <c r="A50" s="125">
        <v>3618</v>
      </c>
      <c r="B50" s="126" t="s">
        <v>1984</v>
      </c>
      <c r="C50" s="126" t="s">
        <v>331</v>
      </c>
      <c r="D50" s="126" t="s">
        <v>127</v>
      </c>
      <c r="E50" s="126" t="s">
        <v>1985</v>
      </c>
      <c r="F50" s="126" t="s">
        <v>35</v>
      </c>
      <c r="G50" s="126" t="s">
        <v>1583</v>
      </c>
      <c r="H50" s="126" t="s">
        <v>1575</v>
      </c>
      <c r="I50" s="126" t="s">
        <v>1986</v>
      </c>
      <c r="J50" s="126" t="s">
        <v>931</v>
      </c>
      <c r="K50" s="127">
        <v>43482</v>
      </c>
      <c r="L50" s="128">
        <v>1.6579999999999999</v>
      </c>
      <c r="M50" s="128">
        <v>3.06</v>
      </c>
      <c r="N50" s="126">
        <v>3.07</v>
      </c>
      <c r="O50" s="126" t="s">
        <v>950</v>
      </c>
      <c r="P50" s="129" t="s">
        <v>958</v>
      </c>
      <c r="Q50" s="129" t="s">
        <v>959</v>
      </c>
      <c r="R50" s="126" t="s">
        <v>24</v>
      </c>
      <c r="S50" s="126"/>
      <c r="T50" s="130" t="s">
        <v>861</v>
      </c>
      <c r="U50" s="126"/>
      <c r="V50" s="130" t="s">
        <v>120</v>
      </c>
      <c r="W50" s="126"/>
      <c r="X50" s="130" t="s">
        <v>120</v>
      </c>
      <c r="Y50" s="126" t="s">
        <v>1987</v>
      </c>
      <c r="Z50" s="165" t="s">
        <v>120</v>
      </c>
      <c r="AA50" s="158"/>
      <c r="AB50" s="158"/>
      <c r="AC50" s="170" t="s">
        <v>123</v>
      </c>
      <c r="AD50" s="126" t="s">
        <v>1988</v>
      </c>
      <c r="AE50" s="130" t="s">
        <v>120</v>
      </c>
      <c r="AF50" s="127"/>
      <c r="AG50" s="131"/>
      <c r="AH50" s="131"/>
      <c r="AI50" s="126"/>
      <c r="AJ50" s="130" t="s">
        <v>120</v>
      </c>
      <c r="AK50" s="126" t="s">
        <v>123</v>
      </c>
      <c r="AL50" s="126" t="s">
        <v>1198</v>
      </c>
      <c r="AM50" s="130"/>
      <c r="AN50" s="126"/>
      <c r="AO50" s="132"/>
      <c r="AP50" s="126"/>
      <c r="AQ50" s="126"/>
      <c r="AR50" s="130"/>
      <c r="AS50" s="126"/>
      <c r="AT50" s="127">
        <v>43483.472500231503</v>
      </c>
      <c r="AU50" s="127">
        <v>43483.476314004598</v>
      </c>
      <c r="AV50" s="127">
        <v>43486.590976041698</v>
      </c>
      <c r="AW50" s="127">
        <v>43483.472500231503</v>
      </c>
      <c r="AX50" s="127"/>
      <c r="AY50" s="127">
        <v>43483.387680439802</v>
      </c>
      <c r="AZ50" s="133">
        <v>43486.693754513901</v>
      </c>
      <c r="BA50" s="134">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B50" s="135">
        <f>COUNTIFS(_05preva_view43[Site ID],_05preva_view43[[#This Row],[Site ID]],_05preva_view43[Prevalidation Status],"Under Prevalidation")</f>
        <v>0</v>
      </c>
      <c r="BC50" s="157" t="e">
        <f ca="1">HYPERLINK(CheckPath(_05preva_view43[[#This Row],[File Path]],_05preva_view43[[#This Row],[File Path]],_05preva_view43[[#This Row],[Folder Path3]]),CheckPath(_05preva_view43[[#This Row],[File Path]],"Open File","No File"))</f>
        <v>#VALUE!</v>
      </c>
      <c r="BD50" s="136" t="str">
        <f>CONCATENATE(_05preva_view43[[#This Row],[Site ID]]," (",_05preva_view43[[#This Row],[tenant id]],") Application",IF(_05preva_view43[[#This Row],[Colo Rev]]&gt;0," Rev "&amp;_05preva_view43[[#This Row],[Colo Rev]],""),".xlsx")</f>
        <v>1-01-15014-008 (SHN00175) Application Rev 1.xlsx</v>
      </c>
      <c r="BE50" s="64" t="e">
        <f t="shared" ca="1" si="2"/>
        <v>#VALUE!</v>
      </c>
      <c r="BF50" s="104" t="e">
        <f ca="1">LEFT(CELL("filename",A35),_05preva_view43[[#This Row],[Find Process &amp; Database]]-1)</f>
        <v>#VALUE!</v>
      </c>
      <c r="BG50" s="104" t="e">
        <f ca="1">_05preva_view43[Folder Path1]&amp;"Process &amp; Database\Documentation\Colo Applications"</f>
        <v>#VALUE!</v>
      </c>
      <c r="BH50" s="104" t="e">
        <f ca="1">_05preva_view43[Folder Path2]&amp;"\Colo App "&amp;_05preva_view43[[#This Row],[Operator]]&amp;"\"</f>
        <v>#VALUE!</v>
      </c>
      <c r="BI50" s="63" t="e">
        <f ca="1">_05preva_view43[[#This Row],[Folder Path3]]&amp;_05preva_view43[[#This Row],[File Name]]</f>
        <v>#VALUE!</v>
      </c>
      <c r="BJ50" s="104"/>
      <c r="BK50" s="3"/>
      <c r="BL50" s="3"/>
      <c r="CJ50" s="5"/>
      <c r="CK50" s="5"/>
      <c r="CL50" s="3"/>
      <c r="CN50" s="5"/>
      <c r="CR50" s="3"/>
      <c r="CS50" s="3"/>
      <c r="CT50" s="5"/>
      <c r="CV50" s="3"/>
      <c r="DR50" s="5"/>
      <c r="DT50" s="3"/>
      <c r="EF50" s="7"/>
      <c r="EG50" s="7"/>
      <c r="EJ50" s="4"/>
      <c r="EK50" s="4"/>
      <c r="EU50" s="2"/>
      <c r="EV50" s="2"/>
    </row>
    <row r="51" spans="1:152">
      <c r="A51" s="125">
        <v>3609</v>
      </c>
      <c r="B51" s="126" t="s">
        <v>1788</v>
      </c>
      <c r="C51" s="126" t="s">
        <v>116</v>
      </c>
      <c r="D51" s="126" t="s">
        <v>163</v>
      </c>
      <c r="E51" s="126" t="s">
        <v>1989</v>
      </c>
      <c r="F51" s="126" t="s">
        <v>40</v>
      </c>
      <c r="G51" s="126" t="s">
        <v>1143</v>
      </c>
      <c r="H51" s="126" t="s">
        <v>1619</v>
      </c>
      <c r="I51" s="126" t="s">
        <v>1143</v>
      </c>
      <c r="J51" s="126" t="s">
        <v>1091</v>
      </c>
      <c r="K51" s="127">
        <v>43481</v>
      </c>
      <c r="L51" s="128">
        <v>3</v>
      </c>
      <c r="M51" s="128">
        <v>4</v>
      </c>
      <c r="N51" s="126">
        <v>6</v>
      </c>
      <c r="O51" s="126" t="s">
        <v>119</v>
      </c>
      <c r="P51" s="129" t="s">
        <v>334</v>
      </c>
      <c r="Q51" s="129" t="s">
        <v>736</v>
      </c>
      <c r="R51" s="126" t="s">
        <v>25</v>
      </c>
      <c r="S51" s="126"/>
      <c r="T51" s="130" t="s">
        <v>861</v>
      </c>
      <c r="U51" s="126"/>
      <c r="V51" s="130" t="s">
        <v>120</v>
      </c>
      <c r="W51" s="126"/>
      <c r="X51" s="130" t="s">
        <v>125</v>
      </c>
      <c r="Y51" s="126" t="s">
        <v>1990</v>
      </c>
      <c r="Z51" s="165"/>
      <c r="AA51" s="158"/>
      <c r="AB51" s="158"/>
      <c r="AC51" s="170"/>
      <c r="AD51" s="126"/>
      <c r="AE51" s="130" t="s">
        <v>120</v>
      </c>
      <c r="AF51" s="127"/>
      <c r="AG51" s="131"/>
      <c r="AH51" s="131"/>
      <c r="AI51" s="126" t="s">
        <v>1991</v>
      </c>
      <c r="AJ51" s="130" t="s">
        <v>125</v>
      </c>
      <c r="AK51" s="126" t="s">
        <v>240</v>
      </c>
      <c r="AL51" s="126" t="s">
        <v>1992</v>
      </c>
      <c r="AM51" s="130"/>
      <c r="AN51" s="126"/>
      <c r="AO51" s="132"/>
      <c r="AP51" s="126"/>
      <c r="AQ51" s="126"/>
      <c r="AR51" s="130"/>
      <c r="AS51" s="126"/>
      <c r="AT51" s="127"/>
      <c r="AU51" s="127">
        <v>43483.476258796298</v>
      </c>
      <c r="AV51" s="127"/>
      <c r="AW51" s="127"/>
      <c r="AX51" s="127"/>
      <c r="AY51" s="127">
        <v>43481.690494791699</v>
      </c>
      <c r="AZ51" s="133"/>
      <c r="BA51" s="134">
        <f ca="1">IF(_05preva_view43[[#This Row],[Prevalidation Status]]="Under Prevalidation",NOW()-_05preva_view43[[#This Row],[Request Date]],IF(_05preva_view43[[#This Row],[Close Date]]&gt;_05preva_view43[[#This Row],[Request Date]],_05preva_view43[[#This Row],[Close Date]]-_05preva_view43[[#This Row],[Request Date]],"Not  Calculated"))</f>
        <v>7.7051064814804704</v>
      </c>
      <c r="BB51" s="135">
        <f>COUNTIFS(_05preva_view43[Site ID],_05preva_view43[[#This Row],[Site ID]],_05preva_view43[Prevalidation Status],"Under Prevalidation")</f>
        <v>2</v>
      </c>
      <c r="BC51" s="157" t="e">
        <f ca="1">HYPERLINK(CheckPath(_05preva_view43[[#This Row],[File Path]],_05preva_view43[[#This Row],[File Path]],_05preva_view43[[#This Row],[Folder Path3]]),CheckPath(_05preva_view43[[#This Row],[File Path]],"Open File","No File"))</f>
        <v>#VALUE!</v>
      </c>
      <c r="BD51" s="136" t="str">
        <f>CONCATENATE(_05preva_view43[[#This Row],[Site ID]]," (",_05preva_view43[[#This Row],[tenant id]],") Application",IF(_05preva_view43[[#This Row],[Colo Rev]]&gt;0," Rev "&amp;_05preva_view43[[#This Row],[Colo Rev]],""),".xlsx")</f>
        <v>AYYN_0373 (YAW4699) Application Rev .xlsx</v>
      </c>
      <c r="BE51" s="64" t="e">
        <f t="shared" ca="1" si="2"/>
        <v>#VALUE!</v>
      </c>
      <c r="BF51" s="104" t="e">
        <f ca="1">LEFT(CELL("filename",A36),_05preva_view43[[#This Row],[Find Process &amp; Database]]-1)</f>
        <v>#VALUE!</v>
      </c>
      <c r="BG51" s="104" t="e">
        <f ca="1">_05preva_view43[Folder Path1]&amp;"Process &amp; Database\Documentation\Colo Applications"</f>
        <v>#VALUE!</v>
      </c>
      <c r="BH51" s="104" t="e">
        <f ca="1">_05preva_view43[Folder Path2]&amp;"\Colo App "&amp;_05preva_view43[[#This Row],[Operator]]&amp;"\"</f>
        <v>#VALUE!</v>
      </c>
      <c r="BI51" s="63" t="e">
        <f ca="1">_05preva_view43[[#This Row],[Folder Path3]]&amp;_05preva_view43[[#This Row],[File Name]]</f>
        <v>#VALUE!</v>
      </c>
      <c r="BJ51" s="104"/>
      <c r="BK51" s="3"/>
      <c r="BL51" s="3"/>
      <c r="CJ51" s="5"/>
      <c r="CK51" s="5"/>
      <c r="CL51" s="3"/>
      <c r="CN51" s="5"/>
      <c r="CR51" s="3"/>
      <c r="CS51" s="3"/>
      <c r="CT51" s="5"/>
      <c r="CV51" s="3"/>
      <c r="DR51" s="5"/>
      <c r="DT51" s="3"/>
      <c r="EF51" s="7"/>
      <c r="EG51" s="7"/>
      <c r="EJ51" s="4"/>
      <c r="EK51" s="4"/>
      <c r="EU51" s="2"/>
      <c r="EV51" s="2"/>
    </row>
    <row r="52" spans="1:152">
      <c r="A52" s="125">
        <v>3610</v>
      </c>
      <c r="B52" s="126" t="s">
        <v>1993</v>
      </c>
      <c r="C52" s="126" t="s">
        <v>116</v>
      </c>
      <c r="D52" s="126" t="s">
        <v>163</v>
      </c>
      <c r="E52" s="126" t="s">
        <v>1994</v>
      </c>
      <c r="F52" s="126" t="s">
        <v>40</v>
      </c>
      <c r="G52" s="126" t="s">
        <v>1143</v>
      </c>
      <c r="H52" s="126" t="s">
        <v>1619</v>
      </c>
      <c r="I52" s="126" t="s">
        <v>1143</v>
      </c>
      <c r="J52" s="126" t="s">
        <v>1091</v>
      </c>
      <c r="K52" s="127">
        <v>43481</v>
      </c>
      <c r="L52" s="128">
        <v>3</v>
      </c>
      <c r="M52" s="128">
        <v>4</v>
      </c>
      <c r="N52" s="126">
        <v>6</v>
      </c>
      <c r="O52" s="126" t="s">
        <v>119</v>
      </c>
      <c r="P52" s="129" t="s">
        <v>362</v>
      </c>
      <c r="Q52" s="129" t="s">
        <v>363</v>
      </c>
      <c r="R52" s="126" t="s">
        <v>25</v>
      </c>
      <c r="S52" s="126"/>
      <c r="T52" s="130" t="s">
        <v>861</v>
      </c>
      <c r="U52" s="126"/>
      <c r="V52" s="130" t="s">
        <v>120</v>
      </c>
      <c r="W52" s="126"/>
      <c r="X52" s="130" t="s">
        <v>125</v>
      </c>
      <c r="Y52" s="126" t="s">
        <v>1995</v>
      </c>
      <c r="Z52" s="165"/>
      <c r="AA52" s="158"/>
      <c r="AB52" s="158"/>
      <c r="AC52" s="170"/>
      <c r="AD52" s="126"/>
      <c r="AE52" s="130" t="s">
        <v>120</v>
      </c>
      <c r="AF52" s="127"/>
      <c r="AG52" s="131"/>
      <c r="AH52" s="131"/>
      <c r="AI52" s="126"/>
      <c r="AJ52" s="130" t="s">
        <v>125</v>
      </c>
      <c r="AK52" s="126" t="s">
        <v>240</v>
      </c>
      <c r="AL52" s="126" t="s">
        <v>1992</v>
      </c>
      <c r="AM52" s="130"/>
      <c r="AN52" s="126"/>
      <c r="AO52" s="132"/>
      <c r="AP52" s="126"/>
      <c r="AQ52" s="126"/>
      <c r="AR52" s="130"/>
      <c r="AS52" s="126"/>
      <c r="AT52" s="127"/>
      <c r="AU52" s="127">
        <v>43483.4762619213</v>
      </c>
      <c r="AV52" s="127"/>
      <c r="AW52" s="127"/>
      <c r="AX52" s="127"/>
      <c r="AY52" s="127">
        <v>43481.6904953704</v>
      </c>
      <c r="AZ52" s="133"/>
      <c r="BA52" s="134">
        <f ca="1">IF(_05preva_view43[[#This Row],[Prevalidation Status]]="Under Prevalidation",NOW()-_05preva_view43[[#This Row],[Request Date]],IF(_05preva_view43[[#This Row],[Close Date]]&gt;_05preva_view43[[#This Row],[Request Date]],_05preva_view43[[#This Row],[Close Date]]-_05preva_view43[[#This Row],[Request Date]],"Not  Calculated"))</f>
        <v>7.7051064814804704</v>
      </c>
      <c r="BB52" s="135">
        <f>COUNTIFS(_05preva_view43[Site ID],_05preva_view43[[#This Row],[Site ID]],_05preva_view43[Prevalidation Status],"Under Prevalidation")</f>
        <v>1</v>
      </c>
      <c r="BC52" s="157" t="e">
        <f ca="1">HYPERLINK(CheckPath(_05preva_view43[[#This Row],[File Path]],_05preva_view43[[#This Row],[File Path]],_05preva_view43[[#This Row],[Folder Path3]]),CheckPath(_05preva_view43[[#This Row],[File Path]],"Open File","No File"))</f>
        <v>#VALUE!</v>
      </c>
      <c r="BD52" s="136" t="str">
        <f>CONCATENATE(_05preva_view43[[#This Row],[Site ID]]," (",_05preva_view43[[#This Row],[tenant id]],") Application",IF(_05preva_view43[[#This Row],[Colo Rev]]&gt;0," Rev "&amp;_05preva_view43[[#This Row],[Colo Rev]],""),".xlsx")</f>
        <v>AYYN_0335 (YAM7609) Application Rev .xlsx</v>
      </c>
      <c r="BE52" s="64" t="e">
        <f t="shared" ca="1" si="2"/>
        <v>#VALUE!</v>
      </c>
      <c r="BF52" s="104" t="e">
        <f ca="1">LEFT(CELL("filename",A37),_05preva_view43[[#This Row],[Find Process &amp; Database]]-1)</f>
        <v>#VALUE!</v>
      </c>
      <c r="BG52" s="104" t="e">
        <f ca="1">_05preva_view43[Folder Path1]&amp;"Process &amp; Database\Documentation\Colo Applications"</f>
        <v>#VALUE!</v>
      </c>
      <c r="BH52" s="104" t="e">
        <f ca="1">_05preva_view43[Folder Path2]&amp;"\Colo App "&amp;_05preva_view43[[#This Row],[Operator]]&amp;"\"</f>
        <v>#VALUE!</v>
      </c>
      <c r="BI52" s="63" t="e">
        <f ca="1">_05preva_view43[[#This Row],[Folder Path3]]&amp;_05preva_view43[[#This Row],[File Name]]</f>
        <v>#VALUE!</v>
      </c>
      <c r="BJ52" s="104"/>
      <c r="BK52" s="3"/>
      <c r="BL52" s="3"/>
      <c r="CJ52" s="5"/>
      <c r="CK52" s="5"/>
      <c r="CL52" s="3"/>
      <c r="CN52" s="5"/>
      <c r="CR52" s="3"/>
      <c r="CS52" s="3"/>
      <c r="CT52" s="5"/>
      <c r="CV52" s="3"/>
      <c r="DR52" s="5"/>
      <c r="DT52" s="3"/>
      <c r="EF52" s="7"/>
      <c r="EG52" s="7"/>
      <c r="EJ52" s="4"/>
      <c r="EK52" s="4"/>
      <c r="EU52" s="2"/>
      <c r="EV52" s="2"/>
    </row>
    <row r="53" spans="1:152">
      <c r="A53" s="125">
        <v>3611</v>
      </c>
      <c r="B53" s="126" t="s">
        <v>1996</v>
      </c>
      <c r="C53" s="126" t="s">
        <v>116</v>
      </c>
      <c r="D53" s="126" t="s">
        <v>163</v>
      </c>
      <c r="E53" s="126" t="s">
        <v>1997</v>
      </c>
      <c r="F53" s="126" t="s">
        <v>40</v>
      </c>
      <c r="G53" s="126" t="s">
        <v>1143</v>
      </c>
      <c r="H53" s="126" t="s">
        <v>1619</v>
      </c>
      <c r="I53" s="126" t="s">
        <v>1143</v>
      </c>
      <c r="J53" s="126" t="s">
        <v>1091</v>
      </c>
      <c r="K53" s="127">
        <v>43481</v>
      </c>
      <c r="L53" s="128">
        <v>3</v>
      </c>
      <c r="M53" s="128">
        <v>4</v>
      </c>
      <c r="N53" s="126">
        <v>6</v>
      </c>
      <c r="O53" s="126" t="s">
        <v>119</v>
      </c>
      <c r="P53" s="129" t="s">
        <v>333</v>
      </c>
      <c r="Q53" s="129" t="s">
        <v>334</v>
      </c>
      <c r="R53" s="126" t="s">
        <v>25</v>
      </c>
      <c r="S53" s="126"/>
      <c r="T53" s="130" t="s">
        <v>861</v>
      </c>
      <c r="U53" s="126"/>
      <c r="V53" s="130" t="s">
        <v>120</v>
      </c>
      <c r="W53" s="126"/>
      <c r="X53" s="130" t="s">
        <v>125</v>
      </c>
      <c r="Y53" s="126" t="s">
        <v>1998</v>
      </c>
      <c r="Z53" s="165"/>
      <c r="AA53" s="158"/>
      <c r="AB53" s="158"/>
      <c r="AC53" s="170"/>
      <c r="AD53" s="126"/>
      <c r="AE53" s="130" t="s">
        <v>120</v>
      </c>
      <c r="AF53" s="127"/>
      <c r="AG53" s="131"/>
      <c r="AH53" s="131"/>
      <c r="AI53" s="126"/>
      <c r="AJ53" s="130" t="s">
        <v>125</v>
      </c>
      <c r="AK53" s="126" t="s">
        <v>240</v>
      </c>
      <c r="AL53" s="126" t="s">
        <v>1992</v>
      </c>
      <c r="AM53" s="130"/>
      <c r="AN53" s="126"/>
      <c r="AO53" s="132"/>
      <c r="AP53" s="126"/>
      <c r="AQ53" s="126"/>
      <c r="AR53" s="130"/>
      <c r="AS53" s="126"/>
      <c r="AT53" s="127"/>
      <c r="AU53" s="127">
        <v>43483.476268518498</v>
      </c>
      <c r="AV53" s="127"/>
      <c r="AW53" s="127"/>
      <c r="AX53" s="127"/>
      <c r="AY53" s="127">
        <v>43481.690496990697</v>
      </c>
      <c r="AZ53" s="133"/>
      <c r="BA53" s="134">
        <f ca="1">IF(_05preva_view43[[#This Row],[Prevalidation Status]]="Under Prevalidation",NOW()-_05preva_view43[[#This Row],[Request Date]],IF(_05preva_view43[[#This Row],[Close Date]]&gt;_05preva_view43[[#This Row],[Request Date]],_05preva_view43[[#This Row],[Close Date]]-_05preva_view43[[#This Row],[Request Date]],"Not  Calculated"))</f>
        <v>7.7051064814804704</v>
      </c>
      <c r="BB53" s="135">
        <f>COUNTIFS(_05preva_view43[Site ID],_05preva_view43[[#This Row],[Site ID]],_05preva_view43[Prevalidation Status],"Under Prevalidation")</f>
        <v>1</v>
      </c>
      <c r="BC53" s="157" t="e">
        <f ca="1">HYPERLINK(CheckPath(_05preva_view43[[#This Row],[File Path]],_05preva_view43[[#This Row],[File Path]],_05preva_view43[[#This Row],[Folder Path3]]),CheckPath(_05preva_view43[[#This Row],[File Path]],"Open File","No File"))</f>
        <v>#VALUE!</v>
      </c>
      <c r="BD53" s="136" t="str">
        <f>CONCATENATE(_05preva_view43[[#This Row],[Site ID]]," (",_05preva_view43[[#This Row],[tenant id]],") Application",IF(_05preva_view43[[#This Row],[Colo Rev]]&gt;0," Rev "&amp;_05preva_view43[[#This Row],[Colo Rev]],""),".xlsx")</f>
        <v>AYYN_0541 (YAW4695) Application Rev .xlsx</v>
      </c>
      <c r="BE53" s="64" t="e">
        <f t="shared" ca="1" si="2"/>
        <v>#VALUE!</v>
      </c>
      <c r="BF53" s="104" t="e">
        <f ca="1">LEFT(CELL("filename",A38),_05preva_view43[[#This Row],[Find Process &amp; Database]]-1)</f>
        <v>#VALUE!</v>
      </c>
      <c r="BG53" s="104" t="e">
        <f ca="1">_05preva_view43[Folder Path1]&amp;"Process &amp; Database\Documentation\Colo Applications"</f>
        <v>#VALUE!</v>
      </c>
      <c r="BH53" s="104" t="e">
        <f ca="1">_05preva_view43[Folder Path2]&amp;"\Colo App "&amp;_05preva_view43[[#This Row],[Operator]]&amp;"\"</f>
        <v>#VALUE!</v>
      </c>
      <c r="BI53" s="63" t="e">
        <f ca="1">_05preva_view43[[#This Row],[Folder Path3]]&amp;_05preva_view43[[#This Row],[File Name]]</f>
        <v>#VALUE!</v>
      </c>
      <c r="BJ53" s="104"/>
      <c r="BK53" s="3"/>
      <c r="BL53" s="3"/>
      <c r="CJ53" s="5"/>
      <c r="CK53" s="5"/>
      <c r="CL53" s="3"/>
      <c r="CN53" s="5"/>
      <c r="CR53" s="3"/>
      <c r="CS53" s="3"/>
      <c r="CT53" s="5"/>
      <c r="CV53" s="3"/>
      <c r="DR53" s="5"/>
      <c r="DT53" s="3"/>
      <c r="EF53" s="7"/>
      <c r="EG53" s="7"/>
      <c r="EJ53" s="4"/>
      <c r="EK53" s="4"/>
      <c r="EU53" s="2"/>
      <c r="EV53" s="2"/>
    </row>
    <row r="54" spans="1:152">
      <c r="A54" s="125">
        <v>3612</v>
      </c>
      <c r="B54" s="126" t="s">
        <v>515</v>
      </c>
      <c r="C54" s="126" t="s">
        <v>116</v>
      </c>
      <c r="D54" s="126" t="s">
        <v>163</v>
      </c>
      <c r="E54" s="126" t="s">
        <v>516</v>
      </c>
      <c r="F54" s="126" t="s">
        <v>40</v>
      </c>
      <c r="G54" s="126" t="s">
        <v>118</v>
      </c>
      <c r="H54" s="126"/>
      <c r="I54" s="126" t="s">
        <v>1143</v>
      </c>
      <c r="J54" s="126" t="s">
        <v>1091</v>
      </c>
      <c r="K54" s="127">
        <v>43481</v>
      </c>
      <c r="L54" s="128">
        <v>3</v>
      </c>
      <c r="M54" s="128">
        <v>4</v>
      </c>
      <c r="N54" s="126">
        <v>6</v>
      </c>
      <c r="O54" s="126" t="s">
        <v>119</v>
      </c>
      <c r="P54" s="129" t="s">
        <v>285</v>
      </c>
      <c r="Q54" s="129" t="s">
        <v>263</v>
      </c>
      <c r="R54" s="126" t="s">
        <v>25</v>
      </c>
      <c r="S54" s="126"/>
      <c r="T54" s="130" t="s">
        <v>861</v>
      </c>
      <c r="U54" s="126"/>
      <c r="V54" s="130" t="s">
        <v>120</v>
      </c>
      <c r="W54" s="126"/>
      <c r="X54" s="130" t="s">
        <v>120</v>
      </c>
      <c r="Y54" s="126" t="s">
        <v>1999</v>
      </c>
      <c r="Z54" s="165" t="s">
        <v>120</v>
      </c>
      <c r="AA54" s="158" t="s">
        <v>2140</v>
      </c>
      <c r="AB54" s="158" t="s">
        <v>2141</v>
      </c>
      <c r="AC54" s="170" t="s">
        <v>123</v>
      </c>
      <c r="AD54" s="126" t="s">
        <v>2000</v>
      </c>
      <c r="AE54" s="130" t="s">
        <v>120</v>
      </c>
      <c r="AF54" s="127"/>
      <c r="AG54" s="131"/>
      <c r="AH54" s="131"/>
      <c r="AI54" s="126"/>
      <c r="AJ54" s="130" t="s">
        <v>120</v>
      </c>
      <c r="AK54" s="126" t="s">
        <v>240</v>
      </c>
      <c r="AL54" s="126" t="s">
        <v>2001</v>
      </c>
      <c r="AM54" s="130"/>
      <c r="AN54" s="126"/>
      <c r="AO54" s="132"/>
      <c r="AP54" s="126"/>
      <c r="AQ54" s="126"/>
      <c r="AR54" s="130"/>
      <c r="AS54" s="126"/>
      <c r="AT54" s="127">
        <v>43482.624734490702</v>
      </c>
      <c r="AU54" s="127">
        <v>43483.4762752315</v>
      </c>
      <c r="AV54" s="127">
        <v>43488.560552314797</v>
      </c>
      <c r="AW54" s="127">
        <v>43482.624734490702</v>
      </c>
      <c r="AX54" s="127"/>
      <c r="AY54" s="127">
        <v>43481.690498263903</v>
      </c>
      <c r="AZ54" s="133"/>
      <c r="BA54" s="134">
        <f ca="1">IF(_05preva_view43[[#This Row],[Prevalidation Status]]="Under Prevalidation",NOW()-_05preva_view43[[#This Row],[Request Date]],IF(_05preva_view43[[#This Row],[Close Date]]&gt;_05preva_view43[[#This Row],[Request Date]],_05preva_view43[[#This Row],[Close Date]]-_05preva_view43[[#This Row],[Request Date]],"Not  Calculated"))</f>
        <v>7.7051064814804704</v>
      </c>
      <c r="BB54" s="135">
        <f>COUNTIFS(_05preva_view43[Site ID],_05preva_view43[[#This Row],[Site ID]],_05preva_view43[Prevalidation Status],"Under Prevalidation")</f>
        <v>1</v>
      </c>
      <c r="BC54" s="157" t="e">
        <f ca="1">HYPERLINK(CheckPath(_05preva_view43[[#This Row],[File Path]],_05preva_view43[[#This Row],[File Path]],_05preva_view43[[#This Row],[Folder Path3]]),CheckPath(_05preva_view43[[#This Row],[File Path]],"Open File","No File"))</f>
        <v>#VALUE!</v>
      </c>
      <c r="BD54" s="136" t="str">
        <f>CONCATENATE(_05preva_view43[[#This Row],[Site ID]]," (",_05preva_view43[[#This Row],[tenant id]],") Application",IF(_05preva_view43[[#This Row],[Colo Rev]]&gt;0," Rev "&amp;_05preva_view43[[#This Row],[Colo Rev]],""),".xlsx")</f>
        <v>ACBA_0032 (BAW5234) Application Rev .xlsx</v>
      </c>
      <c r="BE54" s="64" t="e">
        <f t="shared" ca="1" si="2"/>
        <v>#VALUE!</v>
      </c>
      <c r="BF54" s="104" t="e">
        <f ca="1">LEFT(CELL("filename",A39),_05preva_view43[[#This Row],[Find Process &amp; Database]]-1)</f>
        <v>#VALUE!</v>
      </c>
      <c r="BG54" s="104" t="e">
        <f ca="1">_05preva_view43[Folder Path1]&amp;"Process &amp; Database\Documentation\Colo Applications"</f>
        <v>#VALUE!</v>
      </c>
      <c r="BH54" s="104" t="e">
        <f ca="1">_05preva_view43[Folder Path2]&amp;"\Colo App "&amp;_05preva_view43[[#This Row],[Operator]]&amp;"\"</f>
        <v>#VALUE!</v>
      </c>
      <c r="BI54" s="63" t="e">
        <f ca="1">_05preva_view43[[#This Row],[Folder Path3]]&amp;_05preva_view43[[#This Row],[File Name]]</f>
        <v>#VALUE!</v>
      </c>
      <c r="BJ54" s="104"/>
      <c r="BK54" s="3"/>
      <c r="BL54" s="3"/>
      <c r="CJ54" s="5"/>
      <c r="CK54" s="5"/>
      <c r="CL54" s="3"/>
      <c r="CN54" s="5"/>
      <c r="CR54" s="3"/>
      <c r="CS54" s="3"/>
      <c r="CT54" s="5"/>
      <c r="CV54" s="3"/>
      <c r="DR54" s="5"/>
      <c r="DT54" s="3"/>
      <c r="EF54" s="7"/>
      <c r="EG54" s="7"/>
      <c r="EJ54" s="4"/>
      <c r="EK54" s="4"/>
      <c r="EU54" s="2"/>
      <c r="EV54" s="2"/>
    </row>
    <row r="55" spans="1:152">
      <c r="A55" s="125">
        <v>3613</v>
      </c>
      <c r="B55" s="126" t="s">
        <v>962</v>
      </c>
      <c r="C55" s="126" t="s">
        <v>331</v>
      </c>
      <c r="D55" s="126" t="s">
        <v>117</v>
      </c>
      <c r="E55" s="126" t="s">
        <v>963</v>
      </c>
      <c r="F55" s="126" t="s">
        <v>35</v>
      </c>
      <c r="G55" s="126" t="s">
        <v>1583</v>
      </c>
      <c r="H55" s="126" t="s">
        <v>1575</v>
      </c>
      <c r="I55" s="126" t="s">
        <v>1053</v>
      </c>
      <c r="J55" s="126" t="s">
        <v>957</v>
      </c>
      <c r="K55" s="127">
        <v>43481</v>
      </c>
      <c r="L55" s="128">
        <v>2.72</v>
      </c>
      <c r="M55" s="128">
        <v>3.4</v>
      </c>
      <c r="N55" s="126"/>
      <c r="O55" s="126" t="s">
        <v>950</v>
      </c>
      <c r="P55" s="129" t="s">
        <v>958</v>
      </c>
      <c r="Q55" s="129" t="s">
        <v>959</v>
      </c>
      <c r="R55" s="126" t="s">
        <v>24</v>
      </c>
      <c r="S55" s="126"/>
      <c r="T55" s="130" t="s">
        <v>861</v>
      </c>
      <c r="U55" s="126"/>
      <c r="V55" s="130" t="s">
        <v>861</v>
      </c>
      <c r="W55" s="126"/>
      <c r="X55" s="130" t="s">
        <v>861</v>
      </c>
      <c r="Y55" s="126"/>
      <c r="Z55" s="165" t="s">
        <v>861</v>
      </c>
      <c r="AA55" s="158"/>
      <c r="AB55" s="158"/>
      <c r="AC55" s="170"/>
      <c r="AD55" s="126"/>
      <c r="AE55" s="130" t="s">
        <v>120</v>
      </c>
      <c r="AF55" s="127"/>
      <c r="AG55" s="131"/>
      <c r="AH55" s="131"/>
      <c r="AI55" s="126"/>
      <c r="AJ55" s="130" t="s">
        <v>861</v>
      </c>
      <c r="AK55" s="126"/>
      <c r="AL55" s="126"/>
      <c r="AM55" s="130"/>
      <c r="AN55" s="126"/>
      <c r="AO55" s="132"/>
      <c r="AP55" s="126"/>
      <c r="AQ55" s="126"/>
      <c r="AR55" s="130"/>
      <c r="AS55" s="126"/>
      <c r="AT55" s="127"/>
      <c r="AU55" s="127">
        <v>43483.476281828698</v>
      </c>
      <c r="AV55" s="127"/>
      <c r="AW55" s="127"/>
      <c r="AX55" s="127"/>
      <c r="AY55" s="127"/>
      <c r="AZ55" s="133">
        <v>43486.428173611101</v>
      </c>
      <c r="BA55" s="134">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B55" s="135">
        <f>COUNTIFS(_05preva_view43[Site ID],_05preva_view43[[#This Row],[Site ID]],_05preva_view43[Prevalidation Status],"Under Prevalidation")</f>
        <v>0</v>
      </c>
      <c r="BC55" s="157" t="e">
        <f ca="1">HYPERLINK(CheckPath(_05preva_view43[[#This Row],[File Path]],_05preva_view43[[#This Row],[File Path]],_05preva_view43[[#This Row],[Folder Path3]]),CheckPath(_05preva_view43[[#This Row],[File Path]],"Open File","No File"))</f>
        <v>#VALUE!</v>
      </c>
      <c r="BD55" s="136" t="str">
        <f>CONCATENATE(_05preva_view43[[#This Row],[Site ID]]," (",_05preva_view43[[#This Row],[tenant id]],") Application",IF(_05preva_view43[[#This Row],[Colo Rev]]&gt;0," Rev "&amp;_05preva_view43[[#This Row],[Colo Rev]],""),".xlsx")</f>
        <v>1-01-14003-002 (SHS00117) Application Rev 4.xlsx</v>
      </c>
      <c r="BE55" s="64" t="e">
        <f t="shared" ca="1" si="2"/>
        <v>#VALUE!</v>
      </c>
      <c r="BF55" s="104" t="e">
        <f ca="1">LEFT(CELL("filename",A40),_05preva_view43[[#This Row],[Find Process &amp; Database]]-1)</f>
        <v>#VALUE!</v>
      </c>
      <c r="BG55" s="104" t="e">
        <f ca="1">_05preva_view43[Folder Path1]&amp;"Process &amp; Database\Documentation\Colo Applications"</f>
        <v>#VALUE!</v>
      </c>
      <c r="BH55" s="104" t="e">
        <f ca="1">_05preva_view43[Folder Path2]&amp;"\Colo App "&amp;_05preva_view43[[#This Row],[Operator]]&amp;"\"</f>
        <v>#VALUE!</v>
      </c>
      <c r="BI55" s="63" t="e">
        <f ca="1">_05preva_view43[[#This Row],[Folder Path3]]&amp;_05preva_view43[[#This Row],[File Name]]</f>
        <v>#VALUE!</v>
      </c>
      <c r="BJ55" s="104"/>
      <c r="BK55" s="3"/>
      <c r="BL55" s="3"/>
      <c r="CJ55" s="5"/>
      <c r="CK55" s="5"/>
      <c r="CL55" s="3"/>
      <c r="CN55" s="5"/>
      <c r="CR55" s="3"/>
      <c r="CS55" s="3"/>
      <c r="CT55" s="5"/>
      <c r="CV55" s="3"/>
      <c r="DR55" s="5"/>
      <c r="DT55" s="3"/>
      <c r="EF55" s="7"/>
      <c r="EG55" s="7"/>
      <c r="EJ55" s="4"/>
      <c r="EK55" s="4"/>
      <c r="EU55" s="2"/>
      <c r="EV55" s="2"/>
    </row>
    <row r="56" spans="1:152">
      <c r="A56" s="125">
        <v>3599</v>
      </c>
      <c r="B56" s="126" t="s">
        <v>2002</v>
      </c>
      <c r="C56" s="126" t="s">
        <v>116</v>
      </c>
      <c r="D56" s="126" t="s">
        <v>127</v>
      </c>
      <c r="E56" s="126" t="s">
        <v>2003</v>
      </c>
      <c r="F56" s="126" t="s">
        <v>35</v>
      </c>
      <c r="G56" s="126" t="s">
        <v>1577</v>
      </c>
      <c r="H56" s="126" t="s">
        <v>1575</v>
      </c>
      <c r="I56" s="126" t="s">
        <v>1263</v>
      </c>
      <c r="J56" s="126" t="s">
        <v>949</v>
      </c>
      <c r="K56" s="127">
        <v>43480</v>
      </c>
      <c r="L56" s="128">
        <v>1.079</v>
      </c>
      <c r="M56" s="128">
        <v>1.4950000000000001</v>
      </c>
      <c r="N56" s="126">
        <v>7.56</v>
      </c>
      <c r="O56" s="126" t="s">
        <v>119</v>
      </c>
      <c r="P56" s="129" t="s">
        <v>263</v>
      </c>
      <c r="Q56" s="129" t="s">
        <v>264</v>
      </c>
      <c r="R56" s="126" t="s">
        <v>24</v>
      </c>
      <c r="S56" s="126"/>
      <c r="T56" s="130" t="s">
        <v>861</v>
      </c>
      <c r="U56" s="126" t="s">
        <v>2004</v>
      </c>
      <c r="V56" s="130" t="s">
        <v>120</v>
      </c>
      <c r="W56" s="126"/>
      <c r="X56" s="130" t="s">
        <v>120</v>
      </c>
      <c r="Y56" s="126" t="s">
        <v>2005</v>
      </c>
      <c r="Z56" s="165" t="s">
        <v>120</v>
      </c>
      <c r="AA56" s="158"/>
      <c r="AB56" s="158"/>
      <c r="AC56" s="170" t="s">
        <v>123</v>
      </c>
      <c r="AD56" s="126" t="s">
        <v>2006</v>
      </c>
      <c r="AE56" s="130" t="s">
        <v>120</v>
      </c>
      <c r="AF56" s="127"/>
      <c r="AG56" s="131"/>
      <c r="AH56" s="131"/>
      <c r="AI56" s="126"/>
      <c r="AJ56" s="130" t="s">
        <v>120</v>
      </c>
      <c r="AK56" s="126" t="s">
        <v>123</v>
      </c>
      <c r="AL56" s="126" t="s">
        <v>1198</v>
      </c>
      <c r="AM56" s="130"/>
      <c r="AN56" s="126"/>
      <c r="AO56" s="132"/>
      <c r="AP56" s="126"/>
      <c r="AQ56" s="126"/>
      <c r="AR56" s="130"/>
      <c r="AS56" s="126"/>
      <c r="AT56" s="127">
        <v>43482.624717245402</v>
      </c>
      <c r="AU56" s="127">
        <v>43481.365416203698</v>
      </c>
      <c r="AV56" s="127">
        <v>43483.561056365703</v>
      </c>
      <c r="AW56" s="127">
        <v>43482.624717245402</v>
      </c>
      <c r="AX56" s="127">
        <v>43480.7145789352</v>
      </c>
      <c r="AY56" s="127">
        <v>43480.621084143502</v>
      </c>
      <c r="AZ56" s="133">
        <v>43486.402932175901</v>
      </c>
      <c r="BA56" s="134">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B56" s="135">
        <f>COUNTIFS(_05preva_view43[Site ID],_05preva_view43[[#This Row],[Site ID]],_05preva_view43[Prevalidation Status],"Under Prevalidation")</f>
        <v>0</v>
      </c>
      <c r="BC56" s="157" t="e">
        <f ca="1">HYPERLINK(CheckPath(_05preva_view43[[#This Row],[File Path]],_05preva_view43[[#This Row],[File Path]],_05preva_view43[[#This Row],[Folder Path3]]),CheckPath(_05preva_view43[[#This Row],[File Path]],"Open File","No File"))</f>
        <v>#VALUE!</v>
      </c>
      <c r="BD56" s="136" t="str">
        <f>CONCATENATE(_05preva_view43[[#This Row],[Site ID]]," (",_05preva_view43[[#This Row],[tenant id]],") Application",IF(_05preva_view43[[#This Row],[Colo Rev]]&gt;0," Rev "&amp;_05preva_view43[[#This Row],[Colo Rev]],""),".xlsx")</f>
        <v>ANMD_0220 (MDY00991) Application Rev 2.xlsx</v>
      </c>
      <c r="BE56" s="64" t="e">
        <f t="shared" ca="1" si="2"/>
        <v>#VALUE!</v>
      </c>
      <c r="BF56" s="104" t="e">
        <f ca="1">LEFT(CELL("filename",A41),_05preva_view43[[#This Row],[Find Process &amp; Database]]-1)</f>
        <v>#VALUE!</v>
      </c>
      <c r="BG56" s="104" t="e">
        <f ca="1">_05preva_view43[Folder Path1]&amp;"Process &amp; Database\Documentation\Colo Applications"</f>
        <v>#VALUE!</v>
      </c>
      <c r="BH56" s="104" t="e">
        <f ca="1">_05preva_view43[Folder Path2]&amp;"\Colo App "&amp;_05preva_view43[[#This Row],[Operator]]&amp;"\"</f>
        <v>#VALUE!</v>
      </c>
      <c r="BI56" s="63" t="e">
        <f ca="1">_05preva_view43[[#This Row],[Folder Path3]]&amp;_05preva_view43[[#This Row],[File Name]]</f>
        <v>#VALUE!</v>
      </c>
      <c r="BJ56" s="104"/>
      <c r="BK56" s="3"/>
      <c r="BL56" s="3"/>
      <c r="CJ56" s="5"/>
      <c r="CK56" s="5"/>
      <c r="CL56" s="3"/>
      <c r="CN56" s="5"/>
      <c r="CR56" s="3"/>
      <c r="CS56" s="3"/>
      <c r="CT56" s="5"/>
      <c r="CV56" s="3"/>
      <c r="DR56" s="5"/>
      <c r="DT56" s="3"/>
      <c r="EF56" s="7"/>
      <c r="EG56" s="7"/>
      <c r="EJ56" s="4"/>
      <c r="EK56" s="4"/>
      <c r="EU56" s="2"/>
      <c r="EV56" s="2"/>
    </row>
    <row r="57" spans="1:152">
      <c r="A57" s="125">
        <v>3600</v>
      </c>
      <c r="B57" s="126" t="s">
        <v>2007</v>
      </c>
      <c r="C57" s="126" t="s">
        <v>331</v>
      </c>
      <c r="D57" s="126" t="s">
        <v>127</v>
      </c>
      <c r="E57" s="126" t="s">
        <v>2008</v>
      </c>
      <c r="F57" s="126" t="s">
        <v>35</v>
      </c>
      <c r="G57" s="126" t="s">
        <v>1583</v>
      </c>
      <c r="H57" s="126" t="s">
        <v>1575</v>
      </c>
      <c r="I57" s="126" t="s">
        <v>1263</v>
      </c>
      <c r="J57" s="126" t="s">
        <v>931</v>
      </c>
      <c r="K57" s="127">
        <v>43480</v>
      </c>
      <c r="L57" s="128">
        <v>1.1080000000000001</v>
      </c>
      <c r="M57" s="128">
        <v>1.52</v>
      </c>
      <c r="N57" s="126">
        <v>4.62</v>
      </c>
      <c r="O57" s="126" t="s">
        <v>950</v>
      </c>
      <c r="P57" s="129" t="s">
        <v>958</v>
      </c>
      <c r="Q57" s="129" t="s">
        <v>959</v>
      </c>
      <c r="R57" s="126" t="s">
        <v>24</v>
      </c>
      <c r="S57" s="126"/>
      <c r="T57" s="130" t="s">
        <v>861</v>
      </c>
      <c r="U57" s="126"/>
      <c r="V57" s="130" t="s">
        <v>120</v>
      </c>
      <c r="W57" s="126"/>
      <c r="X57" s="130" t="s">
        <v>120</v>
      </c>
      <c r="Y57" s="126" t="s">
        <v>2009</v>
      </c>
      <c r="Z57" s="165" t="s">
        <v>120</v>
      </c>
      <c r="AA57" s="158"/>
      <c r="AB57" s="158"/>
      <c r="AC57" s="170" t="s">
        <v>123</v>
      </c>
      <c r="AD57" s="126" t="s">
        <v>2010</v>
      </c>
      <c r="AE57" s="130" t="s">
        <v>120</v>
      </c>
      <c r="AF57" s="127"/>
      <c r="AG57" s="131"/>
      <c r="AH57" s="131"/>
      <c r="AI57" s="126" t="s">
        <v>2011</v>
      </c>
      <c r="AJ57" s="130" t="s">
        <v>120</v>
      </c>
      <c r="AK57" s="126" t="s">
        <v>123</v>
      </c>
      <c r="AL57" s="126" t="s">
        <v>1198</v>
      </c>
      <c r="AM57" s="130"/>
      <c r="AN57" s="126"/>
      <c r="AO57" s="132"/>
      <c r="AP57" s="126"/>
      <c r="AQ57" s="126"/>
      <c r="AR57" s="130"/>
      <c r="AS57" s="126"/>
      <c r="AT57" s="127">
        <v>43482.624718981497</v>
      </c>
      <c r="AU57" s="127">
        <v>43481.365416782399</v>
      </c>
      <c r="AV57" s="127">
        <v>43483.6958936343</v>
      </c>
      <c r="AW57" s="127">
        <v>43482.624718981497</v>
      </c>
      <c r="AX57" s="127"/>
      <c r="AY57" s="127">
        <v>43480.6210460648</v>
      </c>
      <c r="AZ57" s="133">
        <v>43486.402934375001</v>
      </c>
      <c r="BA57" s="134">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B57" s="135">
        <f>COUNTIFS(_05preva_view43[Site ID],_05preva_view43[[#This Row],[Site ID]],_05preva_view43[Prevalidation Status],"Under Prevalidation")</f>
        <v>0</v>
      </c>
      <c r="BC57" s="157" t="e">
        <f ca="1">HYPERLINK(CheckPath(_05preva_view43[[#This Row],[File Path]],_05preva_view43[[#This Row],[File Path]],_05preva_view43[[#This Row],[Folder Path3]]),CheckPath(_05preva_view43[[#This Row],[File Path]],"Open File","No File"))</f>
        <v>#VALUE!</v>
      </c>
      <c r="BD57" s="136" t="str">
        <f>CONCATENATE(_05preva_view43[[#This Row],[Site ID]]," (",_05preva_view43[[#This Row],[tenant id]],") Application",IF(_05preva_view43[[#This Row],[Colo Rev]]&gt;0," Rev "&amp;_05preva_view43[[#This Row],[Colo Rev]],""),".xlsx")</f>
        <v>1-01-05005-001 (SGG00218) Application Rev 1.xlsx</v>
      </c>
      <c r="BE57" s="64" t="e">
        <f t="shared" ca="1" si="2"/>
        <v>#VALUE!</v>
      </c>
      <c r="BF57" s="104" t="e">
        <f ca="1">LEFT(CELL("filename",A42),_05preva_view43[[#This Row],[Find Process &amp; Database]]-1)</f>
        <v>#VALUE!</v>
      </c>
      <c r="BG57" s="104" t="e">
        <f ca="1">_05preva_view43[Folder Path1]&amp;"Process &amp; Database\Documentation\Colo Applications"</f>
        <v>#VALUE!</v>
      </c>
      <c r="BH57" s="104" t="e">
        <f ca="1">_05preva_view43[Folder Path2]&amp;"\Colo App "&amp;_05preva_view43[[#This Row],[Operator]]&amp;"\"</f>
        <v>#VALUE!</v>
      </c>
      <c r="BI57" s="63" t="e">
        <f ca="1">_05preva_view43[[#This Row],[Folder Path3]]&amp;_05preva_view43[[#This Row],[File Name]]</f>
        <v>#VALUE!</v>
      </c>
      <c r="BJ57" s="104"/>
      <c r="BK57" s="3"/>
      <c r="BL57" s="3"/>
      <c r="CJ57" s="5"/>
      <c r="CK57" s="5"/>
      <c r="CL57" s="3"/>
      <c r="CN57" s="5"/>
      <c r="CR57" s="3"/>
      <c r="CS57" s="3"/>
      <c r="CT57" s="5"/>
      <c r="CV57" s="3"/>
      <c r="DR57" s="5"/>
      <c r="DT57" s="3"/>
      <c r="EF57" s="7"/>
      <c r="EG57" s="7"/>
      <c r="EJ57" s="4"/>
      <c r="EK57" s="4"/>
      <c r="EU57" s="2"/>
      <c r="EV57" s="2"/>
    </row>
    <row r="58" spans="1:152">
      <c r="A58" s="125">
        <v>3601</v>
      </c>
      <c r="B58" s="126" t="s">
        <v>2012</v>
      </c>
      <c r="C58" s="126" t="s">
        <v>116</v>
      </c>
      <c r="D58" s="126" t="s">
        <v>127</v>
      </c>
      <c r="E58" s="126" t="s">
        <v>2013</v>
      </c>
      <c r="F58" s="126" t="s">
        <v>35</v>
      </c>
      <c r="G58" s="126" t="s">
        <v>1577</v>
      </c>
      <c r="H58" s="126" t="s">
        <v>1575</v>
      </c>
      <c r="I58" s="126" t="s">
        <v>1263</v>
      </c>
      <c r="J58" s="126" t="s">
        <v>949</v>
      </c>
      <c r="K58" s="127">
        <v>43480</v>
      </c>
      <c r="L58" s="128">
        <v>1</v>
      </c>
      <c r="M58" s="128">
        <v>1.4</v>
      </c>
      <c r="N58" s="126">
        <v>5.83</v>
      </c>
      <c r="O58" s="126" t="s">
        <v>119</v>
      </c>
      <c r="P58" s="129" t="s">
        <v>256</v>
      </c>
      <c r="Q58" s="129" t="s">
        <v>257</v>
      </c>
      <c r="R58" s="126" t="s">
        <v>24</v>
      </c>
      <c r="S58" s="126"/>
      <c r="T58" s="130" t="s">
        <v>861</v>
      </c>
      <c r="U58" s="126" t="s">
        <v>2014</v>
      </c>
      <c r="V58" s="130" t="s">
        <v>120</v>
      </c>
      <c r="W58" s="126"/>
      <c r="X58" s="130" t="s">
        <v>120</v>
      </c>
      <c r="Y58" s="126" t="s">
        <v>2015</v>
      </c>
      <c r="Z58" s="165" t="s">
        <v>120</v>
      </c>
      <c r="AA58" s="158"/>
      <c r="AB58" s="158"/>
      <c r="AC58" s="170" t="s">
        <v>240</v>
      </c>
      <c r="AD58" s="126" t="s">
        <v>2016</v>
      </c>
      <c r="AE58" s="130" t="s">
        <v>120</v>
      </c>
      <c r="AF58" s="127"/>
      <c r="AG58" s="131"/>
      <c r="AH58" s="131"/>
      <c r="AI58" s="126"/>
      <c r="AJ58" s="130" t="s">
        <v>120</v>
      </c>
      <c r="AK58" s="126" t="s">
        <v>123</v>
      </c>
      <c r="AL58" s="126" t="s">
        <v>1198</v>
      </c>
      <c r="AM58" s="130"/>
      <c r="AN58" s="126"/>
      <c r="AO58" s="132"/>
      <c r="AP58" s="126"/>
      <c r="AQ58" s="126"/>
      <c r="AR58" s="130"/>
      <c r="AS58" s="126"/>
      <c r="AT58" s="127">
        <v>43482.624720601903</v>
      </c>
      <c r="AU58" s="127">
        <v>43481.365418171299</v>
      </c>
      <c r="AV58" s="127">
        <v>43486.4284436343</v>
      </c>
      <c r="AW58" s="127">
        <v>43482.624720601903</v>
      </c>
      <c r="AX58" s="127">
        <v>43480.714581828703</v>
      </c>
      <c r="AY58" s="127">
        <v>43480.621086226798</v>
      </c>
      <c r="AZ58" s="133">
        <v>43486.723548032402</v>
      </c>
      <c r="BA58" s="134">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B58" s="135">
        <f>COUNTIFS(_05preva_view43[Site ID],_05preva_view43[[#This Row],[Site ID]],_05preva_view43[Prevalidation Status],"Under Prevalidation")</f>
        <v>0</v>
      </c>
      <c r="BC58" s="157" t="e">
        <f ca="1">HYPERLINK(CheckPath(_05preva_view43[[#This Row],[File Path]],_05preva_view43[[#This Row],[File Path]],_05preva_view43[[#This Row],[Folder Path3]]),CheckPath(_05preva_view43[[#This Row],[File Path]],"Open File","No File"))</f>
        <v>#VALUE!</v>
      </c>
      <c r="BD58" s="136" t="str">
        <f>CONCATENATE(_05preva_view43[[#This Row],[Site ID]]," (",_05preva_view43[[#This Row],[tenant id]],") Application",IF(_05preva_view43[[#This Row],[Colo Rev]]&gt;0," Rev "&amp;_05preva_view43[[#This Row],[Colo Rev]],""),".xlsx")</f>
        <v>ANSG_0498 (SGG00255) Application Rev 2.xlsx</v>
      </c>
      <c r="BE58" s="64" t="e">
        <f t="shared" ca="1" si="2"/>
        <v>#VALUE!</v>
      </c>
      <c r="BF58" s="104" t="e">
        <f ca="1">LEFT(CELL("filename",A43),_05preva_view43[[#This Row],[Find Process &amp; Database]]-1)</f>
        <v>#VALUE!</v>
      </c>
      <c r="BG58" s="104" t="e">
        <f ca="1">_05preva_view43[Folder Path1]&amp;"Process &amp; Database\Documentation\Colo Applications"</f>
        <v>#VALUE!</v>
      </c>
      <c r="BH58" s="104" t="e">
        <f ca="1">_05preva_view43[Folder Path2]&amp;"\Colo App "&amp;_05preva_view43[[#This Row],[Operator]]&amp;"\"</f>
        <v>#VALUE!</v>
      </c>
      <c r="BI58" s="63" t="e">
        <f ca="1">_05preva_view43[[#This Row],[Folder Path3]]&amp;_05preva_view43[[#This Row],[File Name]]</f>
        <v>#VALUE!</v>
      </c>
      <c r="BJ58" s="104"/>
      <c r="BK58" s="3"/>
      <c r="BL58" s="3"/>
      <c r="CJ58" s="5"/>
      <c r="CK58" s="5"/>
      <c r="CL58" s="3"/>
      <c r="CN58" s="5"/>
      <c r="CR58" s="3"/>
      <c r="CS58" s="3"/>
      <c r="CT58" s="5"/>
      <c r="CV58" s="3"/>
      <c r="DR58" s="5"/>
      <c r="DT58" s="3"/>
      <c r="EF58" s="7"/>
      <c r="EG58" s="7"/>
      <c r="EJ58" s="4"/>
      <c r="EK58" s="4"/>
      <c r="EU58" s="2"/>
      <c r="EV58" s="2"/>
    </row>
    <row r="59" spans="1:152">
      <c r="A59" s="125">
        <v>3602</v>
      </c>
      <c r="B59" s="126" t="s">
        <v>2017</v>
      </c>
      <c r="C59" s="126" t="s">
        <v>331</v>
      </c>
      <c r="D59" s="126" t="s">
        <v>127</v>
      </c>
      <c r="E59" s="126" t="s">
        <v>2018</v>
      </c>
      <c r="F59" s="126" t="s">
        <v>35</v>
      </c>
      <c r="G59" s="126" t="s">
        <v>1583</v>
      </c>
      <c r="H59" s="126" t="s">
        <v>1575</v>
      </c>
      <c r="I59" s="126" t="s">
        <v>1151</v>
      </c>
      <c r="J59" s="126" t="s">
        <v>949</v>
      </c>
      <c r="K59" s="127">
        <v>43480</v>
      </c>
      <c r="L59" s="128">
        <v>1</v>
      </c>
      <c r="M59" s="128">
        <v>1.4</v>
      </c>
      <c r="N59" s="126">
        <v>2.5</v>
      </c>
      <c r="O59" s="126" t="s">
        <v>950</v>
      </c>
      <c r="P59" s="129" t="s">
        <v>704</v>
      </c>
      <c r="Q59" s="129" t="s">
        <v>705</v>
      </c>
      <c r="R59" s="126" t="s">
        <v>24</v>
      </c>
      <c r="S59" s="126"/>
      <c r="T59" s="130" t="s">
        <v>861</v>
      </c>
      <c r="U59" s="126"/>
      <c r="V59" s="130" t="s">
        <v>120</v>
      </c>
      <c r="W59" s="126" t="s">
        <v>2019</v>
      </c>
      <c r="X59" s="130" t="s">
        <v>120</v>
      </c>
      <c r="Y59" s="126" t="s">
        <v>2020</v>
      </c>
      <c r="Z59" s="165" t="s">
        <v>120</v>
      </c>
      <c r="AA59" s="158"/>
      <c r="AB59" s="158"/>
      <c r="AC59" s="170" t="s">
        <v>123</v>
      </c>
      <c r="AD59" s="126" t="s">
        <v>2021</v>
      </c>
      <c r="AE59" s="130" t="s">
        <v>120</v>
      </c>
      <c r="AF59" s="127"/>
      <c r="AG59" s="131"/>
      <c r="AH59" s="131"/>
      <c r="AI59" s="126"/>
      <c r="AJ59" s="130" t="s">
        <v>120</v>
      </c>
      <c r="AK59" s="126" t="s">
        <v>123</v>
      </c>
      <c r="AL59" s="126" t="s">
        <v>1198</v>
      </c>
      <c r="AM59" s="130"/>
      <c r="AN59" s="126"/>
      <c r="AO59" s="132"/>
      <c r="AP59" s="126"/>
      <c r="AQ59" s="126"/>
      <c r="AR59" s="130"/>
      <c r="AS59" s="126"/>
      <c r="AT59" s="127">
        <v>43482.624721875</v>
      </c>
      <c r="AU59" s="127">
        <v>43481.365418865702</v>
      </c>
      <c r="AV59" s="127">
        <v>43483.695895486097</v>
      </c>
      <c r="AW59" s="127">
        <v>43482.624721875</v>
      </c>
      <c r="AX59" s="127"/>
      <c r="AY59" s="127">
        <v>43480.628352083302</v>
      </c>
      <c r="AZ59" s="133">
        <v>43486.402937731502</v>
      </c>
      <c r="BA59" s="134">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B59" s="135">
        <f>COUNTIFS(_05preva_view43[Site ID],_05preva_view43[[#This Row],[Site ID]],_05preva_view43[Prevalidation Status],"Under Prevalidation")</f>
        <v>0</v>
      </c>
      <c r="BC59" s="157" t="e">
        <f ca="1">HYPERLINK(CheckPath(_05preva_view43[[#This Row],[File Path]],_05preva_view43[[#This Row],[File Path]],_05preva_view43[[#This Row],[Folder Path3]]),CheckPath(_05preva_view43[[#This Row],[File Path]],"Open File","No File"))</f>
        <v>#VALUE!</v>
      </c>
      <c r="BD59" s="136" t="str">
        <f>CONCATENATE(_05preva_view43[[#This Row],[Site ID]]," (",_05preva_view43[[#This Row],[tenant id]],") Application",IF(_05preva_view43[[#This Row],[Colo Rev]]&gt;0," Rev "&amp;_05preva_view43[[#This Row],[Colo Rev]],""),".xlsx")</f>
        <v>1-01-05027-001 (SGG00562) Application Rev 2.xlsx</v>
      </c>
      <c r="BE59" s="64" t="e">
        <f t="shared" ca="1" si="2"/>
        <v>#VALUE!</v>
      </c>
      <c r="BF59" s="104" t="e">
        <f ca="1">LEFT(CELL("filename",A44),_05preva_view43[[#This Row],[Find Process &amp; Database]]-1)</f>
        <v>#VALUE!</v>
      </c>
      <c r="BG59" s="104" t="e">
        <f ca="1">_05preva_view43[Folder Path1]&amp;"Process &amp; Database\Documentation\Colo Applications"</f>
        <v>#VALUE!</v>
      </c>
      <c r="BH59" s="104" t="e">
        <f ca="1">_05preva_view43[Folder Path2]&amp;"\Colo App "&amp;_05preva_view43[[#This Row],[Operator]]&amp;"\"</f>
        <v>#VALUE!</v>
      </c>
      <c r="BI59" s="63" t="e">
        <f ca="1">_05preva_view43[[#This Row],[Folder Path3]]&amp;_05preva_view43[[#This Row],[File Name]]</f>
        <v>#VALUE!</v>
      </c>
      <c r="BJ59" s="104"/>
      <c r="BK59" s="3"/>
      <c r="BL59" s="3"/>
      <c r="CJ59" s="5"/>
      <c r="CK59" s="5"/>
      <c r="CL59" s="3"/>
      <c r="CN59" s="5"/>
      <c r="CR59" s="3"/>
      <c r="CS59" s="3"/>
      <c r="CT59" s="5"/>
      <c r="CV59" s="3"/>
      <c r="DR59" s="5"/>
      <c r="DT59" s="3"/>
      <c r="EF59" s="7"/>
      <c r="EG59" s="7"/>
      <c r="EJ59" s="4"/>
      <c r="EK59" s="4"/>
      <c r="EU59" s="2"/>
      <c r="EV59" s="2"/>
    </row>
    <row r="60" spans="1:152">
      <c r="A60" s="125">
        <v>3603</v>
      </c>
      <c r="B60" s="126" t="s">
        <v>297</v>
      </c>
      <c r="C60" s="126" t="s">
        <v>116</v>
      </c>
      <c r="D60" s="126" t="s">
        <v>127</v>
      </c>
      <c r="E60" s="126" t="s">
        <v>2022</v>
      </c>
      <c r="F60" s="126" t="s">
        <v>35</v>
      </c>
      <c r="G60" s="126" t="s">
        <v>1577</v>
      </c>
      <c r="H60" s="126" t="s">
        <v>1575</v>
      </c>
      <c r="I60" s="126" t="s">
        <v>1351</v>
      </c>
      <c r="J60" s="126" t="s">
        <v>949</v>
      </c>
      <c r="K60" s="127">
        <v>43480</v>
      </c>
      <c r="L60" s="128">
        <v>2.5950000000000002</v>
      </c>
      <c r="M60" s="128">
        <v>3.7069999999999999</v>
      </c>
      <c r="N60" s="126">
        <v>6.0579999999999998</v>
      </c>
      <c r="O60" s="126" t="s">
        <v>119</v>
      </c>
      <c r="P60" s="129" t="s">
        <v>284</v>
      </c>
      <c r="Q60" s="129" t="s">
        <v>285</v>
      </c>
      <c r="R60" s="126" t="s">
        <v>24</v>
      </c>
      <c r="S60" s="126"/>
      <c r="T60" s="130" t="s">
        <v>861</v>
      </c>
      <c r="U60" s="126" t="s">
        <v>2023</v>
      </c>
      <c r="V60" s="130" t="s">
        <v>120</v>
      </c>
      <c r="W60" s="126"/>
      <c r="X60" s="130" t="s">
        <v>120</v>
      </c>
      <c r="Y60" s="126" t="s">
        <v>2024</v>
      </c>
      <c r="Z60" s="165" t="s">
        <v>120</v>
      </c>
      <c r="AA60" s="158"/>
      <c r="AB60" s="158"/>
      <c r="AC60" s="170" t="s">
        <v>123</v>
      </c>
      <c r="AD60" s="126" t="s">
        <v>2025</v>
      </c>
      <c r="AE60" s="130" t="s">
        <v>120</v>
      </c>
      <c r="AF60" s="127"/>
      <c r="AG60" s="131"/>
      <c r="AH60" s="131"/>
      <c r="AI60" s="126"/>
      <c r="AJ60" s="130" t="s">
        <v>120</v>
      </c>
      <c r="AK60" s="126" t="s">
        <v>123</v>
      </c>
      <c r="AL60" s="126" t="s">
        <v>1198</v>
      </c>
      <c r="AM60" s="130"/>
      <c r="AN60" s="126"/>
      <c r="AO60" s="132"/>
      <c r="AP60" s="126"/>
      <c r="AQ60" s="126"/>
      <c r="AR60" s="130"/>
      <c r="AS60" s="126"/>
      <c r="AT60" s="127">
        <v>43482.6247232639</v>
      </c>
      <c r="AU60" s="127">
        <v>43481.373435416703</v>
      </c>
      <c r="AV60" s="127">
        <v>43486.492915509298</v>
      </c>
      <c r="AW60" s="127">
        <v>43482.6247232639</v>
      </c>
      <c r="AX60" s="127">
        <v>43480.714584838002</v>
      </c>
      <c r="AY60" s="127">
        <v>43480.621087847197</v>
      </c>
      <c r="AZ60" s="133">
        <v>43486.723548842601</v>
      </c>
      <c r="BA60" s="134">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B60" s="135">
        <f>COUNTIFS(_05preva_view43[Site ID],_05preva_view43[[#This Row],[Site ID]],_05preva_view43[Prevalidation Status],"Under Prevalidation")</f>
        <v>0</v>
      </c>
      <c r="BC60" s="157" t="e">
        <f ca="1">HYPERLINK(CheckPath(_05preva_view43[[#This Row],[File Path]],_05preva_view43[[#This Row],[File Path]],_05preva_view43[[#This Row],[Folder Path3]]),CheckPath(_05preva_view43[[#This Row],[File Path]],"Open File","No File"))</f>
        <v>#VALUE!</v>
      </c>
      <c r="BD60" s="136" t="str">
        <f>CONCATENATE(_05preva_view43[[#This Row],[Site ID]]," (",_05preva_view43[[#This Row],[tenant id]],") Application",IF(_05preva_view43[[#This Row],[Colo Rev]]&gt;0," Rev "&amp;_05preva_view43[[#This Row],[Colo Rev]],""),".xlsx")</f>
        <v>ANSH_0034 (SHN00207) Application Rev 2.xlsx</v>
      </c>
      <c r="BE60" s="64" t="e">
        <f t="shared" ca="1" si="2"/>
        <v>#VALUE!</v>
      </c>
      <c r="BF60" s="104" t="e">
        <f ca="1">LEFT(CELL("filename",A45),_05preva_view43[[#This Row],[Find Process &amp; Database]]-1)</f>
        <v>#VALUE!</v>
      </c>
      <c r="BG60" s="104" t="e">
        <f ca="1">_05preva_view43[Folder Path1]&amp;"Process &amp; Database\Documentation\Colo Applications"</f>
        <v>#VALUE!</v>
      </c>
      <c r="BH60" s="104" t="e">
        <f ca="1">_05preva_view43[Folder Path2]&amp;"\Colo App "&amp;_05preva_view43[[#This Row],[Operator]]&amp;"\"</f>
        <v>#VALUE!</v>
      </c>
      <c r="BI60" s="63" t="e">
        <f ca="1">_05preva_view43[[#This Row],[Folder Path3]]&amp;_05preva_view43[[#This Row],[File Name]]</f>
        <v>#VALUE!</v>
      </c>
      <c r="BJ60" s="104"/>
      <c r="BK60" s="3"/>
      <c r="BL60" s="3"/>
      <c r="CJ60" s="5"/>
      <c r="CK60" s="5"/>
      <c r="CL60" s="3"/>
      <c r="CN60" s="5"/>
      <c r="CR60" s="3"/>
      <c r="CS60" s="3"/>
      <c r="CT60" s="5"/>
      <c r="CV60" s="3"/>
      <c r="DR60" s="5"/>
      <c r="DT60" s="3"/>
      <c r="EF60" s="7"/>
      <c r="EG60" s="7"/>
      <c r="EJ60" s="4"/>
      <c r="EK60" s="4"/>
      <c r="EU60" s="2"/>
      <c r="EV60" s="2"/>
    </row>
    <row r="61" spans="1:152">
      <c r="A61" s="125">
        <v>3604</v>
      </c>
      <c r="B61" s="126" t="s">
        <v>1169</v>
      </c>
      <c r="C61" s="126" t="s">
        <v>331</v>
      </c>
      <c r="D61" s="126" t="s">
        <v>163</v>
      </c>
      <c r="E61" s="126" t="s">
        <v>1170</v>
      </c>
      <c r="F61" s="126" t="s">
        <v>35</v>
      </c>
      <c r="G61" s="126" t="s">
        <v>1584</v>
      </c>
      <c r="H61" s="126" t="s">
        <v>1580</v>
      </c>
      <c r="I61" s="126" t="s">
        <v>2026</v>
      </c>
      <c r="J61" s="126" t="s">
        <v>931</v>
      </c>
      <c r="K61" s="127">
        <v>43480</v>
      </c>
      <c r="L61" s="128">
        <v>2.64</v>
      </c>
      <c r="M61" s="128">
        <v>3.3</v>
      </c>
      <c r="N61" s="126">
        <v>4.8499999999999996</v>
      </c>
      <c r="O61" s="126" t="s">
        <v>950</v>
      </c>
      <c r="P61" s="129" t="s">
        <v>958</v>
      </c>
      <c r="Q61" s="129" t="s">
        <v>959</v>
      </c>
      <c r="R61" s="126" t="s">
        <v>24</v>
      </c>
      <c r="S61" s="126"/>
      <c r="T61" s="130" t="s">
        <v>861</v>
      </c>
      <c r="U61" s="126"/>
      <c r="V61" s="130" t="s">
        <v>120</v>
      </c>
      <c r="W61" s="126"/>
      <c r="X61" s="130" t="s">
        <v>120</v>
      </c>
      <c r="Y61" s="126" t="s">
        <v>2027</v>
      </c>
      <c r="Z61" s="165" t="s">
        <v>120</v>
      </c>
      <c r="AA61" s="158"/>
      <c r="AB61" s="158"/>
      <c r="AC61" s="170" t="s">
        <v>123</v>
      </c>
      <c r="AD61" s="126" t="s">
        <v>2028</v>
      </c>
      <c r="AE61" s="130" t="s">
        <v>120</v>
      </c>
      <c r="AF61" s="127"/>
      <c r="AG61" s="131"/>
      <c r="AH61" s="131"/>
      <c r="AI61" s="126"/>
      <c r="AJ61" s="130" t="s">
        <v>120</v>
      </c>
      <c r="AK61" s="126" t="s">
        <v>123</v>
      </c>
      <c r="AL61" s="126" t="s">
        <v>1198</v>
      </c>
      <c r="AM61" s="130"/>
      <c r="AN61" s="126"/>
      <c r="AO61" s="132"/>
      <c r="AP61" s="126"/>
      <c r="AQ61" s="126"/>
      <c r="AR61" s="130"/>
      <c r="AS61" s="126"/>
      <c r="AT61" s="127">
        <v>43482.6247246528</v>
      </c>
      <c r="AU61" s="127">
        <v>43481.3734364583</v>
      </c>
      <c r="AV61" s="127">
        <v>43486.422618865698</v>
      </c>
      <c r="AW61" s="127">
        <v>43482.6247246528</v>
      </c>
      <c r="AX61" s="127"/>
      <c r="AY61" s="127">
        <v>43480.621048958303</v>
      </c>
      <c r="AZ61" s="133">
        <v>43486.723549652801</v>
      </c>
      <c r="BA61" s="134">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B61" s="135">
        <f>COUNTIFS(_05preva_view43[Site ID],_05preva_view43[[#This Row],[Site ID]],_05preva_view43[Prevalidation Status],"Under Prevalidation")</f>
        <v>0</v>
      </c>
      <c r="BC61" s="157" t="e">
        <f ca="1">HYPERLINK(CheckPath(_05preva_view43[[#This Row],[File Path]],_05preva_view43[[#This Row],[File Path]],_05preva_view43[[#This Row],[Folder Path3]]),CheckPath(_05preva_view43[[#This Row],[File Path]],"Open File","No File"))</f>
        <v>#VALUE!</v>
      </c>
      <c r="BD61" s="136" t="str">
        <f>CONCATENATE(_05preva_view43[[#This Row],[Site ID]]," (",_05preva_view43[[#This Row],[tenant id]],") Application",IF(_05preva_view43[[#This Row],[Colo Rev]]&gt;0," Rev "&amp;_05preva_view43[[#This Row],[Colo Rev]],""),".xlsx")</f>
        <v>1-01-17023-009 (AWD01309) Application Rev 1.xlsx</v>
      </c>
      <c r="BE61" s="64" t="e">
        <f t="shared" ca="1" si="2"/>
        <v>#VALUE!</v>
      </c>
      <c r="BF61" s="104" t="e">
        <f ca="1">LEFT(CELL("filename",A46),_05preva_view43[[#This Row],[Find Process &amp; Database]]-1)</f>
        <v>#VALUE!</v>
      </c>
      <c r="BG61" s="104" t="e">
        <f ca="1">_05preva_view43[Folder Path1]&amp;"Process &amp; Database\Documentation\Colo Applications"</f>
        <v>#VALUE!</v>
      </c>
      <c r="BH61" s="104" t="e">
        <f ca="1">_05preva_view43[Folder Path2]&amp;"\Colo App "&amp;_05preva_view43[[#This Row],[Operator]]&amp;"\"</f>
        <v>#VALUE!</v>
      </c>
      <c r="BI61" s="63" t="e">
        <f ca="1">_05preva_view43[[#This Row],[Folder Path3]]&amp;_05preva_view43[[#This Row],[File Name]]</f>
        <v>#VALUE!</v>
      </c>
      <c r="BJ61" s="104"/>
      <c r="BK61" s="3"/>
      <c r="BL61" s="3"/>
      <c r="CJ61" s="5"/>
      <c r="CK61" s="5"/>
      <c r="CL61" s="3"/>
      <c r="CN61" s="5"/>
      <c r="CR61" s="3"/>
      <c r="CS61" s="3"/>
      <c r="CT61" s="5"/>
      <c r="CV61" s="3"/>
      <c r="DR61" s="5"/>
      <c r="DT61" s="3"/>
      <c r="EF61" s="7"/>
      <c r="EG61" s="7"/>
      <c r="EJ61" s="4"/>
      <c r="EK61" s="4"/>
      <c r="EU61" s="2"/>
      <c r="EV61" s="2"/>
    </row>
    <row r="62" spans="1:152">
      <c r="A62" s="125">
        <v>3605</v>
      </c>
      <c r="B62" s="126" t="s">
        <v>1390</v>
      </c>
      <c r="C62" s="126" t="s">
        <v>331</v>
      </c>
      <c r="D62" s="126" t="s">
        <v>127</v>
      </c>
      <c r="E62" s="126" t="s">
        <v>1391</v>
      </c>
      <c r="F62" s="126" t="s">
        <v>35</v>
      </c>
      <c r="G62" s="126" t="s">
        <v>1583</v>
      </c>
      <c r="H62" s="126" t="s">
        <v>1575</v>
      </c>
      <c r="I62" s="126" t="s">
        <v>1288</v>
      </c>
      <c r="J62" s="126" t="s">
        <v>990</v>
      </c>
      <c r="K62" s="127">
        <v>43480</v>
      </c>
      <c r="L62" s="128">
        <v>1.399</v>
      </c>
      <c r="M62" s="128">
        <v>2.2610000000000001</v>
      </c>
      <c r="N62" s="126">
        <v>4.2</v>
      </c>
      <c r="O62" s="126" t="s">
        <v>950</v>
      </c>
      <c r="P62" s="129" t="s">
        <v>958</v>
      </c>
      <c r="Q62" s="129" t="s">
        <v>959</v>
      </c>
      <c r="R62" s="126" t="s">
        <v>24</v>
      </c>
      <c r="S62" s="126"/>
      <c r="T62" s="130" t="s">
        <v>861</v>
      </c>
      <c r="U62" s="126"/>
      <c r="V62" s="130" t="s">
        <v>120</v>
      </c>
      <c r="W62" s="126"/>
      <c r="X62" s="130" t="s">
        <v>120</v>
      </c>
      <c r="Y62" s="126" t="s">
        <v>2029</v>
      </c>
      <c r="Z62" s="165" t="s">
        <v>120</v>
      </c>
      <c r="AA62" s="158"/>
      <c r="AB62" s="158"/>
      <c r="AC62" s="170" t="s">
        <v>123</v>
      </c>
      <c r="AD62" s="126" t="s">
        <v>2030</v>
      </c>
      <c r="AE62" s="130" t="s">
        <v>120</v>
      </c>
      <c r="AF62" s="127"/>
      <c r="AG62" s="131"/>
      <c r="AH62" s="131"/>
      <c r="AI62" s="126"/>
      <c r="AJ62" s="130" t="s">
        <v>120</v>
      </c>
      <c r="AK62" s="126" t="s">
        <v>123</v>
      </c>
      <c r="AL62" s="126" t="s">
        <v>1198</v>
      </c>
      <c r="AM62" s="130"/>
      <c r="AN62" s="126"/>
      <c r="AO62" s="132"/>
      <c r="AP62" s="126"/>
      <c r="AQ62" s="126"/>
      <c r="AR62" s="130"/>
      <c r="AS62" s="126"/>
      <c r="AT62" s="127">
        <v>43482.624726157403</v>
      </c>
      <c r="AU62" s="127">
        <v>43481.365421759299</v>
      </c>
      <c r="AV62" s="127">
        <v>43483.695897453697</v>
      </c>
      <c r="AW62" s="127">
        <v>43482.624726157403</v>
      </c>
      <c r="AX62" s="127"/>
      <c r="AY62" s="127">
        <v>43480.621049305599</v>
      </c>
      <c r="AZ62" s="133">
        <v>43486.402940856497</v>
      </c>
      <c r="BA62" s="134">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B62" s="135">
        <f>COUNTIFS(_05preva_view43[Site ID],_05preva_view43[[#This Row],[Site ID]],_05preva_view43[Prevalidation Status],"Under Prevalidation")</f>
        <v>0</v>
      </c>
      <c r="BC62" s="157" t="e">
        <f ca="1">HYPERLINK(CheckPath(_05preva_view43[[#This Row],[File Path]],_05preva_view43[[#This Row],[File Path]],_05preva_view43[[#This Row],[Folder Path3]]),CheckPath(_05preva_view43[[#This Row],[File Path]],"Open File","No File"))</f>
        <v>#VALUE!</v>
      </c>
      <c r="BD62" s="136" t="str">
        <f>CONCATENATE(_05preva_view43[[#This Row],[Site ID]]," (",_05preva_view43[[#This Row],[tenant id]],") Application",IF(_05preva_view43[[#This Row],[Colo Rev]]&gt;0," Rev "&amp;_05preva_view43[[#This Row],[Colo Rev]],""),".xlsx")</f>
        <v>1-01-05005-002 (SGG00219) Application Rev 3.xlsx</v>
      </c>
      <c r="BE62" s="64" t="e">
        <f t="shared" ca="1" si="2"/>
        <v>#VALUE!</v>
      </c>
      <c r="BF62" s="104" t="e">
        <f ca="1">LEFT(CELL("filename",A47),_05preva_view43[[#This Row],[Find Process &amp; Database]]-1)</f>
        <v>#VALUE!</v>
      </c>
      <c r="BG62" s="104" t="e">
        <f ca="1">_05preva_view43[Folder Path1]&amp;"Process &amp; Database\Documentation\Colo Applications"</f>
        <v>#VALUE!</v>
      </c>
      <c r="BH62" s="104" t="e">
        <f ca="1">_05preva_view43[Folder Path2]&amp;"\Colo App "&amp;_05preva_view43[[#This Row],[Operator]]&amp;"\"</f>
        <v>#VALUE!</v>
      </c>
      <c r="BI62" s="63" t="e">
        <f ca="1">_05preva_view43[[#This Row],[Folder Path3]]&amp;_05preva_view43[[#This Row],[File Name]]</f>
        <v>#VALUE!</v>
      </c>
      <c r="BJ62" s="104"/>
      <c r="BK62" s="3"/>
      <c r="BL62" s="3"/>
      <c r="CJ62" s="5"/>
      <c r="CK62" s="5"/>
      <c r="CL62" s="3"/>
      <c r="CN62" s="5"/>
      <c r="CR62" s="3"/>
      <c r="CS62" s="3"/>
      <c r="CT62" s="5"/>
      <c r="CV62" s="3"/>
      <c r="DR62" s="5"/>
      <c r="DT62" s="3"/>
      <c r="EF62" s="7"/>
      <c r="EG62" s="7"/>
      <c r="EJ62" s="4"/>
      <c r="EK62" s="4"/>
      <c r="EU62" s="2"/>
      <c r="EV62" s="2"/>
    </row>
    <row r="63" spans="1:152">
      <c r="A63" s="125">
        <v>3606</v>
      </c>
      <c r="B63" s="126" t="s">
        <v>2031</v>
      </c>
      <c r="C63" s="126" t="s">
        <v>331</v>
      </c>
      <c r="D63" s="126" t="s">
        <v>127</v>
      </c>
      <c r="E63" s="126" t="s">
        <v>2032</v>
      </c>
      <c r="F63" s="126" t="s">
        <v>35</v>
      </c>
      <c r="G63" s="126" t="s">
        <v>1583</v>
      </c>
      <c r="H63" s="126" t="s">
        <v>1575</v>
      </c>
      <c r="I63" s="126" t="s">
        <v>1288</v>
      </c>
      <c r="J63" s="126" t="s">
        <v>931</v>
      </c>
      <c r="K63" s="127">
        <v>43480</v>
      </c>
      <c r="L63" s="128">
        <v>1.4530000000000001</v>
      </c>
      <c r="M63" s="128">
        <v>2.3210000000000002</v>
      </c>
      <c r="N63" s="126">
        <v>3.95</v>
      </c>
      <c r="O63" s="126" t="s">
        <v>950</v>
      </c>
      <c r="P63" s="129" t="s">
        <v>958</v>
      </c>
      <c r="Q63" s="129" t="s">
        <v>959</v>
      </c>
      <c r="R63" s="126" t="s">
        <v>24</v>
      </c>
      <c r="S63" s="126"/>
      <c r="T63" s="130" t="s">
        <v>861</v>
      </c>
      <c r="U63" s="126"/>
      <c r="V63" s="130" t="s">
        <v>120</v>
      </c>
      <c r="W63" s="126"/>
      <c r="X63" s="130" t="s">
        <v>120</v>
      </c>
      <c r="Y63" s="126" t="s">
        <v>2033</v>
      </c>
      <c r="Z63" s="165" t="s">
        <v>120</v>
      </c>
      <c r="AA63" s="158"/>
      <c r="AB63" s="158"/>
      <c r="AC63" s="170" t="s">
        <v>123</v>
      </c>
      <c r="AD63" s="126" t="s">
        <v>2034</v>
      </c>
      <c r="AE63" s="130" t="s">
        <v>120</v>
      </c>
      <c r="AF63" s="127"/>
      <c r="AG63" s="131"/>
      <c r="AH63" s="131"/>
      <c r="AI63" s="126"/>
      <c r="AJ63" s="130" t="s">
        <v>120</v>
      </c>
      <c r="AK63" s="126" t="s">
        <v>123</v>
      </c>
      <c r="AL63" s="126" t="s">
        <v>1198</v>
      </c>
      <c r="AM63" s="130"/>
      <c r="AN63" s="126"/>
      <c r="AO63" s="132"/>
      <c r="AP63" s="126"/>
      <c r="AQ63" s="126"/>
      <c r="AR63" s="130"/>
      <c r="AS63" s="126"/>
      <c r="AT63" s="127">
        <v>43482.624727777802</v>
      </c>
      <c r="AU63" s="127">
        <v>43481.365422222203</v>
      </c>
      <c r="AV63" s="127">
        <v>43483.695898263897</v>
      </c>
      <c r="AW63" s="127">
        <v>43482.624727777802</v>
      </c>
      <c r="AX63" s="127"/>
      <c r="AY63" s="127">
        <v>43480.621050578702</v>
      </c>
      <c r="AZ63" s="133">
        <v>43486.402942013898</v>
      </c>
      <c r="BA63" s="134">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B63" s="135">
        <f>COUNTIFS(_05preva_view43[Site ID],_05preva_view43[[#This Row],[Site ID]],_05preva_view43[Prevalidation Status],"Under Prevalidation")</f>
        <v>0</v>
      </c>
      <c r="BC63" s="157" t="e">
        <f ca="1">HYPERLINK(CheckPath(_05preva_view43[[#This Row],[File Path]],_05preva_view43[[#This Row],[File Path]],_05preva_view43[[#This Row],[Folder Path3]]),CheckPath(_05preva_view43[[#This Row],[File Path]],"Open File","No File"))</f>
        <v>#VALUE!</v>
      </c>
      <c r="BD63" s="136" t="str">
        <f>CONCATENATE(_05preva_view43[[#This Row],[Site ID]]," (",_05preva_view43[[#This Row],[tenant id]],") Application",IF(_05preva_view43[[#This Row],[Colo Rev]]&gt;0," Rev "&amp;_05preva_view43[[#This Row],[Colo Rev]],""),".xlsx")</f>
        <v>1-01-05007-010 (SGG00223) Application Rev 1.xlsx</v>
      </c>
      <c r="BE63" s="64" t="e">
        <f t="shared" ca="1" si="2"/>
        <v>#VALUE!</v>
      </c>
      <c r="BF63" s="104" t="e">
        <f ca="1">LEFT(CELL("filename",A48),_05preva_view43[[#This Row],[Find Process &amp; Database]]-1)</f>
        <v>#VALUE!</v>
      </c>
      <c r="BG63" s="104" t="e">
        <f ca="1">_05preva_view43[Folder Path1]&amp;"Process &amp; Database\Documentation\Colo Applications"</f>
        <v>#VALUE!</v>
      </c>
      <c r="BH63" s="104" t="e">
        <f ca="1">_05preva_view43[Folder Path2]&amp;"\Colo App "&amp;_05preva_view43[[#This Row],[Operator]]&amp;"\"</f>
        <v>#VALUE!</v>
      </c>
      <c r="BI63" s="63" t="e">
        <f ca="1">_05preva_view43[[#This Row],[Folder Path3]]&amp;_05preva_view43[[#This Row],[File Name]]</f>
        <v>#VALUE!</v>
      </c>
      <c r="BJ63" s="104"/>
      <c r="BK63" s="3"/>
      <c r="BL63" s="3"/>
      <c r="CJ63" s="5"/>
      <c r="CK63" s="5"/>
      <c r="CL63" s="3"/>
      <c r="CN63" s="5"/>
      <c r="CR63" s="3"/>
      <c r="CS63" s="3"/>
      <c r="CT63" s="5"/>
      <c r="CV63" s="3"/>
      <c r="DR63" s="5"/>
      <c r="DT63" s="3"/>
      <c r="EF63" s="7"/>
      <c r="EG63" s="7"/>
      <c r="EJ63" s="4"/>
      <c r="EK63" s="4"/>
      <c r="EU63" s="2"/>
      <c r="EV63" s="2"/>
    </row>
    <row r="64" spans="1:152">
      <c r="A64" s="125">
        <v>3607</v>
      </c>
      <c r="B64" s="126" t="s">
        <v>2035</v>
      </c>
      <c r="C64" s="126" t="s">
        <v>331</v>
      </c>
      <c r="D64" s="126" t="s">
        <v>163</v>
      </c>
      <c r="E64" s="126" t="s">
        <v>2036</v>
      </c>
      <c r="F64" s="126" t="s">
        <v>35</v>
      </c>
      <c r="G64" s="126" t="s">
        <v>1143</v>
      </c>
      <c r="H64" s="126" t="s">
        <v>1619</v>
      </c>
      <c r="I64" s="126" t="s">
        <v>1077</v>
      </c>
      <c r="J64" s="126" t="s">
        <v>940</v>
      </c>
      <c r="K64" s="127">
        <v>43480</v>
      </c>
      <c r="L64" s="128">
        <v>0.72</v>
      </c>
      <c r="M64" s="128">
        <v>0.9</v>
      </c>
      <c r="N64" s="126">
        <v>2.2509999999999999</v>
      </c>
      <c r="O64" s="126" t="s">
        <v>950</v>
      </c>
      <c r="P64" s="129" t="s">
        <v>968</v>
      </c>
      <c r="Q64" s="129" t="s">
        <v>969</v>
      </c>
      <c r="R64" s="126" t="s">
        <v>24</v>
      </c>
      <c r="S64" s="126"/>
      <c r="T64" s="130" t="s">
        <v>861</v>
      </c>
      <c r="U64" s="126"/>
      <c r="V64" s="130" t="s">
        <v>120</v>
      </c>
      <c r="W64" s="126"/>
      <c r="X64" s="130" t="s">
        <v>120</v>
      </c>
      <c r="Y64" s="126" t="s">
        <v>2037</v>
      </c>
      <c r="Z64" s="165" t="s">
        <v>144</v>
      </c>
      <c r="AA64" s="158"/>
      <c r="AB64" s="158"/>
      <c r="AC64" s="170" t="s">
        <v>123</v>
      </c>
      <c r="AD64" s="126" t="s">
        <v>2038</v>
      </c>
      <c r="AE64" s="130" t="s">
        <v>120</v>
      </c>
      <c r="AF64" s="127"/>
      <c r="AG64" s="131"/>
      <c r="AH64" s="131"/>
      <c r="AI64" s="126"/>
      <c r="AJ64" s="130" t="s">
        <v>120</v>
      </c>
      <c r="AK64" s="126" t="s">
        <v>240</v>
      </c>
      <c r="AL64" s="126" t="s">
        <v>1493</v>
      </c>
      <c r="AM64" s="130"/>
      <c r="AN64" s="126"/>
      <c r="AO64" s="132"/>
      <c r="AP64" s="126"/>
      <c r="AQ64" s="126"/>
      <c r="AR64" s="130" t="s">
        <v>1866</v>
      </c>
      <c r="AS64" s="126" t="s">
        <v>2163</v>
      </c>
      <c r="AT64" s="127">
        <v>43482.624728935203</v>
      </c>
      <c r="AU64" s="127">
        <v>43481.365423842602</v>
      </c>
      <c r="AV64" s="127"/>
      <c r="AW64" s="127">
        <v>43482.624728935203</v>
      </c>
      <c r="AX64" s="127"/>
      <c r="AY64" s="127">
        <v>43480.623007175898</v>
      </c>
      <c r="AZ64" s="133">
        <v>43488.480395601902</v>
      </c>
      <c r="BA64" s="134">
        <f ca="1">IF(_05preva_view43[[#This Row],[Prevalidation Status]]="Under Prevalidation",NOW()-_05preva_view43[[#This Row],[Request Date]],IF(_05preva_view43[[#This Row],[Close Date]]&gt;_05preva_view43[[#This Row],[Request Date]],_05preva_view43[[#This Row],[Close Date]]-_05preva_view43[[#This Row],[Request Date]],"Not  Calculated"))</f>
        <v>8.4803956019022735</v>
      </c>
      <c r="BB64" s="135">
        <f>COUNTIFS(_05preva_view43[Site ID],_05preva_view43[[#This Row],[Site ID]],_05preva_view43[Prevalidation Status],"Under Prevalidation")</f>
        <v>0</v>
      </c>
      <c r="BC64" s="157" t="e">
        <f ca="1">HYPERLINK(CheckPath(_05preva_view43[[#This Row],[File Path]],_05preva_view43[[#This Row],[File Path]],_05preva_view43[[#This Row],[Folder Path3]]),CheckPath(_05preva_view43[[#This Row],[File Path]],"Open File","No File"))</f>
        <v>#VALUE!</v>
      </c>
      <c r="BD64" s="136" t="str">
        <f>CONCATENATE(_05preva_view43[[#This Row],[Site ID]]," (",_05preva_view43[[#This Row],[tenant id]],") Application",IF(_05preva_view43[[#This Row],[Colo Rev]]&gt;0," Rev "&amp;_05preva_view43[[#This Row],[Colo Rev]],""),".xlsx")</f>
        <v>1-01-11002-003 (MON00623) Application Rev 0.xlsx</v>
      </c>
      <c r="BE64" s="64" t="e">
        <f t="shared" ca="1" si="2"/>
        <v>#VALUE!</v>
      </c>
      <c r="BF64" s="104" t="e">
        <f ca="1">LEFT(CELL("filename",A49),_05preva_view43[[#This Row],[Find Process &amp; Database]]-1)</f>
        <v>#VALUE!</v>
      </c>
      <c r="BG64" s="104" t="e">
        <f ca="1">_05preva_view43[Folder Path1]&amp;"Process &amp; Database\Documentation\Colo Applications"</f>
        <v>#VALUE!</v>
      </c>
      <c r="BH64" s="104" t="e">
        <f ca="1">_05preva_view43[Folder Path2]&amp;"\Colo App "&amp;_05preva_view43[[#This Row],[Operator]]&amp;"\"</f>
        <v>#VALUE!</v>
      </c>
      <c r="BI64" s="63" t="e">
        <f ca="1">_05preva_view43[[#This Row],[Folder Path3]]&amp;_05preva_view43[[#This Row],[File Name]]</f>
        <v>#VALUE!</v>
      </c>
      <c r="BJ64" s="104"/>
      <c r="BK64" s="3"/>
      <c r="BL64" s="3"/>
      <c r="CJ64" s="5"/>
      <c r="CK64" s="5"/>
      <c r="CL64" s="3"/>
      <c r="CN64" s="5"/>
      <c r="CR64" s="3"/>
      <c r="CS64" s="3"/>
      <c r="CT64" s="5"/>
      <c r="CV64" s="3"/>
      <c r="DR64" s="5"/>
      <c r="DT64" s="3"/>
      <c r="EF64" s="7"/>
      <c r="EG64" s="7"/>
      <c r="EJ64" s="4"/>
      <c r="EK64" s="4"/>
      <c r="EU64" s="2"/>
      <c r="EV64" s="2"/>
    </row>
    <row r="65" spans="1:152">
      <c r="A65" s="125">
        <v>3608</v>
      </c>
      <c r="B65" s="126" t="s">
        <v>2039</v>
      </c>
      <c r="C65" s="126" t="s">
        <v>331</v>
      </c>
      <c r="D65" s="126" t="s">
        <v>163</v>
      </c>
      <c r="E65" s="126" t="s">
        <v>2040</v>
      </c>
      <c r="F65" s="126" t="s">
        <v>34</v>
      </c>
      <c r="G65" s="126" t="s">
        <v>1582</v>
      </c>
      <c r="H65" s="126" t="s">
        <v>1580</v>
      </c>
      <c r="I65" s="126" t="s">
        <v>1252</v>
      </c>
      <c r="J65" s="126" t="s">
        <v>931</v>
      </c>
      <c r="K65" s="127">
        <v>43480</v>
      </c>
      <c r="L65" s="128">
        <v>2</v>
      </c>
      <c r="M65" s="128">
        <v>2</v>
      </c>
      <c r="N65" s="126">
        <v>6</v>
      </c>
      <c r="O65" s="126" t="s">
        <v>950</v>
      </c>
      <c r="P65" s="129" t="s">
        <v>968</v>
      </c>
      <c r="Q65" s="129" t="s">
        <v>969</v>
      </c>
      <c r="R65" s="126" t="s">
        <v>25</v>
      </c>
      <c r="S65" s="126"/>
      <c r="T65" s="130" t="s">
        <v>861</v>
      </c>
      <c r="U65" s="126"/>
      <c r="V65" s="130" t="s">
        <v>125</v>
      </c>
      <c r="W65" s="126" t="s">
        <v>2041</v>
      </c>
      <c r="X65" s="130" t="s">
        <v>861</v>
      </c>
      <c r="Y65" s="126"/>
      <c r="Z65" s="165" t="s">
        <v>861</v>
      </c>
      <c r="AA65" s="158"/>
      <c r="AB65" s="158"/>
      <c r="AC65" s="170"/>
      <c r="AD65" s="126"/>
      <c r="AE65" s="130" t="s">
        <v>120</v>
      </c>
      <c r="AF65" s="127" t="s">
        <v>2042</v>
      </c>
      <c r="AG65" s="131"/>
      <c r="AH65" s="131"/>
      <c r="AI65" s="126" t="s">
        <v>2043</v>
      </c>
      <c r="AJ65" s="130" t="s">
        <v>861</v>
      </c>
      <c r="AK65" s="126"/>
      <c r="AL65" s="126"/>
      <c r="AM65" s="130"/>
      <c r="AN65" s="126"/>
      <c r="AO65" s="132"/>
      <c r="AP65" s="126"/>
      <c r="AQ65" s="126"/>
      <c r="AR65" s="130"/>
      <c r="AS65" s="126"/>
      <c r="AT65" s="127"/>
      <c r="AU65" s="127">
        <v>43481.365424768497</v>
      </c>
      <c r="AV65" s="127"/>
      <c r="AW65" s="127"/>
      <c r="AX65" s="127"/>
      <c r="AY65" s="127"/>
      <c r="AZ65" s="133"/>
      <c r="BA65" s="134">
        <f ca="1">IF(_05preva_view43[[#This Row],[Prevalidation Status]]="Under Prevalidation",NOW()-_05preva_view43[[#This Row],[Request Date]],IF(_05preva_view43[[#This Row],[Close Date]]&gt;_05preva_view43[[#This Row],[Request Date]],_05preva_view43[[#This Row],[Close Date]]-_05preva_view43[[#This Row],[Request Date]],"Not  Calculated"))</f>
        <v>8.7051064814804704</v>
      </c>
      <c r="BB65" s="135">
        <f>COUNTIFS(_05preva_view43[Site ID],_05preva_view43[[#This Row],[Site ID]],_05preva_view43[Prevalidation Status],"Under Prevalidation")</f>
        <v>1</v>
      </c>
      <c r="BC65" s="157" t="e">
        <f ca="1">HYPERLINK(CheckPath(_05preva_view43[[#This Row],[File Path]],_05preva_view43[[#This Row],[File Path]],_05preva_view43[[#This Row],[Folder Path3]]),CheckPath(_05preva_view43[[#This Row],[File Path]],"Open File","No File"))</f>
        <v>#VALUE!</v>
      </c>
      <c r="BD65" s="136" t="str">
        <f>CONCATENATE(_05preva_view43[[#This Row],[Site ID]]," (",_05preva_view43[[#This Row],[tenant id]],") Application",IF(_05preva_view43[[#This Row],[Colo Rev]]&gt;0," Rev "&amp;_05preva_view43[[#This Row],[Colo Rev]],""),".xlsx")</f>
        <v>1-01-17003-011 (AYY0291) Application Rev 1.xlsx</v>
      </c>
      <c r="BE65" s="64" t="e">
        <f t="shared" ca="1" si="2"/>
        <v>#VALUE!</v>
      </c>
      <c r="BF65" s="104" t="e">
        <f ca="1">LEFT(CELL("filename",A50),_05preva_view43[[#This Row],[Find Process &amp; Database]]-1)</f>
        <v>#VALUE!</v>
      </c>
      <c r="BG65" s="104" t="e">
        <f ca="1">_05preva_view43[Folder Path1]&amp;"Process &amp; Database\Documentation\Colo Applications"</f>
        <v>#VALUE!</v>
      </c>
      <c r="BH65" s="104" t="e">
        <f ca="1">_05preva_view43[Folder Path2]&amp;"\Colo App "&amp;_05preva_view43[[#This Row],[Operator]]&amp;"\"</f>
        <v>#VALUE!</v>
      </c>
      <c r="BI65" s="63" t="e">
        <f ca="1">_05preva_view43[[#This Row],[Folder Path3]]&amp;_05preva_view43[[#This Row],[File Name]]</f>
        <v>#VALUE!</v>
      </c>
      <c r="BJ65" s="104"/>
      <c r="BK65" s="3"/>
      <c r="BL65" s="3"/>
      <c r="CJ65" s="5"/>
      <c r="CK65" s="5"/>
      <c r="CL65" s="3"/>
      <c r="CN65" s="5"/>
      <c r="CR65" s="3"/>
      <c r="CS65" s="3"/>
      <c r="CT65" s="5"/>
      <c r="CV65" s="3"/>
      <c r="DR65" s="5"/>
      <c r="DT65" s="3"/>
      <c r="EF65" s="7"/>
      <c r="EG65" s="7"/>
      <c r="EJ65" s="4"/>
      <c r="EK65" s="4"/>
      <c r="EU65" s="2"/>
      <c r="EV65" s="2"/>
    </row>
    <row r="66" spans="1:152">
      <c r="A66" s="125">
        <v>3597</v>
      </c>
      <c r="B66" s="126" t="s">
        <v>2044</v>
      </c>
      <c r="C66" s="126" t="s">
        <v>331</v>
      </c>
      <c r="D66" s="126" t="s">
        <v>163</v>
      </c>
      <c r="E66" s="126" t="s">
        <v>2045</v>
      </c>
      <c r="F66" s="126" t="s">
        <v>38</v>
      </c>
      <c r="G66" s="126" t="s">
        <v>1586</v>
      </c>
      <c r="H66" s="126" t="s">
        <v>1580</v>
      </c>
      <c r="I66" s="126" t="s">
        <v>1517</v>
      </c>
      <c r="J66" s="126" t="s">
        <v>931</v>
      </c>
      <c r="K66" s="127">
        <v>43479</v>
      </c>
      <c r="L66" s="128"/>
      <c r="M66" s="128"/>
      <c r="N66" s="126"/>
      <c r="O66" s="126" t="s">
        <v>950</v>
      </c>
      <c r="P66" s="129" t="s">
        <v>1028</v>
      </c>
      <c r="Q66" s="129" t="s">
        <v>1029</v>
      </c>
      <c r="R66" s="126" t="s">
        <v>24</v>
      </c>
      <c r="S66" s="126"/>
      <c r="T66" s="130" t="s">
        <v>861</v>
      </c>
      <c r="U66" s="126"/>
      <c r="V66" s="130" t="s">
        <v>120</v>
      </c>
      <c r="W66" s="126"/>
      <c r="X66" s="130" t="s">
        <v>861</v>
      </c>
      <c r="Y66" s="126" t="s">
        <v>2046</v>
      </c>
      <c r="Z66" s="165" t="s">
        <v>861</v>
      </c>
      <c r="AA66" s="158"/>
      <c r="AB66" s="158"/>
      <c r="AC66" s="170"/>
      <c r="AD66" s="126"/>
      <c r="AE66" s="130" t="s">
        <v>861</v>
      </c>
      <c r="AF66" s="127"/>
      <c r="AG66" s="131"/>
      <c r="AH66" s="131"/>
      <c r="AI66" s="126"/>
      <c r="AJ66" s="130" t="s">
        <v>120</v>
      </c>
      <c r="AK66" s="126" t="s">
        <v>123</v>
      </c>
      <c r="AL66" s="126" t="s">
        <v>2047</v>
      </c>
      <c r="AM66" s="130"/>
      <c r="AN66" s="126"/>
      <c r="AO66" s="132"/>
      <c r="AP66" s="126"/>
      <c r="AQ66" s="126"/>
      <c r="AR66" s="130"/>
      <c r="AS66" s="126"/>
      <c r="AT66" s="127"/>
      <c r="AU66" s="127"/>
      <c r="AV66" s="127"/>
      <c r="AW66" s="127">
        <v>43479.570675347197</v>
      </c>
      <c r="AX66" s="127"/>
      <c r="AY66" s="127">
        <v>43479.4089978009</v>
      </c>
      <c r="AZ66" s="133">
        <v>43479.572372338</v>
      </c>
      <c r="BA66" s="134">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B66" s="135">
        <f>COUNTIFS(_05preva_view43[Site ID],_05preva_view43[[#This Row],[Site ID]],_05preva_view43[Prevalidation Status],"Under Prevalidation")</f>
        <v>0</v>
      </c>
      <c r="BC66" s="157" t="e">
        <f ca="1">HYPERLINK(CheckPath(_05preva_view43[[#This Row],[File Path]],_05preva_view43[[#This Row],[File Path]],_05preva_view43[[#This Row],[Folder Path3]]),CheckPath(_05preva_view43[[#This Row],[File Path]],"Open File","No File"))</f>
        <v>#VALUE!</v>
      </c>
      <c r="BD66" s="136" t="str">
        <f>CONCATENATE(_05preva_view43[[#This Row],[Site ID]]," (",_05preva_view43[[#This Row],[tenant id]],") Application",IF(_05preva_view43[[#This Row],[Colo Rev]]&gt;0," Rev "&amp;_05preva_view43[[#This Row],[Colo Rev]],""),".xlsx")</f>
        <v>1-01-06005-005 (TN0624) Application Rev 1.xlsx</v>
      </c>
      <c r="BE66" s="64" t="e">
        <f t="shared" ca="1" si="2"/>
        <v>#VALUE!</v>
      </c>
      <c r="BF66" s="104" t="e">
        <f ca="1">LEFT(CELL("filename",A51),_05preva_view43[[#This Row],[Find Process &amp; Database]]-1)</f>
        <v>#VALUE!</v>
      </c>
      <c r="BG66" s="104" t="e">
        <f ca="1">_05preva_view43[Folder Path1]&amp;"Process &amp; Database\Documentation\Colo Applications"</f>
        <v>#VALUE!</v>
      </c>
      <c r="BH66" s="104" t="e">
        <f ca="1">_05preva_view43[Folder Path2]&amp;"\Colo App "&amp;_05preva_view43[[#This Row],[Operator]]&amp;"\"</f>
        <v>#VALUE!</v>
      </c>
      <c r="BI66" s="63" t="e">
        <f ca="1">_05preva_view43[[#This Row],[Folder Path3]]&amp;_05preva_view43[[#This Row],[File Name]]</f>
        <v>#VALUE!</v>
      </c>
      <c r="BJ66" s="104"/>
      <c r="BK66" s="3"/>
      <c r="BL66" s="3"/>
      <c r="CJ66" s="5"/>
      <c r="CK66" s="5"/>
      <c r="CL66" s="3"/>
      <c r="CN66" s="5"/>
      <c r="CR66" s="3"/>
      <c r="CS66" s="3"/>
      <c r="CT66" s="5"/>
      <c r="CV66" s="3"/>
      <c r="DR66" s="5"/>
      <c r="DT66" s="3"/>
      <c r="EF66" s="7"/>
      <c r="EG66" s="7"/>
      <c r="EJ66" s="4"/>
      <c r="EK66" s="4"/>
      <c r="EU66" s="2"/>
      <c r="EV66" s="2"/>
    </row>
    <row r="67" spans="1:152">
      <c r="A67" s="125">
        <v>3598</v>
      </c>
      <c r="B67" s="126" t="s">
        <v>2048</v>
      </c>
      <c r="C67" s="126" t="s">
        <v>331</v>
      </c>
      <c r="D67" s="126" t="s">
        <v>127</v>
      </c>
      <c r="E67" s="126" t="s">
        <v>2049</v>
      </c>
      <c r="F67" s="126" t="s">
        <v>35</v>
      </c>
      <c r="G67" s="126" t="s">
        <v>1583</v>
      </c>
      <c r="H67" s="126" t="s">
        <v>1575</v>
      </c>
      <c r="I67" s="126" t="s">
        <v>2050</v>
      </c>
      <c r="J67" s="126" t="s">
        <v>949</v>
      </c>
      <c r="K67" s="127">
        <v>43479</v>
      </c>
      <c r="L67" s="128">
        <v>2.1970000000000001</v>
      </c>
      <c r="M67" s="128">
        <v>3.7970000000000002</v>
      </c>
      <c r="N67" s="126">
        <v>5.6920000000000002</v>
      </c>
      <c r="O67" s="126" t="s">
        <v>950</v>
      </c>
      <c r="P67" s="129" t="s">
        <v>2051</v>
      </c>
      <c r="Q67" s="129" t="s">
        <v>2052</v>
      </c>
      <c r="R67" s="126" t="s">
        <v>24</v>
      </c>
      <c r="S67" s="126"/>
      <c r="T67" s="130" t="s">
        <v>861</v>
      </c>
      <c r="U67" s="126"/>
      <c r="V67" s="130" t="s">
        <v>120</v>
      </c>
      <c r="W67" s="126"/>
      <c r="X67" s="130" t="s">
        <v>120</v>
      </c>
      <c r="Y67" s="126" t="s">
        <v>2053</v>
      </c>
      <c r="Z67" s="165" t="s">
        <v>120</v>
      </c>
      <c r="AA67" s="158"/>
      <c r="AB67" s="158"/>
      <c r="AC67" s="170" t="s">
        <v>123</v>
      </c>
      <c r="AD67" s="126" t="s">
        <v>2054</v>
      </c>
      <c r="AE67" s="130" t="s">
        <v>120</v>
      </c>
      <c r="AF67" s="127"/>
      <c r="AG67" s="131"/>
      <c r="AH67" s="131"/>
      <c r="AI67" s="126"/>
      <c r="AJ67" s="130" t="s">
        <v>120</v>
      </c>
      <c r="AK67" s="126" t="s">
        <v>123</v>
      </c>
      <c r="AL67" s="126" t="s">
        <v>1198</v>
      </c>
      <c r="AM67" s="130"/>
      <c r="AN67" s="126"/>
      <c r="AO67" s="132"/>
      <c r="AP67" s="126"/>
      <c r="AQ67" s="126"/>
      <c r="AR67" s="130"/>
      <c r="AS67" s="126"/>
      <c r="AT67" s="127">
        <v>43479.694298032402</v>
      </c>
      <c r="AU67" s="127">
        <v>43481.373427777798</v>
      </c>
      <c r="AV67" s="127">
        <v>43480.663217476897</v>
      </c>
      <c r="AW67" s="127">
        <v>43479.694298032402</v>
      </c>
      <c r="AX67" s="127"/>
      <c r="AY67" s="127">
        <v>43479.624757060199</v>
      </c>
      <c r="AZ67" s="133">
        <v>43486.402930555603</v>
      </c>
      <c r="BA67" s="134">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B67" s="135">
        <f>COUNTIFS(_05preva_view43[Site ID],_05preva_view43[[#This Row],[Site ID]],_05preva_view43[Prevalidation Status],"Under Prevalidation")</f>
        <v>0</v>
      </c>
      <c r="BC67" s="157" t="e">
        <f ca="1">HYPERLINK(CheckPath(_05preva_view43[[#This Row],[File Path]],_05preva_view43[[#This Row],[File Path]],_05preva_view43[[#This Row],[Folder Path3]]),CheckPath(_05preva_view43[[#This Row],[File Path]],"Open File","No File"))</f>
        <v>#VALUE!</v>
      </c>
      <c r="BD67" s="136" t="str">
        <f>CONCATENATE(_05preva_view43[[#This Row],[Site ID]]," (",_05preva_view43[[#This Row],[tenant id]],") Application",IF(_05preva_view43[[#This Row],[Colo Rev]]&gt;0," Rev "&amp;_05preva_view43[[#This Row],[Colo Rev]],""),".xlsx")</f>
        <v>1-01-14007-015 (KCN00508) Application Rev 2.xlsx</v>
      </c>
      <c r="BE67" s="64" t="e">
        <f t="shared" ca="1" si="2"/>
        <v>#VALUE!</v>
      </c>
      <c r="BF67" s="104" t="e">
        <f ca="1">LEFT(CELL("filename",A52),_05preva_view43[[#This Row],[Find Process &amp; Database]]-1)</f>
        <v>#VALUE!</v>
      </c>
      <c r="BG67" s="104" t="e">
        <f ca="1">_05preva_view43[Folder Path1]&amp;"Process &amp; Database\Documentation\Colo Applications"</f>
        <v>#VALUE!</v>
      </c>
      <c r="BH67" s="104" t="e">
        <f ca="1">_05preva_view43[Folder Path2]&amp;"\Colo App "&amp;_05preva_view43[[#This Row],[Operator]]&amp;"\"</f>
        <v>#VALUE!</v>
      </c>
      <c r="BI67" s="63" t="e">
        <f ca="1">_05preva_view43[[#This Row],[Folder Path3]]&amp;_05preva_view43[[#This Row],[File Name]]</f>
        <v>#VALUE!</v>
      </c>
      <c r="BJ67" s="104"/>
      <c r="BK67" s="3"/>
      <c r="BL67" s="3"/>
      <c r="CJ67" s="5"/>
      <c r="CK67" s="5"/>
      <c r="CL67" s="3"/>
      <c r="CN67" s="5"/>
      <c r="CR67" s="3"/>
      <c r="CS67" s="3"/>
      <c r="CT67" s="5"/>
      <c r="CV67" s="3"/>
      <c r="DR67" s="5"/>
      <c r="DT67" s="3"/>
      <c r="EF67" s="7"/>
      <c r="EG67" s="7"/>
      <c r="EJ67" s="4"/>
      <c r="EK67" s="4"/>
      <c r="EU67" s="2"/>
      <c r="EV67" s="2"/>
    </row>
    <row r="68" spans="1:152">
      <c r="A68" s="125">
        <v>3587</v>
      </c>
      <c r="B68" s="126" t="s">
        <v>1894</v>
      </c>
      <c r="C68" s="126" t="s">
        <v>116</v>
      </c>
      <c r="D68" s="126" t="s">
        <v>163</v>
      </c>
      <c r="E68" s="126" t="s">
        <v>1895</v>
      </c>
      <c r="F68" s="126" t="s">
        <v>35</v>
      </c>
      <c r="G68" s="126" t="s">
        <v>1143</v>
      </c>
      <c r="H68" s="126" t="s">
        <v>1619</v>
      </c>
      <c r="I68" s="126" t="s">
        <v>1077</v>
      </c>
      <c r="J68" s="126" t="s">
        <v>940</v>
      </c>
      <c r="K68" s="127">
        <v>43476</v>
      </c>
      <c r="L68" s="128">
        <v>1.52</v>
      </c>
      <c r="M68" s="128">
        <v>1.9</v>
      </c>
      <c r="N68" s="126">
        <v>3.43</v>
      </c>
      <c r="O68" s="126" t="s">
        <v>119</v>
      </c>
      <c r="P68" s="129" t="s">
        <v>916</v>
      </c>
      <c r="Q68" s="129" t="s">
        <v>932</v>
      </c>
      <c r="R68" s="126" t="s">
        <v>25</v>
      </c>
      <c r="S68" s="126"/>
      <c r="T68" s="130" t="s">
        <v>861</v>
      </c>
      <c r="U68" s="126"/>
      <c r="V68" s="130" t="s">
        <v>120</v>
      </c>
      <c r="W68" s="126"/>
      <c r="X68" s="130" t="s">
        <v>120</v>
      </c>
      <c r="Y68" s="126" t="s">
        <v>2055</v>
      </c>
      <c r="Z68" s="165" t="s">
        <v>144</v>
      </c>
      <c r="AA68" s="158" t="s">
        <v>2140</v>
      </c>
      <c r="AB68" s="158" t="s">
        <v>2160</v>
      </c>
      <c r="AC68" s="170" t="s">
        <v>123</v>
      </c>
      <c r="AD68" s="126" t="s">
        <v>2056</v>
      </c>
      <c r="AE68" s="130" t="s">
        <v>120</v>
      </c>
      <c r="AF68" s="127"/>
      <c r="AG68" s="131"/>
      <c r="AH68" s="131"/>
      <c r="AI68" s="126"/>
      <c r="AJ68" s="130" t="s">
        <v>120</v>
      </c>
      <c r="AK68" s="126" t="s">
        <v>123</v>
      </c>
      <c r="AL68" s="126" t="s">
        <v>1418</v>
      </c>
      <c r="AM68" s="130"/>
      <c r="AN68" s="126"/>
      <c r="AO68" s="132"/>
      <c r="AP68" s="126"/>
      <c r="AQ68" s="126"/>
      <c r="AR68" s="130"/>
      <c r="AS68" s="126"/>
      <c r="AT68" s="127">
        <v>43479.567117129598</v>
      </c>
      <c r="AU68" s="127">
        <v>43481.365410069397</v>
      </c>
      <c r="AV68" s="127">
        <v>43488.484973148203</v>
      </c>
      <c r="AW68" s="127">
        <v>43479.567117129598</v>
      </c>
      <c r="AX68" s="127"/>
      <c r="AY68" s="127">
        <v>43479.451686805602</v>
      </c>
      <c r="AZ68" s="133"/>
      <c r="BA68" s="134">
        <f ca="1">IF(_05preva_view43[[#This Row],[Prevalidation Status]]="Under Prevalidation",NOW()-_05preva_view43[[#This Row],[Request Date]],IF(_05preva_view43[[#This Row],[Close Date]]&gt;_05preva_view43[[#This Row],[Request Date]],_05preva_view43[[#This Row],[Close Date]]-_05preva_view43[[#This Row],[Request Date]],"Not  Calculated"))</f>
        <v>12.70510648148047</v>
      </c>
      <c r="BB68" s="135">
        <f>COUNTIFS(_05preva_view43[Site ID],_05preva_view43[[#This Row],[Site ID]],_05preva_view43[Prevalidation Status],"Under Prevalidation")</f>
        <v>1</v>
      </c>
      <c r="BC68" s="157" t="e">
        <f ca="1">HYPERLINK(CheckPath(_05preva_view43[[#This Row],[File Path]],_05preva_view43[[#This Row],[File Path]],_05preva_view43[[#This Row],[Folder Path3]]),CheckPath(_05preva_view43[[#This Row],[File Path]],"Open File","No File"))</f>
        <v>#VALUE!</v>
      </c>
      <c r="BD68" s="136" t="str">
        <f>CONCATENATE(_05preva_view43[[#This Row],[Site ID]]," (",_05preva_view43[[#This Row],[tenant id]],") Application",IF(_05preva_view43[[#This Row],[Colo Rev]]&gt;0," Rev "&amp;_05preva_view43[[#This Row],[Colo Rev]],""),".xlsx")</f>
        <v>ACBA_0202 (BGE00446) Application Rev 0.xlsx</v>
      </c>
      <c r="BE68" s="64" t="e">
        <f t="shared" ca="1" si="2"/>
        <v>#VALUE!</v>
      </c>
      <c r="BF68" s="104" t="e">
        <f ca="1">LEFT(CELL("filename",A53),_05preva_view43[[#This Row],[Find Process &amp; Database]]-1)</f>
        <v>#VALUE!</v>
      </c>
      <c r="BG68" s="104" t="e">
        <f ca="1">_05preva_view43[Folder Path1]&amp;"Process &amp; Database\Documentation\Colo Applications"</f>
        <v>#VALUE!</v>
      </c>
      <c r="BH68" s="104" t="e">
        <f ca="1">_05preva_view43[Folder Path2]&amp;"\Colo App "&amp;_05preva_view43[[#This Row],[Operator]]&amp;"\"</f>
        <v>#VALUE!</v>
      </c>
      <c r="BI68" s="63" t="e">
        <f ca="1">_05preva_view43[[#This Row],[Folder Path3]]&amp;_05preva_view43[[#This Row],[File Name]]</f>
        <v>#VALUE!</v>
      </c>
      <c r="BJ68" s="104"/>
      <c r="BK68" s="3"/>
      <c r="BL68" s="3"/>
      <c r="CJ68" s="5"/>
      <c r="CK68" s="5"/>
      <c r="CL68" s="3"/>
      <c r="CN68" s="5"/>
      <c r="CR68" s="3"/>
      <c r="CS68" s="3"/>
      <c r="CT68" s="5"/>
      <c r="CV68" s="3"/>
      <c r="DR68" s="5"/>
      <c r="DT68" s="3"/>
      <c r="EF68" s="7"/>
      <c r="EG68" s="7"/>
      <c r="EJ68" s="4"/>
      <c r="EK68" s="4"/>
      <c r="EU68" s="2"/>
      <c r="EV68" s="2"/>
    </row>
    <row r="69" spans="1:152">
      <c r="A69" s="125">
        <v>3588</v>
      </c>
      <c r="B69" s="126" t="s">
        <v>1896</v>
      </c>
      <c r="C69" s="126" t="s">
        <v>331</v>
      </c>
      <c r="D69" s="126" t="s">
        <v>117</v>
      </c>
      <c r="E69" s="126" t="s">
        <v>1897</v>
      </c>
      <c r="F69" s="126" t="s">
        <v>35</v>
      </c>
      <c r="G69" s="126" t="s">
        <v>1143</v>
      </c>
      <c r="H69" s="126" t="s">
        <v>1619</v>
      </c>
      <c r="I69" s="126" t="s">
        <v>1077</v>
      </c>
      <c r="J69" s="126" t="s">
        <v>940</v>
      </c>
      <c r="K69" s="127">
        <v>43476</v>
      </c>
      <c r="L69" s="128">
        <v>0.72</v>
      </c>
      <c r="M69" s="128">
        <v>0.9</v>
      </c>
      <c r="N69" s="126"/>
      <c r="O69" s="126" t="s">
        <v>950</v>
      </c>
      <c r="P69" s="129" t="s">
        <v>1028</v>
      </c>
      <c r="Q69" s="129" t="s">
        <v>1029</v>
      </c>
      <c r="R69" s="126" t="s">
        <v>24</v>
      </c>
      <c r="S69" s="126"/>
      <c r="T69" s="130" t="s">
        <v>120</v>
      </c>
      <c r="U69" s="126"/>
      <c r="V69" s="130" t="s">
        <v>120</v>
      </c>
      <c r="W69" s="126"/>
      <c r="X69" s="130" t="s">
        <v>120</v>
      </c>
      <c r="Y69" s="126" t="s">
        <v>2057</v>
      </c>
      <c r="Z69" s="165" t="s">
        <v>120</v>
      </c>
      <c r="AA69" s="158"/>
      <c r="AB69" s="158"/>
      <c r="AC69" s="170" t="s">
        <v>123</v>
      </c>
      <c r="AD69" s="126" t="s">
        <v>2058</v>
      </c>
      <c r="AE69" s="130" t="s">
        <v>120</v>
      </c>
      <c r="AF69" s="127"/>
      <c r="AG69" s="131"/>
      <c r="AH69" s="131"/>
      <c r="AI69" s="126"/>
      <c r="AJ69" s="130" t="s">
        <v>120</v>
      </c>
      <c r="AK69" s="126" t="s">
        <v>240</v>
      </c>
      <c r="AL69" s="126" t="s">
        <v>1493</v>
      </c>
      <c r="AM69" s="130"/>
      <c r="AN69" s="126"/>
      <c r="AO69" s="132"/>
      <c r="AP69" s="126"/>
      <c r="AQ69" s="126"/>
      <c r="AR69" s="130"/>
      <c r="AS69" s="126"/>
      <c r="AT69" s="127">
        <v>43479.567123379602</v>
      </c>
      <c r="AU69" s="127">
        <v>43481.373414120397</v>
      </c>
      <c r="AV69" s="127">
        <v>43480.481593750003</v>
      </c>
      <c r="AW69" s="127">
        <v>43479.567123379602</v>
      </c>
      <c r="AX69" s="127">
        <v>43480.7322405093</v>
      </c>
      <c r="AY69" s="127">
        <v>43479.408520370402</v>
      </c>
      <c r="AZ69" s="133">
        <v>43481.412556597199</v>
      </c>
      <c r="BA69" s="134">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B69" s="135">
        <f>COUNTIFS(_05preva_view43[Site ID],_05preva_view43[[#This Row],[Site ID]],_05preva_view43[Prevalidation Status],"Under Prevalidation")</f>
        <v>0</v>
      </c>
      <c r="BC69" s="157" t="e">
        <f ca="1">HYPERLINK(CheckPath(_05preva_view43[[#This Row],[File Path]],_05preva_view43[[#This Row],[File Path]],_05preva_view43[[#This Row],[Folder Path3]]),CheckPath(_05preva_view43[[#This Row],[File Path]],"Open File","No File"))</f>
        <v>#VALUE!</v>
      </c>
      <c r="BD69" s="136" t="str">
        <f>CONCATENATE(_05preva_view43[[#This Row],[Site ID]]," (",_05preva_view43[[#This Row],[tenant id]],") Application",IF(_05preva_view43[[#This Row],[Colo Rev]]&gt;0," Rev "&amp;_05preva_view43[[#This Row],[Colo Rev]],""),".xlsx")</f>
        <v>1-01-08008-001 (BGW00539) Application Rev 0.xlsx</v>
      </c>
      <c r="BE69" s="64" t="e">
        <f t="shared" ca="1" si="2"/>
        <v>#VALUE!</v>
      </c>
      <c r="BF69" s="104" t="e">
        <f ca="1">LEFT(CELL("filename",A54),_05preva_view43[[#This Row],[Find Process &amp; Database]]-1)</f>
        <v>#VALUE!</v>
      </c>
      <c r="BG69" s="104" t="e">
        <f ca="1">_05preva_view43[Folder Path1]&amp;"Process &amp; Database\Documentation\Colo Applications"</f>
        <v>#VALUE!</v>
      </c>
      <c r="BH69" s="104" t="e">
        <f ca="1">_05preva_view43[Folder Path2]&amp;"\Colo App "&amp;_05preva_view43[[#This Row],[Operator]]&amp;"\"</f>
        <v>#VALUE!</v>
      </c>
      <c r="BI69" s="63" t="e">
        <f ca="1">_05preva_view43[[#This Row],[Folder Path3]]&amp;_05preva_view43[[#This Row],[File Name]]</f>
        <v>#VALUE!</v>
      </c>
      <c r="BJ69" s="104"/>
      <c r="BK69" s="3"/>
      <c r="BL69" s="3"/>
      <c r="CJ69" s="5"/>
      <c r="CK69" s="5"/>
      <c r="CL69" s="3"/>
      <c r="CN69" s="5"/>
      <c r="CR69" s="3"/>
      <c r="CS69" s="3"/>
      <c r="CT69" s="5"/>
      <c r="CV69" s="3"/>
      <c r="DR69" s="5"/>
      <c r="DT69" s="3"/>
      <c r="EF69" s="7"/>
      <c r="EG69" s="7"/>
      <c r="EJ69" s="4"/>
      <c r="EK69" s="4"/>
      <c r="EU69" s="2"/>
      <c r="EV69" s="2"/>
    </row>
    <row r="70" spans="1:152">
      <c r="A70" s="125">
        <v>3589</v>
      </c>
      <c r="B70" s="126" t="s">
        <v>1520</v>
      </c>
      <c r="C70" s="126" t="s">
        <v>331</v>
      </c>
      <c r="D70" s="126" t="s">
        <v>127</v>
      </c>
      <c r="E70" s="126" t="s">
        <v>1521</v>
      </c>
      <c r="F70" s="126" t="s">
        <v>35</v>
      </c>
      <c r="G70" s="126" t="s">
        <v>1583</v>
      </c>
      <c r="H70" s="126" t="s">
        <v>1580</v>
      </c>
      <c r="I70" s="126" t="s">
        <v>1077</v>
      </c>
      <c r="J70" s="126" t="s">
        <v>931</v>
      </c>
      <c r="K70" s="127">
        <v>43476</v>
      </c>
      <c r="L70" s="128">
        <v>1.621</v>
      </c>
      <c r="M70" s="128">
        <v>3.6989999999999998</v>
      </c>
      <c r="N70" s="126"/>
      <c r="O70" s="126" t="s">
        <v>950</v>
      </c>
      <c r="P70" s="129" t="s">
        <v>334</v>
      </c>
      <c r="Q70" s="129" t="s">
        <v>736</v>
      </c>
      <c r="R70" s="126" t="s">
        <v>24</v>
      </c>
      <c r="S70" s="126"/>
      <c r="T70" s="130" t="s">
        <v>120</v>
      </c>
      <c r="U70" s="126" t="s">
        <v>2059</v>
      </c>
      <c r="V70" s="130" t="s">
        <v>120</v>
      </c>
      <c r="W70" s="126"/>
      <c r="X70" s="130" t="s">
        <v>120</v>
      </c>
      <c r="Y70" s="126" t="s">
        <v>2060</v>
      </c>
      <c r="Z70" s="165" t="s">
        <v>120</v>
      </c>
      <c r="AA70" s="158"/>
      <c r="AB70" s="158"/>
      <c r="AC70" s="170" t="s">
        <v>123</v>
      </c>
      <c r="AD70" s="126" t="s">
        <v>2061</v>
      </c>
      <c r="AE70" s="130" t="s">
        <v>120</v>
      </c>
      <c r="AF70" s="127"/>
      <c r="AG70" s="131"/>
      <c r="AH70" s="131"/>
      <c r="AI70" s="126"/>
      <c r="AJ70" s="130" t="s">
        <v>120</v>
      </c>
      <c r="AK70" s="126" t="s">
        <v>123</v>
      </c>
      <c r="AL70" s="126" t="s">
        <v>1198</v>
      </c>
      <c r="AM70" s="130"/>
      <c r="AN70" s="126"/>
      <c r="AO70" s="132"/>
      <c r="AP70" s="126"/>
      <c r="AQ70" s="126"/>
      <c r="AR70" s="130"/>
      <c r="AS70" s="126"/>
      <c r="AT70" s="127">
        <v>43479.567131481497</v>
      </c>
      <c r="AU70" s="127">
        <v>43481.373415046299</v>
      </c>
      <c r="AV70" s="127">
        <v>43480.481594560202</v>
      </c>
      <c r="AW70" s="127">
        <v>43479.567131481497</v>
      </c>
      <c r="AX70" s="127">
        <v>43480.732241088001</v>
      </c>
      <c r="AY70" s="127">
        <v>43479.408520949102</v>
      </c>
      <c r="AZ70" s="133">
        <v>43481.412557060197</v>
      </c>
      <c r="BA70" s="134">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B70" s="135">
        <f>COUNTIFS(_05preva_view43[Site ID],_05preva_view43[[#This Row],[Site ID]],_05preva_view43[Prevalidation Status],"Under Prevalidation")</f>
        <v>0</v>
      </c>
      <c r="BC70" s="157" t="e">
        <f ca="1">HYPERLINK(CheckPath(_05preva_view43[[#This Row],[File Path]],_05preva_view43[[#This Row],[File Path]],_05preva_view43[[#This Row],[Folder Path3]]),CheckPath(_05preva_view43[[#This Row],[File Path]],"Open File","No File"))</f>
        <v>#VALUE!</v>
      </c>
      <c r="BD70" s="136" t="str">
        <f>CONCATENATE(_05preva_view43[[#This Row],[Site ID]]," (",_05preva_view43[[#This Row],[tenant id]],") Application",IF(_05preva_view43[[#This Row],[Colo Rev]]&gt;0," Rev "&amp;_05preva_view43[[#This Row],[Colo Rev]],""),".xlsx")</f>
        <v>1-01-01010-013 (KCN00442) Application Rev 1.xlsx</v>
      </c>
      <c r="BE70" s="64" t="e">
        <f t="shared" ca="1" si="2"/>
        <v>#VALUE!</v>
      </c>
      <c r="BF70" s="104" t="e">
        <f ca="1">LEFT(CELL("filename",A55),_05preva_view43[[#This Row],[Find Process &amp; Database]]-1)</f>
        <v>#VALUE!</v>
      </c>
      <c r="BG70" s="104" t="e">
        <f ca="1">_05preva_view43[Folder Path1]&amp;"Process &amp; Database\Documentation\Colo Applications"</f>
        <v>#VALUE!</v>
      </c>
      <c r="BH70" s="104" t="e">
        <f ca="1">_05preva_view43[Folder Path2]&amp;"\Colo App "&amp;_05preva_view43[[#This Row],[Operator]]&amp;"\"</f>
        <v>#VALUE!</v>
      </c>
      <c r="BI70" s="63" t="e">
        <f ca="1">_05preva_view43[[#This Row],[Folder Path3]]&amp;_05preva_view43[[#This Row],[File Name]]</f>
        <v>#VALUE!</v>
      </c>
      <c r="BJ70" s="104"/>
      <c r="BK70" s="3"/>
      <c r="BL70" s="3"/>
      <c r="CJ70" s="5"/>
      <c r="CK70" s="5"/>
      <c r="CL70" s="3"/>
      <c r="CN70" s="5"/>
      <c r="CR70" s="3"/>
      <c r="CS70" s="3"/>
      <c r="CT70" s="5"/>
      <c r="CV70" s="3"/>
      <c r="DR70" s="5"/>
      <c r="DT70" s="3"/>
      <c r="EF70" s="7"/>
      <c r="EG70" s="7"/>
      <c r="EJ70" s="4"/>
      <c r="EK70" s="4"/>
      <c r="EU70" s="2"/>
      <c r="EV70" s="2"/>
    </row>
    <row r="71" spans="1:152">
      <c r="A71" s="125">
        <v>3590</v>
      </c>
      <c r="B71" s="126" t="s">
        <v>1907</v>
      </c>
      <c r="C71" s="126" t="s">
        <v>331</v>
      </c>
      <c r="D71" s="126" t="s">
        <v>117</v>
      </c>
      <c r="E71" s="126" t="s">
        <v>1908</v>
      </c>
      <c r="F71" s="126" t="s">
        <v>35</v>
      </c>
      <c r="G71" s="126" t="s">
        <v>1583</v>
      </c>
      <c r="H71" s="126" t="s">
        <v>1575</v>
      </c>
      <c r="I71" s="126" t="s">
        <v>1053</v>
      </c>
      <c r="J71" s="126" t="s">
        <v>957</v>
      </c>
      <c r="K71" s="127">
        <v>43476</v>
      </c>
      <c r="L71" s="128">
        <v>1.9890000000000001</v>
      </c>
      <c r="M71" s="128">
        <v>3.5489999999999999</v>
      </c>
      <c r="N71" s="126"/>
      <c r="O71" s="126" t="s">
        <v>950</v>
      </c>
      <c r="P71" s="129" t="s">
        <v>958</v>
      </c>
      <c r="Q71" s="129" t="s">
        <v>959</v>
      </c>
      <c r="R71" s="126" t="s">
        <v>24</v>
      </c>
      <c r="S71" s="126"/>
      <c r="T71" s="130" t="s">
        <v>120</v>
      </c>
      <c r="U71" s="126"/>
      <c r="V71" s="130" t="s">
        <v>120</v>
      </c>
      <c r="W71" s="126"/>
      <c r="X71" s="130" t="s">
        <v>120</v>
      </c>
      <c r="Y71" s="126" t="s">
        <v>2062</v>
      </c>
      <c r="Z71" s="165" t="s">
        <v>120</v>
      </c>
      <c r="AA71" s="158"/>
      <c r="AB71" s="158"/>
      <c r="AC71" s="170" t="s">
        <v>123</v>
      </c>
      <c r="AD71" s="126" t="s">
        <v>2063</v>
      </c>
      <c r="AE71" s="130" t="s">
        <v>120</v>
      </c>
      <c r="AF71" s="127"/>
      <c r="AG71" s="131"/>
      <c r="AH71" s="131"/>
      <c r="AI71" s="126" t="s">
        <v>2064</v>
      </c>
      <c r="AJ71" s="130" t="s">
        <v>120</v>
      </c>
      <c r="AK71" s="126" t="s">
        <v>123</v>
      </c>
      <c r="AL71" s="126" t="s">
        <v>1198</v>
      </c>
      <c r="AM71" s="130"/>
      <c r="AN71" s="126"/>
      <c r="AO71" s="132"/>
      <c r="AP71" s="126"/>
      <c r="AQ71" s="126"/>
      <c r="AR71" s="130"/>
      <c r="AS71" s="126"/>
      <c r="AT71" s="127">
        <v>43479.567132407399</v>
      </c>
      <c r="AU71" s="127">
        <v>43481.373417939802</v>
      </c>
      <c r="AV71" s="127">
        <v>43480.441032291703</v>
      </c>
      <c r="AW71" s="127">
        <v>43479.567132407399</v>
      </c>
      <c r="AX71" s="127">
        <v>43480.732241666701</v>
      </c>
      <c r="AY71" s="127">
        <v>43479.408521990699</v>
      </c>
      <c r="AZ71" s="133">
        <v>43481.412558217598</v>
      </c>
      <c r="BA71" s="134">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B71" s="135">
        <f>COUNTIFS(_05preva_view43[Site ID],_05preva_view43[[#This Row],[Site ID]],_05preva_view43[Prevalidation Status],"Under Prevalidation")</f>
        <v>0</v>
      </c>
      <c r="BC71" s="157" t="e">
        <f ca="1">HYPERLINK(CheckPath(_05preva_view43[[#This Row],[File Path]],_05preva_view43[[#This Row],[File Path]],_05preva_view43[[#This Row],[Folder Path3]]),CheckPath(_05preva_view43[[#This Row],[File Path]],"Open File","No File"))</f>
        <v>#VALUE!</v>
      </c>
      <c r="BD71" s="136" t="str">
        <f>CONCATENATE(_05preva_view43[[#This Row],[Site ID]]," (",_05preva_view43[[#This Row],[tenant id]],") Application",IF(_05preva_view43[[#This Row],[Colo Rev]]&gt;0," Rev "&amp;_05preva_view43[[#This Row],[Colo Rev]],""),".xlsx")</f>
        <v>1-01-09018-009 (MGW00506) Application Rev 4.xlsx</v>
      </c>
      <c r="BE71" s="64" t="e">
        <f t="shared" ca="1" si="2"/>
        <v>#VALUE!</v>
      </c>
      <c r="BF71" s="104" t="e">
        <f ca="1">LEFT(CELL("filename",A56),_05preva_view43[[#This Row],[Find Process &amp; Database]]-1)</f>
        <v>#VALUE!</v>
      </c>
      <c r="BG71" s="104" t="e">
        <f ca="1">_05preva_view43[Folder Path1]&amp;"Process &amp; Database\Documentation\Colo Applications"</f>
        <v>#VALUE!</v>
      </c>
      <c r="BH71" s="104" t="e">
        <f ca="1">_05preva_view43[Folder Path2]&amp;"\Colo App "&amp;_05preva_view43[[#This Row],[Operator]]&amp;"\"</f>
        <v>#VALUE!</v>
      </c>
      <c r="BI71" s="63" t="e">
        <f ca="1">_05preva_view43[[#This Row],[Folder Path3]]&amp;_05preva_view43[[#This Row],[File Name]]</f>
        <v>#VALUE!</v>
      </c>
      <c r="BJ71" s="104"/>
      <c r="BK71" s="3"/>
      <c r="BL71" s="3"/>
      <c r="CJ71" s="5"/>
      <c r="CK71" s="5"/>
      <c r="CL71" s="3"/>
      <c r="CN71" s="5"/>
      <c r="CR71" s="3"/>
      <c r="CS71" s="3"/>
      <c r="CT71" s="5"/>
      <c r="CV71" s="3"/>
      <c r="DR71" s="5"/>
      <c r="DT71" s="3"/>
      <c r="EF71" s="7"/>
      <c r="EG71" s="7"/>
      <c r="EJ71" s="4"/>
      <c r="EK71" s="4"/>
      <c r="EU71" s="2"/>
      <c r="EV71" s="2"/>
    </row>
    <row r="72" spans="1:152">
      <c r="A72" s="125">
        <v>3591</v>
      </c>
      <c r="B72" s="126" t="s">
        <v>2065</v>
      </c>
      <c r="C72" s="126" t="s">
        <v>331</v>
      </c>
      <c r="D72" s="126" t="s">
        <v>127</v>
      </c>
      <c r="E72" s="126" t="s">
        <v>2066</v>
      </c>
      <c r="F72" s="126" t="s">
        <v>35</v>
      </c>
      <c r="G72" s="126" t="s">
        <v>1583</v>
      </c>
      <c r="H72" s="126" t="s">
        <v>1575</v>
      </c>
      <c r="I72" s="126" t="s">
        <v>1288</v>
      </c>
      <c r="J72" s="126" t="s">
        <v>949</v>
      </c>
      <c r="K72" s="127">
        <v>43476</v>
      </c>
      <c r="L72" s="128">
        <v>1.399</v>
      </c>
      <c r="M72" s="128">
        <v>2.2989999999999999</v>
      </c>
      <c r="N72" s="126"/>
      <c r="O72" s="126" t="s">
        <v>950</v>
      </c>
      <c r="P72" s="129" t="s">
        <v>958</v>
      </c>
      <c r="Q72" s="129" t="s">
        <v>959</v>
      </c>
      <c r="R72" s="126" t="s">
        <v>24</v>
      </c>
      <c r="S72" s="126"/>
      <c r="T72" s="130" t="s">
        <v>120</v>
      </c>
      <c r="U72" s="126"/>
      <c r="V72" s="130" t="s">
        <v>120</v>
      </c>
      <c r="W72" s="126"/>
      <c r="X72" s="130" t="s">
        <v>120</v>
      </c>
      <c r="Y72" s="126" t="s">
        <v>2067</v>
      </c>
      <c r="Z72" s="165" t="s">
        <v>120</v>
      </c>
      <c r="AA72" s="158"/>
      <c r="AB72" s="158"/>
      <c r="AC72" s="170" t="s">
        <v>123</v>
      </c>
      <c r="AD72" s="126" t="s">
        <v>2068</v>
      </c>
      <c r="AE72" s="130" t="s">
        <v>120</v>
      </c>
      <c r="AF72" s="127"/>
      <c r="AG72" s="131"/>
      <c r="AH72" s="131"/>
      <c r="AI72" s="126" t="s">
        <v>2069</v>
      </c>
      <c r="AJ72" s="130" t="s">
        <v>120</v>
      </c>
      <c r="AK72" s="126" t="s">
        <v>123</v>
      </c>
      <c r="AL72" s="126" t="s">
        <v>1198</v>
      </c>
      <c r="AM72" s="130"/>
      <c r="AN72" s="126"/>
      <c r="AO72" s="132"/>
      <c r="AP72" s="126"/>
      <c r="AQ72" s="126"/>
      <c r="AR72" s="130"/>
      <c r="AS72" s="126"/>
      <c r="AT72" s="127">
        <v>43479.567141203697</v>
      </c>
      <c r="AU72" s="127">
        <v>43481.373419213</v>
      </c>
      <c r="AV72" s="127">
        <v>43480.481596643498</v>
      </c>
      <c r="AW72" s="127">
        <v>43479.567141203697</v>
      </c>
      <c r="AX72" s="127">
        <v>43480.732245023202</v>
      </c>
      <c r="AY72" s="127">
        <v>43479.4085225694</v>
      </c>
      <c r="AZ72" s="133">
        <v>43481.412558912001</v>
      </c>
      <c r="BA72" s="134">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B72" s="135">
        <f>COUNTIFS(_05preva_view43[Site ID],_05preva_view43[[#This Row],[Site ID]],_05preva_view43[Prevalidation Status],"Under Prevalidation")</f>
        <v>0</v>
      </c>
      <c r="BC72" s="157" t="e">
        <f ca="1">HYPERLINK(CheckPath(_05preva_view43[[#This Row],[File Path]],_05preva_view43[[#This Row],[File Path]],_05preva_view43[[#This Row],[Folder Path3]]),CheckPath(_05preva_view43[[#This Row],[File Path]],"Open File","No File"))</f>
        <v>#VALUE!</v>
      </c>
      <c r="BD72" s="136" t="str">
        <f>CONCATENATE(_05preva_view43[[#This Row],[Site ID]]," (",_05preva_view43[[#This Row],[tenant id]],") Application",IF(_05preva_view43[[#This Row],[Colo Rev]]&gt;0," Rev "&amp;_05preva_view43[[#This Row],[Colo Rev]],""),".xlsx")</f>
        <v>1-01-05004-001 (SGG00208) Application Rev 2.xlsx</v>
      </c>
      <c r="BE72" s="64" t="e">
        <f t="shared" ca="1" si="2"/>
        <v>#VALUE!</v>
      </c>
      <c r="BF72" s="104" t="e">
        <f ca="1">LEFT(CELL("filename",A57),_05preva_view43[[#This Row],[Find Process &amp; Database]]-1)</f>
        <v>#VALUE!</v>
      </c>
      <c r="BG72" s="104" t="e">
        <f ca="1">_05preva_view43[Folder Path1]&amp;"Process &amp; Database\Documentation\Colo Applications"</f>
        <v>#VALUE!</v>
      </c>
      <c r="BH72" s="104" t="e">
        <f ca="1">_05preva_view43[Folder Path2]&amp;"\Colo App "&amp;_05preva_view43[[#This Row],[Operator]]&amp;"\"</f>
        <v>#VALUE!</v>
      </c>
      <c r="BI72" s="63" t="e">
        <f ca="1">_05preva_view43[[#This Row],[Folder Path3]]&amp;_05preva_view43[[#This Row],[File Name]]</f>
        <v>#VALUE!</v>
      </c>
      <c r="BJ72" s="104"/>
      <c r="BK72" s="3"/>
      <c r="BL72" s="3"/>
      <c r="CJ72" s="5"/>
      <c r="CK72" s="5"/>
      <c r="CL72" s="3"/>
      <c r="CN72" s="5"/>
      <c r="CR72" s="3"/>
      <c r="CS72" s="3"/>
      <c r="CT72" s="5"/>
      <c r="CV72" s="3"/>
      <c r="DR72" s="5"/>
      <c r="DT72" s="3"/>
      <c r="EF72" s="7"/>
      <c r="EG72" s="7"/>
      <c r="EJ72" s="4"/>
      <c r="EK72" s="4"/>
      <c r="EU72" s="2"/>
      <c r="EV72" s="2"/>
    </row>
    <row r="73" spans="1:152">
      <c r="A73" s="125">
        <v>3592</v>
      </c>
      <c r="B73" s="126" t="s">
        <v>2070</v>
      </c>
      <c r="C73" s="126" t="s">
        <v>331</v>
      </c>
      <c r="D73" s="126" t="s">
        <v>127</v>
      </c>
      <c r="E73" s="126" t="s">
        <v>2071</v>
      </c>
      <c r="F73" s="126" t="s">
        <v>41</v>
      </c>
      <c r="G73" s="126" t="s">
        <v>1412</v>
      </c>
      <c r="H73" s="126" t="s">
        <v>1319</v>
      </c>
      <c r="I73" s="126" t="s">
        <v>1143</v>
      </c>
      <c r="J73" s="126" t="s">
        <v>940</v>
      </c>
      <c r="K73" s="127">
        <v>43476</v>
      </c>
      <c r="L73" s="128">
        <v>2</v>
      </c>
      <c r="M73" s="128"/>
      <c r="N73" s="126">
        <v>5</v>
      </c>
      <c r="O73" s="126" t="s">
        <v>119</v>
      </c>
      <c r="P73" s="129" t="s">
        <v>285</v>
      </c>
      <c r="Q73" s="129" t="s">
        <v>263</v>
      </c>
      <c r="R73" s="126" t="s">
        <v>25</v>
      </c>
      <c r="S73" s="126"/>
      <c r="T73" s="130" t="s">
        <v>120</v>
      </c>
      <c r="U73" s="126"/>
      <c r="V73" s="130" t="s">
        <v>120</v>
      </c>
      <c r="W73" s="126"/>
      <c r="X73" s="130" t="s">
        <v>120</v>
      </c>
      <c r="Y73" s="126" t="s">
        <v>2164</v>
      </c>
      <c r="Z73" s="165" t="s">
        <v>125</v>
      </c>
      <c r="AA73" s="158"/>
      <c r="AB73" s="158"/>
      <c r="AC73" s="170"/>
      <c r="AD73" s="126" t="s">
        <v>2137</v>
      </c>
      <c r="AE73" s="130" t="s">
        <v>120</v>
      </c>
      <c r="AF73" s="127" t="s">
        <v>2072</v>
      </c>
      <c r="AG73" s="131"/>
      <c r="AH73" s="131"/>
      <c r="AI73" s="126" t="s">
        <v>1417</v>
      </c>
      <c r="AJ73" s="130" t="s">
        <v>120</v>
      </c>
      <c r="AK73" s="126" t="s">
        <v>240</v>
      </c>
      <c r="AL73" s="126" t="s">
        <v>1493</v>
      </c>
      <c r="AM73" s="130"/>
      <c r="AN73" s="126"/>
      <c r="AO73" s="132"/>
      <c r="AP73" s="126"/>
      <c r="AQ73" s="126"/>
      <c r="AR73" s="130"/>
      <c r="AS73" s="126"/>
      <c r="AT73" s="127">
        <v>43479.567142476903</v>
      </c>
      <c r="AU73" s="127">
        <v>43483.436927546303</v>
      </c>
      <c r="AV73" s="127"/>
      <c r="AW73" s="127">
        <v>43479.567142476903</v>
      </c>
      <c r="AX73" s="127">
        <v>43480.732246064799</v>
      </c>
      <c r="AY73" s="127">
        <v>43479.408523842598</v>
      </c>
      <c r="AZ73" s="133"/>
      <c r="BA73" s="134">
        <f ca="1">IF(_05preva_view43[[#This Row],[Prevalidation Status]]="Under Prevalidation",NOW()-_05preva_view43[[#This Row],[Request Date]],IF(_05preva_view43[[#This Row],[Close Date]]&gt;_05preva_view43[[#This Row],[Request Date]],_05preva_view43[[#This Row],[Close Date]]-_05preva_view43[[#This Row],[Request Date]],"Not  Calculated"))</f>
        <v>12.70510648148047</v>
      </c>
      <c r="BB73" s="135">
        <f>COUNTIFS(_05preva_view43[Site ID],_05preva_view43[[#This Row],[Site ID]],_05preva_view43[Prevalidation Status],"Under Prevalidation")</f>
        <v>1</v>
      </c>
      <c r="BC73" s="157" t="e">
        <f ca="1">HYPERLINK(CheckPath(_05preva_view43[[#This Row],[File Path]],_05preva_view43[[#This Row],[File Path]],_05preva_view43[[#This Row],[Folder Path3]]),CheckPath(_05preva_view43[[#This Row],[File Path]],"Open File","No File"))</f>
        <v>#VALUE!</v>
      </c>
      <c r="BD73" s="136" t="str">
        <f>CONCATENATE(_05preva_view43[[#This Row],[Site ID]]," (",_05preva_view43[[#This Row],[tenant id]],") Application",IF(_05preva_view43[[#This Row],[Colo Rev]]&gt;0," Rev "&amp;_05preva_view43[[#This Row],[Colo Rev]],""),".xlsx")</f>
        <v>1-01-10003-004 (MDYMHAM044) Application Rev 0.xlsx</v>
      </c>
      <c r="BE73" s="64" t="e">
        <f t="shared" ca="1" si="2"/>
        <v>#VALUE!</v>
      </c>
      <c r="BF73" s="104" t="e">
        <f ca="1">LEFT(CELL("filename",A58),_05preva_view43[[#This Row],[Find Process &amp; Database]]-1)</f>
        <v>#VALUE!</v>
      </c>
      <c r="BG73" s="104" t="e">
        <f ca="1">_05preva_view43[Folder Path1]&amp;"Process &amp; Database\Documentation\Colo Applications"</f>
        <v>#VALUE!</v>
      </c>
      <c r="BH73" s="104" t="e">
        <f ca="1">_05preva_view43[Folder Path2]&amp;"\Colo App "&amp;_05preva_view43[[#This Row],[Operator]]&amp;"\"</f>
        <v>#VALUE!</v>
      </c>
      <c r="BI73" s="63" t="e">
        <f ca="1">_05preva_view43[[#This Row],[Folder Path3]]&amp;_05preva_view43[[#This Row],[File Name]]</f>
        <v>#VALUE!</v>
      </c>
      <c r="BJ73" s="104"/>
      <c r="BK73" s="3"/>
      <c r="BL73" s="3"/>
      <c r="CJ73" s="5"/>
      <c r="CK73" s="5"/>
      <c r="CL73" s="3"/>
      <c r="CN73" s="5"/>
      <c r="CR73" s="3"/>
      <c r="CS73" s="3"/>
      <c r="CT73" s="5"/>
      <c r="CV73" s="3"/>
      <c r="DR73" s="5"/>
      <c r="DT73" s="3"/>
      <c r="EF73" s="7"/>
      <c r="EG73" s="7"/>
      <c r="EJ73" s="4"/>
      <c r="EK73" s="4"/>
      <c r="EU73" s="2"/>
      <c r="EV73" s="2"/>
    </row>
    <row r="74" spans="1:152">
      <c r="A74" s="125">
        <v>3593</v>
      </c>
      <c r="B74" s="126" t="s">
        <v>2073</v>
      </c>
      <c r="C74" s="126" t="s">
        <v>331</v>
      </c>
      <c r="D74" s="126" t="s">
        <v>127</v>
      </c>
      <c r="E74" s="126" t="s">
        <v>2074</v>
      </c>
      <c r="F74" s="126" t="s">
        <v>41</v>
      </c>
      <c r="G74" s="126" t="s">
        <v>1412</v>
      </c>
      <c r="H74" s="126" t="s">
        <v>1319</v>
      </c>
      <c r="I74" s="126" t="s">
        <v>1143</v>
      </c>
      <c r="J74" s="126" t="s">
        <v>940</v>
      </c>
      <c r="K74" s="127">
        <v>43476</v>
      </c>
      <c r="L74" s="128">
        <v>2</v>
      </c>
      <c r="M74" s="128"/>
      <c r="N74" s="126">
        <v>5</v>
      </c>
      <c r="O74" s="126" t="s">
        <v>119</v>
      </c>
      <c r="P74" s="129" t="s">
        <v>2075</v>
      </c>
      <c r="Q74" s="129" t="s">
        <v>2076</v>
      </c>
      <c r="R74" s="126" t="s">
        <v>25</v>
      </c>
      <c r="S74" s="126"/>
      <c r="T74" s="130" t="s">
        <v>120</v>
      </c>
      <c r="U74" s="126"/>
      <c r="V74" s="130" t="s">
        <v>120</v>
      </c>
      <c r="W74" s="126"/>
      <c r="X74" s="130" t="s">
        <v>120</v>
      </c>
      <c r="Y74" s="126" t="s">
        <v>2165</v>
      </c>
      <c r="Z74" s="165" t="s">
        <v>125</v>
      </c>
      <c r="AA74" s="158"/>
      <c r="AB74" s="158"/>
      <c r="AC74" s="170"/>
      <c r="AD74" s="126" t="s">
        <v>2137</v>
      </c>
      <c r="AE74" s="130" t="s">
        <v>120</v>
      </c>
      <c r="AF74" s="127" t="s">
        <v>2072</v>
      </c>
      <c r="AG74" s="131"/>
      <c r="AH74" s="131"/>
      <c r="AI74" s="126" t="s">
        <v>1417</v>
      </c>
      <c r="AJ74" s="130" t="s">
        <v>120</v>
      </c>
      <c r="AK74" s="126" t="s">
        <v>240</v>
      </c>
      <c r="AL74" s="126" t="s">
        <v>1493</v>
      </c>
      <c r="AM74" s="130"/>
      <c r="AN74" s="126"/>
      <c r="AO74" s="132"/>
      <c r="AP74" s="126"/>
      <c r="AQ74" s="126"/>
      <c r="AR74" s="130"/>
      <c r="AS74" s="126"/>
      <c r="AT74" s="127">
        <v>43479.567149074101</v>
      </c>
      <c r="AU74" s="127">
        <v>43483.436929166703</v>
      </c>
      <c r="AV74" s="127"/>
      <c r="AW74" s="127">
        <v>43479.567149074101</v>
      </c>
      <c r="AX74" s="127">
        <v>43480.732246874999</v>
      </c>
      <c r="AY74" s="127">
        <v>43479.408524421298</v>
      </c>
      <c r="AZ74" s="133"/>
      <c r="BA74" s="134">
        <f ca="1">IF(_05preva_view43[[#This Row],[Prevalidation Status]]="Under Prevalidation",NOW()-_05preva_view43[[#This Row],[Request Date]],IF(_05preva_view43[[#This Row],[Close Date]]&gt;_05preva_view43[[#This Row],[Request Date]],_05preva_view43[[#This Row],[Close Date]]-_05preva_view43[[#This Row],[Request Date]],"Not  Calculated"))</f>
        <v>12.70510648148047</v>
      </c>
      <c r="BB74" s="135">
        <f>COUNTIFS(_05preva_view43[Site ID],_05preva_view43[[#This Row],[Site ID]],_05preva_view43[Prevalidation Status],"Under Prevalidation")</f>
        <v>1</v>
      </c>
      <c r="BC74" s="157" t="e">
        <f ca="1">HYPERLINK(CheckPath(_05preva_view43[[#This Row],[File Path]],_05preva_view43[[#This Row],[File Path]],_05preva_view43[[#This Row],[Folder Path3]]),CheckPath(_05preva_view43[[#This Row],[File Path]],"Open File","No File"))</f>
        <v>#VALUE!</v>
      </c>
      <c r="BD74" s="136" t="str">
        <f>CONCATENATE(_05preva_view43[[#This Row],[Site ID]]," (",_05preva_view43[[#This Row],[tenant id]],") Application",IF(_05preva_view43[[#This Row],[Colo Rev]]&gt;0," Rev "&amp;_05preva_view43[[#This Row],[Colo Rev]],""),".xlsx")</f>
        <v>1-01-10001-007 (MDYAMTZ004) Application Rev 0.xlsx</v>
      </c>
      <c r="BE74" s="64" t="e">
        <f t="shared" ca="1" si="2"/>
        <v>#VALUE!</v>
      </c>
      <c r="BF74" s="104" t="e">
        <f ca="1">LEFT(CELL("filename",A59),_05preva_view43[[#This Row],[Find Process &amp; Database]]-1)</f>
        <v>#VALUE!</v>
      </c>
      <c r="BG74" s="104" t="e">
        <f ca="1">_05preva_view43[Folder Path1]&amp;"Process &amp; Database\Documentation\Colo Applications"</f>
        <v>#VALUE!</v>
      </c>
      <c r="BH74" s="104" t="e">
        <f ca="1">_05preva_view43[Folder Path2]&amp;"\Colo App "&amp;_05preva_view43[[#This Row],[Operator]]&amp;"\"</f>
        <v>#VALUE!</v>
      </c>
      <c r="BI74" s="63" t="e">
        <f ca="1">_05preva_view43[[#This Row],[Folder Path3]]&amp;_05preva_view43[[#This Row],[File Name]]</f>
        <v>#VALUE!</v>
      </c>
      <c r="BJ74" s="104"/>
      <c r="BK74" s="3"/>
      <c r="BL74" s="3"/>
      <c r="CJ74" s="5"/>
      <c r="CK74" s="5"/>
      <c r="CL74" s="3"/>
      <c r="CN74" s="5"/>
      <c r="CR74" s="3"/>
      <c r="CS74" s="3"/>
      <c r="CT74" s="5"/>
      <c r="CV74" s="3"/>
      <c r="DR74" s="5"/>
      <c r="DT74" s="3"/>
      <c r="EF74" s="7"/>
      <c r="EG74" s="7"/>
      <c r="EJ74" s="4"/>
      <c r="EK74" s="4"/>
      <c r="EU74" s="2"/>
      <c r="EV74" s="2"/>
    </row>
    <row r="75" spans="1:152">
      <c r="A75" s="125">
        <v>3594</v>
      </c>
      <c r="B75" s="126" t="s">
        <v>2077</v>
      </c>
      <c r="C75" s="126" t="s">
        <v>331</v>
      </c>
      <c r="D75" s="126" t="s">
        <v>127</v>
      </c>
      <c r="E75" s="126" t="s">
        <v>2078</v>
      </c>
      <c r="F75" s="126" t="s">
        <v>41</v>
      </c>
      <c r="G75" s="126" t="s">
        <v>1412</v>
      </c>
      <c r="H75" s="126" t="s">
        <v>1319</v>
      </c>
      <c r="I75" s="126" t="s">
        <v>1143</v>
      </c>
      <c r="J75" s="126" t="s">
        <v>940</v>
      </c>
      <c r="K75" s="127">
        <v>43476</v>
      </c>
      <c r="L75" s="128">
        <v>2</v>
      </c>
      <c r="M75" s="128"/>
      <c r="N75" s="126">
        <v>5</v>
      </c>
      <c r="O75" s="126" t="s">
        <v>119</v>
      </c>
      <c r="P75" s="129" t="s">
        <v>2079</v>
      </c>
      <c r="Q75" s="129" t="s">
        <v>2080</v>
      </c>
      <c r="R75" s="126" t="s">
        <v>25</v>
      </c>
      <c r="S75" s="126"/>
      <c r="T75" s="130" t="s">
        <v>120</v>
      </c>
      <c r="U75" s="126"/>
      <c r="V75" s="130" t="s">
        <v>120</v>
      </c>
      <c r="W75" s="126"/>
      <c r="X75" s="130" t="s">
        <v>120</v>
      </c>
      <c r="Y75" s="126" t="s">
        <v>2166</v>
      </c>
      <c r="Z75" s="165" t="s">
        <v>125</v>
      </c>
      <c r="AA75" s="158"/>
      <c r="AB75" s="158"/>
      <c r="AC75" s="170"/>
      <c r="AD75" s="126" t="s">
        <v>2137</v>
      </c>
      <c r="AE75" s="130" t="s">
        <v>120</v>
      </c>
      <c r="AF75" s="127" t="s">
        <v>2072</v>
      </c>
      <c r="AG75" s="131"/>
      <c r="AH75" s="131"/>
      <c r="AI75" s="126" t="s">
        <v>1417</v>
      </c>
      <c r="AJ75" s="130" t="s">
        <v>120</v>
      </c>
      <c r="AK75" s="126" t="s">
        <v>240</v>
      </c>
      <c r="AL75" s="126" t="s">
        <v>1493</v>
      </c>
      <c r="AM75" s="130"/>
      <c r="AN75" s="126"/>
      <c r="AO75" s="132"/>
      <c r="AP75" s="126"/>
      <c r="AQ75" s="126"/>
      <c r="AR75" s="130"/>
      <c r="AS75" s="126"/>
      <c r="AT75" s="127">
        <v>43479.567150463001</v>
      </c>
      <c r="AU75" s="127">
        <v>43483.436930787</v>
      </c>
      <c r="AV75" s="127"/>
      <c r="AW75" s="127">
        <v>43479.567150463001</v>
      </c>
      <c r="AX75" s="127">
        <v>43480.732247569402</v>
      </c>
      <c r="AY75" s="127">
        <v>43479.4085247685</v>
      </c>
      <c r="AZ75" s="133"/>
      <c r="BA75" s="134">
        <f ca="1">IF(_05preva_view43[[#This Row],[Prevalidation Status]]="Under Prevalidation",NOW()-_05preva_view43[[#This Row],[Request Date]],IF(_05preva_view43[[#This Row],[Close Date]]&gt;_05preva_view43[[#This Row],[Request Date]],_05preva_view43[[#This Row],[Close Date]]-_05preva_view43[[#This Row],[Request Date]],"Not  Calculated"))</f>
        <v>12.70510648148047</v>
      </c>
      <c r="BB75" s="135">
        <f>COUNTIFS(_05preva_view43[Site ID],_05preva_view43[[#This Row],[Site ID]],_05preva_view43[Prevalidation Status],"Under Prevalidation")</f>
        <v>1</v>
      </c>
      <c r="BC75" s="157" t="e">
        <f ca="1">HYPERLINK(CheckPath(_05preva_view43[[#This Row],[File Path]],_05preva_view43[[#This Row],[File Path]],_05preva_view43[[#This Row],[Folder Path3]]),CheckPath(_05preva_view43[[#This Row],[File Path]],"Open File","No File"))</f>
        <v>#VALUE!</v>
      </c>
      <c r="BD75" s="136" t="str">
        <f>CONCATENATE(_05preva_view43[[#This Row],[Site ID]]," (",_05preva_view43[[#This Row],[tenant id]],") Application",IF(_05preva_view43[[#This Row],[Colo Rev]]&gt;0," Rev "&amp;_05preva_view43[[#This Row],[Colo Rev]],""),".xlsx")</f>
        <v>1-01-10003-012 (MDYCMTN064) Application Rev 0.xlsx</v>
      </c>
      <c r="BE75" s="64" t="e">
        <f t="shared" ca="1" si="2"/>
        <v>#VALUE!</v>
      </c>
      <c r="BF75" s="104" t="e">
        <f ca="1">LEFT(CELL("filename",A60),_05preva_view43[[#This Row],[Find Process &amp; Database]]-1)</f>
        <v>#VALUE!</v>
      </c>
      <c r="BG75" s="104" t="e">
        <f ca="1">_05preva_view43[Folder Path1]&amp;"Process &amp; Database\Documentation\Colo Applications"</f>
        <v>#VALUE!</v>
      </c>
      <c r="BH75" s="104" t="e">
        <f ca="1">_05preva_view43[Folder Path2]&amp;"\Colo App "&amp;_05preva_view43[[#This Row],[Operator]]&amp;"\"</f>
        <v>#VALUE!</v>
      </c>
      <c r="BI75" s="63" t="e">
        <f ca="1">_05preva_view43[[#This Row],[Folder Path3]]&amp;_05preva_view43[[#This Row],[File Name]]</f>
        <v>#VALUE!</v>
      </c>
      <c r="BJ75" s="104"/>
      <c r="BK75" s="3"/>
      <c r="BL75" s="3"/>
      <c r="CJ75" s="5"/>
      <c r="CK75" s="5"/>
      <c r="CL75" s="3"/>
      <c r="CN75" s="5"/>
      <c r="CR75" s="3"/>
      <c r="CS75" s="3"/>
      <c r="CT75" s="5"/>
      <c r="CV75" s="3"/>
      <c r="DR75" s="5"/>
      <c r="DT75" s="3"/>
      <c r="EF75" s="7"/>
      <c r="EG75" s="7"/>
      <c r="EJ75" s="4"/>
      <c r="EK75" s="4"/>
      <c r="EU75" s="2"/>
      <c r="EV75" s="2"/>
    </row>
    <row r="76" spans="1:152">
      <c r="A76" s="125">
        <v>3595</v>
      </c>
      <c r="B76" s="126" t="s">
        <v>2081</v>
      </c>
      <c r="C76" s="126" t="s">
        <v>331</v>
      </c>
      <c r="D76" s="126" t="s">
        <v>127</v>
      </c>
      <c r="E76" s="126" t="s">
        <v>2167</v>
      </c>
      <c r="F76" s="126" t="s">
        <v>41</v>
      </c>
      <c r="G76" s="126" t="s">
        <v>1412</v>
      </c>
      <c r="H76" s="126" t="s">
        <v>1319</v>
      </c>
      <c r="I76" s="126" t="s">
        <v>1143</v>
      </c>
      <c r="J76" s="126" t="s">
        <v>940</v>
      </c>
      <c r="K76" s="127">
        <v>43476</v>
      </c>
      <c r="L76" s="128">
        <v>2</v>
      </c>
      <c r="M76" s="128"/>
      <c r="N76" s="126">
        <v>5</v>
      </c>
      <c r="O76" s="126" t="s">
        <v>119</v>
      </c>
      <c r="P76" s="129" t="s">
        <v>334</v>
      </c>
      <c r="Q76" s="129" t="s">
        <v>736</v>
      </c>
      <c r="R76" s="126" t="s">
        <v>25</v>
      </c>
      <c r="S76" s="126"/>
      <c r="T76" s="130" t="s">
        <v>861</v>
      </c>
      <c r="U76" s="126"/>
      <c r="V76" s="130" t="s">
        <v>120</v>
      </c>
      <c r="W76" s="126"/>
      <c r="X76" s="130" t="s">
        <v>120</v>
      </c>
      <c r="Y76" s="126" t="s">
        <v>2166</v>
      </c>
      <c r="Z76" s="165" t="s">
        <v>125</v>
      </c>
      <c r="AA76" s="158"/>
      <c r="AB76" s="158"/>
      <c r="AC76" s="170"/>
      <c r="AD76" s="126" t="s">
        <v>2137</v>
      </c>
      <c r="AE76" s="130" t="s">
        <v>120</v>
      </c>
      <c r="AF76" s="127" t="s">
        <v>2072</v>
      </c>
      <c r="AG76" s="131"/>
      <c r="AH76" s="131"/>
      <c r="AI76" s="126" t="s">
        <v>1417</v>
      </c>
      <c r="AJ76" s="130" t="s">
        <v>120</v>
      </c>
      <c r="AK76" s="126" t="s">
        <v>240</v>
      </c>
      <c r="AL76" s="126" t="s">
        <v>1493</v>
      </c>
      <c r="AM76" s="130"/>
      <c r="AN76" s="126"/>
      <c r="AO76" s="132"/>
      <c r="AP76" s="126"/>
      <c r="AQ76" s="126"/>
      <c r="AR76" s="130"/>
      <c r="AS76" s="126"/>
      <c r="AT76" s="127">
        <v>43479.567151388903</v>
      </c>
      <c r="AU76" s="127">
        <v>43483.436932638899</v>
      </c>
      <c r="AV76" s="127"/>
      <c r="AW76" s="127">
        <v>43479.567151388903</v>
      </c>
      <c r="AX76" s="127"/>
      <c r="AY76" s="127">
        <v>43479.408526388899</v>
      </c>
      <c r="AZ76" s="133"/>
      <c r="BA76" s="134">
        <f ca="1">IF(_05preva_view43[[#This Row],[Prevalidation Status]]="Under Prevalidation",NOW()-_05preva_view43[[#This Row],[Request Date]],IF(_05preva_view43[[#This Row],[Close Date]]&gt;_05preva_view43[[#This Row],[Request Date]],_05preva_view43[[#This Row],[Close Date]]-_05preva_view43[[#This Row],[Request Date]],"Not  Calculated"))</f>
        <v>12.70510648148047</v>
      </c>
      <c r="BB76" s="135">
        <f>COUNTIFS(_05preva_view43[Site ID],_05preva_view43[[#This Row],[Site ID]],_05preva_view43[Prevalidation Status],"Under Prevalidation")</f>
        <v>1</v>
      </c>
      <c r="BC76" s="157" t="e">
        <f ca="1">HYPERLINK(CheckPath(_05preva_view43[[#This Row],[File Path]],_05preva_view43[[#This Row],[File Path]],_05preva_view43[[#This Row],[Folder Path3]]),CheckPath(_05preva_view43[[#This Row],[File Path]],"Open File","No File"))</f>
        <v>#VALUE!</v>
      </c>
      <c r="BD76" s="136" t="str">
        <f>CONCATENATE(_05preva_view43[[#This Row],[Site ID]]," (",_05preva_view43[[#This Row],[tenant id]],") Application",IF(_05preva_view43[[#This Row],[Colo Rev]]&gt;0," Rev "&amp;_05preva_view43[[#This Row],[Colo Rev]],""),".xlsx")</f>
        <v>1-01-10003-002 (MDYMHAM002) Application Rev 0.xlsx</v>
      </c>
      <c r="BE76" s="64" t="e">
        <f t="shared" ca="1" si="2"/>
        <v>#VALUE!</v>
      </c>
      <c r="BF76" s="104" t="e">
        <f ca="1">LEFT(CELL("filename",A61),_05preva_view43[[#This Row],[Find Process &amp; Database]]-1)</f>
        <v>#VALUE!</v>
      </c>
      <c r="BG76" s="104" t="e">
        <f ca="1">_05preva_view43[Folder Path1]&amp;"Process &amp; Database\Documentation\Colo Applications"</f>
        <v>#VALUE!</v>
      </c>
      <c r="BH76" s="104" t="e">
        <f ca="1">_05preva_view43[Folder Path2]&amp;"\Colo App "&amp;_05preva_view43[[#This Row],[Operator]]&amp;"\"</f>
        <v>#VALUE!</v>
      </c>
      <c r="BI76" s="63" t="e">
        <f ca="1">_05preva_view43[[#This Row],[Folder Path3]]&amp;_05preva_view43[[#This Row],[File Name]]</f>
        <v>#VALUE!</v>
      </c>
      <c r="BJ76" s="104"/>
      <c r="BK76" s="3"/>
      <c r="BL76" s="3"/>
      <c r="CJ76" s="5"/>
      <c r="CK76" s="5"/>
      <c r="CL76" s="3"/>
      <c r="CN76" s="5"/>
      <c r="CR76" s="3"/>
      <c r="CS76" s="3"/>
      <c r="CT76" s="5"/>
      <c r="CV76" s="3"/>
      <c r="DR76" s="5"/>
      <c r="DT76" s="3"/>
      <c r="EF76" s="7"/>
      <c r="EG76" s="7"/>
      <c r="EJ76" s="4"/>
      <c r="EK76" s="4"/>
      <c r="EU76" s="2"/>
      <c r="EV76" s="2"/>
    </row>
    <row r="77" spans="1:152">
      <c r="A77" s="125">
        <v>3596</v>
      </c>
      <c r="B77" s="126" t="s">
        <v>2082</v>
      </c>
      <c r="C77" s="126" t="s">
        <v>331</v>
      </c>
      <c r="D77" s="126" t="s">
        <v>127</v>
      </c>
      <c r="E77" s="126" t="s">
        <v>1487</v>
      </c>
      <c r="F77" s="126" t="s">
        <v>41</v>
      </c>
      <c r="G77" s="126" t="s">
        <v>1412</v>
      </c>
      <c r="H77" s="126" t="s">
        <v>1319</v>
      </c>
      <c r="I77" s="126" t="s">
        <v>1143</v>
      </c>
      <c r="J77" s="126" t="s">
        <v>940</v>
      </c>
      <c r="K77" s="127">
        <v>43476</v>
      </c>
      <c r="L77" s="128">
        <v>2</v>
      </c>
      <c r="M77" s="128"/>
      <c r="N77" s="126">
        <v>5</v>
      </c>
      <c r="O77" s="126" t="s">
        <v>119</v>
      </c>
      <c r="P77" s="129"/>
      <c r="Q77" s="129"/>
      <c r="R77" s="126" t="s">
        <v>25</v>
      </c>
      <c r="S77" s="126"/>
      <c r="T77" s="130" t="s">
        <v>861</v>
      </c>
      <c r="U77" s="126"/>
      <c r="V77" s="130" t="s">
        <v>120</v>
      </c>
      <c r="W77" s="126"/>
      <c r="X77" s="130" t="s">
        <v>120</v>
      </c>
      <c r="Y77" s="126" t="s">
        <v>2168</v>
      </c>
      <c r="Z77" s="165" t="s">
        <v>125</v>
      </c>
      <c r="AA77" s="158"/>
      <c r="AB77" s="158"/>
      <c r="AC77" s="170"/>
      <c r="AD77" s="126" t="s">
        <v>2137</v>
      </c>
      <c r="AE77" s="130" t="s">
        <v>120</v>
      </c>
      <c r="AF77" s="127" t="s">
        <v>2072</v>
      </c>
      <c r="AG77" s="131"/>
      <c r="AH77" s="131"/>
      <c r="AI77" s="126" t="s">
        <v>1417</v>
      </c>
      <c r="AJ77" s="130" t="s">
        <v>120</v>
      </c>
      <c r="AK77" s="126" t="s">
        <v>240</v>
      </c>
      <c r="AL77" s="126" t="s">
        <v>1493</v>
      </c>
      <c r="AM77" s="130"/>
      <c r="AN77" s="126"/>
      <c r="AO77" s="132"/>
      <c r="AP77" s="126"/>
      <c r="AQ77" s="126"/>
      <c r="AR77" s="130"/>
      <c r="AS77" s="126"/>
      <c r="AT77" s="127">
        <v>43479.567152430602</v>
      </c>
      <c r="AU77" s="127">
        <v>43483.436934375</v>
      </c>
      <c r="AV77" s="127"/>
      <c r="AW77" s="127">
        <v>43479.567152430602</v>
      </c>
      <c r="AX77" s="127"/>
      <c r="AY77" s="127">
        <v>43479.408527662003</v>
      </c>
      <c r="AZ77" s="133"/>
      <c r="BA77" s="134">
        <f ca="1">IF(_05preva_view43[[#This Row],[Prevalidation Status]]="Under Prevalidation",NOW()-_05preva_view43[[#This Row],[Request Date]],IF(_05preva_view43[[#This Row],[Close Date]]&gt;_05preva_view43[[#This Row],[Request Date]],_05preva_view43[[#This Row],[Close Date]]-_05preva_view43[[#This Row],[Request Date]],"Not  Calculated"))</f>
        <v>12.70510648148047</v>
      </c>
      <c r="BB77" s="135">
        <f>COUNTIFS(_05preva_view43[Site ID],_05preva_view43[[#This Row],[Site ID]],_05preva_view43[Prevalidation Status],"Under Prevalidation")</f>
        <v>1</v>
      </c>
      <c r="BC77" s="157" t="e">
        <f ca="1">HYPERLINK(CheckPath(_05preva_view43[[#This Row],[File Path]],_05preva_view43[[#This Row],[File Path]],_05preva_view43[[#This Row],[Folder Path3]]),CheckPath(_05preva_view43[[#This Row],[File Path]],"Open File","No File"))</f>
        <v>#VALUE!</v>
      </c>
      <c r="BD77" s="136" t="str">
        <f>CONCATENATE(_05preva_view43[[#This Row],[Site ID]]," (",_05preva_view43[[#This Row],[tenant id]],") Application",IF(_05preva_view43[[#This Row],[Colo Rev]]&gt;0," Rev "&amp;_05preva_view43[[#This Row],[Colo Rev]],""),".xlsx")</f>
        <v>1-01-10003-013 (MDYMHAM065) Application Rev 0.xlsx</v>
      </c>
      <c r="BE77" s="64" t="e">
        <f t="shared" ca="1" si="2"/>
        <v>#VALUE!</v>
      </c>
      <c r="BF77" s="104" t="e">
        <f ca="1">LEFT(CELL("filename",A62),_05preva_view43[[#This Row],[Find Process &amp; Database]]-1)</f>
        <v>#VALUE!</v>
      </c>
      <c r="BG77" s="104" t="e">
        <f ca="1">_05preva_view43[Folder Path1]&amp;"Process &amp; Database\Documentation\Colo Applications"</f>
        <v>#VALUE!</v>
      </c>
      <c r="BH77" s="104" t="e">
        <f ca="1">_05preva_view43[Folder Path2]&amp;"\Colo App "&amp;_05preva_view43[[#This Row],[Operator]]&amp;"\"</f>
        <v>#VALUE!</v>
      </c>
      <c r="BI77" s="63" t="e">
        <f ca="1">_05preva_view43[[#This Row],[Folder Path3]]&amp;_05preva_view43[[#This Row],[File Name]]</f>
        <v>#VALUE!</v>
      </c>
      <c r="BJ77" s="104"/>
      <c r="BK77" s="3"/>
      <c r="BL77" s="3"/>
      <c r="CJ77" s="5"/>
      <c r="CK77" s="5"/>
      <c r="CL77" s="3"/>
      <c r="CN77" s="5"/>
      <c r="CR77" s="3"/>
      <c r="CS77" s="3"/>
      <c r="CT77" s="5"/>
      <c r="CV77" s="3"/>
      <c r="DR77" s="5"/>
      <c r="DT77" s="3"/>
      <c r="EF77" s="7"/>
      <c r="EG77" s="7"/>
      <c r="EJ77" s="4"/>
      <c r="EK77" s="4"/>
      <c r="EU77" s="2"/>
      <c r="EV77" s="2"/>
    </row>
    <row r="78" spans="1:152">
      <c r="A78" s="125">
        <v>3573</v>
      </c>
      <c r="B78" s="126" t="s">
        <v>348</v>
      </c>
      <c r="C78" s="126" t="s">
        <v>116</v>
      </c>
      <c r="D78" s="126" t="s">
        <v>127</v>
      </c>
      <c r="E78" s="126" t="s">
        <v>1818</v>
      </c>
      <c r="F78" s="126" t="s">
        <v>41</v>
      </c>
      <c r="G78" s="126" t="s">
        <v>1412</v>
      </c>
      <c r="H78" s="126" t="s">
        <v>1319</v>
      </c>
      <c r="I78" s="126" t="s">
        <v>1143</v>
      </c>
      <c r="J78" s="126" t="s">
        <v>1091</v>
      </c>
      <c r="K78" s="127">
        <v>43475</v>
      </c>
      <c r="L78" s="128">
        <v>2</v>
      </c>
      <c r="M78" s="128"/>
      <c r="N78" s="126">
        <v>5</v>
      </c>
      <c r="O78" s="126" t="s">
        <v>119</v>
      </c>
      <c r="P78" s="129" t="s">
        <v>284</v>
      </c>
      <c r="Q78" s="129" t="s">
        <v>285</v>
      </c>
      <c r="R78" s="126" t="s">
        <v>24</v>
      </c>
      <c r="S78" s="126"/>
      <c r="T78" s="130" t="s">
        <v>120</v>
      </c>
      <c r="U78" s="126" t="s">
        <v>1868</v>
      </c>
      <c r="V78" s="130" t="s">
        <v>120</v>
      </c>
      <c r="W78" s="126"/>
      <c r="X78" s="130" t="s">
        <v>120</v>
      </c>
      <c r="Y78" s="126" t="s">
        <v>1898</v>
      </c>
      <c r="Z78" s="165" t="s">
        <v>120</v>
      </c>
      <c r="AA78" s="158"/>
      <c r="AB78" s="158"/>
      <c r="AC78" s="170"/>
      <c r="AD78" s="126" t="s">
        <v>2083</v>
      </c>
      <c r="AE78" s="130" t="s">
        <v>120</v>
      </c>
      <c r="AF78" s="127" t="s">
        <v>1167</v>
      </c>
      <c r="AG78" s="131"/>
      <c r="AH78" s="131"/>
      <c r="AI78" s="126" t="s">
        <v>1417</v>
      </c>
      <c r="AJ78" s="130" t="s">
        <v>120</v>
      </c>
      <c r="AK78" s="126" t="s">
        <v>123</v>
      </c>
      <c r="AL78" s="126" t="s">
        <v>1418</v>
      </c>
      <c r="AM78" s="130"/>
      <c r="AN78" s="126"/>
      <c r="AO78" s="132"/>
      <c r="AP78" s="126"/>
      <c r="AQ78" s="126"/>
      <c r="AR78" s="130"/>
      <c r="AS78" s="126"/>
      <c r="AT78" s="127">
        <v>43476.450465509297</v>
      </c>
      <c r="AU78" s="127">
        <v>43479.6432277778</v>
      </c>
      <c r="AV78" s="127">
        <v>43479.390733911998</v>
      </c>
      <c r="AW78" s="127">
        <v>43476.450465509297</v>
      </c>
      <c r="AX78" s="127">
        <v>43475.646661226798</v>
      </c>
      <c r="AY78" s="127">
        <v>43475.965515972202</v>
      </c>
      <c r="AZ78" s="133">
        <v>43479.6894686343</v>
      </c>
      <c r="BA78" s="134">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B78" s="135">
        <f>COUNTIFS(_05preva_view43[Site ID],_05preva_view43[[#This Row],[Site ID]],_05preva_view43[Prevalidation Status],"Under Prevalidation")</f>
        <v>0</v>
      </c>
      <c r="BC78" s="157" t="e">
        <f ca="1">HYPERLINK(CheckPath(_05preva_view43[[#This Row],[File Path]],_05preva_view43[[#This Row],[File Path]],_05preva_view43[[#This Row],[Folder Path3]]),CheckPath(_05preva_view43[[#This Row],[File Path]],"Open File","No File"))</f>
        <v>#VALUE!</v>
      </c>
      <c r="BD78" s="136" t="str">
        <f>CONCATENATE(_05preva_view43[[#This Row],[Site ID]]," (",_05preva_view43[[#This Row],[tenant id]],") Application",IF(_05preva_view43[[#This Row],[Colo Rev]]&gt;0," Rev "&amp;_05preva_view43[[#This Row],[Colo Rev]],""),".xlsx")</f>
        <v>ANMD_0166 (MDYAMPR003) Application Rev .xlsx</v>
      </c>
      <c r="BE78" s="64" t="e">
        <f t="shared" ca="1" si="2"/>
        <v>#VALUE!</v>
      </c>
      <c r="BF78" s="104" t="e">
        <f ca="1">LEFT(CELL("filename",A63),_05preva_view43[[#This Row],[Find Process &amp; Database]]-1)</f>
        <v>#VALUE!</v>
      </c>
      <c r="BG78" s="104" t="e">
        <f ca="1">_05preva_view43[Folder Path1]&amp;"Process &amp; Database\Documentation\Colo Applications"</f>
        <v>#VALUE!</v>
      </c>
      <c r="BH78" s="104" t="e">
        <f ca="1">_05preva_view43[Folder Path2]&amp;"\Colo App "&amp;_05preva_view43[[#This Row],[Operator]]&amp;"\"</f>
        <v>#VALUE!</v>
      </c>
      <c r="BI78" s="63" t="e">
        <f ca="1">_05preva_view43[[#This Row],[Folder Path3]]&amp;_05preva_view43[[#This Row],[File Name]]</f>
        <v>#VALUE!</v>
      </c>
      <c r="BJ78" s="104"/>
      <c r="BK78" s="3"/>
      <c r="BL78" s="3"/>
      <c r="CJ78" s="5"/>
      <c r="CK78" s="5"/>
      <c r="CL78" s="3"/>
      <c r="CN78" s="5"/>
      <c r="CR78" s="3"/>
      <c r="CS78" s="3"/>
      <c r="CT78" s="5"/>
      <c r="CV78" s="3"/>
      <c r="DR78" s="5"/>
      <c r="DT78" s="3"/>
      <c r="EF78" s="7"/>
      <c r="EG78" s="7"/>
      <c r="EJ78" s="4"/>
      <c r="EK78" s="4"/>
      <c r="EU78" s="2"/>
      <c r="EV78" s="2"/>
    </row>
    <row r="79" spans="1:152">
      <c r="A79" s="125">
        <v>3574</v>
      </c>
      <c r="B79" s="126" t="s">
        <v>356</v>
      </c>
      <c r="C79" s="126" t="s">
        <v>116</v>
      </c>
      <c r="D79" s="126" t="s">
        <v>127</v>
      </c>
      <c r="E79" s="126" t="s">
        <v>1476</v>
      </c>
      <c r="F79" s="126" t="s">
        <v>41</v>
      </c>
      <c r="G79" s="126" t="s">
        <v>1412</v>
      </c>
      <c r="H79" s="126" t="s">
        <v>1319</v>
      </c>
      <c r="I79" s="126" t="s">
        <v>1143</v>
      </c>
      <c r="J79" s="126" t="s">
        <v>1091</v>
      </c>
      <c r="K79" s="127">
        <v>43475</v>
      </c>
      <c r="L79" s="128">
        <v>2</v>
      </c>
      <c r="M79" s="128"/>
      <c r="N79" s="126">
        <v>5</v>
      </c>
      <c r="O79" s="126" t="s">
        <v>119</v>
      </c>
      <c r="P79" s="129" t="s">
        <v>339</v>
      </c>
      <c r="Q79" s="129" t="s">
        <v>903</v>
      </c>
      <c r="R79" s="126" t="s">
        <v>25</v>
      </c>
      <c r="S79" s="126"/>
      <c r="T79" s="130" t="s">
        <v>861</v>
      </c>
      <c r="U79" s="126"/>
      <c r="V79" s="130" t="s">
        <v>120</v>
      </c>
      <c r="W79" s="126"/>
      <c r="X79" s="130" t="s">
        <v>120</v>
      </c>
      <c r="Y79" s="126" t="s">
        <v>1899</v>
      </c>
      <c r="Z79" s="165" t="s">
        <v>125</v>
      </c>
      <c r="AA79" s="158"/>
      <c r="AB79" s="158"/>
      <c r="AC79" s="170"/>
      <c r="AD79" s="126" t="s">
        <v>2084</v>
      </c>
      <c r="AE79" s="130" t="s">
        <v>120</v>
      </c>
      <c r="AF79" s="127" t="s">
        <v>2072</v>
      </c>
      <c r="AG79" s="131"/>
      <c r="AH79" s="131"/>
      <c r="AI79" s="126" t="s">
        <v>1417</v>
      </c>
      <c r="AJ79" s="130" t="s">
        <v>120</v>
      </c>
      <c r="AK79" s="126" t="s">
        <v>123</v>
      </c>
      <c r="AL79" s="126" t="s">
        <v>1900</v>
      </c>
      <c r="AM79" s="130"/>
      <c r="AN79" s="126"/>
      <c r="AO79" s="132"/>
      <c r="AP79" s="126"/>
      <c r="AQ79" s="126"/>
      <c r="AR79" s="130"/>
      <c r="AS79" s="126"/>
      <c r="AT79" s="127">
        <v>43476.450467476898</v>
      </c>
      <c r="AU79" s="127">
        <v>43483.4369248843</v>
      </c>
      <c r="AV79" s="127"/>
      <c r="AW79" s="127">
        <v>43476.450467476898</v>
      </c>
      <c r="AX79" s="127"/>
      <c r="AY79" s="127">
        <v>43475.965520717597</v>
      </c>
      <c r="AZ79" s="133"/>
      <c r="BA79" s="134">
        <f ca="1">IF(_05preva_view43[[#This Row],[Prevalidation Status]]="Under Prevalidation",NOW()-_05preva_view43[[#This Row],[Request Date]],IF(_05preva_view43[[#This Row],[Close Date]]&gt;_05preva_view43[[#This Row],[Request Date]],_05preva_view43[[#This Row],[Close Date]]-_05preva_view43[[#This Row],[Request Date]],"Not  Calculated"))</f>
        <v>13.70510648148047</v>
      </c>
      <c r="BB79" s="135">
        <f>COUNTIFS(_05preva_view43[Site ID],_05preva_view43[[#This Row],[Site ID]],_05preva_view43[Prevalidation Status],"Under Prevalidation")</f>
        <v>1</v>
      </c>
      <c r="BC79" s="157" t="e">
        <f ca="1">HYPERLINK(CheckPath(_05preva_view43[[#This Row],[File Path]],_05preva_view43[[#This Row],[File Path]],_05preva_view43[[#This Row],[Folder Path3]]),CheckPath(_05preva_view43[[#This Row],[File Path]],"Open File","No File"))</f>
        <v>#VALUE!</v>
      </c>
      <c r="BD79" s="136" t="str">
        <f>CONCATENATE(_05preva_view43[[#This Row],[Site ID]]," (",_05preva_view43[[#This Row],[tenant id]],") Application",IF(_05preva_view43[[#This Row],[Colo Rev]]&gt;0," Rev "&amp;_05preva_view43[[#This Row],[Colo Rev]],""),".xlsx")</f>
        <v>ANMD_0004 (MDYAMTZ010) Application Rev .xlsx</v>
      </c>
      <c r="BE79" s="64" t="e">
        <f t="shared" ca="1" si="2"/>
        <v>#VALUE!</v>
      </c>
      <c r="BF79" s="104" t="e">
        <f ca="1">LEFT(CELL("filename",A64),_05preva_view43[[#This Row],[Find Process &amp; Database]]-1)</f>
        <v>#VALUE!</v>
      </c>
      <c r="BG79" s="104" t="e">
        <f ca="1">_05preva_view43[Folder Path1]&amp;"Process &amp; Database\Documentation\Colo Applications"</f>
        <v>#VALUE!</v>
      </c>
      <c r="BH79" s="104" t="e">
        <f ca="1">_05preva_view43[Folder Path2]&amp;"\Colo App "&amp;_05preva_view43[[#This Row],[Operator]]&amp;"\"</f>
        <v>#VALUE!</v>
      </c>
      <c r="BI79" s="63" t="e">
        <f ca="1">_05preva_view43[[#This Row],[Folder Path3]]&amp;_05preva_view43[[#This Row],[File Name]]</f>
        <v>#VALUE!</v>
      </c>
      <c r="BJ79" s="104"/>
      <c r="BK79" s="3"/>
      <c r="BL79" s="3"/>
      <c r="CJ79" s="5"/>
      <c r="CK79" s="5"/>
      <c r="CL79" s="3"/>
      <c r="CN79" s="5"/>
      <c r="CR79" s="3"/>
      <c r="CS79" s="3"/>
      <c r="CT79" s="5"/>
      <c r="CV79" s="3"/>
      <c r="DR79" s="5"/>
      <c r="DT79" s="3"/>
      <c r="EF79" s="7"/>
      <c r="EG79" s="7"/>
      <c r="EJ79" s="4"/>
      <c r="EK79" s="4"/>
      <c r="EU79" s="2"/>
      <c r="EV79" s="2"/>
    </row>
    <row r="80" spans="1:152">
      <c r="A80" s="125">
        <v>3581</v>
      </c>
      <c r="B80" s="126" t="s">
        <v>1869</v>
      </c>
      <c r="C80" s="126" t="s">
        <v>331</v>
      </c>
      <c r="D80" s="126" t="s">
        <v>127</v>
      </c>
      <c r="E80" s="126" t="s">
        <v>1870</v>
      </c>
      <c r="F80" s="126" t="s">
        <v>35</v>
      </c>
      <c r="G80" s="126" t="s">
        <v>1583</v>
      </c>
      <c r="H80" s="126" t="s">
        <v>1575</v>
      </c>
      <c r="I80" s="126" t="s">
        <v>1263</v>
      </c>
      <c r="J80" s="126" t="s">
        <v>949</v>
      </c>
      <c r="K80" s="127">
        <v>43475</v>
      </c>
      <c r="L80" s="128">
        <v>1</v>
      </c>
      <c r="M80" s="128">
        <v>1.4</v>
      </c>
      <c r="N80" s="126"/>
      <c r="O80" s="126" t="s">
        <v>950</v>
      </c>
      <c r="P80" s="129" t="s">
        <v>958</v>
      </c>
      <c r="Q80" s="129" t="s">
        <v>959</v>
      </c>
      <c r="R80" s="126" t="s">
        <v>24</v>
      </c>
      <c r="S80" s="126"/>
      <c r="T80" s="130" t="s">
        <v>120</v>
      </c>
      <c r="U80" s="126"/>
      <c r="V80" s="130" t="s">
        <v>120</v>
      </c>
      <c r="W80" s="126"/>
      <c r="X80" s="130" t="s">
        <v>120</v>
      </c>
      <c r="Y80" s="126" t="s">
        <v>1901</v>
      </c>
      <c r="Z80" s="165" t="s">
        <v>120</v>
      </c>
      <c r="AA80" s="158"/>
      <c r="AB80" s="158"/>
      <c r="AC80" s="170" t="s">
        <v>123</v>
      </c>
      <c r="AD80" s="126" t="s">
        <v>2085</v>
      </c>
      <c r="AE80" s="130" t="s">
        <v>120</v>
      </c>
      <c r="AF80" s="127"/>
      <c r="AG80" s="131"/>
      <c r="AH80" s="131"/>
      <c r="AI80" s="126"/>
      <c r="AJ80" s="130" t="s">
        <v>120</v>
      </c>
      <c r="AK80" s="126" t="s">
        <v>123</v>
      </c>
      <c r="AL80" s="126" t="s">
        <v>1198</v>
      </c>
      <c r="AM80" s="130"/>
      <c r="AN80" s="126"/>
      <c r="AO80" s="132"/>
      <c r="AP80" s="126"/>
      <c r="AQ80" s="126"/>
      <c r="AR80" s="130"/>
      <c r="AS80" s="126"/>
      <c r="AT80" s="127">
        <v>43476.450474189798</v>
      </c>
      <c r="AU80" s="127">
        <v>43481.373403240701</v>
      </c>
      <c r="AV80" s="127">
        <v>43479.656267245402</v>
      </c>
      <c r="AW80" s="127">
        <v>43476.450474189798</v>
      </c>
      <c r="AX80" s="127">
        <v>43480.732231828697</v>
      </c>
      <c r="AY80" s="127">
        <v>43475.972906828698</v>
      </c>
      <c r="AZ80" s="133">
        <v>43481.412553356502</v>
      </c>
      <c r="BA80" s="134">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B80" s="135">
        <f>COUNTIFS(_05preva_view43[Site ID],_05preva_view43[[#This Row],[Site ID]],_05preva_view43[Prevalidation Status],"Under Prevalidation")</f>
        <v>1</v>
      </c>
      <c r="BC80" s="157" t="e">
        <f ca="1">HYPERLINK(CheckPath(_05preva_view43[[#This Row],[File Path]],_05preva_view43[[#This Row],[File Path]],_05preva_view43[[#This Row],[Folder Path3]]),CheckPath(_05preva_view43[[#This Row],[File Path]],"Open File","No File"))</f>
        <v>#VALUE!</v>
      </c>
      <c r="BD80" s="136" t="str">
        <f>CONCATENATE(_05preva_view43[[#This Row],[Site ID]]," (",_05preva_view43[[#This Row],[tenant id]],") Application",IF(_05preva_view43[[#This Row],[Colo Rev]]&gt;0," Rev "&amp;_05preva_view43[[#This Row],[Colo Rev]],""),".xlsx")</f>
        <v>1-01-10018-001 (MDY00339) Application Rev 2.xlsx</v>
      </c>
      <c r="BE80" s="64" t="e">
        <f t="shared" ref="BE80:BE143" ca="1" si="3">FIND("Process &amp; Database\",CELL("filename",$A$1))</f>
        <v>#VALUE!</v>
      </c>
      <c r="BF80" s="104" t="e">
        <f ca="1">LEFT(CELL("filename",A65),_05preva_view43[[#This Row],[Find Process &amp; Database]]-1)</f>
        <v>#VALUE!</v>
      </c>
      <c r="BG80" s="104" t="e">
        <f ca="1">_05preva_view43[Folder Path1]&amp;"Process &amp; Database\Documentation\Colo Applications"</f>
        <v>#VALUE!</v>
      </c>
      <c r="BH80" s="104" t="e">
        <f ca="1">_05preva_view43[Folder Path2]&amp;"\Colo App "&amp;_05preva_view43[[#This Row],[Operator]]&amp;"\"</f>
        <v>#VALUE!</v>
      </c>
      <c r="BI80" s="63" t="e">
        <f ca="1">_05preva_view43[[#This Row],[Folder Path3]]&amp;_05preva_view43[[#This Row],[File Name]]</f>
        <v>#VALUE!</v>
      </c>
      <c r="BJ80" s="104"/>
      <c r="BK80" s="3"/>
      <c r="BL80" s="3"/>
      <c r="CJ80" s="5"/>
      <c r="CK80" s="5"/>
      <c r="CL80" s="3"/>
      <c r="CN80" s="5"/>
      <c r="CR80" s="3"/>
      <c r="CS80" s="3"/>
      <c r="CT80" s="5"/>
      <c r="CV80" s="3"/>
      <c r="DR80" s="5"/>
      <c r="DT80" s="3"/>
      <c r="EF80" s="7"/>
      <c r="EG80" s="7"/>
      <c r="EJ80" s="4"/>
      <c r="EK80" s="4"/>
      <c r="EU80" s="2"/>
      <c r="EV80" s="2"/>
    </row>
    <row r="81" spans="1:152">
      <c r="A81" s="125">
        <v>3582</v>
      </c>
      <c r="B81" s="126" t="s">
        <v>1871</v>
      </c>
      <c r="C81" s="126" t="s">
        <v>331</v>
      </c>
      <c r="D81" s="126" t="s">
        <v>127</v>
      </c>
      <c r="E81" s="126" t="s">
        <v>1872</v>
      </c>
      <c r="F81" s="126" t="s">
        <v>35</v>
      </c>
      <c r="G81" s="126" t="s">
        <v>1583</v>
      </c>
      <c r="H81" s="126" t="s">
        <v>1575</v>
      </c>
      <c r="I81" s="126" t="s">
        <v>1263</v>
      </c>
      <c r="J81" s="126" t="s">
        <v>931</v>
      </c>
      <c r="K81" s="127">
        <v>43475</v>
      </c>
      <c r="L81" s="128">
        <v>1.054</v>
      </c>
      <c r="M81" s="128">
        <v>1.522</v>
      </c>
      <c r="N81" s="126"/>
      <c r="O81" s="126" t="s">
        <v>950</v>
      </c>
      <c r="P81" s="129" t="s">
        <v>958</v>
      </c>
      <c r="Q81" s="129" t="s">
        <v>959</v>
      </c>
      <c r="R81" s="126" t="s">
        <v>24</v>
      </c>
      <c r="S81" s="126"/>
      <c r="T81" s="130" t="s">
        <v>120</v>
      </c>
      <c r="U81" s="126"/>
      <c r="V81" s="130" t="s">
        <v>120</v>
      </c>
      <c r="W81" s="126"/>
      <c r="X81" s="130" t="s">
        <v>120</v>
      </c>
      <c r="Y81" s="126" t="s">
        <v>1902</v>
      </c>
      <c r="Z81" s="165" t="s">
        <v>120</v>
      </c>
      <c r="AA81" s="158"/>
      <c r="AB81" s="158"/>
      <c r="AC81" s="170" t="s">
        <v>123</v>
      </c>
      <c r="AD81" s="126" t="s">
        <v>2086</v>
      </c>
      <c r="AE81" s="130" t="s">
        <v>120</v>
      </c>
      <c r="AF81" s="127"/>
      <c r="AG81" s="131"/>
      <c r="AH81" s="131"/>
      <c r="AI81" s="126"/>
      <c r="AJ81" s="130" t="s">
        <v>120</v>
      </c>
      <c r="AK81" s="126" t="s">
        <v>123</v>
      </c>
      <c r="AL81" s="126" t="s">
        <v>1198</v>
      </c>
      <c r="AM81" s="130"/>
      <c r="AN81" s="126"/>
      <c r="AO81" s="132"/>
      <c r="AP81" s="126"/>
      <c r="AQ81" s="126"/>
      <c r="AR81" s="130"/>
      <c r="AS81" s="126"/>
      <c r="AT81" s="127">
        <v>43476.450476157399</v>
      </c>
      <c r="AU81" s="127">
        <v>43481.373406944404</v>
      </c>
      <c r="AV81" s="127">
        <v>43479.656268286999</v>
      </c>
      <c r="AW81" s="127">
        <v>43476.472692476898</v>
      </c>
      <c r="AX81" s="127">
        <v>43480.732232754599</v>
      </c>
      <c r="AY81" s="127">
        <v>43475.972908680596</v>
      </c>
      <c r="AZ81" s="133">
        <v>43481.412554282397</v>
      </c>
      <c r="BA81" s="134">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B81" s="135">
        <f>COUNTIFS(_05preva_view43[Site ID],_05preva_view43[[#This Row],[Site ID]],_05preva_view43[Prevalidation Status],"Under Prevalidation")</f>
        <v>0</v>
      </c>
      <c r="BC81" s="157" t="e">
        <f ca="1">HYPERLINK(CheckPath(_05preva_view43[[#This Row],[File Path]],_05preva_view43[[#This Row],[File Path]],_05preva_view43[[#This Row],[Folder Path3]]),CheckPath(_05preva_view43[[#This Row],[File Path]],"Open File","No File"))</f>
        <v>#VALUE!</v>
      </c>
      <c r="BD81" s="136" t="str">
        <f>CONCATENATE(_05preva_view43[[#This Row],[Site ID]]," (",_05preva_view43[[#This Row],[tenant id]],") Application",IF(_05preva_view43[[#This Row],[Colo Rev]]&gt;0," Rev "&amp;_05preva_view43[[#This Row],[Colo Rev]],""),".xlsx")</f>
        <v>1-01-15013-009 (SHN00040) Application Rev 1.xlsx</v>
      </c>
      <c r="BE81" s="64" t="e">
        <f t="shared" ca="1" si="3"/>
        <v>#VALUE!</v>
      </c>
      <c r="BF81" s="104" t="e">
        <f ca="1">LEFT(CELL("filename",A66),_05preva_view43[[#This Row],[Find Process &amp; Database]]-1)</f>
        <v>#VALUE!</v>
      </c>
      <c r="BG81" s="104" t="e">
        <f ca="1">_05preva_view43[Folder Path1]&amp;"Process &amp; Database\Documentation\Colo Applications"</f>
        <v>#VALUE!</v>
      </c>
      <c r="BH81" s="104" t="e">
        <f ca="1">_05preva_view43[Folder Path2]&amp;"\Colo App "&amp;_05preva_view43[[#This Row],[Operator]]&amp;"\"</f>
        <v>#VALUE!</v>
      </c>
      <c r="BI81" s="63" t="e">
        <f ca="1">_05preva_view43[[#This Row],[Folder Path3]]&amp;_05preva_view43[[#This Row],[File Name]]</f>
        <v>#VALUE!</v>
      </c>
      <c r="BJ81" s="104"/>
      <c r="BK81" s="3"/>
      <c r="BL81" s="3"/>
      <c r="CJ81" s="5"/>
      <c r="CK81" s="5"/>
      <c r="CL81" s="3"/>
      <c r="CN81" s="5"/>
      <c r="CR81" s="3"/>
      <c r="CS81" s="3"/>
      <c r="CT81" s="5"/>
      <c r="CV81" s="3"/>
      <c r="DR81" s="5"/>
      <c r="DT81" s="3"/>
      <c r="EF81" s="7"/>
      <c r="EG81" s="7"/>
      <c r="EJ81" s="4"/>
      <c r="EK81" s="4"/>
      <c r="EU81" s="2"/>
      <c r="EV81" s="2"/>
    </row>
    <row r="82" spans="1:152">
      <c r="A82" s="125">
        <v>3583</v>
      </c>
      <c r="B82" s="126" t="s">
        <v>1344</v>
      </c>
      <c r="C82" s="126" t="s">
        <v>331</v>
      </c>
      <c r="D82" s="126" t="s">
        <v>127</v>
      </c>
      <c r="E82" s="126" t="s">
        <v>1345</v>
      </c>
      <c r="F82" s="126" t="s">
        <v>35</v>
      </c>
      <c r="G82" s="126" t="s">
        <v>1583</v>
      </c>
      <c r="H82" s="126" t="s">
        <v>1575</v>
      </c>
      <c r="I82" s="126" t="s">
        <v>1288</v>
      </c>
      <c r="J82" s="126" t="s">
        <v>990</v>
      </c>
      <c r="K82" s="127">
        <v>43475</v>
      </c>
      <c r="L82" s="128">
        <v>1.399</v>
      </c>
      <c r="M82" s="128">
        <v>2.1989999999999998</v>
      </c>
      <c r="N82" s="126"/>
      <c r="O82" s="126" t="s">
        <v>950</v>
      </c>
      <c r="P82" s="129" t="s">
        <v>1275</v>
      </c>
      <c r="Q82" s="129" t="s">
        <v>1276</v>
      </c>
      <c r="R82" s="126" t="s">
        <v>24</v>
      </c>
      <c r="S82" s="126"/>
      <c r="T82" s="130" t="s">
        <v>120</v>
      </c>
      <c r="U82" s="126"/>
      <c r="V82" s="130" t="s">
        <v>120</v>
      </c>
      <c r="W82" s="126"/>
      <c r="X82" s="130" t="s">
        <v>120</v>
      </c>
      <c r="Y82" s="126" t="s">
        <v>1903</v>
      </c>
      <c r="Z82" s="165" t="s">
        <v>120</v>
      </c>
      <c r="AA82" s="158"/>
      <c r="AB82" s="158"/>
      <c r="AC82" s="170" t="s">
        <v>123</v>
      </c>
      <c r="AD82" s="126" t="s">
        <v>2087</v>
      </c>
      <c r="AE82" s="130" t="s">
        <v>120</v>
      </c>
      <c r="AF82" s="127"/>
      <c r="AG82" s="131"/>
      <c r="AH82" s="131"/>
      <c r="AI82" s="126"/>
      <c r="AJ82" s="130" t="s">
        <v>120</v>
      </c>
      <c r="AK82" s="126" t="s">
        <v>123</v>
      </c>
      <c r="AL82" s="126" t="s">
        <v>1198</v>
      </c>
      <c r="AM82" s="130"/>
      <c r="AN82" s="126"/>
      <c r="AO82" s="132"/>
      <c r="AP82" s="126"/>
      <c r="AQ82" s="126"/>
      <c r="AR82" s="130"/>
      <c r="AS82" s="126"/>
      <c r="AT82" s="127">
        <v>43476.450479282401</v>
      </c>
      <c r="AU82" s="127">
        <v>43481.373410763903</v>
      </c>
      <c r="AV82" s="127">
        <v>43479.705827777798</v>
      </c>
      <c r="AW82" s="127">
        <v>43476.472693981501</v>
      </c>
      <c r="AX82" s="127">
        <v>43480.732239236102</v>
      </c>
      <c r="AY82" s="127">
        <v>43475.9729113426</v>
      </c>
      <c r="AZ82" s="133">
        <v>43481.412555324103</v>
      </c>
      <c r="BA82" s="134">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B82" s="135">
        <f>COUNTIFS(_05preva_view43[Site ID],_05preva_view43[[#This Row],[Site ID]],_05preva_view43[Prevalidation Status],"Under Prevalidation")</f>
        <v>0</v>
      </c>
      <c r="BC82" s="157" t="e">
        <f ca="1">HYPERLINK(CheckPath(_05preva_view43[[#This Row],[File Path]],_05preva_view43[[#This Row],[File Path]],_05preva_view43[[#This Row],[Folder Path3]]),CheckPath(_05preva_view43[[#This Row],[File Path]],"Open File","No File"))</f>
        <v>#VALUE!</v>
      </c>
      <c r="BD82" s="136" t="str">
        <f>CONCATENATE(_05preva_view43[[#This Row],[Site ID]]," (",_05preva_view43[[#This Row],[tenant id]],") Application",IF(_05preva_view43[[#This Row],[Colo Rev]]&gt;0," Rev "&amp;_05preva_view43[[#This Row],[Colo Rev]],""),".xlsx")</f>
        <v>1-01-15013-004 (SHN00327) Application Rev 3.xlsx</v>
      </c>
      <c r="BE82" s="64" t="e">
        <f t="shared" ca="1" si="3"/>
        <v>#VALUE!</v>
      </c>
      <c r="BF82" s="104" t="e">
        <f ca="1">LEFT(CELL("filename",A67),_05preva_view43[[#This Row],[Find Process &amp; Database]]-1)</f>
        <v>#VALUE!</v>
      </c>
      <c r="BG82" s="104" t="e">
        <f ca="1">_05preva_view43[Folder Path1]&amp;"Process &amp; Database\Documentation\Colo Applications"</f>
        <v>#VALUE!</v>
      </c>
      <c r="BH82" s="104" t="e">
        <f ca="1">_05preva_view43[Folder Path2]&amp;"\Colo App "&amp;_05preva_view43[[#This Row],[Operator]]&amp;"\"</f>
        <v>#VALUE!</v>
      </c>
      <c r="BI82" s="63" t="e">
        <f ca="1">_05preva_view43[[#This Row],[Folder Path3]]&amp;_05preva_view43[[#This Row],[File Name]]</f>
        <v>#VALUE!</v>
      </c>
      <c r="BJ82" s="104"/>
      <c r="BK82" s="3"/>
      <c r="BL82" s="3"/>
      <c r="CJ82" s="5"/>
      <c r="CK82" s="5"/>
      <c r="CL82" s="3"/>
      <c r="CN82" s="5"/>
      <c r="CR82" s="3"/>
      <c r="CS82" s="3"/>
      <c r="CT82" s="5"/>
      <c r="CV82" s="3"/>
      <c r="DR82" s="5"/>
      <c r="DT82" s="3"/>
      <c r="EF82" s="7"/>
      <c r="EG82" s="7"/>
      <c r="EJ82" s="4"/>
      <c r="EK82" s="4"/>
      <c r="EU82" s="2"/>
      <c r="EV82" s="2"/>
    </row>
    <row r="83" spans="1:152">
      <c r="A83" s="125">
        <v>3572</v>
      </c>
      <c r="B83" s="126" t="s">
        <v>1819</v>
      </c>
      <c r="C83" s="126" t="s">
        <v>116</v>
      </c>
      <c r="D83" s="126" t="s">
        <v>117</v>
      </c>
      <c r="E83" s="126" t="s">
        <v>1820</v>
      </c>
      <c r="F83" s="126" t="s">
        <v>35</v>
      </c>
      <c r="G83" s="126" t="s">
        <v>1577</v>
      </c>
      <c r="H83" s="126" t="s">
        <v>1575</v>
      </c>
      <c r="I83" s="126" t="s">
        <v>1053</v>
      </c>
      <c r="J83" s="126" t="s">
        <v>949</v>
      </c>
      <c r="K83" s="127">
        <v>43474</v>
      </c>
      <c r="L83" s="128">
        <v>1.9890000000000001</v>
      </c>
      <c r="M83" s="128">
        <v>3.5489999999999999</v>
      </c>
      <c r="N83" s="126">
        <v>6</v>
      </c>
      <c r="O83" s="126" t="s">
        <v>119</v>
      </c>
      <c r="P83" s="129" t="s">
        <v>263</v>
      </c>
      <c r="Q83" s="129" t="s">
        <v>264</v>
      </c>
      <c r="R83" s="126" t="s">
        <v>24</v>
      </c>
      <c r="S83" s="126"/>
      <c r="T83" s="130" t="s">
        <v>120</v>
      </c>
      <c r="U83" s="126" t="s">
        <v>1873</v>
      </c>
      <c r="V83" s="130" t="s">
        <v>120</v>
      </c>
      <c r="W83" s="126"/>
      <c r="X83" s="130" t="s">
        <v>120</v>
      </c>
      <c r="Y83" s="126" t="s">
        <v>1874</v>
      </c>
      <c r="Z83" s="165" t="s">
        <v>120</v>
      </c>
      <c r="AA83" s="158"/>
      <c r="AB83" s="158"/>
      <c r="AC83" s="170" t="s">
        <v>123</v>
      </c>
      <c r="AD83" s="126" t="s">
        <v>2088</v>
      </c>
      <c r="AE83" s="130" t="s">
        <v>120</v>
      </c>
      <c r="AF83" s="127"/>
      <c r="AG83" s="131"/>
      <c r="AH83" s="131"/>
      <c r="AI83" s="126"/>
      <c r="AJ83" s="130" t="s">
        <v>120</v>
      </c>
      <c r="AK83" s="126" t="s">
        <v>123</v>
      </c>
      <c r="AL83" s="126" t="s">
        <v>1198</v>
      </c>
      <c r="AM83" s="130"/>
      <c r="AN83" s="126"/>
      <c r="AO83" s="132"/>
      <c r="AP83" s="126"/>
      <c r="AQ83" s="126"/>
      <c r="AR83" s="130"/>
      <c r="AS83" s="126"/>
      <c r="AT83" s="127">
        <v>43476.450463541703</v>
      </c>
      <c r="AU83" s="127">
        <v>43480.567763310202</v>
      </c>
      <c r="AV83" s="127">
        <v>43479.705824305602</v>
      </c>
      <c r="AW83" s="127">
        <v>43476.450463541703</v>
      </c>
      <c r="AX83" s="127">
        <v>43475.646655439799</v>
      </c>
      <c r="AY83" s="127">
        <v>43475.965510532398</v>
      </c>
      <c r="AZ83" s="133">
        <v>43481.412552661997</v>
      </c>
      <c r="BA83" s="134">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B83" s="135">
        <f>COUNTIFS(_05preva_view43[Site ID],_05preva_view43[[#This Row],[Site ID]],_05preva_view43[Prevalidation Status],"Under Prevalidation")</f>
        <v>0</v>
      </c>
      <c r="BC83" s="157" t="e">
        <f ca="1">HYPERLINK(CheckPath(_05preva_view43[[#This Row],[File Path]],_05preva_view43[[#This Row],[File Path]],_05preva_view43[[#This Row],[Folder Path3]]),CheckPath(_05preva_view43[[#This Row],[File Path]],"Open File","No File"))</f>
        <v>#VALUE!</v>
      </c>
      <c r="BD83" s="136" t="str">
        <f>CONCATENATE(_05preva_view43[[#This Row],[Site ID]]," (",_05preva_view43[[#This Row],[tenant id]],") Application",IF(_05preva_view43[[#This Row],[Colo Rev]]&gt;0," Rev "&amp;_05preva_view43[[#This Row],[Colo Rev]],""),".xlsx")</f>
        <v>ANMG_0034 (MGW00303) Application Rev 2.xlsx</v>
      </c>
      <c r="BE83" s="64" t="e">
        <f t="shared" ca="1" si="3"/>
        <v>#VALUE!</v>
      </c>
      <c r="BF83" s="104" t="e">
        <f ca="1">LEFT(CELL("filename",A68),_05preva_view43[[#This Row],[Find Process &amp; Database]]-1)</f>
        <v>#VALUE!</v>
      </c>
      <c r="BG83" s="104" t="e">
        <f ca="1">_05preva_view43[Folder Path1]&amp;"Process &amp; Database\Documentation\Colo Applications"</f>
        <v>#VALUE!</v>
      </c>
      <c r="BH83" s="104" t="e">
        <f ca="1">_05preva_view43[Folder Path2]&amp;"\Colo App "&amp;_05preva_view43[[#This Row],[Operator]]&amp;"\"</f>
        <v>#VALUE!</v>
      </c>
      <c r="BI83" s="63" t="e">
        <f ca="1">_05preva_view43[[#This Row],[Folder Path3]]&amp;_05preva_view43[[#This Row],[File Name]]</f>
        <v>#VALUE!</v>
      </c>
      <c r="BJ83" s="104"/>
      <c r="BK83" s="3"/>
      <c r="BL83" s="3"/>
      <c r="CJ83" s="5"/>
      <c r="CK83" s="5"/>
      <c r="CL83" s="3"/>
      <c r="CN83" s="5"/>
      <c r="CR83" s="3"/>
      <c r="CS83" s="3"/>
      <c r="CT83" s="5"/>
      <c r="CV83" s="3"/>
      <c r="DR83" s="5"/>
      <c r="DT83" s="3"/>
      <c r="EF83" s="7"/>
      <c r="EG83" s="7"/>
      <c r="EJ83" s="4"/>
      <c r="EK83" s="4"/>
      <c r="EU83" s="2"/>
      <c r="EV83" s="2"/>
    </row>
    <row r="84" spans="1:152">
      <c r="A84" s="125">
        <v>3559</v>
      </c>
      <c r="B84" s="126" t="s">
        <v>1815</v>
      </c>
      <c r="C84" s="126" t="s">
        <v>331</v>
      </c>
      <c r="D84" s="126" t="s">
        <v>117</v>
      </c>
      <c r="E84" s="126" t="s">
        <v>1816</v>
      </c>
      <c r="F84" s="126" t="s">
        <v>38</v>
      </c>
      <c r="G84" s="126" t="s">
        <v>1586</v>
      </c>
      <c r="H84" s="126" t="s">
        <v>1575</v>
      </c>
      <c r="I84" s="126" t="s">
        <v>1341</v>
      </c>
      <c r="J84" s="126" t="s">
        <v>949</v>
      </c>
      <c r="K84" s="127">
        <v>43473</v>
      </c>
      <c r="L84" s="128"/>
      <c r="M84" s="128"/>
      <c r="N84" s="126">
        <v>4.46</v>
      </c>
      <c r="O84" s="126" t="s">
        <v>950</v>
      </c>
      <c r="P84" s="129" t="s">
        <v>1275</v>
      </c>
      <c r="Q84" s="129" t="s">
        <v>1276</v>
      </c>
      <c r="R84" s="126" t="s">
        <v>24</v>
      </c>
      <c r="S84" s="126"/>
      <c r="T84" s="130" t="s">
        <v>861</v>
      </c>
      <c r="U84" s="126"/>
      <c r="V84" s="130" t="s">
        <v>861</v>
      </c>
      <c r="W84" s="126"/>
      <c r="X84" s="130" t="s">
        <v>120</v>
      </c>
      <c r="Y84" s="126" t="s">
        <v>1817</v>
      </c>
      <c r="Z84" s="165" t="s">
        <v>120</v>
      </c>
      <c r="AA84" s="158"/>
      <c r="AB84" s="158"/>
      <c r="AC84" s="170" t="s">
        <v>123</v>
      </c>
      <c r="AD84" s="126" t="s">
        <v>1904</v>
      </c>
      <c r="AE84" s="130" t="s">
        <v>861</v>
      </c>
      <c r="AF84" s="127"/>
      <c r="AG84" s="131"/>
      <c r="AH84" s="131"/>
      <c r="AI84" s="126"/>
      <c r="AJ84" s="130" t="s">
        <v>120</v>
      </c>
      <c r="AK84" s="126" t="s">
        <v>123</v>
      </c>
      <c r="AL84" s="126" t="s">
        <v>1198</v>
      </c>
      <c r="AM84" s="130"/>
      <c r="AN84" s="126"/>
      <c r="AO84" s="132"/>
      <c r="AP84" s="126"/>
      <c r="AQ84" s="126"/>
      <c r="AR84" s="130"/>
      <c r="AS84" s="126"/>
      <c r="AT84" s="127">
        <v>43473.477749884303</v>
      </c>
      <c r="AU84" s="127"/>
      <c r="AV84" s="127">
        <v>43476.662509606504</v>
      </c>
      <c r="AW84" s="127">
        <v>43473.477749884303</v>
      </c>
      <c r="AX84" s="127"/>
      <c r="AY84" s="127"/>
      <c r="AZ84" s="133">
        <v>43476.692903472198</v>
      </c>
      <c r="BA84" s="134">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B84" s="135">
        <f>COUNTIFS(_05preva_view43[Site ID],_05preva_view43[[#This Row],[Site ID]],_05preva_view43[Prevalidation Status],"Under Prevalidation")</f>
        <v>0</v>
      </c>
      <c r="BC84" s="157" t="e">
        <f ca="1">HYPERLINK(CheckPath(_05preva_view43[[#This Row],[File Path]],_05preva_view43[[#This Row],[File Path]],_05preva_view43[[#This Row],[Folder Path3]]),CheckPath(_05preva_view43[[#This Row],[File Path]],"Open File","No File"))</f>
        <v>#VALUE!</v>
      </c>
      <c r="BD84" s="136" t="str">
        <f>CONCATENATE(_05preva_view43[[#This Row],[Site ID]]," (",_05preva_view43[[#This Row],[tenant id]],") Application",IF(_05preva_view43[[#This Row],[Colo Rev]]&gt;0," Rev "&amp;_05preva_view43[[#This Row],[Colo Rev]],""),".xlsx")</f>
        <v>1-01-12016-011 (RA0021) Application Rev 2.xlsx</v>
      </c>
      <c r="BE84" s="64" t="e">
        <f t="shared" ca="1" si="3"/>
        <v>#VALUE!</v>
      </c>
      <c r="BF84" s="104" t="e">
        <f ca="1">LEFT(CELL("filename",A69),_05preva_view43[[#This Row],[Find Process &amp; Database]]-1)</f>
        <v>#VALUE!</v>
      </c>
      <c r="BG84" s="104" t="e">
        <f ca="1">_05preva_view43[Folder Path1]&amp;"Process &amp; Database\Documentation\Colo Applications"</f>
        <v>#VALUE!</v>
      </c>
      <c r="BH84" s="104" t="e">
        <f ca="1">_05preva_view43[Folder Path2]&amp;"\Colo App "&amp;_05preva_view43[[#This Row],[Operator]]&amp;"\"</f>
        <v>#VALUE!</v>
      </c>
      <c r="BI84" s="63" t="e">
        <f ca="1">_05preva_view43[[#This Row],[Folder Path3]]&amp;_05preva_view43[[#This Row],[File Name]]</f>
        <v>#VALUE!</v>
      </c>
      <c r="BJ84" s="104"/>
      <c r="BK84" s="3"/>
      <c r="BL84" s="3"/>
      <c r="CJ84" s="5"/>
      <c r="CK84" s="5"/>
      <c r="CL84" s="3"/>
      <c r="CN84" s="5"/>
      <c r="CR84" s="3"/>
      <c r="CS84" s="3"/>
      <c r="CT84" s="5"/>
      <c r="CV84" s="3"/>
      <c r="DR84" s="5"/>
      <c r="DT84" s="3"/>
      <c r="EF84" s="7"/>
      <c r="EG84" s="7"/>
      <c r="EJ84" s="4"/>
      <c r="EK84" s="4"/>
      <c r="EU84" s="2"/>
      <c r="EV84" s="2"/>
    </row>
    <row r="85" spans="1:152">
      <c r="A85" s="125">
        <v>3560</v>
      </c>
      <c r="B85" s="126" t="s">
        <v>1821</v>
      </c>
      <c r="C85" s="126" t="s">
        <v>116</v>
      </c>
      <c r="D85" s="126" t="s">
        <v>127</v>
      </c>
      <c r="E85" s="126" t="s">
        <v>1822</v>
      </c>
      <c r="F85" s="126" t="s">
        <v>35</v>
      </c>
      <c r="G85" s="126" t="s">
        <v>1577</v>
      </c>
      <c r="H85" s="126" t="s">
        <v>1575</v>
      </c>
      <c r="I85" s="126" t="s">
        <v>1288</v>
      </c>
      <c r="J85" s="126" t="s">
        <v>949</v>
      </c>
      <c r="K85" s="127">
        <v>43473</v>
      </c>
      <c r="L85" s="128">
        <v>1.399</v>
      </c>
      <c r="M85" s="128">
        <v>2.2610000000000001</v>
      </c>
      <c r="N85" s="126">
        <v>5.76</v>
      </c>
      <c r="O85" s="126" t="s">
        <v>119</v>
      </c>
      <c r="P85" s="129" t="s">
        <v>968</v>
      </c>
      <c r="Q85" s="129" t="s">
        <v>969</v>
      </c>
      <c r="R85" s="126" t="s">
        <v>24</v>
      </c>
      <c r="S85" s="126"/>
      <c r="T85" s="130" t="s">
        <v>120</v>
      </c>
      <c r="U85" s="126" t="s">
        <v>1875</v>
      </c>
      <c r="V85" s="130" t="s">
        <v>120</v>
      </c>
      <c r="W85" s="126"/>
      <c r="X85" s="130" t="s">
        <v>120</v>
      </c>
      <c r="Y85" s="126" t="s">
        <v>1823</v>
      </c>
      <c r="Z85" s="165" t="s">
        <v>120</v>
      </c>
      <c r="AA85" s="158"/>
      <c r="AB85" s="158"/>
      <c r="AC85" s="170" t="s">
        <v>123</v>
      </c>
      <c r="AD85" s="126" t="s">
        <v>1876</v>
      </c>
      <c r="AE85" s="130" t="s">
        <v>120</v>
      </c>
      <c r="AF85" s="127"/>
      <c r="AG85" s="131"/>
      <c r="AH85" s="131"/>
      <c r="AI85" s="126"/>
      <c r="AJ85" s="130" t="s">
        <v>120</v>
      </c>
      <c r="AK85" s="126" t="s">
        <v>123</v>
      </c>
      <c r="AL85" s="126" t="s">
        <v>1198</v>
      </c>
      <c r="AM85" s="130"/>
      <c r="AN85" s="126"/>
      <c r="AO85" s="132"/>
      <c r="AP85" s="126"/>
      <c r="AQ85" s="126"/>
      <c r="AR85" s="130"/>
      <c r="AS85" s="126"/>
      <c r="AT85" s="127">
        <v>43474.5008079861</v>
      </c>
      <c r="AU85" s="127">
        <v>43479.735462962999</v>
      </c>
      <c r="AV85" s="127">
        <v>43475.484935300898</v>
      </c>
      <c r="AW85" s="127">
        <v>43474.5008079861</v>
      </c>
      <c r="AX85" s="127">
        <v>43475.646623726898</v>
      </c>
      <c r="AY85" s="127">
        <v>43473.725844328699</v>
      </c>
      <c r="AZ85" s="133">
        <v>43480.437813194403</v>
      </c>
      <c r="BA85" s="134">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B85" s="135">
        <f>COUNTIFS(_05preva_view43[Site ID],_05preva_view43[[#This Row],[Site ID]],_05preva_view43[Prevalidation Status],"Under Prevalidation")</f>
        <v>0</v>
      </c>
      <c r="BC85" s="157" t="e">
        <f ca="1">HYPERLINK(CheckPath(_05preva_view43[[#This Row],[File Path]],_05preva_view43[[#This Row],[File Path]],_05preva_view43[[#This Row],[Folder Path3]]),CheckPath(_05preva_view43[[#This Row],[File Path]],"Open File","No File"))</f>
        <v>#VALUE!</v>
      </c>
      <c r="BD85" s="136" t="str">
        <f>CONCATENATE(_05preva_view43[[#This Row],[Site ID]]," (",_05preva_view43[[#This Row],[tenant id]],") Application",IF(_05preva_view43[[#This Row],[Colo Rev]]&gt;0," Rev "&amp;_05preva_view43[[#This Row],[Colo Rev]],""),".xlsx")</f>
        <v>ANKC_0024 (KCN00341) Application Rev 2.xlsx</v>
      </c>
      <c r="BE85" s="64" t="e">
        <f t="shared" ca="1" si="3"/>
        <v>#VALUE!</v>
      </c>
      <c r="BF85" s="104" t="e">
        <f ca="1">LEFT(CELL("filename",A70),_05preva_view43[[#This Row],[Find Process &amp; Database]]-1)</f>
        <v>#VALUE!</v>
      </c>
      <c r="BG85" s="104" t="e">
        <f ca="1">_05preva_view43[Folder Path1]&amp;"Process &amp; Database\Documentation\Colo Applications"</f>
        <v>#VALUE!</v>
      </c>
      <c r="BH85" s="104" t="e">
        <f ca="1">_05preva_view43[Folder Path2]&amp;"\Colo App "&amp;_05preva_view43[[#This Row],[Operator]]&amp;"\"</f>
        <v>#VALUE!</v>
      </c>
      <c r="BI85" s="63" t="e">
        <f ca="1">_05preva_view43[[#This Row],[Folder Path3]]&amp;_05preva_view43[[#This Row],[File Name]]</f>
        <v>#VALUE!</v>
      </c>
      <c r="BJ85" s="104"/>
      <c r="BK85" s="3"/>
      <c r="BL85" s="3"/>
      <c r="CJ85" s="5"/>
      <c r="CK85" s="5"/>
      <c r="CL85" s="3"/>
      <c r="CN85" s="5"/>
      <c r="CR85" s="3"/>
      <c r="CS85" s="3"/>
      <c r="CT85" s="5"/>
      <c r="CV85" s="3"/>
      <c r="DR85" s="5"/>
      <c r="DT85" s="3"/>
      <c r="EF85" s="7"/>
      <c r="EG85" s="7"/>
      <c r="EJ85" s="4"/>
      <c r="EK85" s="4"/>
      <c r="EU85" s="2"/>
      <c r="EV85" s="2"/>
    </row>
    <row r="86" spans="1:152">
      <c r="A86" s="125">
        <v>3561</v>
      </c>
      <c r="B86" s="126" t="s">
        <v>1824</v>
      </c>
      <c r="C86" s="126" t="s">
        <v>331</v>
      </c>
      <c r="D86" s="126" t="s">
        <v>127</v>
      </c>
      <c r="E86" s="126" t="s">
        <v>1825</v>
      </c>
      <c r="F86" s="126" t="s">
        <v>35</v>
      </c>
      <c r="G86" s="126" t="s">
        <v>1584</v>
      </c>
      <c r="H86" s="126" t="s">
        <v>1580</v>
      </c>
      <c r="I86" s="126" t="s">
        <v>1077</v>
      </c>
      <c r="J86" s="126" t="s">
        <v>931</v>
      </c>
      <c r="K86" s="127">
        <v>43473</v>
      </c>
      <c r="L86" s="128">
        <v>1.175</v>
      </c>
      <c r="M86" s="128">
        <v>2.1389999999999998</v>
      </c>
      <c r="N86" s="126">
        <v>3.4</v>
      </c>
      <c r="O86" s="126" t="s">
        <v>950</v>
      </c>
      <c r="P86" s="129" t="s">
        <v>880</v>
      </c>
      <c r="Q86" s="129" t="s">
        <v>910</v>
      </c>
      <c r="R86" s="126" t="s">
        <v>24</v>
      </c>
      <c r="S86" s="126"/>
      <c r="T86" s="130" t="s">
        <v>120</v>
      </c>
      <c r="U86" s="126" t="s">
        <v>2089</v>
      </c>
      <c r="V86" s="130" t="s">
        <v>120</v>
      </c>
      <c r="W86" s="126"/>
      <c r="X86" s="130" t="s">
        <v>120</v>
      </c>
      <c r="Y86" s="126" t="s">
        <v>1826</v>
      </c>
      <c r="Z86" s="165" t="s">
        <v>120</v>
      </c>
      <c r="AA86" s="158"/>
      <c r="AB86" s="158"/>
      <c r="AC86" s="170" t="s">
        <v>123</v>
      </c>
      <c r="AD86" s="126" t="s">
        <v>1877</v>
      </c>
      <c r="AE86" s="130" t="s">
        <v>120</v>
      </c>
      <c r="AF86" s="127" t="s">
        <v>1722</v>
      </c>
      <c r="AG86" s="131"/>
      <c r="AH86" s="131"/>
      <c r="AI86" s="126" t="s">
        <v>2090</v>
      </c>
      <c r="AJ86" s="130" t="s">
        <v>120</v>
      </c>
      <c r="AK86" s="126" t="s">
        <v>123</v>
      </c>
      <c r="AL86" s="126" t="s">
        <v>1198</v>
      </c>
      <c r="AM86" s="130"/>
      <c r="AN86" s="126"/>
      <c r="AO86" s="132"/>
      <c r="AP86" s="126"/>
      <c r="AQ86" s="126"/>
      <c r="AR86" s="130"/>
      <c r="AS86" s="126"/>
      <c r="AT86" s="127">
        <v>43474.500813310202</v>
      </c>
      <c r="AU86" s="127">
        <v>43479.7354635417</v>
      </c>
      <c r="AV86" s="127">
        <v>43475.726966550901</v>
      </c>
      <c r="AW86" s="127">
        <v>43474.500813310202</v>
      </c>
      <c r="AX86" s="127">
        <v>43480.732222569401</v>
      </c>
      <c r="AY86" s="127">
        <v>43475.973937037001</v>
      </c>
      <c r="AZ86" s="133">
        <v>43481.412550347202</v>
      </c>
      <c r="BA86" s="134">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B86" s="135">
        <f>COUNTIFS(_05preva_view43[Site ID],_05preva_view43[[#This Row],[Site ID]],_05preva_view43[Prevalidation Status],"Under Prevalidation")</f>
        <v>0</v>
      </c>
      <c r="BC86" s="157" t="e">
        <f ca="1">HYPERLINK(CheckPath(_05preva_view43[[#This Row],[File Path]],_05preva_view43[[#This Row],[File Path]],_05preva_view43[[#This Row],[Folder Path3]]),CheckPath(_05preva_view43[[#This Row],[File Path]],"Open File","No File"))</f>
        <v>#VALUE!</v>
      </c>
      <c r="BD86" s="136" t="str">
        <f>CONCATENATE(_05preva_view43[[#This Row],[Site ID]]," (",_05preva_view43[[#This Row],[tenant id]],") Application",IF(_05preva_view43[[#This Row],[Colo Rev]]&gt;0," Rev "&amp;_05preva_view43[[#This Row],[Colo Rev]],""),".xlsx")</f>
        <v>1-01-10013-005 (MDY01364) Application Rev 1.xlsx</v>
      </c>
      <c r="BE86" s="64" t="e">
        <f t="shared" ca="1" si="3"/>
        <v>#VALUE!</v>
      </c>
      <c r="BF86" s="104" t="e">
        <f ca="1">LEFT(CELL("filename",A71),_05preva_view43[[#This Row],[Find Process &amp; Database]]-1)</f>
        <v>#VALUE!</v>
      </c>
      <c r="BG86" s="104" t="e">
        <f ca="1">_05preva_view43[Folder Path1]&amp;"Process &amp; Database\Documentation\Colo Applications"</f>
        <v>#VALUE!</v>
      </c>
      <c r="BH86" s="104" t="e">
        <f ca="1">_05preva_view43[Folder Path2]&amp;"\Colo App "&amp;_05preva_view43[[#This Row],[Operator]]&amp;"\"</f>
        <v>#VALUE!</v>
      </c>
      <c r="BI86" s="63" t="e">
        <f ca="1">_05preva_view43[[#This Row],[Folder Path3]]&amp;_05preva_view43[[#This Row],[File Name]]</f>
        <v>#VALUE!</v>
      </c>
      <c r="BJ86" s="104"/>
      <c r="BK86" s="3"/>
      <c r="BL86" s="3"/>
      <c r="CJ86" s="5"/>
      <c r="CK86" s="5"/>
      <c r="CL86" s="3"/>
      <c r="CN86" s="5"/>
      <c r="CR86" s="3"/>
      <c r="CS86" s="3"/>
      <c r="CT86" s="5"/>
      <c r="CV86" s="3"/>
      <c r="DR86" s="5"/>
      <c r="DT86" s="3"/>
      <c r="EF86" s="7"/>
      <c r="EG86" s="7"/>
      <c r="EJ86" s="4"/>
      <c r="EK86" s="4"/>
      <c r="EU86" s="2"/>
      <c r="EV86" s="2"/>
    </row>
    <row r="87" spans="1:152">
      <c r="A87" s="125">
        <v>3562</v>
      </c>
      <c r="B87" s="126" t="s">
        <v>1827</v>
      </c>
      <c r="C87" s="126" t="s">
        <v>116</v>
      </c>
      <c r="D87" s="126" t="s">
        <v>127</v>
      </c>
      <c r="E87" s="126" t="s">
        <v>1828</v>
      </c>
      <c r="F87" s="126" t="s">
        <v>35</v>
      </c>
      <c r="G87" s="126" t="s">
        <v>1577</v>
      </c>
      <c r="H87" s="126" t="s">
        <v>1575</v>
      </c>
      <c r="I87" s="126" t="s">
        <v>1288</v>
      </c>
      <c r="J87" s="126" t="s">
        <v>949</v>
      </c>
      <c r="K87" s="127">
        <v>43473</v>
      </c>
      <c r="L87" s="128">
        <v>1.329</v>
      </c>
      <c r="M87" s="128">
        <v>2.1989999999999998</v>
      </c>
      <c r="N87" s="126">
        <v>5.53</v>
      </c>
      <c r="O87" s="126" t="s">
        <v>119</v>
      </c>
      <c r="P87" s="129" t="s">
        <v>264</v>
      </c>
      <c r="Q87" s="129" t="s">
        <v>350</v>
      </c>
      <c r="R87" s="126" t="s">
        <v>24</v>
      </c>
      <c r="S87" s="126"/>
      <c r="T87" s="130" t="s">
        <v>120</v>
      </c>
      <c r="U87" s="126" t="s">
        <v>1878</v>
      </c>
      <c r="V87" s="130" t="s">
        <v>120</v>
      </c>
      <c r="W87" s="126"/>
      <c r="X87" s="130" t="s">
        <v>120</v>
      </c>
      <c r="Y87" s="126" t="s">
        <v>1829</v>
      </c>
      <c r="Z87" s="165" t="s">
        <v>120</v>
      </c>
      <c r="AA87" s="158"/>
      <c r="AB87" s="158"/>
      <c r="AC87" s="170" t="s">
        <v>123</v>
      </c>
      <c r="AD87" s="126" t="s">
        <v>1879</v>
      </c>
      <c r="AE87" s="130" t="s">
        <v>120</v>
      </c>
      <c r="AF87" s="127"/>
      <c r="AG87" s="131"/>
      <c r="AH87" s="131"/>
      <c r="AI87" s="126"/>
      <c r="AJ87" s="130" t="s">
        <v>120</v>
      </c>
      <c r="AK87" s="126" t="s">
        <v>240</v>
      </c>
      <c r="AL87" s="126" t="s">
        <v>1198</v>
      </c>
      <c r="AM87" s="130"/>
      <c r="AN87" s="126"/>
      <c r="AO87" s="132"/>
      <c r="AP87" s="126"/>
      <c r="AQ87" s="126"/>
      <c r="AR87" s="130"/>
      <c r="AS87" s="126"/>
      <c r="AT87" s="127">
        <v>43474.500815046304</v>
      </c>
      <c r="AU87" s="127">
        <v>43479.735463888901</v>
      </c>
      <c r="AV87" s="127">
        <v>43475.5996662037</v>
      </c>
      <c r="AW87" s="127">
        <v>43474.500815046304</v>
      </c>
      <c r="AX87" s="127">
        <v>43475.646629166702</v>
      </c>
      <c r="AY87" s="127">
        <v>43473.725847337999</v>
      </c>
      <c r="AZ87" s="133">
        <v>43480.437814814803</v>
      </c>
      <c r="BA87" s="134">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B87" s="135">
        <f>COUNTIFS(_05preva_view43[Site ID],_05preva_view43[[#This Row],[Site ID]],_05preva_view43[Prevalidation Status],"Under Prevalidation")</f>
        <v>0</v>
      </c>
      <c r="BC87" s="157" t="e">
        <f ca="1">HYPERLINK(CheckPath(_05preva_view43[[#This Row],[File Path]],_05preva_view43[[#This Row],[File Path]],_05preva_view43[[#This Row],[Folder Path3]]),CheckPath(_05preva_view43[[#This Row],[File Path]],"Open File","No File"))</f>
        <v>#VALUE!</v>
      </c>
      <c r="BD87" s="136" t="str">
        <f>CONCATENATE(_05preva_view43[[#This Row],[Site ID]]," (",_05preva_view43[[#This Row],[tenant id]],") Application",IF(_05preva_view43[[#This Row],[Colo Rev]]&gt;0," Rev "&amp;_05preva_view43[[#This Row],[Colo Rev]],""),".xlsx")</f>
        <v>ANSG_0466 (SGG00230) Application Rev 2.xlsx</v>
      </c>
      <c r="BE87" s="64" t="e">
        <f t="shared" ca="1" si="3"/>
        <v>#VALUE!</v>
      </c>
      <c r="BF87" s="104" t="e">
        <f ca="1">LEFT(CELL("filename",A72),_05preva_view43[[#This Row],[Find Process &amp; Database]]-1)</f>
        <v>#VALUE!</v>
      </c>
      <c r="BG87" s="104" t="e">
        <f ca="1">_05preva_view43[Folder Path1]&amp;"Process &amp; Database\Documentation\Colo Applications"</f>
        <v>#VALUE!</v>
      </c>
      <c r="BH87" s="104" t="e">
        <f ca="1">_05preva_view43[Folder Path2]&amp;"\Colo App "&amp;_05preva_view43[[#This Row],[Operator]]&amp;"\"</f>
        <v>#VALUE!</v>
      </c>
      <c r="BI87" s="63" t="e">
        <f ca="1">_05preva_view43[[#This Row],[Folder Path3]]&amp;_05preva_view43[[#This Row],[File Name]]</f>
        <v>#VALUE!</v>
      </c>
      <c r="BJ87" s="104"/>
      <c r="BK87" s="3"/>
      <c r="BL87" s="3"/>
      <c r="CJ87" s="5"/>
      <c r="CK87" s="5"/>
      <c r="CL87" s="3"/>
      <c r="CN87" s="5"/>
      <c r="CR87" s="3"/>
      <c r="CS87" s="3"/>
      <c r="CT87" s="5"/>
      <c r="CV87" s="3"/>
      <c r="DR87" s="5"/>
      <c r="DT87" s="3"/>
      <c r="EF87" s="7"/>
      <c r="EG87" s="7"/>
      <c r="EJ87" s="4"/>
      <c r="EK87" s="4"/>
      <c r="EU87" s="2"/>
      <c r="EV87" s="2"/>
    </row>
    <row r="88" spans="1:152">
      <c r="A88" s="125">
        <v>3563</v>
      </c>
      <c r="B88" s="126" t="s">
        <v>869</v>
      </c>
      <c r="C88" s="126" t="s">
        <v>116</v>
      </c>
      <c r="D88" s="126" t="s">
        <v>163</v>
      </c>
      <c r="E88" s="126" t="s">
        <v>1830</v>
      </c>
      <c r="F88" s="126" t="s">
        <v>41</v>
      </c>
      <c r="G88" s="126" t="s">
        <v>1576</v>
      </c>
      <c r="H88" s="126" t="s">
        <v>1575</v>
      </c>
      <c r="I88" s="126" t="s">
        <v>1212</v>
      </c>
      <c r="J88" s="126" t="s">
        <v>931</v>
      </c>
      <c r="K88" s="127">
        <v>43473</v>
      </c>
      <c r="L88" s="128">
        <v>3.8</v>
      </c>
      <c r="M88" s="128"/>
      <c r="N88" s="126">
        <v>3</v>
      </c>
      <c r="O88" s="126" t="s">
        <v>119</v>
      </c>
      <c r="P88" s="129" t="s">
        <v>1225</v>
      </c>
      <c r="Q88" s="129"/>
      <c r="R88" s="126" t="s">
        <v>24</v>
      </c>
      <c r="S88" s="126"/>
      <c r="T88" s="130" t="s">
        <v>120</v>
      </c>
      <c r="U88" s="126" t="s">
        <v>1880</v>
      </c>
      <c r="V88" s="130" t="s">
        <v>120</v>
      </c>
      <c r="W88" s="126"/>
      <c r="X88" s="130" t="s">
        <v>120</v>
      </c>
      <c r="Y88" s="126" t="s">
        <v>1831</v>
      </c>
      <c r="Z88" s="165" t="s">
        <v>120</v>
      </c>
      <c r="AA88" s="158"/>
      <c r="AB88" s="158"/>
      <c r="AC88" s="170"/>
      <c r="AD88" s="126" t="s">
        <v>1881</v>
      </c>
      <c r="AE88" s="130" t="s">
        <v>120</v>
      </c>
      <c r="AF88" s="127" t="s">
        <v>1167</v>
      </c>
      <c r="AG88" s="131"/>
      <c r="AH88" s="131"/>
      <c r="AI88" s="126" t="s">
        <v>1417</v>
      </c>
      <c r="AJ88" s="130" t="s">
        <v>120</v>
      </c>
      <c r="AK88" s="126" t="s">
        <v>123</v>
      </c>
      <c r="AL88" s="126" t="s">
        <v>1198</v>
      </c>
      <c r="AM88" s="130"/>
      <c r="AN88" s="126"/>
      <c r="AO88" s="132"/>
      <c r="AP88" s="126"/>
      <c r="AQ88" s="126"/>
      <c r="AR88" s="130" t="s">
        <v>120</v>
      </c>
      <c r="AS88" s="126" t="s">
        <v>1882</v>
      </c>
      <c r="AT88" s="127">
        <v>43474.500816782398</v>
      </c>
      <c r="AU88" s="127">
        <v>43479.735464236102</v>
      </c>
      <c r="AV88" s="127">
        <v>43475.588291088003</v>
      </c>
      <c r="AW88" s="127">
        <v>43474.500816782398</v>
      </c>
      <c r="AX88" s="127">
        <v>43475.646634490702</v>
      </c>
      <c r="AY88" s="127">
        <v>43473.725849768503</v>
      </c>
      <c r="AZ88" s="133">
        <v>43476.400662847198</v>
      </c>
      <c r="BA88" s="134">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B88" s="135">
        <f>COUNTIFS(_05preva_view43[Site ID],_05preva_view43[[#This Row],[Site ID]],_05preva_view43[Prevalidation Status],"Under Prevalidation")</f>
        <v>0</v>
      </c>
      <c r="BC88" s="157" t="e">
        <f ca="1">HYPERLINK(CheckPath(_05preva_view43[[#This Row],[File Path]],_05preva_view43[[#This Row],[File Path]],_05preva_view43[[#This Row],[Folder Path3]]),CheckPath(_05preva_view43[[#This Row],[File Path]],"Open File","No File"))</f>
        <v>#VALUE!</v>
      </c>
      <c r="BD88" s="136" t="str">
        <f>CONCATENATE(_05preva_view43[[#This Row],[Site ID]]," (",_05preva_view43[[#This Row],[tenant id]],") Application",IF(_05preva_view43[[#This Row],[Colo Rev]]&gt;0," Rev "&amp;_05preva_view43[[#This Row],[Colo Rev]],""),".xlsx")</f>
        <v>AYYN_0530 (YGNDMNH014) Application Rev 1.xlsx</v>
      </c>
      <c r="BE88" s="64" t="e">
        <f t="shared" ca="1" si="3"/>
        <v>#VALUE!</v>
      </c>
      <c r="BF88" s="104" t="e">
        <f ca="1">LEFT(CELL("filename",A73),_05preva_view43[[#This Row],[Find Process &amp; Database]]-1)</f>
        <v>#VALUE!</v>
      </c>
      <c r="BG88" s="104" t="e">
        <f ca="1">_05preva_view43[Folder Path1]&amp;"Process &amp; Database\Documentation\Colo Applications"</f>
        <v>#VALUE!</v>
      </c>
      <c r="BH88" s="104" t="e">
        <f ca="1">_05preva_view43[Folder Path2]&amp;"\Colo App "&amp;_05preva_view43[[#This Row],[Operator]]&amp;"\"</f>
        <v>#VALUE!</v>
      </c>
      <c r="BI88" s="63" t="e">
        <f ca="1">_05preva_view43[[#This Row],[Folder Path3]]&amp;_05preva_view43[[#This Row],[File Name]]</f>
        <v>#VALUE!</v>
      </c>
      <c r="BJ88" s="104"/>
      <c r="BK88" s="3"/>
      <c r="BL88" s="3"/>
      <c r="CJ88" s="5"/>
      <c r="CK88" s="5"/>
      <c r="CL88" s="3"/>
      <c r="CN88" s="5"/>
      <c r="CR88" s="3"/>
      <c r="CS88" s="3"/>
      <c r="CT88" s="5"/>
      <c r="CV88" s="3"/>
      <c r="DR88" s="5"/>
      <c r="DT88" s="3"/>
      <c r="EF88" s="7"/>
      <c r="EG88" s="7"/>
      <c r="EJ88" s="4"/>
      <c r="EK88" s="4"/>
      <c r="EU88" s="2"/>
      <c r="EV88" s="2"/>
    </row>
    <row r="89" spans="1:152">
      <c r="A89" s="125">
        <v>3564</v>
      </c>
      <c r="B89" s="126" t="s">
        <v>1832</v>
      </c>
      <c r="C89" s="126" t="s">
        <v>116</v>
      </c>
      <c r="D89" s="126" t="s">
        <v>163</v>
      </c>
      <c r="E89" s="126" t="s">
        <v>1833</v>
      </c>
      <c r="F89" s="126" t="s">
        <v>41</v>
      </c>
      <c r="G89" s="126" t="s">
        <v>1576</v>
      </c>
      <c r="H89" s="126" t="s">
        <v>1575</v>
      </c>
      <c r="I89" s="126" t="s">
        <v>1212</v>
      </c>
      <c r="J89" s="126" t="s">
        <v>931</v>
      </c>
      <c r="K89" s="127">
        <v>43473</v>
      </c>
      <c r="L89" s="128">
        <v>2.5</v>
      </c>
      <c r="M89" s="128"/>
      <c r="N89" s="126">
        <v>3</v>
      </c>
      <c r="O89" s="126" t="s">
        <v>119</v>
      </c>
      <c r="P89" s="129" t="s">
        <v>858</v>
      </c>
      <c r="Q89" s="129" t="s">
        <v>284</v>
      </c>
      <c r="R89" s="126" t="s">
        <v>24</v>
      </c>
      <c r="S89" s="126"/>
      <c r="T89" s="130" t="s">
        <v>120</v>
      </c>
      <c r="U89" s="126" t="s">
        <v>1883</v>
      </c>
      <c r="V89" s="130" t="s">
        <v>120</v>
      </c>
      <c r="W89" s="126"/>
      <c r="X89" s="130" t="s">
        <v>120</v>
      </c>
      <c r="Y89" s="126" t="s">
        <v>1834</v>
      </c>
      <c r="Z89" s="165" t="s">
        <v>120</v>
      </c>
      <c r="AA89" s="158"/>
      <c r="AB89" s="158"/>
      <c r="AC89" s="170"/>
      <c r="AD89" s="126" t="s">
        <v>1881</v>
      </c>
      <c r="AE89" s="130" t="s">
        <v>120</v>
      </c>
      <c r="AF89" s="127" t="s">
        <v>1167</v>
      </c>
      <c r="AG89" s="131"/>
      <c r="AH89" s="131"/>
      <c r="AI89" s="126" t="s">
        <v>1417</v>
      </c>
      <c r="AJ89" s="130" t="s">
        <v>120</v>
      </c>
      <c r="AK89" s="126" t="s">
        <v>123</v>
      </c>
      <c r="AL89" s="126" t="s">
        <v>1198</v>
      </c>
      <c r="AM89" s="130"/>
      <c r="AN89" s="126"/>
      <c r="AO89" s="132"/>
      <c r="AP89" s="126"/>
      <c r="AQ89" s="126"/>
      <c r="AR89" s="130" t="s">
        <v>120</v>
      </c>
      <c r="AS89" s="126" t="s">
        <v>1882</v>
      </c>
      <c r="AT89" s="127">
        <v>43474.500818287001</v>
      </c>
      <c r="AU89" s="127">
        <v>43479.735467129598</v>
      </c>
      <c r="AV89" s="127">
        <v>43475.588291435197</v>
      </c>
      <c r="AW89" s="127">
        <v>43474.500818287001</v>
      </c>
      <c r="AX89" s="127">
        <v>43475.646638657403</v>
      </c>
      <c r="AY89" s="127">
        <v>43473.725851157396</v>
      </c>
      <c r="AZ89" s="133">
        <v>43476.400664930603</v>
      </c>
      <c r="BA89" s="134">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B89" s="135">
        <f>COUNTIFS(_05preva_view43[Site ID],_05preva_view43[[#This Row],[Site ID]],_05preva_view43[Prevalidation Status],"Under Prevalidation")</f>
        <v>0</v>
      </c>
      <c r="BC89" s="157" t="e">
        <f ca="1">HYPERLINK(CheckPath(_05preva_view43[[#This Row],[File Path]],_05preva_view43[[#This Row],[File Path]],_05preva_view43[[#This Row],[Folder Path3]]),CheckPath(_05preva_view43[[#This Row],[File Path]],"Open File","No File"))</f>
        <v>#VALUE!</v>
      </c>
      <c r="BD89" s="136" t="str">
        <f>CONCATENATE(_05preva_view43[[#This Row],[Site ID]]," (",_05preva_view43[[#This Row],[tenant id]],") Application",IF(_05preva_view43[[#This Row],[Colo Rev]]&gt;0," Rev "&amp;_05preva_view43[[#This Row],[Colo Rev]],""),".xlsx")</f>
        <v>AYYN_0620 (YGNDMSH008) Application Rev 1.xlsx</v>
      </c>
      <c r="BE89" s="64" t="e">
        <f t="shared" ca="1" si="3"/>
        <v>#VALUE!</v>
      </c>
      <c r="BF89" s="104" t="e">
        <f ca="1">LEFT(CELL("filename",A74),_05preva_view43[[#This Row],[Find Process &amp; Database]]-1)</f>
        <v>#VALUE!</v>
      </c>
      <c r="BG89" s="104" t="e">
        <f ca="1">_05preva_view43[Folder Path1]&amp;"Process &amp; Database\Documentation\Colo Applications"</f>
        <v>#VALUE!</v>
      </c>
      <c r="BH89" s="104" t="e">
        <f ca="1">_05preva_view43[Folder Path2]&amp;"\Colo App "&amp;_05preva_view43[[#This Row],[Operator]]&amp;"\"</f>
        <v>#VALUE!</v>
      </c>
      <c r="BI89" s="63" t="e">
        <f ca="1">_05preva_view43[[#This Row],[Folder Path3]]&amp;_05preva_view43[[#This Row],[File Name]]</f>
        <v>#VALUE!</v>
      </c>
      <c r="BJ89" s="104"/>
      <c r="BK89" s="3"/>
      <c r="BL89" s="3"/>
      <c r="CJ89" s="5"/>
      <c r="CK89" s="5"/>
      <c r="CL89" s="3"/>
      <c r="CN89" s="5"/>
      <c r="CR89" s="3"/>
      <c r="CS89" s="3"/>
      <c r="CT89" s="5"/>
      <c r="CV89" s="3"/>
      <c r="DR89" s="5"/>
      <c r="DT89" s="3"/>
      <c r="EF89" s="7"/>
      <c r="EG89" s="7"/>
      <c r="EJ89" s="4"/>
      <c r="EK89" s="4"/>
      <c r="EU89" s="2"/>
      <c r="EV89" s="2"/>
    </row>
    <row r="90" spans="1:152">
      <c r="A90" s="125">
        <v>3565</v>
      </c>
      <c r="B90" s="126" t="s">
        <v>1401</v>
      </c>
      <c r="C90" s="126" t="s">
        <v>331</v>
      </c>
      <c r="D90" s="126" t="s">
        <v>127</v>
      </c>
      <c r="E90" s="126" t="s">
        <v>1402</v>
      </c>
      <c r="F90" s="126" t="s">
        <v>35</v>
      </c>
      <c r="G90" s="126" t="s">
        <v>1583</v>
      </c>
      <c r="H90" s="126" t="s">
        <v>1575</v>
      </c>
      <c r="I90" s="126" t="s">
        <v>1053</v>
      </c>
      <c r="J90" s="126" t="s">
        <v>957</v>
      </c>
      <c r="K90" s="127">
        <v>43473</v>
      </c>
      <c r="L90" s="128">
        <v>1.9890000000000001</v>
      </c>
      <c r="M90" s="128">
        <v>3.6110000000000002</v>
      </c>
      <c r="N90" s="126">
        <v>5.21</v>
      </c>
      <c r="O90" s="126" t="s">
        <v>950</v>
      </c>
      <c r="P90" s="129" t="s">
        <v>1275</v>
      </c>
      <c r="Q90" s="129" t="s">
        <v>1276</v>
      </c>
      <c r="R90" s="126" t="s">
        <v>24</v>
      </c>
      <c r="S90" s="126"/>
      <c r="T90" s="130" t="s">
        <v>120</v>
      </c>
      <c r="U90" s="126"/>
      <c r="V90" s="130" t="s">
        <v>120</v>
      </c>
      <c r="W90" s="126"/>
      <c r="X90" s="130" t="s">
        <v>120</v>
      </c>
      <c r="Y90" s="126" t="s">
        <v>1835</v>
      </c>
      <c r="Z90" s="165" t="s">
        <v>120</v>
      </c>
      <c r="AA90" s="158"/>
      <c r="AB90" s="158"/>
      <c r="AC90" s="170" t="s">
        <v>123</v>
      </c>
      <c r="AD90" s="126" t="s">
        <v>2091</v>
      </c>
      <c r="AE90" s="130" t="s">
        <v>120</v>
      </c>
      <c r="AF90" s="127" t="s">
        <v>1722</v>
      </c>
      <c r="AG90" s="131"/>
      <c r="AH90" s="131"/>
      <c r="AI90" s="126" t="s">
        <v>2092</v>
      </c>
      <c r="AJ90" s="130" t="s">
        <v>120</v>
      </c>
      <c r="AK90" s="126" t="s">
        <v>123</v>
      </c>
      <c r="AL90" s="126" t="s">
        <v>1198</v>
      </c>
      <c r="AM90" s="130"/>
      <c r="AN90" s="126"/>
      <c r="AO90" s="132"/>
      <c r="AP90" s="126"/>
      <c r="AQ90" s="126"/>
      <c r="AR90" s="130"/>
      <c r="AS90" s="126"/>
      <c r="AT90" s="127">
        <v>43474.500819675901</v>
      </c>
      <c r="AU90" s="127">
        <v>43479.735467476901</v>
      </c>
      <c r="AV90" s="127">
        <v>43479.504158680596</v>
      </c>
      <c r="AW90" s="127">
        <v>43474.500819675901</v>
      </c>
      <c r="AX90" s="127">
        <v>43480.732223148101</v>
      </c>
      <c r="AY90" s="127">
        <v>43475.973942361103</v>
      </c>
      <c r="AZ90" s="133">
        <v>43481.4125510417</v>
      </c>
      <c r="BA90" s="134">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B90" s="135">
        <f>COUNTIFS(_05preva_view43[Site ID],_05preva_view43[[#This Row],[Site ID]],_05preva_view43[Prevalidation Status],"Under Prevalidation")</f>
        <v>0</v>
      </c>
      <c r="BC90" s="157" t="e">
        <f ca="1">HYPERLINK(CheckPath(_05preva_view43[[#This Row],[File Path]],_05preva_view43[[#This Row],[File Path]],_05preva_view43[[#This Row],[Folder Path3]]),CheckPath(_05preva_view43[[#This Row],[File Path]],"Open File","No File"))</f>
        <v>#VALUE!</v>
      </c>
      <c r="BD90" s="136" t="str">
        <f>CONCATENATE(_05preva_view43[[#This Row],[Site ID]]," (",_05preva_view43[[#This Row],[tenant id]],") Application",IF(_05preva_view43[[#This Row],[Colo Rev]]&gt;0," Rev "&amp;_05preva_view43[[#This Row],[Colo Rev]],""),".xlsx")</f>
        <v>1-01-15009-006 (SHN00051) Application Rev 4.xlsx</v>
      </c>
      <c r="BE90" s="64" t="e">
        <f t="shared" ca="1" si="3"/>
        <v>#VALUE!</v>
      </c>
      <c r="BF90" s="104" t="e">
        <f ca="1">LEFT(CELL("filename",A75),_05preva_view43[[#This Row],[Find Process &amp; Database]]-1)</f>
        <v>#VALUE!</v>
      </c>
      <c r="BG90" s="104" t="e">
        <f ca="1">_05preva_view43[Folder Path1]&amp;"Process &amp; Database\Documentation\Colo Applications"</f>
        <v>#VALUE!</v>
      </c>
      <c r="BH90" s="104" t="e">
        <f ca="1">_05preva_view43[Folder Path2]&amp;"\Colo App "&amp;_05preva_view43[[#This Row],[Operator]]&amp;"\"</f>
        <v>#VALUE!</v>
      </c>
      <c r="BI90" s="63" t="e">
        <f ca="1">_05preva_view43[[#This Row],[Folder Path3]]&amp;_05preva_view43[[#This Row],[File Name]]</f>
        <v>#VALUE!</v>
      </c>
      <c r="BJ90" s="104"/>
      <c r="BK90" s="3"/>
      <c r="BL90" s="3"/>
      <c r="CJ90" s="5"/>
      <c r="CK90" s="5"/>
      <c r="CL90" s="3"/>
      <c r="CN90" s="5"/>
      <c r="CR90" s="3"/>
      <c r="CS90" s="3"/>
      <c r="CT90" s="5"/>
      <c r="CV90" s="3"/>
      <c r="DR90" s="5"/>
      <c r="DT90" s="3"/>
      <c r="EF90" s="7"/>
      <c r="EG90" s="7"/>
      <c r="EJ90" s="4"/>
      <c r="EK90" s="4"/>
      <c r="EU90" s="2"/>
      <c r="EV90" s="2"/>
    </row>
    <row r="91" spans="1:152">
      <c r="A91" s="125">
        <v>3566</v>
      </c>
      <c r="B91" s="126" t="s">
        <v>1836</v>
      </c>
      <c r="C91" s="126" t="s">
        <v>331</v>
      </c>
      <c r="D91" s="126" t="s">
        <v>127</v>
      </c>
      <c r="E91" s="126" t="s">
        <v>1837</v>
      </c>
      <c r="F91" s="126" t="s">
        <v>35</v>
      </c>
      <c r="G91" s="126" t="s">
        <v>1583</v>
      </c>
      <c r="H91" s="126" t="s">
        <v>1575</v>
      </c>
      <c r="I91" s="126" t="s">
        <v>1053</v>
      </c>
      <c r="J91" s="126" t="s">
        <v>931</v>
      </c>
      <c r="K91" s="127">
        <v>43473</v>
      </c>
      <c r="L91" s="128">
        <v>1.9890000000000001</v>
      </c>
      <c r="M91" s="128">
        <v>3.6110000000000002</v>
      </c>
      <c r="N91" s="126">
        <v>4.7300000000000004</v>
      </c>
      <c r="O91" s="126" t="s">
        <v>950</v>
      </c>
      <c r="P91" s="129" t="s">
        <v>958</v>
      </c>
      <c r="Q91" s="129" t="s">
        <v>959</v>
      </c>
      <c r="R91" s="126" t="s">
        <v>24</v>
      </c>
      <c r="S91" s="126"/>
      <c r="T91" s="130" t="s">
        <v>120</v>
      </c>
      <c r="U91" s="126"/>
      <c r="V91" s="130" t="s">
        <v>120</v>
      </c>
      <c r="W91" s="126"/>
      <c r="X91" s="130" t="s">
        <v>120</v>
      </c>
      <c r="Y91" s="126" t="s">
        <v>1838</v>
      </c>
      <c r="Z91" s="165" t="s">
        <v>120</v>
      </c>
      <c r="AA91" s="158"/>
      <c r="AB91" s="158"/>
      <c r="AC91" s="170" t="s">
        <v>123</v>
      </c>
      <c r="AD91" s="126" t="s">
        <v>2093</v>
      </c>
      <c r="AE91" s="130" t="s">
        <v>120</v>
      </c>
      <c r="AF91" s="127" t="s">
        <v>2094</v>
      </c>
      <c r="AG91" s="131"/>
      <c r="AH91" s="131"/>
      <c r="AI91" s="126" t="s">
        <v>2095</v>
      </c>
      <c r="AJ91" s="130" t="s">
        <v>120</v>
      </c>
      <c r="AK91" s="126" t="s">
        <v>123</v>
      </c>
      <c r="AL91" s="126" t="s">
        <v>1198</v>
      </c>
      <c r="AM91" s="130"/>
      <c r="AN91" s="126"/>
      <c r="AO91" s="132"/>
      <c r="AP91" s="126"/>
      <c r="AQ91" s="126"/>
      <c r="AR91" s="130"/>
      <c r="AS91" s="126"/>
      <c r="AT91" s="127">
        <v>43474.500821412003</v>
      </c>
      <c r="AU91" s="127">
        <v>43481.501133796301</v>
      </c>
      <c r="AV91" s="127">
        <v>43479.504159374999</v>
      </c>
      <c r="AW91" s="127">
        <v>43474.500821412003</v>
      </c>
      <c r="AX91" s="127">
        <v>43480.732223726904</v>
      </c>
      <c r="AY91" s="127">
        <v>43475.972884374998</v>
      </c>
      <c r="AZ91" s="133">
        <v>43481.630474305603</v>
      </c>
      <c r="BA91" s="134">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B91" s="135">
        <f>COUNTIFS(_05preva_view43[Site ID],_05preva_view43[[#This Row],[Site ID]],_05preva_view43[Prevalidation Status],"Under Prevalidation")</f>
        <v>0</v>
      </c>
      <c r="BC91" s="157" t="e">
        <f ca="1">HYPERLINK(CheckPath(_05preva_view43[[#This Row],[File Path]],_05preva_view43[[#This Row],[File Path]],_05preva_view43[[#This Row],[Folder Path3]]),CheckPath(_05preva_view43[[#This Row],[File Path]],"Open File","No File"))</f>
        <v>#VALUE!</v>
      </c>
      <c r="BD91" s="136" t="str">
        <f>CONCATENATE(_05preva_view43[[#This Row],[Site ID]]," (",_05preva_view43[[#This Row],[tenant id]],") Application",IF(_05preva_view43[[#This Row],[Colo Rev]]&gt;0," Rev "&amp;_05preva_view43[[#This Row],[Colo Rev]],""),".xlsx")</f>
        <v>1-01-15002-002 (SHN00062) Application Rev 1.xlsx</v>
      </c>
      <c r="BE91" s="64" t="e">
        <f t="shared" ca="1" si="3"/>
        <v>#VALUE!</v>
      </c>
      <c r="BF91" s="104" t="e">
        <f ca="1">LEFT(CELL("filename",A76),_05preva_view43[[#This Row],[Find Process &amp; Database]]-1)</f>
        <v>#VALUE!</v>
      </c>
      <c r="BG91" s="104" t="e">
        <f ca="1">_05preva_view43[Folder Path1]&amp;"Process &amp; Database\Documentation\Colo Applications"</f>
        <v>#VALUE!</v>
      </c>
      <c r="BH91" s="104" t="e">
        <f ca="1">_05preva_view43[Folder Path2]&amp;"\Colo App "&amp;_05preva_view43[[#This Row],[Operator]]&amp;"\"</f>
        <v>#VALUE!</v>
      </c>
      <c r="BI91" s="63" t="e">
        <f ca="1">_05preva_view43[[#This Row],[Folder Path3]]&amp;_05preva_view43[[#This Row],[File Name]]</f>
        <v>#VALUE!</v>
      </c>
      <c r="BJ91" s="104"/>
      <c r="BK91" s="3"/>
      <c r="BL91" s="3"/>
      <c r="CJ91" s="5"/>
      <c r="CK91" s="5"/>
      <c r="CL91" s="3"/>
      <c r="CN91" s="5"/>
      <c r="CR91" s="3"/>
      <c r="CS91" s="3"/>
      <c r="CT91" s="5"/>
      <c r="CV91" s="3"/>
      <c r="DR91" s="5"/>
      <c r="DT91" s="3"/>
      <c r="EF91" s="7"/>
      <c r="EG91" s="7"/>
      <c r="EJ91" s="4"/>
      <c r="EK91" s="4"/>
      <c r="EU91" s="2"/>
      <c r="EV91" s="2"/>
    </row>
    <row r="92" spans="1:152">
      <c r="A92" s="125">
        <v>3567</v>
      </c>
      <c r="B92" s="126" t="s">
        <v>1839</v>
      </c>
      <c r="C92" s="126" t="s">
        <v>331</v>
      </c>
      <c r="D92" s="126" t="s">
        <v>127</v>
      </c>
      <c r="E92" s="126" t="s">
        <v>1840</v>
      </c>
      <c r="F92" s="126" t="s">
        <v>35</v>
      </c>
      <c r="G92" s="126" t="s">
        <v>1583</v>
      </c>
      <c r="H92" s="126" t="s">
        <v>1575</v>
      </c>
      <c r="I92" s="126" t="s">
        <v>1053</v>
      </c>
      <c r="J92" s="126" t="s">
        <v>949</v>
      </c>
      <c r="K92" s="127">
        <v>43473</v>
      </c>
      <c r="L92" s="128">
        <v>2.0590000000000002</v>
      </c>
      <c r="M92" s="128">
        <v>3.6110000000000002</v>
      </c>
      <c r="N92" s="126">
        <v>5.47</v>
      </c>
      <c r="O92" s="126" t="s">
        <v>950</v>
      </c>
      <c r="P92" s="129" t="s">
        <v>1841</v>
      </c>
      <c r="Q92" s="129" t="s">
        <v>1842</v>
      </c>
      <c r="R92" s="126" t="s">
        <v>24</v>
      </c>
      <c r="S92" s="126"/>
      <c r="T92" s="130" t="s">
        <v>120</v>
      </c>
      <c r="U92" s="126"/>
      <c r="V92" s="130" t="s">
        <v>120</v>
      </c>
      <c r="W92" s="126"/>
      <c r="X92" s="130" t="s">
        <v>120</v>
      </c>
      <c r="Y92" s="126" t="s">
        <v>1843</v>
      </c>
      <c r="Z92" s="165" t="s">
        <v>144</v>
      </c>
      <c r="AA92" s="158"/>
      <c r="AB92" s="158"/>
      <c r="AC92" s="170" t="s">
        <v>123</v>
      </c>
      <c r="AD92" s="126" t="s">
        <v>2096</v>
      </c>
      <c r="AE92" s="130" t="s">
        <v>120</v>
      </c>
      <c r="AF92" s="127" t="s">
        <v>2094</v>
      </c>
      <c r="AG92" s="131"/>
      <c r="AH92" s="131"/>
      <c r="AI92" s="126" t="s">
        <v>2097</v>
      </c>
      <c r="AJ92" s="130" t="s">
        <v>120</v>
      </c>
      <c r="AK92" s="126" t="s">
        <v>123</v>
      </c>
      <c r="AL92" s="126" t="s">
        <v>1198</v>
      </c>
      <c r="AM92" s="130"/>
      <c r="AN92" s="126"/>
      <c r="AO92" s="132"/>
      <c r="AP92" s="126"/>
      <c r="AQ92" s="126"/>
      <c r="AR92" s="130" t="s">
        <v>1866</v>
      </c>
      <c r="AS92" s="126" t="s">
        <v>2163</v>
      </c>
      <c r="AT92" s="127">
        <v>43474.500823379603</v>
      </c>
      <c r="AU92" s="127">
        <v>43481.501134375001</v>
      </c>
      <c r="AV92" s="127"/>
      <c r="AW92" s="127">
        <v>43474.500823379603</v>
      </c>
      <c r="AX92" s="127">
        <v>43480.732230208298</v>
      </c>
      <c r="AY92" s="127">
        <v>43475.972885763898</v>
      </c>
      <c r="AZ92" s="133">
        <v>43488.480394560203</v>
      </c>
      <c r="BA92" s="134">
        <f ca="1">IF(_05preva_view43[[#This Row],[Prevalidation Status]]="Under Prevalidation",NOW()-_05preva_view43[[#This Row],[Request Date]],IF(_05preva_view43[[#This Row],[Close Date]]&gt;_05preva_view43[[#This Row],[Request Date]],_05preva_view43[[#This Row],[Close Date]]-_05preva_view43[[#This Row],[Request Date]],"Not  Calculated"))</f>
        <v>15.480394560203422</v>
      </c>
      <c r="BB92" s="135">
        <f>COUNTIFS(_05preva_view43[Site ID],_05preva_view43[[#This Row],[Site ID]],_05preva_view43[Prevalidation Status],"Under Prevalidation")</f>
        <v>0</v>
      </c>
      <c r="BC92" s="157" t="e">
        <f ca="1">HYPERLINK(CheckPath(_05preva_view43[[#This Row],[File Path]],_05preva_view43[[#This Row],[File Path]],_05preva_view43[[#This Row],[Folder Path3]]),CheckPath(_05preva_view43[[#This Row],[File Path]],"Open File","No File"))</f>
        <v>#VALUE!</v>
      </c>
      <c r="BD92" s="136" t="str">
        <f>CONCATENATE(_05preva_view43[[#This Row],[Site ID]]," (",_05preva_view43[[#This Row],[tenant id]],") Application",IF(_05preva_view43[[#This Row],[Colo Rev]]&gt;0," Rev "&amp;_05preva_view43[[#This Row],[Colo Rev]],""),".xlsx")</f>
        <v>1-01-14007-013 (SHN00081) Application Rev 2.xlsx</v>
      </c>
      <c r="BE92" s="64" t="e">
        <f t="shared" ca="1" si="3"/>
        <v>#VALUE!</v>
      </c>
      <c r="BF92" s="104" t="e">
        <f ca="1">LEFT(CELL("filename",A77),_05preva_view43[[#This Row],[Find Process &amp; Database]]-1)</f>
        <v>#VALUE!</v>
      </c>
      <c r="BG92" s="104" t="e">
        <f ca="1">_05preva_view43[Folder Path1]&amp;"Process &amp; Database\Documentation\Colo Applications"</f>
        <v>#VALUE!</v>
      </c>
      <c r="BH92" s="104" t="e">
        <f ca="1">_05preva_view43[Folder Path2]&amp;"\Colo App "&amp;_05preva_view43[[#This Row],[Operator]]&amp;"\"</f>
        <v>#VALUE!</v>
      </c>
      <c r="BI92" s="63" t="e">
        <f ca="1">_05preva_view43[[#This Row],[Folder Path3]]&amp;_05preva_view43[[#This Row],[File Name]]</f>
        <v>#VALUE!</v>
      </c>
      <c r="BJ92" s="104"/>
      <c r="BK92" s="3"/>
      <c r="BL92" s="3"/>
      <c r="CJ92" s="5"/>
      <c r="CK92" s="5"/>
      <c r="CL92" s="3"/>
      <c r="CN92" s="5"/>
      <c r="CR92" s="3"/>
      <c r="CS92" s="3"/>
      <c r="CT92" s="5"/>
      <c r="CV92" s="3"/>
      <c r="DR92" s="5"/>
      <c r="DT92" s="3"/>
      <c r="EF92" s="7"/>
      <c r="EG92" s="7"/>
      <c r="EJ92" s="4"/>
      <c r="EK92" s="4"/>
      <c r="EU92" s="2"/>
      <c r="EV92" s="2"/>
    </row>
    <row r="93" spans="1:152">
      <c r="A93" s="125">
        <v>3568</v>
      </c>
      <c r="B93" s="126" t="s">
        <v>1844</v>
      </c>
      <c r="C93" s="126" t="s">
        <v>116</v>
      </c>
      <c r="D93" s="126" t="s">
        <v>163</v>
      </c>
      <c r="E93" s="126" t="s">
        <v>1845</v>
      </c>
      <c r="F93" s="126" t="s">
        <v>41</v>
      </c>
      <c r="G93" s="126" t="s">
        <v>1576</v>
      </c>
      <c r="H93" s="126" t="s">
        <v>1575</v>
      </c>
      <c r="I93" s="126" t="s">
        <v>1212</v>
      </c>
      <c r="J93" s="126" t="s">
        <v>931</v>
      </c>
      <c r="K93" s="127">
        <v>43473</v>
      </c>
      <c r="L93" s="128">
        <v>3.8</v>
      </c>
      <c r="M93" s="128"/>
      <c r="N93" s="126">
        <v>3</v>
      </c>
      <c r="O93" s="126" t="s">
        <v>119</v>
      </c>
      <c r="P93" s="129" t="s">
        <v>1225</v>
      </c>
      <c r="Q93" s="129"/>
      <c r="R93" s="126" t="s">
        <v>24</v>
      </c>
      <c r="S93" s="126"/>
      <c r="T93" s="130" t="s">
        <v>120</v>
      </c>
      <c r="U93" s="126" t="s">
        <v>1884</v>
      </c>
      <c r="V93" s="130" t="s">
        <v>120</v>
      </c>
      <c r="W93" s="126"/>
      <c r="X93" s="130" t="s">
        <v>120</v>
      </c>
      <c r="Y93" s="126" t="s">
        <v>1846</v>
      </c>
      <c r="Z93" s="165" t="s">
        <v>120</v>
      </c>
      <c r="AA93" s="158"/>
      <c r="AB93" s="158"/>
      <c r="AC93" s="170"/>
      <c r="AD93" s="126" t="s">
        <v>1881</v>
      </c>
      <c r="AE93" s="130" t="s">
        <v>120</v>
      </c>
      <c r="AF93" s="127" t="s">
        <v>1167</v>
      </c>
      <c r="AG93" s="131"/>
      <c r="AH93" s="131"/>
      <c r="AI93" s="126" t="s">
        <v>1417</v>
      </c>
      <c r="AJ93" s="130" t="s">
        <v>120</v>
      </c>
      <c r="AK93" s="126" t="s">
        <v>123</v>
      </c>
      <c r="AL93" s="126" t="s">
        <v>1198</v>
      </c>
      <c r="AM93" s="130"/>
      <c r="AN93" s="126"/>
      <c r="AO93" s="132"/>
      <c r="AP93" s="126"/>
      <c r="AQ93" s="126"/>
      <c r="AR93" s="130" t="s">
        <v>120</v>
      </c>
      <c r="AS93" s="126" t="s">
        <v>1882</v>
      </c>
      <c r="AT93" s="127">
        <v>43474.500825231502</v>
      </c>
      <c r="AU93" s="127">
        <v>43479.735470717598</v>
      </c>
      <c r="AV93" s="127">
        <v>43475.588293287001</v>
      </c>
      <c r="AW93" s="127">
        <v>43474.500825231502</v>
      </c>
      <c r="AX93" s="127">
        <v>43475.646645023102</v>
      </c>
      <c r="AY93" s="127">
        <v>43473.725857638899</v>
      </c>
      <c r="AZ93" s="133">
        <v>43476.400667013899</v>
      </c>
      <c r="BA93" s="134">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B93" s="135">
        <f>COUNTIFS(_05preva_view43[Site ID],_05preva_view43[[#This Row],[Site ID]],_05preva_view43[Prevalidation Status],"Under Prevalidation")</f>
        <v>0</v>
      </c>
      <c r="BC93" s="157" t="e">
        <f ca="1">HYPERLINK(CheckPath(_05preva_view43[[#This Row],[File Path]],_05preva_view43[[#This Row],[File Path]],_05preva_view43[[#This Row],[Folder Path3]]),CheckPath(_05preva_view43[[#This Row],[File Path]],"Open File","No File"))</f>
        <v>#VALUE!</v>
      </c>
      <c r="BD93" s="136" t="str">
        <f>CONCATENATE(_05preva_view43[[#This Row],[Site ID]]," (",_05preva_view43[[#This Row],[tenant id]],") Application",IF(_05preva_view43[[#This Row],[Colo Rev]]&gt;0," Rev "&amp;_05preva_view43[[#This Row],[Colo Rev]],""),".xlsx")</f>
        <v>AYYN_0284 (YGNINSN005) Application Rev 1.xlsx</v>
      </c>
      <c r="BE93" s="64" t="e">
        <f t="shared" ca="1" si="3"/>
        <v>#VALUE!</v>
      </c>
      <c r="BF93" s="104" t="e">
        <f ca="1">LEFT(CELL("filename",A78),_05preva_view43[[#This Row],[Find Process &amp; Database]]-1)</f>
        <v>#VALUE!</v>
      </c>
      <c r="BG93" s="104" t="e">
        <f ca="1">_05preva_view43[Folder Path1]&amp;"Process &amp; Database\Documentation\Colo Applications"</f>
        <v>#VALUE!</v>
      </c>
      <c r="BH93" s="104" t="e">
        <f ca="1">_05preva_view43[Folder Path2]&amp;"\Colo App "&amp;_05preva_view43[[#This Row],[Operator]]&amp;"\"</f>
        <v>#VALUE!</v>
      </c>
      <c r="BI93" s="63" t="e">
        <f ca="1">_05preva_view43[[#This Row],[Folder Path3]]&amp;_05preva_view43[[#This Row],[File Name]]</f>
        <v>#VALUE!</v>
      </c>
      <c r="BJ93" s="104"/>
      <c r="BK93" s="3"/>
      <c r="BL93" s="3"/>
      <c r="CJ93" s="5"/>
      <c r="CK93" s="5"/>
      <c r="CL93" s="3"/>
      <c r="CN93" s="5"/>
      <c r="CR93" s="3"/>
      <c r="CS93" s="3"/>
      <c r="CT93" s="5"/>
      <c r="CV93" s="3"/>
      <c r="DR93" s="5"/>
      <c r="DT93" s="3"/>
      <c r="EF93" s="7"/>
      <c r="EG93" s="7"/>
      <c r="EJ93" s="4"/>
      <c r="EK93" s="4"/>
      <c r="EU93" s="2"/>
      <c r="EV93" s="2"/>
    </row>
    <row r="94" spans="1:152">
      <c r="A94" s="125">
        <v>3569</v>
      </c>
      <c r="B94" s="126" t="s">
        <v>1847</v>
      </c>
      <c r="C94" s="126" t="s">
        <v>116</v>
      </c>
      <c r="D94" s="126" t="s">
        <v>163</v>
      </c>
      <c r="E94" s="126" t="s">
        <v>1848</v>
      </c>
      <c r="F94" s="126" t="s">
        <v>41</v>
      </c>
      <c r="G94" s="126" t="s">
        <v>1576</v>
      </c>
      <c r="H94" s="126" t="s">
        <v>1575</v>
      </c>
      <c r="I94" s="126" t="s">
        <v>1212</v>
      </c>
      <c r="J94" s="126" t="s">
        <v>931</v>
      </c>
      <c r="K94" s="127">
        <v>43473</v>
      </c>
      <c r="L94" s="128">
        <v>2.5</v>
      </c>
      <c r="M94" s="128"/>
      <c r="N94" s="126">
        <v>3</v>
      </c>
      <c r="O94" s="126" t="s">
        <v>119</v>
      </c>
      <c r="P94" s="129" t="s">
        <v>339</v>
      </c>
      <c r="Q94" s="129" t="s">
        <v>903</v>
      </c>
      <c r="R94" s="126" t="s">
        <v>24</v>
      </c>
      <c r="S94" s="126"/>
      <c r="T94" s="130" t="s">
        <v>120</v>
      </c>
      <c r="U94" s="126" t="s">
        <v>1885</v>
      </c>
      <c r="V94" s="130" t="s">
        <v>120</v>
      </c>
      <c r="W94" s="126"/>
      <c r="X94" s="130" t="s">
        <v>120</v>
      </c>
      <c r="Y94" s="126" t="s">
        <v>1849</v>
      </c>
      <c r="Z94" s="165" t="s">
        <v>120</v>
      </c>
      <c r="AA94" s="158"/>
      <c r="AB94" s="158"/>
      <c r="AC94" s="170"/>
      <c r="AD94" s="126" t="s">
        <v>1881</v>
      </c>
      <c r="AE94" s="130" t="s">
        <v>120</v>
      </c>
      <c r="AF94" s="127" t="s">
        <v>1167</v>
      </c>
      <c r="AG94" s="131"/>
      <c r="AH94" s="131"/>
      <c r="AI94" s="126" t="s">
        <v>1417</v>
      </c>
      <c r="AJ94" s="130" t="s">
        <v>120</v>
      </c>
      <c r="AK94" s="126" t="s">
        <v>123</v>
      </c>
      <c r="AL94" s="126" t="s">
        <v>1198</v>
      </c>
      <c r="AM94" s="130"/>
      <c r="AN94" s="126"/>
      <c r="AO94" s="132"/>
      <c r="AP94" s="126"/>
      <c r="AQ94" s="126"/>
      <c r="AR94" s="130" t="s">
        <v>120</v>
      </c>
      <c r="AS94" s="126" t="s">
        <v>1882</v>
      </c>
      <c r="AT94" s="127">
        <v>43474.500826967596</v>
      </c>
      <c r="AU94" s="127">
        <v>43479.7354710648</v>
      </c>
      <c r="AV94" s="127">
        <v>43475.588293749999</v>
      </c>
      <c r="AW94" s="127">
        <v>43474.500826967596</v>
      </c>
      <c r="AX94" s="127">
        <v>43475.646649189803</v>
      </c>
      <c r="AY94" s="127">
        <v>43473.725860185201</v>
      </c>
      <c r="AZ94" s="133">
        <v>43476.400668865703</v>
      </c>
      <c r="BA94" s="134">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B94" s="135">
        <f>COUNTIFS(_05preva_view43[Site ID],_05preva_view43[[#This Row],[Site ID]],_05preva_view43[Prevalidation Status],"Under Prevalidation")</f>
        <v>0</v>
      </c>
      <c r="BC94" s="157" t="e">
        <f ca="1">HYPERLINK(CheckPath(_05preva_view43[[#This Row],[File Path]],_05preva_view43[[#This Row],[File Path]],_05preva_view43[[#This Row],[Folder Path3]]),CheckPath(_05preva_view43[[#This Row],[File Path]],"Open File","No File"))</f>
        <v>#VALUE!</v>
      </c>
      <c r="BD94" s="136" t="str">
        <f>CONCATENATE(_05preva_view43[[#This Row],[Site ID]]," (",_05preva_view43[[#This Row],[tenant id]],") Application",IF(_05preva_view43[[#This Row],[Colo Rev]]&gt;0," Rev "&amp;_05preva_view43[[#This Row],[Colo Rev]],""),".xlsx")</f>
        <v>AYYN_0575 (YGNSPTR001) Application Rev 1.xlsx</v>
      </c>
      <c r="BE94" s="64" t="e">
        <f t="shared" ca="1" si="3"/>
        <v>#VALUE!</v>
      </c>
      <c r="BF94" s="104" t="e">
        <f ca="1">LEFT(CELL("filename",A79),_05preva_view43[[#This Row],[Find Process &amp; Database]]-1)</f>
        <v>#VALUE!</v>
      </c>
      <c r="BG94" s="104" t="e">
        <f ca="1">_05preva_view43[Folder Path1]&amp;"Process &amp; Database\Documentation\Colo Applications"</f>
        <v>#VALUE!</v>
      </c>
      <c r="BH94" s="104" t="e">
        <f ca="1">_05preva_view43[Folder Path2]&amp;"\Colo App "&amp;_05preva_view43[[#This Row],[Operator]]&amp;"\"</f>
        <v>#VALUE!</v>
      </c>
      <c r="BI94" s="63" t="e">
        <f ca="1">_05preva_view43[[#This Row],[Folder Path3]]&amp;_05preva_view43[[#This Row],[File Name]]</f>
        <v>#VALUE!</v>
      </c>
      <c r="BJ94" s="104"/>
      <c r="BK94" s="3"/>
      <c r="BL94" s="3"/>
      <c r="CJ94" s="5"/>
      <c r="CK94" s="5"/>
      <c r="CL94" s="3"/>
      <c r="CN94" s="5"/>
      <c r="CR94" s="3"/>
      <c r="CS94" s="3"/>
      <c r="CT94" s="5"/>
      <c r="CV94" s="3"/>
      <c r="DR94" s="5"/>
      <c r="DT94" s="3"/>
      <c r="EF94" s="7"/>
      <c r="EG94" s="7"/>
      <c r="EJ94" s="4"/>
      <c r="EK94" s="4"/>
      <c r="EU94" s="2"/>
      <c r="EV94" s="2"/>
    </row>
    <row r="95" spans="1:152">
      <c r="A95" s="125">
        <v>3570</v>
      </c>
      <c r="B95" s="126" t="s">
        <v>1850</v>
      </c>
      <c r="C95" s="126" t="s">
        <v>116</v>
      </c>
      <c r="D95" s="126" t="s">
        <v>163</v>
      </c>
      <c r="E95" s="126" t="s">
        <v>1851</v>
      </c>
      <c r="F95" s="126" t="s">
        <v>41</v>
      </c>
      <c r="G95" s="126" t="s">
        <v>1576</v>
      </c>
      <c r="H95" s="126" t="s">
        <v>1575</v>
      </c>
      <c r="I95" s="126" t="s">
        <v>1212</v>
      </c>
      <c r="J95" s="126" t="s">
        <v>931</v>
      </c>
      <c r="K95" s="127">
        <v>43473</v>
      </c>
      <c r="L95" s="128">
        <v>2.5</v>
      </c>
      <c r="M95" s="128"/>
      <c r="N95" s="126">
        <v>3</v>
      </c>
      <c r="O95" s="126" t="s">
        <v>119</v>
      </c>
      <c r="P95" s="129" t="s">
        <v>1225</v>
      </c>
      <c r="Q95" s="129"/>
      <c r="R95" s="126" t="s">
        <v>24</v>
      </c>
      <c r="S95" s="126"/>
      <c r="T95" s="130" t="s">
        <v>120</v>
      </c>
      <c r="U95" s="126" t="s">
        <v>1886</v>
      </c>
      <c r="V95" s="130" t="s">
        <v>120</v>
      </c>
      <c r="W95" s="126"/>
      <c r="X95" s="130" t="s">
        <v>120</v>
      </c>
      <c r="Y95" s="126" t="s">
        <v>1852</v>
      </c>
      <c r="Z95" s="165" t="s">
        <v>120</v>
      </c>
      <c r="AA95" s="158"/>
      <c r="AB95" s="158"/>
      <c r="AC95" s="170"/>
      <c r="AD95" s="126" t="s">
        <v>1881</v>
      </c>
      <c r="AE95" s="130" t="s">
        <v>120</v>
      </c>
      <c r="AF95" s="127" t="s">
        <v>1167</v>
      </c>
      <c r="AG95" s="131"/>
      <c r="AH95" s="131"/>
      <c r="AI95" s="126" t="s">
        <v>1417</v>
      </c>
      <c r="AJ95" s="130" t="s">
        <v>120</v>
      </c>
      <c r="AK95" s="126" t="s">
        <v>123</v>
      </c>
      <c r="AL95" s="126" t="s">
        <v>1198</v>
      </c>
      <c r="AM95" s="130"/>
      <c r="AN95" s="126"/>
      <c r="AO95" s="132"/>
      <c r="AP95" s="126"/>
      <c r="AQ95" s="126"/>
      <c r="AR95" s="130" t="s">
        <v>120</v>
      </c>
      <c r="AS95" s="126" t="s">
        <v>1882</v>
      </c>
      <c r="AT95" s="127">
        <v>43474.500828935197</v>
      </c>
      <c r="AU95" s="127">
        <v>43479.735471527798</v>
      </c>
      <c r="AV95" s="127">
        <v>43475.588294097201</v>
      </c>
      <c r="AW95" s="127">
        <v>43474.500828935197</v>
      </c>
      <c r="AX95" s="127">
        <v>43475.646653009302</v>
      </c>
      <c r="AY95" s="127">
        <v>43473.725861574101</v>
      </c>
      <c r="AZ95" s="133">
        <v>43476.400671064803</v>
      </c>
      <c r="BA95" s="134">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B95" s="135">
        <f>COUNTIFS(_05preva_view43[Site ID],_05preva_view43[[#This Row],[Site ID]],_05preva_view43[Prevalidation Status],"Under Prevalidation")</f>
        <v>0</v>
      </c>
      <c r="BC95" s="157" t="e">
        <f ca="1">HYPERLINK(CheckPath(_05preva_view43[[#This Row],[File Path]],_05preva_view43[[#This Row],[File Path]],_05preva_view43[[#This Row],[Folder Path3]]),CheckPath(_05preva_view43[[#This Row],[File Path]],"Open File","No File"))</f>
        <v>#VALUE!</v>
      </c>
      <c r="BD95" s="136" t="str">
        <f>CONCATENATE(_05preva_view43[[#This Row],[Site ID]]," (",_05preva_view43[[#This Row],[tenant id]],") Application",IF(_05preva_view43[[#This Row],[Colo Rev]]&gt;0," Rev "&amp;_05preva_view43[[#This Row],[Colo Rev]],""),".xlsx")</f>
        <v>AYYN_0403 (YGNTKTA002) Application Rev 1.xlsx</v>
      </c>
      <c r="BE95" s="64" t="e">
        <f t="shared" ca="1" si="3"/>
        <v>#VALUE!</v>
      </c>
      <c r="BF95" s="104" t="e">
        <f ca="1">LEFT(CELL("filename",A80),_05preva_view43[[#This Row],[Find Process &amp; Database]]-1)</f>
        <v>#VALUE!</v>
      </c>
      <c r="BG95" s="104" t="e">
        <f ca="1">_05preva_view43[Folder Path1]&amp;"Process &amp; Database\Documentation\Colo Applications"</f>
        <v>#VALUE!</v>
      </c>
      <c r="BH95" s="104" t="e">
        <f ca="1">_05preva_view43[Folder Path2]&amp;"\Colo App "&amp;_05preva_view43[[#This Row],[Operator]]&amp;"\"</f>
        <v>#VALUE!</v>
      </c>
      <c r="BI95" s="63" t="e">
        <f ca="1">_05preva_view43[[#This Row],[Folder Path3]]&amp;_05preva_view43[[#This Row],[File Name]]</f>
        <v>#VALUE!</v>
      </c>
      <c r="BJ95" s="104"/>
      <c r="BK95" s="3"/>
      <c r="BL95" s="3"/>
      <c r="CJ95" s="5"/>
      <c r="CK95" s="5"/>
      <c r="CL95" s="3"/>
      <c r="CN95" s="5"/>
      <c r="CR95" s="3"/>
      <c r="CS95" s="3"/>
      <c r="CT95" s="5"/>
      <c r="CV95" s="3"/>
      <c r="DR95" s="5"/>
      <c r="DT95" s="3"/>
      <c r="EF95" s="7"/>
      <c r="EG95" s="7"/>
      <c r="EJ95" s="4"/>
      <c r="EK95" s="4"/>
      <c r="EU95" s="2"/>
      <c r="EV95" s="2"/>
    </row>
    <row r="96" spans="1:152">
      <c r="A96" s="125">
        <v>3571</v>
      </c>
      <c r="B96" s="126" t="s">
        <v>1853</v>
      </c>
      <c r="C96" s="126" t="s">
        <v>116</v>
      </c>
      <c r="D96" s="126" t="s">
        <v>163</v>
      </c>
      <c r="E96" s="126" t="s">
        <v>1854</v>
      </c>
      <c r="F96" s="126" t="s">
        <v>41</v>
      </c>
      <c r="G96" s="126" t="s">
        <v>1576</v>
      </c>
      <c r="H96" s="126" t="s">
        <v>1575</v>
      </c>
      <c r="I96" s="126" t="s">
        <v>1212</v>
      </c>
      <c r="J96" s="126" t="s">
        <v>931</v>
      </c>
      <c r="K96" s="127">
        <v>43473</v>
      </c>
      <c r="L96" s="128">
        <v>1.1000000000000001</v>
      </c>
      <c r="M96" s="128"/>
      <c r="N96" s="126">
        <v>3</v>
      </c>
      <c r="O96" s="126" t="s">
        <v>119</v>
      </c>
      <c r="P96" s="129" t="s">
        <v>284</v>
      </c>
      <c r="Q96" s="129" t="s">
        <v>285</v>
      </c>
      <c r="R96" s="126" t="s">
        <v>24</v>
      </c>
      <c r="S96" s="126"/>
      <c r="T96" s="130" t="s">
        <v>120</v>
      </c>
      <c r="U96" s="126" t="s">
        <v>1887</v>
      </c>
      <c r="V96" s="130" t="s">
        <v>120</v>
      </c>
      <c r="W96" s="126"/>
      <c r="X96" s="130" t="s">
        <v>120</v>
      </c>
      <c r="Y96" s="126" t="s">
        <v>1855</v>
      </c>
      <c r="Z96" s="165" t="s">
        <v>120</v>
      </c>
      <c r="AA96" s="158"/>
      <c r="AB96" s="158"/>
      <c r="AC96" s="170"/>
      <c r="AD96" s="126" t="s">
        <v>1881</v>
      </c>
      <c r="AE96" s="130" t="s">
        <v>120</v>
      </c>
      <c r="AF96" s="127" t="s">
        <v>1167</v>
      </c>
      <c r="AG96" s="131"/>
      <c r="AH96" s="131"/>
      <c r="AI96" s="126" t="s">
        <v>1417</v>
      </c>
      <c r="AJ96" s="130" t="s">
        <v>120</v>
      </c>
      <c r="AK96" s="126" t="s">
        <v>123</v>
      </c>
      <c r="AL96" s="126" t="s">
        <v>1198</v>
      </c>
      <c r="AM96" s="130"/>
      <c r="AN96" s="126"/>
      <c r="AO96" s="132"/>
      <c r="AP96" s="126"/>
      <c r="AQ96" s="126"/>
      <c r="AR96" s="130" t="s">
        <v>120</v>
      </c>
      <c r="AS96" s="126" t="s">
        <v>1882</v>
      </c>
      <c r="AT96" s="127">
        <v>43474.500830671299</v>
      </c>
      <c r="AU96" s="127">
        <v>43479.735474189802</v>
      </c>
      <c r="AV96" s="127">
        <v>43475.588294675901</v>
      </c>
      <c r="AW96" s="127">
        <v>43474.500830671299</v>
      </c>
      <c r="AX96" s="127">
        <v>43475.646653703698</v>
      </c>
      <c r="AY96" s="127">
        <v>43473.725863194399</v>
      </c>
      <c r="AZ96" s="133">
        <v>43476.400672916701</v>
      </c>
      <c r="BA96" s="134">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B96" s="135">
        <f>COUNTIFS(_05preva_view43[Site ID],_05preva_view43[[#This Row],[Site ID]],_05preva_view43[Prevalidation Status],"Under Prevalidation")</f>
        <v>0</v>
      </c>
      <c r="BC96" s="157" t="e">
        <f ca="1">HYPERLINK(CheckPath(_05preva_view43[[#This Row],[File Path]],_05preva_view43[[#This Row],[File Path]],_05preva_view43[[#This Row],[Folder Path3]]),CheckPath(_05preva_view43[[#This Row],[File Path]],"Open File","No File"))</f>
        <v>#VALUE!</v>
      </c>
      <c r="BD96" s="136" t="str">
        <f>CONCATENATE(_05preva_view43[[#This Row],[Site ID]]," (",_05preva_view43[[#This Row],[tenant id]],") Application",IF(_05preva_view43[[#This Row],[Colo Rev]]&gt;0," Rev "&amp;_05preva_view43[[#This Row],[Colo Rev]],""),".xlsx")</f>
        <v>AYYN_0570 (YGNSPTR022) Application Rev 1.xlsx</v>
      </c>
      <c r="BE96" s="64" t="e">
        <f t="shared" ca="1" si="3"/>
        <v>#VALUE!</v>
      </c>
      <c r="BF96" s="104" t="e">
        <f ca="1">LEFT(CELL("filename",A81),_05preva_view43[[#This Row],[Find Process &amp; Database]]-1)</f>
        <v>#VALUE!</v>
      </c>
      <c r="BG96" s="104" t="e">
        <f ca="1">_05preva_view43[Folder Path1]&amp;"Process &amp; Database\Documentation\Colo Applications"</f>
        <v>#VALUE!</v>
      </c>
      <c r="BH96" s="104" t="e">
        <f ca="1">_05preva_view43[Folder Path2]&amp;"\Colo App "&amp;_05preva_view43[[#This Row],[Operator]]&amp;"\"</f>
        <v>#VALUE!</v>
      </c>
      <c r="BI96" s="63" t="e">
        <f ca="1">_05preva_view43[[#This Row],[Folder Path3]]&amp;_05preva_view43[[#This Row],[File Name]]</f>
        <v>#VALUE!</v>
      </c>
      <c r="BJ96" s="104"/>
      <c r="BK96" s="3"/>
      <c r="BL96" s="3"/>
      <c r="CJ96" s="5"/>
      <c r="CK96" s="5"/>
      <c r="CL96" s="3"/>
      <c r="CN96" s="5"/>
      <c r="CR96" s="3"/>
      <c r="CS96" s="3"/>
      <c r="CT96" s="5"/>
      <c r="CV96" s="3"/>
      <c r="DR96" s="5"/>
      <c r="DT96" s="3"/>
      <c r="EF96" s="7"/>
      <c r="EG96" s="7"/>
      <c r="EJ96" s="4"/>
      <c r="EK96" s="4"/>
      <c r="EU96" s="2"/>
      <c r="EV96" s="2"/>
    </row>
    <row r="97" spans="1:152">
      <c r="A97" s="125">
        <v>3551</v>
      </c>
      <c r="B97" s="126" t="s">
        <v>1779</v>
      </c>
      <c r="C97" s="126" t="s">
        <v>116</v>
      </c>
      <c r="D97" s="126" t="s">
        <v>163</v>
      </c>
      <c r="E97" s="126" t="s">
        <v>1780</v>
      </c>
      <c r="F97" s="126" t="s">
        <v>40</v>
      </c>
      <c r="G97" s="126" t="s">
        <v>1781</v>
      </c>
      <c r="H97" s="126" t="s">
        <v>1619</v>
      </c>
      <c r="I97" s="126" t="s">
        <v>1143</v>
      </c>
      <c r="J97" s="126" t="s">
        <v>1091</v>
      </c>
      <c r="K97" s="127">
        <v>43472</v>
      </c>
      <c r="L97" s="128">
        <v>3</v>
      </c>
      <c r="M97" s="128">
        <v>4</v>
      </c>
      <c r="N97" s="126">
        <v>6</v>
      </c>
      <c r="O97" s="126" t="s">
        <v>950</v>
      </c>
      <c r="P97" s="129" t="s">
        <v>968</v>
      </c>
      <c r="Q97" s="129" t="s">
        <v>969</v>
      </c>
      <c r="R97" s="126" t="s">
        <v>25</v>
      </c>
      <c r="S97" s="126"/>
      <c r="T97" s="130" t="s">
        <v>120</v>
      </c>
      <c r="U97" s="126"/>
      <c r="V97" s="130" t="s">
        <v>120</v>
      </c>
      <c r="W97" s="126"/>
      <c r="X97" s="130" t="s">
        <v>120</v>
      </c>
      <c r="Y97" s="126" t="s">
        <v>1782</v>
      </c>
      <c r="Z97" s="165" t="s">
        <v>120</v>
      </c>
      <c r="AA97" s="158" t="s">
        <v>2140</v>
      </c>
      <c r="AB97" s="158" t="s">
        <v>2141</v>
      </c>
      <c r="AC97" s="170" t="s">
        <v>123</v>
      </c>
      <c r="AD97" s="126" t="s">
        <v>1856</v>
      </c>
      <c r="AE97" s="130" t="s">
        <v>120</v>
      </c>
      <c r="AF97" s="127"/>
      <c r="AG97" s="131"/>
      <c r="AH97" s="131"/>
      <c r="AI97" s="126"/>
      <c r="AJ97" s="130" t="s">
        <v>120</v>
      </c>
      <c r="AK97" s="126" t="s">
        <v>123</v>
      </c>
      <c r="AL97" s="126" t="s">
        <v>1418</v>
      </c>
      <c r="AM97" s="130"/>
      <c r="AN97" s="126"/>
      <c r="AO97" s="132"/>
      <c r="AP97" s="126"/>
      <c r="AQ97" s="126"/>
      <c r="AR97" s="130"/>
      <c r="AS97" s="126"/>
      <c r="AT97" s="127">
        <v>43472.659166898098</v>
      </c>
      <c r="AU97" s="127">
        <v>43479.735454282403</v>
      </c>
      <c r="AV97" s="127">
        <v>43474.476503587997</v>
      </c>
      <c r="AW97" s="127">
        <v>43472.659166898098</v>
      </c>
      <c r="AX97" s="127">
        <v>43472.676697685201</v>
      </c>
      <c r="AY97" s="127">
        <v>43472.438912963</v>
      </c>
      <c r="AZ97" s="133"/>
      <c r="BA97" s="134">
        <f ca="1">IF(_05preva_view43[[#This Row],[Prevalidation Status]]="Under Prevalidation",NOW()-_05preva_view43[[#This Row],[Request Date]],IF(_05preva_view43[[#This Row],[Close Date]]&gt;_05preva_view43[[#This Row],[Request Date]],_05preva_view43[[#This Row],[Close Date]]-_05preva_view43[[#This Row],[Request Date]],"Not  Calculated"))</f>
        <v>16.70510648148047</v>
      </c>
      <c r="BB97" s="135">
        <f>COUNTIFS(_05preva_view43[Site ID],_05preva_view43[[#This Row],[Site ID]],_05preva_view43[Prevalidation Status],"Under Prevalidation")</f>
        <v>1</v>
      </c>
      <c r="BC97" s="157" t="e">
        <f ca="1">HYPERLINK(CheckPath(_05preva_view43[[#This Row],[File Path]],_05preva_view43[[#This Row],[File Path]],_05preva_view43[[#This Row],[Folder Path3]]),CheckPath(_05preva_view43[[#This Row],[File Path]],"Open File","No File"))</f>
        <v>#VALUE!</v>
      </c>
      <c r="BD97" s="136" t="str">
        <f>CONCATENATE(_05preva_view43[[#This Row],[Site ID]]," (",_05preva_view43[[#This Row],[tenant id]],") Application",IF(_05preva_view43[[#This Row],[Colo Rev]]&gt;0," Rev "&amp;_05preva_view43[[#This Row],[Colo Rev]],""),".xlsx")</f>
        <v>ASMO_0207 (MOW6137) Application Rev .xlsx</v>
      </c>
      <c r="BE97" s="64" t="e">
        <f t="shared" ca="1" si="3"/>
        <v>#VALUE!</v>
      </c>
      <c r="BF97" s="104" t="e">
        <f ca="1">LEFT(CELL("filename",A82),_05preva_view43[[#This Row],[Find Process &amp; Database]]-1)</f>
        <v>#VALUE!</v>
      </c>
      <c r="BG97" s="104" t="e">
        <f ca="1">_05preva_view43[Folder Path1]&amp;"Process &amp; Database\Documentation\Colo Applications"</f>
        <v>#VALUE!</v>
      </c>
      <c r="BH97" s="104" t="e">
        <f ca="1">_05preva_view43[Folder Path2]&amp;"\Colo App "&amp;_05preva_view43[[#This Row],[Operator]]&amp;"\"</f>
        <v>#VALUE!</v>
      </c>
      <c r="BI97" s="63" t="e">
        <f ca="1">_05preva_view43[[#This Row],[Folder Path3]]&amp;_05preva_view43[[#This Row],[File Name]]</f>
        <v>#VALUE!</v>
      </c>
      <c r="BJ97" s="104"/>
      <c r="BK97" s="3"/>
      <c r="BL97" s="3"/>
      <c r="CJ97" s="5"/>
      <c r="CK97" s="5"/>
      <c r="CL97" s="3"/>
      <c r="CN97" s="5"/>
      <c r="CR97" s="3"/>
      <c r="CS97" s="3"/>
      <c r="CT97" s="5"/>
      <c r="CV97" s="3"/>
      <c r="DR97" s="5"/>
      <c r="DT97" s="3"/>
      <c r="EF97" s="7"/>
      <c r="EG97" s="7"/>
      <c r="EJ97" s="4"/>
      <c r="EK97" s="4"/>
      <c r="EU97" s="2"/>
      <c r="EV97" s="2"/>
    </row>
    <row r="98" spans="1:152">
      <c r="A98" s="125">
        <v>3552</v>
      </c>
      <c r="B98" s="126" t="s">
        <v>1783</v>
      </c>
      <c r="C98" s="126" t="s">
        <v>116</v>
      </c>
      <c r="D98" s="126" t="s">
        <v>163</v>
      </c>
      <c r="E98" s="126" t="s">
        <v>1784</v>
      </c>
      <c r="F98" s="126" t="s">
        <v>40</v>
      </c>
      <c r="G98" s="126" t="s">
        <v>1781</v>
      </c>
      <c r="H98" s="126" t="s">
        <v>1619</v>
      </c>
      <c r="I98" s="126" t="s">
        <v>1143</v>
      </c>
      <c r="J98" s="126" t="s">
        <v>1091</v>
      </c>
      <c r="K98" s="127">
        <v>43472</v>
      </c>
      <c r="L98" s="128">
        <v>3</v>
      </c>
      <c r="M98" s="128">
        <v>4</v>
      </c>
      <c r="N98" s="126">
        <v>6</v>
      </c>
      <c r="O98" s="126" t="s">
        <v>950</v>
      </c>
      <c r="P98" s="129" t="s">
        <v>1785</v>
      </c>
      <c r="Q98" s="129" t="s">
        <v>277</v>
      </c>
      <c r="R98" s="126" t="s">
        <v>25</v>
      </c>
      <c r="S98" s="126"/>
      <c r="T98" s="130" t="s">
        <v>120</v>
      </c>
      <c r="U98" s="126" t="s">
        <v>1786</v>
      </c>
      <c r="V98" s="130" t="s">
        <v>120</v>
      </c>
      <c r="W98" s="126"/>
      <c r="X98" s="130" t="s">
        <v>120</v>
      </c>
      <c r="Y98" s="126" t="s">
        <v>1787</v>
      </c>
      <c r="Z98" s="165" t="s">
        <v>120</v>
      </c>
      <c r="AA98" s="158" t="s">
        <v>2140</v>
      </c>
      <c r="AB98" s="158" t="s">
        <v>2141</v>
      </c>
      <c r="AC98" s="170" t="s">
        <v>123</v>
      </c>
      <c r="AD98" s="126" t="s">
        <v>1857</v>
      </c>
      <c r="AE98" s="130" t="s">
        <v>120</v>
      </c>
      <c r="AF98" s="127"/>
      <c r="AG98" s="131"/>
      <c r="AH98" s="131"/>
      <c r="AI98" s="126" t="s">
        <v>2098</v>
      </c>
      <c r="AJ98" s="130" t="s">
        <v>120</v>
      </c>
      <c r="AK98" s="126" t="s">
        <v>123</v>
      </c>
      <c r="AL98" s="126" t="s">
        <v>1418</v>
      </c>
      <c r="AM98" s="130"/>
      <c r="AN98" s="126"/>
      <c r="AO98" s="132"/>
      <c r="AP98" s="126"/>
      <c r="AQ98" s="126"/>
      <c r="AR98" s="130"/>
      <c r="AS98" s="126"/>
      <c r="AT98" s="127">
        <v>43472.659168865699</v>
      </c>
      <c r="AU98" s="127">
        <v>43479.735457060196</v>
      </c>
      <c r="AV98" s="127">
        <v>43474.4765042824</v>
      </c>
      <c r="AW98" s="127">
        <v>43472.659168865699</v>
      </c>
      <c r="AX98" s="127">
        <v>43472.676698379597</v>
      </c>
      <c r="AY98" s="127">
        <v>43472.438917476902</v>
      </c>
      <c r="AZ98" s="133"/>
      <c r="BA98" s="134">
        <f ca="1">IF(_05preva_view43[[#This Row],[Prevalidation Status]]="Under Prevalidation",NOW()-_05preva_view43[[#This Row],[Request Date]],IF(_05preva_view43[[#This Row],[Close Date]]&gt;_05preva_view43[[#This Row],[Request Date]],_05preva_view43[[#This Row],[Close Date]]-_05preva_view43[[#This Row],[Request Date]],"Not  Calculated"))</f>
        <v>16.70510648148047</v>
      </c>
      <c r="BB98" s="135">
        <f>COUNTIFS(_05preva_view43[Site ID],_05preva_view43[[#This Row],[Site ID]],_05preva_view43[Prevalidation Status],"Under Prevalidation")</f>
        <v>1</v>
      </c>
      <c r="BC98" s="157" t="e">
        <f ca="1">HYPERLINK(CheckPath(_05preva_view43[[#This Row],[File Path]],_05preva_view43[[#This Row],[File Path]],_05preva_view43[[#This Row],[Folder Path3]]),CheckPath(_05preva_view43[[#This Row],[File Path]],"Open File","No File"))</f>
        <v>#VALUE!</v>
      </c>
      <c r="BD98" s="136" t="str">
        <f>CONCATENATE(_05preva_view43[[#This Row],[Site ID]]," (",_05preva_view43[[#This Row],[tenant id]],") Application",IF(_05preva_view43[[#This Row],[Colo Rev]]&gt;0," Rev "&amp;_05preva_view43[[#This Row],[Colo Rev]],""),".xlsx")</f>
        <v>ASMO_0199 (MOW6153) Application Rev .xlsx</v>
      </c>
      <c r="BE98" s="64" t="e">
        <f t="shared" ca="1" si="3"/>
        <v>#VALUE!</v>
      </c>
      <c r="BF98" s="104" t="e">
        <f ca="1">LEFT(CELL("filename",A83),_05preva_view43[[#This Row],[Find Process &amp; Database]]-1)</f>
        <v>#VALUE!</v>
      </c>
      <c r="BG98" s="104" t="e">
        <f ca="1">_05preva_view43[Folder Path1]&amp;"Process &amp; Database\Documentation\Colo Applications"</f>
        <v>#VALUE!</v>
      </c>
      <c r="BH98" s="104" t="e">
        <f ca="1">_05preva_view43[Folder Path2]&amp;"\Colo App "&amp;_05preva_view43[[#This Row],[Operator]]&amp;"\"</f>
        <v>#VALUE!</v>
      </c>
      <c r="BI98" s="63" t="e">
        <f ca="1">_05preva_view43[[#This Row],[Folder Path3]]&amp;_05preva_view43[[#This Row],[File Name]]</f>
        <v>#VALUE!</v>
      </c>
      <c r="BJ98" s="104"/>
      <c r="BK98" s="3"/>
      <c r="BL98" s="3"/>
      <c r="CJ98" s="5"/>
      <c r="CK98" s="5"/>
      <c r="CL98" s="3"/>
      <c r="CN98" s="5"/>
      <c r="CR98" s="3"/>
      <c r="CS98" s="3"/>
      <c r="CT98" s="5"/>
      <c r="CV98" s="3"/>
      <c r="DR98" s="5"/>
      <c r="DT98" s="3"/>
      <c r="EF98" s="7"/>
      <c r="EG98" s="7"/>
      <c r="EJ98" s="4"/>
      <c r="EK98" s="4"/>
      <c r="EU98" s="2"/>
      <c r="EV98" s="2"/>
    </row>
    <row r="99" spans="1:152">
      <c r="A99" s="125">
        <v>3553</v>
      </c>
      <c r="B99" s="126" t="s">
        <v>1788</v>
      </c>
      <c r="C99" s="126" t="s">
        <v>116</v>
      </c>
      <c r="D99" s="126" t="s">
        <v>163</v>
      </c>
      <c r="E99" s="126" t="s">
        <v>1789</v>
      </c>
      <c r="F99" s="126" t="s">
        <v>34</v>
      </c>
      <c r="G99" s="126" t="s">
        <v>118</v>
      </c>
      <c r="H99" s="126" t="s">
        <v>1619</v>
      </c>
      <c r="I99" s="126" t="s">
        <v>1143</v>
      </c>
      <c r="J99" s="126" t="s">
        <v>931</v>
      </c>
      <c r="K99" s="127">
        <v>43472</v>
      </c>
      <c r="L99" s="128">
        <v>2</v>
      </c>
      <c r="M99" s="128">
        <v>2</v>
      </c>
      <c r="N99" s="126">
        <v>3.5</v>
      </c>
      <c r="O99" s="126" t="s">
        <v>119</v>
      </c>
      <c r="P99" s="129" t="s">
        <v>363</v>
      </c>
      <c r="Q99" s="129" t="s">
        <v>736</v>
      </c>
      <c r="R99" s="126" t="s">
        <v>25</v>
      </c>
      <c r="S99" s="126"/>
      <c r="T99" s="130" t="s">
        <v>120</v>
      </c>
      <c r="U99" s="126" t="s">
        <v>1790</v>
      </c>
      <c r="V99" s="130" t="s">
        <v>120</v>
      </c>
      <c r="W99" s="126"/>
      <c r="X99" s="130" t="s">
        <v>120</v>
      </c>
      <c r="Y99" s="126" t="s">
        <v>1791</v>
      </c>
      <c r="Z99" s="165" t="s">
        <v>2152</v>
      </c>
      <c r="AA99" s="158" t="s">
        <v>2169</v>
      </c>
      <c r="AB99" s="158"/>
      <c r="AC99" s="170"/>
      <c r="AD99" s="126" t="s">
        <v>2084</v>
      </c>
      <c r="AE99" s="130" t="s">
        <v>120</v>
      </c>
      <c r="AF99" s="127"/>
      <c r="AG99" s="131"/>
      <c r="AH99" s="131"/>
      <c r="AI99" s="126"/>
      <c r="AJ99" s="130" t="s">
        <v>120</v>
      </c>
      <c r="AK99" s="126" t="s">
        <v>123</v>
      </c>
      <c r="AL99" s="126" t="s">
        <v>1792</v>
      </c>
      <c r="AM99" s="130"/>
      <c r="AN99" s="126"/>
      <c r="AO99" s="132"/>
      <c r="AP99" s="126"/>
      <c r="AQ99" s="126"/>
      <c r="AR99" s="130" t="s">
        <v>120</v>
      </c>
      <c r="AS99" s="126"/>
      <c r="AT99" s="127">
        <v>43472.659170254599</v>
      </c>
      <c r="AU99" s="127">
        <v>43479.735457754599</v>
      </c>
      <c r="AV99" s="127">
        <v>43488.484971064798</v>
      </c>
      <c r="AW99" s="127">
        <v>43472.659170254599</v>
      </c>
      <c r="AX99" s="127">
        <v>43472.676699768497</v>
      </c>
      <c r="AY99" s="127">
        <v>43472.456343634301</v>
      </c>
      <c r="AZ99" s="133"/>
      <c r="BA99" s="134">
        <f ca="1">IF(_05preva_view43[[#This Row],[Prevalidation Status]]="Under Prevalidation",NOW()-_05preva_view43[[#This Row],[Request Date]],IF(_05preva_view43[[#This Row],[Close Date]]&gt;_05preva_view43[[#This Row],[Request Date]],_05preva_view43[[#This Row],[Close Date]]-_05preva_view43[[#This Row],[Request Date]],"Not  Calculated"))</f>
        <v>16.70510648148047</v>
      </c>
      <c r="BB99" s="135">
        <f>COUNTIFS(_05preva_view43[Site ID],_05preva_view43[[#This Row],[Site ID]],_05preva_view43[Prevalidation Status],"Under Prevalidation")</f>
        <v>2</v>
      </c>
      <c r="BC99" s="157" t="e">
        <f ca="1">HYPERLINK(CheckPath(_05preva_view43[[#This Row],[File Path]],_05preva_view43[[#This Row],[File Path]],_05preva_view43[[#This Row],[Folder Path3]]),CheckPath(_05preva_view43[[#This Row],[File Path]],"Open File","No File"))</f>
        <v>#VALUE!</v>
      </c>
      <c r="BD99" s="136" t="str">
        <f>CONCATENATE(_05preva_view43[[#This Row],[Site ID]]," (",_05preva_view43[[#This Row],[tenant id]],") Application",IF(_05preva_view43[[#This Row],[Colo Rev]]&gt;0," Rev "&amp;_05preva_view43[[#This Row],[Colo Rev]],""),".xlsx")</f>
        <v>AYYN_0373 (YGN1424) Application Rev 1.xlsx</v>
      </c>
      <c r="BE99" s="64" t="e">
        <f t="shared" ca="1" si="3"/>
        <v>#VALUE!</v>
      </c>
      <c r="BF99" s="104" t="e">
        <f ca="1">LEFT(CELL("filename",A84),_05preva_view43[[#This Row],[Find Process &amp; Database]]-1)</f>
        <v>#VALUE!</v>
      </c>
      <c r="BG99" s="104" t="e">
        <f ca="1">_05preva_view43[Folder Path1]&amp;"Process &amp; Database\Documentation\Colo Applications"</f>
        <v>#VALUE!</v>
      </c>
      <c r="BH99" s="104" t="e">
        <f ca="1">_05preva_view43[Folder Path2]&amp;"\Colo App "&amp;_05preva_view43[[#This Row],[Operator]]&amp;"\"</f>
        <v>#VALUE!</v>
      </c>
      <c r="BI99" s="63" t="e">
        <f ca="1">_05preva_view43[[#This Row],[Folder Path3]]&amp;_05preva_view43[[#This Row],[File Name]]</f>
        <v>#VALUE!</v>
      </c>
      <c r="BJ99" s="104"/>
      <c r="BK99" s="3"/>
      <c r="BL99" s="3"/>
      <c r="CJ99" s="5"/>
      <c r="CK99" s="5"/>
      <c r="CL99" s="3"/>
      <c r="CN99" s="5"/>
      <c r="CR99" s="3"/>
      <c r="CS99" s="3"/>
      <c r="CT99" s="5"/>
      <c r="CV99" s="3"/>
      <c r="DR99" s="5"/>
      <c r="DT99" s="3"/>
      <c r="EF99" s="7"/>
      <c r="EG99" s="7"/>
      <c r="EJ99" s="4"/>
      <c r="EK99" s="4"/>
      <c r="EU99" s="2"/>
      <c r="EV99" s="2"/>
    </row>
    <row r="100" spans="1:152">
      <c r="A100" s="125">
        <v>3554</v>
      </c>
      <c r="B100" s="126" t="s">
        <v>1793</v>
      </c>
      <c r="C100" s="126" t="s">
        <v>331</v>
      </c>
      <c r="D100" s="126" t="s">
        <v>117</v>
      </c>
      <c r="E100" s="126" t="s">
        <v>1794</v>
      </c>
      <c r="F100" s="126" t="s">
        <v>35</v>
      </c>
      <c r="G100" s="126" t="s">
        <v>1583</v>
      </c>
      <c r="H100" s="126" t="s">
        <v>1575</v>
      </c>
      <c r="I100" s="126" t="s">
        <v>1053</v>
      </c>
      <c r="J100" s="126" t="s">
        <v>990</v>
      </c>
      <c r="K100" s="127">
        <v>43472</v>
      </c>
      <c r="L100" s="128">
        <v>3.44</v>
      </c>
      <c r="M100" s="128">
        <v>4.3</v>
      </c>
      <c r="N100" s="126">
        <v>5.12</v>
      </c>
      <c r="O100" s="126" t="s">
        <v>950</v>
      </c>
      <c r="P100" s="129" t="s">
        <v>1029</v>
      </c>
      <c r="Q100" s="129" t="s">
        <v>1795</v>
      </c>
      <c r="R100" s="126" t="s">
        <v>24</v>
      </c>
      <c r="S100" s="126"/>
      <c r="T100" s="130" t="s">
        <v>120</v>
      </c>
      <c r="U100" s="126"/>
      <c r="V100" s="130" t="s">
        <v>120</v>
      </c>
      <c r="W100" s="126"/>
      <c r="X100" s="130" t="s">
        <v>120</v>
      </c>
      <c r="Y100" s="126" t="s">
        <v>1796</v>
      </c>
      <c r="Z100" s="165" t="s">
        <v>120</v>
      </c>
      <c r="AA100" s="158"/>
      <c r="AB100" s="158"/>
      <c r="AC100" s="170" t="s">
        <v>123</v>
      </c>
      <c r="AD100" s="126" t="s">
        <v>1888</v>
      </c>
      <c r="AE100" s="130" t="s">
        <v>120</v>
      </c>
      <c r="AF100" s="127" t="s">
        <v>2094</v>
      </c>
      <c r="AG100" s="131"/>
      <c r="AH100" s="131"/>
      <c r="AI100" s="126" t="s">
        <v>2099</v>
      </c>
      <c r="AJ100" s="130" t="s">
        <v>120</v>
      </c>
      <c r="AK100" s="126" t="s">
        <v>123</v>
      </c>
      <c r="AL100" s="126" t="s">
        <v>1198</v>
      </c>
      <c r="AM100" s="130"/>
      <c r="AN100" s="126"/>
      <c r="AO100" s="132"/>
      <c r="AP100" s="126"/>
      <c r="AQ100" s="126"/>
      <c r="AR100" s="130"/>
      <c r="AS100" s="126"/>
      <c r="AT100" s="127">
        <v>43472.659171180603</v>
      </c>
      <c r="AU100" s="127">
        <v>43481.501132870399</v>
      </c>
      <c r="AV100" s="127">
        <v>43475.466540277797</v>
      </c>
      <c r="AW100" s="127">
        <v>43479.694292592598</v>
      </c>
      <c r="AX100" s="127">
        <v>43472.656828240702</v>
      </c>
      <c r="AY100" s="127">
        <v>43475.973932523098</v>
      </c>
      <c r="AZ100" s="133">
        <v>43481.630470601798</v>
      </c>
      <c r="BA100" s="134">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B100" s="135">
        <f>COUNTIFS(_05preva_view43[Site ID],_05preva_view43[[#This Row],[Site ID]],_05preva_view43[Prevalidation Status],"Under Prevalidation")</f>
        <v>0</v>
      </c>
      <c r="BC100" s="157" t="e">
        <f ca="1">HYPERLINK(CheckPath(_05preva_view43[[#This Row],[File Path]],_05preva_view43[[#This Row],[File Path]],_05preva_view43[[#This Row],[Folder Path3]]),CheckPath(_05preva_view43[[#This Row],[File Path]],"Open File","No File"))</f>
        <v>#VALUE!</v>
      </c>
      <c r="BD100" s="136" t="str">
        <f>CONCATENATE(_05preva_view43[[#This Row],[Site ID]]," (",_05preva_view43[[#This Row],[tenant id]],") Application",IF(_05preva_view43[[#This Row],[Colo Rev]]&gt;0," Rev "&amp;_05preva_view43[[#This Row],[Colo Rev]],""),".xlsx")</f>
        <v>1-01-14013-003 (SHS00383) Application Rev 3.xlsx</v>
      </c>
      <c r="BE100" s="64" t="e">
        <f t="shared" ca="1" si="3"/>
        <v>#VALUE!</v>
      </c>
      <c r="BF100" s="104" t="e">
        <f ca="1">LEFT(CELL("filename",A85),_05preva_view43[[#This Row],[Find Process &amp; Database]]-1)</f>
        <v>#VALUE!</v>
      </c>
      <c r="BG100" s="104" t="e">
        <f ca="1">_05preva_view43[Folder Path1]&amp;"Process &amp; Database\Documentation\Colo Applications"</f>
        <v>#VALUE!</v>
      </c>
      <c r="BH100" s="104" t="e">
        <f ca="1">_05preva_view43[Folder Path2]&amp;"\Colo App "&amp;_05preva_view43[[#This Row],[Operator]]&amp;"\"</f>
        <v>#VALUE!</v>
      </c>
      <c r="BI100" s="63" t="e">
        <f ca="1">_05preva_view43[[#This Row],[Folder Path3]]&amp;_05preva_view43[[#This Row],[File Name]]</f>
        <v>#VALUE!</v>
      </c>
      <c r="BJ100" s="104"/>
      <c r="BK100" s="3"/>
      <c r="BL100" s="3"/>
      <c r="CJ100" s="5"/>
      <c r="CK100" s="5"/>
      <c r="CL100" s="3"/>
      <c r="CN100" s="5"/>
      <c r="CR100" s="3"/>
      <c r="CS100" s="3"/>
      <c r="CT100" s="5"/>
      <c r="CV100" s="3"/>
      <c r="DR100" s="5"/>
      <c r="DT100" s="3"/>
      <c r="EF100" s="7"/>
      <c r="EG100" s="7"/>
      <c r="EJ100" s="4"/>
      <c r="EK100" s="4"/>
      <c r="EU100" s="2"/>
      <c r="EV100" s="2"/>
    </row>
    <row r="101" spans="1:152">
      <c r="A101" s="125">
        <v>3555</v>
      </c>
      <c r="B101" s="126" t="s">
        <v>1797</v>
      </c>
      <c r="C101" s="126" t="s">
        <v>331</v>
      </c>
      <c r="D101" s="126" t="s">
        <v>163</v>
      </c>
      <c r="E101" s="126" t="s">
        <v>1798</v>
      </c>
      <c r="F101" s="126" t="s">
        <v>38</v>
      </c>
      <c r="G101" s="126" t="s">
        <v>1586</v>
      </c>
      <c r="H101" s="126" t="s">
        <v>1619</v>
      </c>
      <c r="I101" s="126" t="s">
        <v>1143</v>
      </c>
      <c r="J101" s="126" t="s">
        <v>940</v>
      </c>
      <c r="K101" s="127">
        <v>43472</v>
      </c>
      <c r="L101" s="128"/>
      <c r="M101" s="128"/>
      <c r="N101" s="126">
        <v>2.81</v>
      </c>
      <c r="O101" s="126" t="s">
        <v>950</v>
      </c>
      <c r="P101" s="129" t="s">
        <v>1028</v>
      </c>
      <c r="Q101" s="129" t="s">
        <v>1029</v>
      </c>
      <c r="R101" s="126" t="s">
        <v>24</v>
      </c>
      <c r="S101" s="126"/>
      <c r="T101" s="130" t="s">
        <v>861</v>
      </c>
      <c r="U101" s="126"/>
      <c r="V101" s="130" t="s">
        <v>861</v>
      </c>
      <c r="W101" s="126"/>
      <c r="X101" s="130" t="s">
        <v>120</v>
      </c>
      <c r="Y101" s="126" t="s">
        <v>1799</v>
      </c>
      <c r="Z101" s="165" t="s">
        <v>120</v>
      </c>
      <c r="AA101" s="158"/>
      <c r="AB101" s="158"/>
      <c r="AC101" s="170" t="s">
        <v>123</v>
      </c>
      <c r="AD101" s="126" t="s">
        <v>1889</v>
      </c>
      <c r="AE101" s="130" t="s">
        <v>861</v>
      </c>
      <c r="AF101" s="127"/>
      <c r="AG101" s="131"/>
      <c r="AH101" s="131"/>
      <c r="AI101" s="126"/>
      <c r="AJ101" s="130" t="s">
        <v>120</v>
      </c>
      <c r="AK101" s="126" t="s">
        <v>240</v>
      </c>
      <c r="AL101" s="126" t="s">
        <v>1800</v>
      </c>
      <c r="AM101" s="130"/>
      <c r="AN101" s="126"/>
      <c r="AO101" s="132"/>
      <c r="AP101" s="126"/>
      <c r="AQ101" s="126"/>
      <c r="AR101" s="130" t="s">
        <v>120</v>
      </c>
      <c r="AS101" s="126" t="s">
        <v>1890</v>
      </c>
      <c r="AT101" s="127">
        <v>43472.659172337997</v>
      </c>
      <c r="AU101" s="127"/>
      <c r="AV101" s="127">
        <v>43475.715647685203</v>
      </c>
      <c r="AW101" s="127">
        <v>43472.659172337997</v>
      </c>
      <c r="AX101" s="127"/>
      <c r="AY101" s="127"/>
      <c r="AZ101" s="133">
        <v>43475.729218055603</v>
      </c>
      <c r="BA101" s="134">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B101" s="135">
        <f>COUNTIFS(_05preva_view43[Site ID],_05preva_view43[[#This Row],[Site ID]],_05preva_view43[Prevalidation Status],"Under Prevalidation")</f>
        <v>0</v>
      </c>
      <c r="BC101" s="157" t="e">
        <f ca="1">HYPERLINK(CheckPath(_05preva_view43[[#This Row],[File Path]],_05preva_view43[[#This Row],[File Path]],_05preva_view43[[#This Row],[Folder Path3]]),CheckPath(_05preva_view43[[#This Row],[File Path]],"Open File","No File"))</f>
        <v>#VALUE!</v>
      </c>
      <c r="BD101" s="136" t="str">
        <f>CONCATENATE(_05preva_view43[[#This Row],[Site ID]]," (",_05preva_view43[[#This Row],[tenant id]],") Application",IF(_05preva_view43[[#This Row],[Colo Rev]]&gt;0," Rev "&amp;_05preva_view43[[#This Row],[Colo Rev]],""),".xlsx")</f>
        <v>1-01-03007-002 (KA3411) Application Rev 0.xlsx</v>
      </c>
      <c r="BE101" s="64" t="e">
        <f t="shared" ca="1" si="3"/>
        <v>#VALUE!</v>
      </c>
      <c r="BF101" s="104" t="e">
        <f ca="1">LEFT(CELL("filename",A86),_05preva_view43[[#This Row],[Find Process &amp; Database]]-1)</f>
        <v>#VALUE!</v>
      </c>
      <c r="BG101" s="104" t="e">
        <f ca="1">_05preva_view43[Folder Path1]&amp;"Process &amp; Database\Documentation\Colo Applications"</f>
        <v>#VALUE!</v>
      </c>
      <c r="BH101" s="104" t="e">
        <f ca="1">_05preva_view43[Folder Path2]&amp;"\Colo App "&amp;_05preva_view43[[#This Row],[Operator]]&amp;"\"</f>
        <v>#VALUE!</v>
      </c>
      <c r="BI101" s="63" t="e">
        <f ca="1">_05preva_view43[[#This Row],[Folder Path3]]&amp;_05preva_view43[[#This Row],[File Name]]</f>
        <v>#VALUE!</v>
      </c>
      <c r="BJ101" s="104"/>
      <c r="BK101" s="3"/>
      <c r="BL101" s="3"/>
      <c r="CJ101" s="5"/>
      <c r="CK101" s="5"/>
      <c r="CL101" s="3"/>
      <c r="CN101" s="5"/>
      <c r="CR101" s="3"/>
      <c r="CS101" s="3"/>
      <c r="CT101" s="5"/>
      <c r="CV101" s="3"/>
      <c r="DR101" s="5"/>
      <c r="DT101" s="3"/>
      <c r="EF101" s="7"/>
      <c r="EG101" s="7"/>
      <c r="EJ101" s="4"/>
      <c r="EK101" s="4"/>
      <c r="EU101" s="2"/>
      <c r="EV101" s="2"/>
    </row>
    <row r="102" spans="1:152">
      <c r="A102" s="125">
        <v>3556</v>
      </c>
      <c r="B102" s="126" t="s">
        <v>1801</v>
      </c>
      <c r="C102" s="126" t="s">
        <v>331</v>
      </c>
      <c r="D102" s="126" t="s">
        <v>127</v>
      </c>
      <c r="E102" s="126" t="s">
        <v>1802</v>
      </c>
      <c r="F102" s="126" t="s">
        <v>38</v>
      </c>
      <c r="G102" s="126" t="s">
        <v>1586</v>
      </c>
      <c r="H102" s="126" t="s">
        <v>1619</v>
      </c>
      <c r="I102" s="126" t="s">
        <v>1143</v>
      </c>
      <c r="J102" s="126" t="s">
        <v>940</v>
      </c>
      <c r="K102" s="127">
        <v>43472</v>
      </c>
      <c r="L102" s="128"/>
      <c r="M102" s="128"/>
      <c r="N102" s="126">
        <v>4.13</v>
      </c>
      <c r="O102" s="126" t="s">
        <v>950</v>
      </c>
      <c r="P102" s="129" t="s">
        <v>1028</v>
      </c>
      <c r="Q102" s="129" t="s">
        <v>1029</v>
      </c>
      <c r="R102" s="126" t="s">
        <v>24</v>
      </c>
      <c r="S102" s="126"/>
      <c r="T102" s="130" t="s">
        <v>861</v>
      </c>
      <c r="U102" s="126"/>
      <c r="V102" s="130" t="s">
        <v>120</v>
      </c>
      <c r="W102" s="126"/>
      <c r="X102" s="130" t="s">
        <v>120</v>
      </c>
      <c r="Y102" s="126" t="s">
        <v>1803</v>
      </c>
      <c r="Z102" s="165"/>
      <c r="AA102" s="158"/>
      <c r="AB102" s="158"/>
      <c r="AC102" s="170" t="s">
        <v>123</v>
      </c>
      <c r="AD102" s="126" t="s">
        <v>1905</v>
      </c>
      <c r="AE102" s="130" t="s">
        <v>861</v>
      </c>
      <c r="AF102" s="127"/>
      <c r="AG102" s="131"/>
      <c r="AH102" s="131"/>
      <c r="AI102" s="126"/>
      <c r="AJ102" s="130" t="s">
        <v>120</v>
      </c>
      <c r="AK102" s="126" t="s">
        <v>240</v>
      </c>
      <c r="AL102" s="126" t="s">
        <v>1800</v>
      </c>
      <c r="AM102" s="130"/>
      <c r="AN102" s="126"/>
      <c r="AO102" s="132"/>
      <c r="AP102" s="126"/>
      <c r="AQ102" s="126"/>
      <c r="AR102" s="130"/>
      <c r="AS102" s="126"/>
      <c r="AT102" s="127">
        <v>43472.659172916698</v>
      </c>
      <c r="AU102" s="127"/>
      <c r="AV102" s="127">
        <v>43476.442651041703</v>
      </c>
      <c r="AW102" s="127">
        <v>43472.659172916698</v>
      </c>
      <c r="AX102" s="127"/>
      <c r="AY102" s="127">
        <v>43475.973933449102</v>
      </c>
      <c r="AZ102" s="133">
        <v>43476.4463650463</v>
      </c>
      <c r="BA102" s="134">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B102" s="135">
        <f>COUNTIFS(_05preva_view43[Site ID],_05preva_view43[[#This Row],[Site ID]],_05preva_view43[Prevalidation Status],"Under Prevalidation")</f>
        <v>0</v>
      </c>
      <c r="BC102" s="157" t="e">
        <f ca="1">HYPERLINK(CheckPath(_05preva_view43[[#This Row],[File Path]],_05preva_view43[[#This Row],[File Path]],_05preva_view43[[#This Row],[Folder Path3]]),CheckPath(_05preva_view43[[#This Row],[File Path]],"Open File","No File"))</f>
        <v>#VALUE!</v>
      </c>
      <c r="BD102" s="136" t="str">
        <f>CONCATENATE(_05preva_view43[[#This Row],[Site ID]]," (",_05preva_view43[[#This Row],[tenant id]],") Application",IF(_05preva_view43[[#This Row],[Colo Rev]]&gt;0," Rev "&amp;_05preva_view43[[#This Row],[Colo Rev]],""),".xlsx")</f>
        <v>1-03-01014-017 (KC0459) Application Rev 0.xlsx</v>
      </c>
      <c r="BE102" s="64" t="e">
        <f t="shared" ca="1" si="3"/>
        <v>#VALUE!</v>
      </c>
      <c r="BF102" s="104" t="e">
        <f ca="1">LEFT(CELL("filename",A87),_05preva_view43[[#This Row],[Find Process &amp; Database]]-1)</f>
        <v>#VALUE!</v>
      </c>
      <c r="BG102" s="104" t="e">
        <f ca="1">_05preva_view43[Folder Path1]&amp;"Process &amp; Database\Documentation\Colo Applications"</f>
        <v>#VALUE!</v>
      </c>
      <c r="BH102" s="104" t="e">
        <f ca="1">_05preva_view43[Folder Path2]&amp;"\Colo App "&amp;_05preva_view43[[#This Row],[Operator]]&amp;"\"</f>
        <v>#VALUE!</v>
      </c>
      <c r="BI102" s="63" t="e">
        <f ca="1">_05preva_view43[[#This Row],[Folder Path3]]&amp;_05preva_view43[[#This Row],[File Name]]</f>
        <v>#VALUE!</v>
      </c>
      <c r="BJ102" s="104"/>
      <c r="BK102" s="3"/>
      <c r="BL102" s="3"/>
      <c r="CJ102" s="5"/>
      <c r="CK102" s="5"/>
      <c r="CL102" s="3"/>
      <c r="CN102" s="5"/>
      <c r="CR102" s="3"/>
      <c r="CS102" s="3"/>
      <c r="CT102" s="5"/>
      <c r="CV102" s="3"/>
      <c r="DR102" s="5"/>
      <c r="DT102" s="3"/>
      <c r="EF102" s="7"/>
      <c r="EG102" s="7"/>
      <c r="EJ102" s="4"/>
      <c r="EK102" s="4"/>
      <c r="EU102" s="2"/>
      <c r="EV102" s="2"/>
    </row>
    <row r="103" spans="1:152">
      <c r="A103" s="125">
        <v>3557</v>
      </c>
      <c r="B103" s="126" t="s">
        <v>1279</v>
      </c>
      <c r="C103" s="126" t="s">
        <v>331</v>
      </c>
      <c r="D103" s="126" t="s">
        <v>127</v>
      </c>
      <c r="E103" s="126" t="s">
        <v>1804</v>
      </c>
      <c r="F103" s="126" t="s">
        <v>38</v>
      </c>
      <c r="G103" s="126" t="s">
        <v>1586</v>
      </c>
      <c r="H103" s="126" t="s">
        <v>1619</v>
      </c>
      <c r="I103" s="126" t="s">
        <v>1143</v>
      </c>
      <c r="J103" s="126" t="s">
        <v>940</v>
      </c>
      <c r="K103" s="127">
        <v>43472</v>
      </c>
      <c r="L103" s="128"/>
      <c r="M103" s="128"/>
      <c r="N103" s="126">
        <v>4.2699999999999996</v>
      </c>
      <c r="O103" s="126" t="s">
        <v>950</v>
      </c>
      <c r="P103" s="129" t="s">
        <v>1028</v>
      </c>
      <c r="Q103" s="129" t="s">
        <v>1029</v>
      </c>
      <c r="R103" s="126" t="s">
        <v>24</v>
      </c>
      <c r="S103" s="126"/>
      <c r="T103" s="130" t="s">
        <v>861</v>
      </c>
      <c r="U103" s="126"/>
      <c r="V103" s="130" t="s">
        <v>861</v>
      </c>
      <c r="W103" s="126"/>
      <c r="X103" s="130" t="s">
        <v>120</v>
      </c>
      <c r="Y103" s="126" t="s">
        <v>1805</v>
      </c>
      <c r="Z103" s="165" t="s">
        <v>120</v>
      </c>
      <c r="AA103" s="158"/>
      <c r="AB103" s="158"/>
      <c r="AC103" s="170" t="s">
        <v>123</v>
      </c>
      <c r="AD103" s="126" t="s">
        <v>1891</v>
      </c>
      <c r="AE103" s="130" t="s">
        <v>861</v>
      </c>
      <c r="AF103" s="127"/>
      <c r="AG103" s="131"/>
      <c r="AH103" s="131"/>
      <c r="AI103" s="126"/>
      <c r="AJ103" s="130" t="s">
        <v>120</v>
      </c>
      <c r="AK103" s="126" t="s">
        <v>240</v>
      </c>
      <c r="AL103" s="126" t="s">
        <v>1800</v>
      </c>
      <c r="AM103" s="130"/>
      <c r="AN103" s="126"/>
      <c r="AO103" s="132"/>
      <c r="AP103" s="126"/>
      <c r="AQ103" s="126"/>
      <c r="AR103" s="130" t="s">
        <v>120</v>
      </c>
      <c r="AS103" s="126" t="s">
        <v>1890</v>
      </c>
      <c r="AT103" s="127">
        <v>43472.659173958302</v>
      </c>
      <c r="AU103" s="127"/>
      <c r="AV103" s="127">
        <v>43475.6627010417</v>
      </c>
      <c r="AW103" s="127">
        <v>43472.659173958302</v>
      </c>
      <c r="AX103" s="127"/>
      <c r="AY103" s="127"/>
      <c r="AZ103" s="133">
        <v>43475.729218634297</v>
      </c>
      <c r="BA103" s="134">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B103" s="135">
        <f>COUNTIFS(_05preva_view43[Site ID],_05preva_view43[[#This Row],[Site ID]],_05preva_view43[Prevalidation Status],"Under Prevalidation")</f>
        <v>0</v>
      </c>
      <c r="BC103" s="157" t="e">
        <f ca="1">HYPERLINK(CheckPath(_05preva_view43[[#This Row],[File Path]],_05preva_view43[[#This Row],[File Path]],_05preva_view43[[#This Row],[Folder Path3]]),CheckPath(_05preva_view43[[#This Row],[File Path]],"Open File","No File"))</f>
        <v>#VALUE!</v>
      </c>
      <c r="BD103" s="136" t="str">
        <f>CONCATENATE(_05preva_view43[[#This Row],[Site ID]]," (",_05preva_view43[[#This Row],[tenant id]],") Application",IF(_05preva_view43[[#This Row],[Colo Rev]]&gt;0," Rev "&amp;_05preva_view43[[#This Row],[Colo Rev]],""),".xlsx")</f>
        <v>1-01-14007-014 (SH4020) Application Rev 0.xlsx</v>
      </c>
      <c r="BE103" s="64" t="e">
        <f t="shared" ca="1" si="3"/>
        <v>#VALUE!</v>
      </c>
      <c r="BF103" s="104" t="e">
        <f ca="1">LEFT(CELL("filename",A88),_05preva_view43[[#This Row],[Find Process &amp; Database]]-1)</f>
        <v>#VALUE!</v>
      </c>
      <c r="BG103" s="104" t="e">
        <f ca="1">_05preva_view43[Folder Path1]&amp;"Process &amp; Database\Documentation\Colo Applications"</f>
        <v>#VALUE!</v>
      </c>
      <c r="BH103" s="104" t="e">
        <f ca="1">_05preva_view43[Folder Path2]&amp;"\Colo App "&amp;_05preva_view43[[#This Row],[Operator]]&amp;"\"</f>
        <v>#VALUE!</v>
      </c>
      <c r="BI103" s="63" t="e">
        <f ca="1">_05preva_view43[[#This Row],[Folder Path3]]&amp;_05preva_view43[[#This Row],[File Name]]</f>
        <v>#VALUE!</v>
      </c>
      <c r="BJ103" s="104"/>
      <c r="BK103" s="3"/>
      <c r="BL103" s="3"/>
      <c r="CJ103" s="5"/>
      <c r="CK103" s="5"/>
      <c r="CL103" s="3"/>
      <c r="CN103" s="5"/>
      <c r="CR103" s="3"/>
      <c r="CS103" s="3"/>
      <c r="CT103" s="5"/>
      <c r="CV103" s="3"/>
      <c r="DR103" s="5"/>
      <c r="DT103" s="3"/>
      <c r="EF103" s="7"/>
      <c r="EG103" s="7"/>
      <c r="EJ103" s="4"/>
      <c r="EK103" s="4"/>
      <c r="EU103" s="2"/>
      <c r="EV103" s="2"/>
    </row>
    <row r="104" spans="1:152">
      <c r="A104" s="125">
        <v>3558</v>
      </c>
      <c r="B104" s="126" t="s">
        <v>1806</v>
      </c>
      <c r="C104" s="126" t="s">
        <v>331</v>
      </c>
      <c r="D104" s="126" t="s">
        <v>127</v>
      </c>
      <c r="E104" s="126" t="s">
        <v>1807</v>
      </c>
      <c r="F104" s="126" t="s">
        <v>38</v>
      </c>
      <c r="G104" s="126" t="s">
        <v>1586</v>
      </c>
      <c r="H104" s="126" t="s">
        <v>1619</v>
      </c>
      <c r="I104" s="126" t="s">
        <v>1143</v>
      </c>
      <c r="J104" s="126" t="s">
        <v>940</v>
      </c>
      <c r="K104" s="127">
        <v>43472</v>
      </c>
      <c r="L104" s="128"/>
      <c r="M104" s="128"/>
      <c r="N104" s="126">
        <v>3.78</v>
      </c>
      <c r="O104" s="126" t="s">
        <v>950</v>
      </c>
      <c r="P104" s="129" t="s">
        <v>1785</v>
      </c>
      <c r="Q104" s="129" t="s">
        <v>1018</v>
      </c>
      <c r="R104" s="126" t="s">
        <v>24</v>
      </c>
      <c r="S104" s="126"/>
      <c r="T104" s="130" t="s">
        <v>861</v>
      </c>
      <c r="U104" s="126"/>
      <c r="V104" s="130" t="s">
        <v>861</v>
      </c>
      <c r="W104" s="126"/>
      <c r="X104" s="130" t="s">
        <v>120</v>
      </c>
      <c r="Y104" s="126" t="s">
        <v>1808</v>
      </c>
      <c r="Z104" s="165" t="s">
        <v>120</v>
      </c>
      <c r="AA104" s="158"/>
      <c r="AB104" s="158"/>
      <c r="AC104" s="170" t="s">
        <v>123</v>
      </c>
      <c r="AD104" s="126" t="s">
        <v>1892</v>
      </c>
      <c r="AE104" s="130" t="s">
        <v>861</v>
      </c>
      <c r="AF104" s="127"/>
      <c r="AG104" s="131"/>
      <c r="AH104" s="131"/>
      <c r="AI104" s="126"/>
      <c r="AJ104" s="130" t="s">
        <v>120</v>
      </c>
      <c r="AK104" s="126" t="s">
        <v>240</v>
      </c>
      <c r="AL104" s="126" t="s">
        <v>1800</v>
      </c>
      <c r="AM104" s="130"/>
      <c r="AN104" s="126"/>
      <c r="AO104" s="132"/>
      <c r="AP104" s="126"/>
      <c r="AQ104" s="126"/>
      <c r="AR104" s="130" t="s">
        <v>120</v>
      </c>
      <c r="AS104" s="126" t="s">
        <v>1890</v>
      </c>
      <c r="AT104" s="127">
        <v>43472.659174884298</v>
      </c>
      <c r="AU104" s="127"/>
      <c r="AV104" s="127">
        <v>43475.662701504603</v>
      </c>
      <c r="AW104" s="127">
        <v>43472.659174884298</v>
      </c>
      <c r="AX104" s="127"/>
      <c r="AY104" s="127"/>
      <c r="AZ104" s="133">
        <v>43475.729218981498</v>
      </c>
      <c r="BA104" s="134">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B104" s="135">
        <f>COUNTIFS(_05preva_view43[Site ID],_05preva_view43[[#This Row],[Site ID]],_05preva_view43[Prevalidation Status],"Under Prevalidation")</f>
        <v>0</v>
      </c>
      <c r="BC104" s="157" t="e">
        <f ca="1">HYPERLINK(CheckPath(_05preva_view43[[#This Row],[File Path]],_05preva_view43[[#This Row],[File Path]],_05preva_view43[[#This Row],[Folder Path3]]),CheckPath(_05preva_view43[[#This Row],[File Path]],"Open File","No File"))</f>
        <v>#VALUE!</v>
      </c>
      <c r="BD104" s="136" t="str">
        <f>CONCATENATE(_05preva_view43[[#This Row],[Site ID]]," (",_05preva_view43[[#This Row],[tenant id]],") Application",IF(_05preva_view43[[#This Row],[Colo Rev]]&gt;0," Rev "&amp;_05preva_view43[[#This Row],[Colo Rev]],""),".xlsx")</f>
        <v>1-01-01015-020 (KC0091) Application Rev 0.xlsx</v>
      </c>
      <c r="BE104" s="64" t="e">
        <f t="shared" ca="1" si="3"/>
        <v>#VALUE!</v>
      </c>
      <c r="BF104" s="104" t="e">
        <f ca="1">LEFT(CELL("filename",A89),_05preva_view43[[#This Row],[Find Process &amp; Database]]-1)</f>
        <v>#VALUE!</v>
      </c>
      <c r="BG104" s="104" t="e">
        <f ca="1">_05preva_view43[Folder Path1]&amp;"Process &amp; Database\Documentation\Colo Applications"</f>
        <v>#VALUE!</v>
      </c>
      <c r="BH104" s="104" t="e">
        <f ca="1">_05preva_view43[Folder Path2]&amp;"\Colo App "&amp;_05preva_view43[[#This Row],[Operator]]&amp;"\"</f>
        <v>#VALUE!</v>
      </c>
      <c r="BI104" s="63" t="e">
        <f ca="1">_05preva_view43[[#This Row],[Folder Path3]]&amp;_05preva_view43[[#This Row],[File Name]]</f>
        <v>#VALUE!</v>
      </c>
      <c r="BJ104" s="104"/>
      <c r="BK104" s="3"/>
      <c r="BL104" s="3"/>
      <c r="CJ104" s="5"/>
      <c r="CK104" s="5"/>
      <c r="CL104" s="3"/>
      <c r="CN104" s="5"/>
      <c r="CR104" s="3"/>
      <c r="CS104" s="3"/>
      <c r="CT104" s="5"/>
      <c r="CV104" s="3"/>
      <c r="DR104" s="5"/>
      <c r="DT104" s="3"/>
      <c r="EF104" s="7"/>
      <c r="EG104" s="7"/>
      <c r="EJ104" s="4"/>
      <c r="EK104" s="4"/>
      <c r="EU104" s="2"/>
      <c r="EV104" s="2"/>
    </row>
    <row r="105" spans="1:152">
      <c r="A105" s="125">
        <v>3550</v>
      </c>
      <c r="B105" s="126" t="s">
        <v>1667</v>
      </c>
      <c r="C105" s="126" t="s">
        <v>116</v>
      </c>
      <c r="D105" s="126" t="s">
        <v>163</v>
      </c>
      <c r="E105" s="126" t="s">
        <v>1668</v>
      </c>
      <c r="F105" s="126" t="s">
        <v>35</v>
      </c>
      <c r="G105" s="126" t="s">
        <v>1577</v>
      </c>
      <c r="H105" s="126" t="s">
        <v>1575</v>
      </c>
      <c r="I105" s="126" t="s">
        <v>1053</v>
      </c>
      <c r="J105" s="126" t="s">
        <v>990</v>
      </c>
      <c r="K105" s="127">
        <v>43468</v>
      </c>
      <c r="L105" s="128">
        <v>2.48</v>
      </c>
      <c r="M105" s="128">
        <v>3.1</v>
      </c>
      <c r="N105" s="126">
        <v>6.0839999999999996</v>
      </c>
      <c r="O105" s="126" t="s">
        <v>119</v>
      </c>
      <c r="P105" s="129" t="s">
        <v>1669</v>
      </c>
      <c r="Q105" s="129" t="s">
        <v>1670</v>
      </c>
      <c r="R105" s="126" t="s">
        <v>24</v>
      </c>
      <c r="S105" s="126"/>
      <c r="T105" s="130" t="s">
        <v>120</v>
      </c>
      <c r="U105" s="126"/>
      <c r="V105" s="130" t="s">
        <v>120</v>
      </c>
      <c r="W105" s="126"/>
      <c r="X105" s="130" t="s">
        <v>120</v>
      </c>
      <c r="Y105" s="126" t="s">
        <v>1770</v>
      </c>
      <c r="Z105" s="165" t="s">
        <v>144</v>
      </c>
      <c r="AA105" s="158" t="s">
        <v>2153</v>
      </c>
      <c r="AB105" s="158" t="s">
        <v>2141</v>
      </c>
      <c r="AC105" s="170" t="s">
        <v>123</v>
      </c>
      <c r="AD105" s="126" t="s">
        <v>1858</v>
      </c>
      <c r="AE105" s="130" t="s">
        <v>120</v>
      </c>
      <c r="AF105" s="127"/>
      <c r="AG105" s="131"/>
      <c r="AH105" s="131"/>
      <c r="AI105" s="126" t="s">
        <v>2100</v>
      </c>
      <c r="AJ105" s="130" t="s">
        <v>120</v>
      </c>
      <c r="AK105" s="126" t="s">
        <v>123</v>
      </c>
      <c r="AL105" s="126" t="s">
        <v>1198</v>
      </c>
      <c r="AM105" s="130"/>
      <c r="AN105" s="126"/>
      <c r="AO105" s="132"/>
      <c r="AP105" s="126"/>
      <c r="AQ105" s="126"/>
      <c r="AR105" s="130" t="s">
        <v>1866</v>
      </c>
      <c r="AS105" s="126" t="s">
        <v>2163</v>
      </c>
      <c r="AT105" s="127">
        <v>43472.382203240697</v>
      </c>
      <c r="AU105" s="127">
        <v>43479.735453703703</v>
      </c>
      <c r="AV105" s="127"/>
      <c r="AW105" s="127">
        <v>43472.382203240697</v>
      </c>
      <c r="AX105" s="127">
        <v>43472.656825810198</v>
      </c>
      <c r="AY105" s="127">
        <v>43472.437080902797</v>
      </c>
      <c r="AZ105" s="133">
        <v>43488.480393634301</v>
      </c>
      <c r="BA105" s="134">
        <f ca="1">IF(_05preva_view43[[#This Row],[Prevalidation Status]]="Under Prevalidation",NOW()-_05preva_view43[[#This Row],[Request Date]],IF(_05preva_view43[[#This Row],[Close Date]]&gt;_05preva_view43[[#This Row],[Request Date]],_05preva_view43[[#This Row],[Close Date]]-_05preva_view43[[#This Row],[Request Date]],"Not  Calculated"))</f>
        <v>20.480393634301436</v>
      </c>
      <c r="BB105" s="135">
        <f>COUNTIFS(_05preva_view43[Site ID],_05preva_view43[[#This Row],[Site ID]],_05preva_view43[Prevalidation Status],"Under Prevalidation")</f>
        <v>0</v>
      </c>
      <c r="BC105" s="157" t="e">
        <f ca="1">HYPERLINK(CheckPath(_05preva_view43[[#This Row],[File Path]],_05preva_view43[[#This Row],[File Path]],_05preva_view43[[#This Row],[Folder Path3]]),CheckPath(_05preva_view43[[#This Row],[File Path]],"Open File","No File"))</f>
        <v>#VALUE!</v>
      </c>
      <c r="BD105" s="136" t="str">
        <f>CONCATENATE(_05preva_view43[[#This Row],[Site ID]]," (",_05preva_view43[[#This Row],[tenant id]],") Application",IF(_05preva_view43[[#This Row],[Colo Rev]]&gt;0," Rev "&amp;_05preva_view43[[#This Row],[Colo Rev]],""),".xlsx")</f>
        <v>ASTN_0023 (TNY00315) Application Rev 3.xlsx</v>
      </c>
      <c r="BE105" s="64" t="e">
        <f t="shared" ca="1" si="3"/>
        <v>#VALUE!</v>
      </c>
      <c r="BF105" s="104" t="e">
        <f ca="1">LEFT(CELL("filename",A90),_05preva_view43[[#This Row],[Find Process &amp; Database]]-1)</f>
        <v>#VALUE!</v>
      </c>
      <c r="BG105" s="104" t="e">
        <f ca="1">_05preva_view43[Folder Path1]&amp;"Process &amp; Database\Documentation\Colo Applications"</f>
        <v>#VALUE!</v>
      </c>
      <c r="BH105" s="104" t="e">
        <f ca="1">_05preva_view43[Folder Path2]&amp;"\Colo App "&amp;_05preva_view43[[#This Row],[Operator]]&amp;"\"</f>
        <v>#VALUE!</v>
      </c>
      <c r="BI105" s="63" t="e">
        <f ca="1">_05preva_view43[[#This Row],[Folder Path3]]&amp;_05preva_view43[[#This Row],[File Name]]</f>
        <v>#VALUE!</v>
      </c>
      <c r="BJ105" s="104"/>
      <c r="BK105" s="3"/>
      <c r="BL105" s="3"/>
      <c r="CJ105" s="5"/>
      <c r="CK105" s="5"/>
      <c r="CL105" s="3"/>
      <c r="CN105" s="5"/>
      <c r="CR105" s="3"/>
      <c r="CS105" s="3"/>
      <c r="CT105" s="5"/>
      <c r="CV105" s="3"/>
      <c r="DR105" s="5"/>
      <c r="DT105" s="3"/>
      <c r="EF105" s="7"/>
      <c r="EG105" s="7"/>
      <c r="EJ105" s="4"/>
      <c r="EK105" s="4"/>
      <c r="EU105" s="2"/>
      <c r="EV105" s="2"/>
    </row>
    <row r="106" spans="1:152">
      <c r="A106" s="125">
        <v>3548</v>
      </c>
      <c r="B106" s="126" t="s">
        <v>1512</v>
      </c>
      <c r="C106" s="126" t="s">
        <v>331</v>
      </c>
      <c r="D106" s="126" t="s">
        <v>127</v>
      </c>
      <c r="E106" s="126" t="s">
        <v>1513</v>
      </c>
      <c r="F106" s="126" t="s">
        <v>35</v>
      </c>
      <c r="G106" s="126" t="s">
        <v>1583</v>
      </c>
      <c r="H106" s="126" t="s">
        <v>1580</v>
      </c>
      <c r="I106" s="126" t="s">
        <v>1263</v>
      </c>
      <c r="J106" s="126" t="s">
        <v>949</v>
      </c>
      <c r="K106" s="127">
        <v>43467</v>
      </c>
      <c r="L106" s="128">
        <v>1.621</v>
      </c>
      <c r="M106" s="128">
        <v>3.6989999999999998</v>
      </c>
      <c r="N106" s="126">
        <v>2.5099999999999998</v>
      </c>
      <c r="O106" s="126" t="s">
        <v>950</v>
      </c>
      <c r="P106" s="129" t="s">
        <v>736</v>
      </c>
      <c r="Q106" s="129" t="s">
        <v>880</v>
      </c>
      <c r="R106" s="126" t="s">
        <v>24</v>
      </c>
      <c r="S106" s="126"/>
      <c r="T106" s="130" t="s">
        <v>120</v>
      </c>
      <c r="U106" s="126"/>
      <c r="V106" s="130" t="s">
        <v>120</v>
      </c>
      <c r="W106" s="126"/>
      <c r="X106" s="130" t="s">
        <v>120</v>
      </c>
      <c r="Y106" s="126" t="s">
        <v>1771</v>
      </c>
      <c r="Z106" s="165" t="s">
        <v>120</v>
      </c>
      <c r="AA106" s="158"/>
      <c r="AB106" s="158"/>
      <c r="AC106" s="170" t="s">
        <v>123</v>
      </c>
      <c r="AD106" s="126" t="s">
        <v>1859</v>
      </c>
      <c r="AE106" s="130" t="s">
        <v>120</v>
      </c>
      <c r="AF106" s="127" t="s">
        <v>2101</v>
      </c>
      <c r="AG106" s="131"/>
      <c r="AH106" s="131"/>
      <c r="AI106" s="126" t="s">
        <v>2090</v>
      </c>
      <c r="AJ106" s="130" t="s">
        <v>120</v>
      </c>
      <c r="AK106" s="126" t="s">
        <v>123</v>
      </c>
      <c r="AL106" s="126" t="s">
        <v>1198</v>
      </c>
      <c r="AM106" s="130"/>
      <c r="AN106" s="126"/>
      <c r="AO106" s="132"/>
      <c r="AP106" s="126"/>
      <c r="AQ106" s="126"/>
      <c r="AR106" s="130"/>
      <c r="AS106" s="126"/>
      <c r="AT106" s="127">
        <v>43472.382201620399</v>
      </c>
      <c r="AU106" s="127">
        <v>43479.735450462998</v>
      </c>
      <c r="AV106" s="127">
        <v>43474.653560300903</v>
      </c>
      <c r="AW106" s="127">
        <v>43472.382201620399</v>
      </c>
      <c r="AX106" s="127">
        <v>43472.656823263897</v>
      </c>
      <c r="AY106" s="127">
        <v>43467.595315625003</v>
      </c>
      <c r="AZ106" s="133">
        <v>43480.437809953699</v>
      </c>
      <c r="BA106" s="134">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B106" s="135">
        <f>COUNTIFS(_05preva_view43[Site ID],_05preva_view43[[#This Row],[Site ID]],_05preva_view43[Prevalidation Status],"Under Prevalidation")</f>
        <v>0</v>
      </c>
      <c r="BC106" s="157" t="e">
        <f ca="1">HYPERLINK(CheckPath(_05preva_view43[[#This Row],[File Path]],_05preva_view43[[#This Row],[File Path]],_05preva_view43[[#This Row],[Folder Path3]]),CheckPath(_05preva_view43[[#This Row],[File Path]],"Open File","No File"))</f>
        <v>#VALUE!</v>
      </c>
      <c r="BD106" s="136" t="str">
        <f>CONCATENATE(_05preva_view43[[#This Row],[Site ID]]," (",_05preva_view43[[#This Row],[tenant id]],") Application",IF(_05preva_view43[[#This Row],[Colo Rev]]&gt;0," Rev "&amp;_05preva_view43[[#This Row],[Colo Rev]],""),".xlsx")</f>
        <v>1-01-01010-012 (KCN00455) Application Rev 2.xlsx</v>
      </c>
      <c r="BE106" s="64" t="e">
        <f t="shared" ca="1" si="3"/>
        <v>#VALUE!</v>
      </c>
      <c r="BF106" s="104" t="e">
        <f ca="1">LEFT(CELL("filename",A91),_05preva_view43[[#This Row],[Find Process &amp; Database]]-1)</f>
        <v>#VALUE!</v>
      </c>
      <c r="BG106" s="104" t="e">
        <f ca="1">_05preva_view43[Folder Path1]&amp;"Process &amp; Database\Documentation\Colo Applications"</f>
        <v>#VALUE!</v>
      </c>
      <c r="BH106" s="104" t="e">
        <f ca="1">_05preva_view43[Folder Path2]&amp;"\Colo App "&amp;_05preva_view43[[#This Row],[Operator]]&amp;"\"</f>
        <v>#VALUE!</v>
      </c>
      <c r="BI106" s="63" t="e">
        <f ca="1">_05preva_view43[[#This Row],[Folder Path3]]&amp;_05preva_view43[[#This Row],[File Name]]</f>
        <v>#VALUE!</v>
      </c>
      <c r="BJ106" s="104"/>
      <c r="BK106" s="3"/>
      <c r="BL106" s="3"/>
      <c r="CJ106" s="5"/>
      <c r="CK106" s="5"/>
      <c r="CL106" s="3"/>
      <c r="CN106" s="5"/>
      <c r="CR106" s="3"/>
      <c r="CS106" s="3"/>
      <c r="CT106" s="5"/>
      <c r="CV106" s="3"/>
      <c r="DR106" s="5"/>
      <c r="DT106" s="3"/>
      <c r="EF106" s="7"/>
      <c r="EG106" s="7"/>
      <c r="EJ106" s="4"/>
      <c r="EK106" s="4"/>
      <c r="EU106" s="2"/>
      <c r="EV106" s="2"/>
    </row>
    <row r="107" spans="1:152">
      <c r="A107" s="125">
        <v>3549</v>
      </c>
      <c r="B107" s="126" t="s">
        <v>1772</v>
      </c>
      <c r="C107" s="126" t="s">
        <v>116</v>
      </c>
      <c r="D107" s="126" t="s">
        <v>163</v>
      </c>
      <c r="E107" s="126" t="s">
        <v>1773</v>
      </c>
      <c r="F107" s="126" t="s">
        <v>35</v>
      </c>
      <c r="G107" s="126" t="s">
        <v>1774</v>
      </c>
      <c r="H107" s="126" t="s">
        <v>1619</v>
      </c>
      <c r="I107" s="126" t="s">
        <v>1077</v>
      </c>
      <c r="J107" s="126" t="s">
        <v>940</v>
      </c>
      <c r="K107" s="127">
        <v>43467</v>
      </c>
      <c r="L107" s="128">
        <v>0.72</v>
      </c>
      <c r="M107" s="128">
        <v>0.9</v>
      </c>
      <c r="N107" s="126">
        <v>3.18</v>
      </c>
      <c r="O107" s="126" t="s">
        <v>119</v>
      </c>
      <c r="P107" s="129" t="s">
        <v>833</v>
      </c>
      <c r="Q107" s="129" t="s">
        <v>951</v>
      </c>
      <c r="R107" s="126" t="s">
        <v>24</v>
      </c>
      <c r="S107" s="126"/>
      <c r="T107" s="130" t="s">
        <v>120</v>
      </c>
      <c r="U107" s="126"/>
      <c r="V107" s="130" t="s">
        <v>120</v>
      </c>
      <c r="W107" s="126"/>
      <c r="X107" s="130" t="s">
        <v>120</v>
      </c>
      <c r="Y107" s="126" t="s">
        <v>1775</v>
      </c>
      <c r="Z107" s="165" t="s">
        <v>120</v>
      </c>
      <c r="AA107" s="158"/>
      <c r="AB107" s="158"/>
      <c r="AC107" s="170" t="s">
        <v>123</v>
      </c>
      <c r="AD107" s="126" t="s">
        <v>1860</v>
      </c>
      <c r="AE107" s="130" t="s">
        <v>120</v>
      </c>
      <c r="AF107" s="127"/>
      <c r="AG107" s="131"/>
      <c r="AH107" s="131"/>
      <c r="AI107" s="126"/>
      <c r="AJ107" s="130" t="s">
        <v>120</v>
      </c>
      <c r="AK107" s="126" t="s">
        <v>123</v>
      </c>
      <c r="AL107" s="126" t="s">
        <v>1418</v>
      </c>
      <c r="AM107" s="130"/>
      <c r="AN107" s="126"/>
      <c r="AO107" s="132"/>
      <c r="AP107" s="126"/>
      <c r="AQ107" s="126"/>
      <c r="AR107" s="130"/>
      <c r="AS107" s="126"/>
      <c r="AT107" s="127">
        <v>43472.382202314802</v>
      </c>
      <c r="AU107" s="127">
        <v>43479.7354508102</v>
      </c>
      <c r="AV107" s="127">
        <v>43474.501626388897</v>
      </c>
      <c r="AW107" s="127">
        <v>43472.382202314802</v>
      </c>
      <c r="AX107" s="127">
        <v>43472.656824189798</v>
      </c>
      <c r="AY107" s="127">
        <v>43468.615674884299</v>
      </c>
      <c r="AZ107" s="133">
        <v>43480.437810648102</v>
      </c>
      <c r="BA107" s="134">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B107" s="135">
        <f>COUNTIFS(_05preva_view43[Site ID],_05preva_view43[[#This Row],[Site ID]],_05preva_view43[Prevalidation Status],"Under Prevalidation")</f>
        <v>0</v>
      </c>
      <c r="BC107" s="157" t="e">
        <f ca="1">HYPERLINK(CheckPath(_05preva_view43[[#This Row],[File Path]],_05preva_view43[[#This Row],[File Path]],_05preva_view43[[#This Row],[Folder Path3]]),CheckPath(_05preva_view43[[#This Row],[File Path]],"Open File","No File"))</f>
        <v>#VALUE!</v>
      </c>
      <c r="BD107" s="136" t="str">
        <f>CONCATENATE(_05preva_view43[[#This Row],[Site ID]]," (",_05preva_view43[[#This Row],[tenant id]],") Application",IF(_05preva_view43[[#This Row],[Colo Rev]]&gt;0," Rev "&amp;_05preva_view43[[#This Row],[Colo Rev]],""),".xlsx")</f>
        <v>ASMO_0155 (MON00618) Application Rev 0.xlsx</v>
      </c>
      <c r="BE107" s="64" t="e">
        <f t="shared" ca="1" si="3"/>
        <v>#VALUE!</v>
      </c>
      <c r="BF107" s="104" t="e">
        <f ca="1">LEFT(CELL("filename",A92),_05preva_view43[[#This Row],[Find Process &amp; Database]]-1)</f>
        <v>#VALUE!</v>
      </c>
      <c r="BG107" s="104" t="e">
        <f ca="1">_05preva_view43[Folder Path1]&amp;"Process &amp; Database\Documentation\Colo Applications"</f>
        <v>#VALUE!</v>
      </c>
      <c r="BH107" s="104" t="e">
        <f ca="1">_05preva_view43[Folder Path2]&amp;"\Colo App "&amp;_05preva_view43[[#This Row],[Operator]]&amp;"\"</f>
        <v>#VALUE!</v>
      </c>
      <c r="BI107" s="63" t="e">
        <f ca="1">_05preva_view43[[#This Row],[Folder Path3]]&amp;_05preva_view43[[#This Row],[File Name]]</f>
        <v>#VALUE!</v>
      </c>
      <c r="BJ107" s="104"/>
      <c r="BK107" s="3"/>
      <c r="BL107" s="3"/>
      <c r="CJ107" s="5"/>
      <c r="CK107" s="5"/>
      <c r="CL107" s="3"/>
      <c r="CN107" s="5"/>
      <c r="CR107" s="3"/>
      <c r="CS107" s="3"/>
      <c r="CT107" s="5"/>
      <c r="CV107" s="3"/>
      <c r="DR107" s="5"/>
      <c r="DT107" s="3"/>
      <c r="EF107" s="7"/>
      <c r="EG107" s="7"/>
      <c r="EJ107" s="4"/>
      <c r="EK107" s="4"/>
      <c r="EU107" s="2"/>
      <c r="EV107" s="2"/>
    </row>
    <row r="108" spans="1:152">
      <c r="A108" s="125">
        <v>3536</v>
      </c>
      <c r="B108" s="126" t="s">
        <v>1616</v>
      </c>
      <c r="C108" s="126" t="s">
        <v>116</v>
      </c>
      <c r="D108" s="126" t="s">
        <v>117</v>
      </c>
      <c r="E108" s="126" t="s">
        <v>1617</v>
      </c>
      <c r="F108" s="126" t="s">
        <v>35</v>
      </c>
      <c r="G108" s="126" t="s">
        <v>1618</v>
      </c>
      <c r="H108" s="126" t="s">
        <v>1619</v>
      </c>
      <c r="I108" s="126" t="s">
        <v>1077</v>
      </c>
      <c r="J108" s="126" t="s">
        <v>940</v>
      </c>
      <c r="K108" s="127">
        <v>43461</v>
      </c>
      <c r="L108" s="128">
        <v>0.72</v>
      </c>
      <c r="M108" s="128">
        <v>0.9</v>
      </c>
      <c r="N108" s="126">
        <v>3.18</v>
      </c>
      <c r="O108" s="126" t="s">
        <v>119</v>
      </c>
      <c r="P108" s="129" t="s">
        <v>291</v>
      </c>
      <c r="Q108" s="129" t="s">
        <v>292</v>
      </c>
      <c r="R108" s="126" t="s">
        <v>24</v>
      </c>
      <c r="S108" s="126"/>
      <c r="T108" s="130" t="s">
        <v>120</v>
      </c>
      <c r="U108" s="126"/>
      <c r="V108" s="130" t="s">
        <v>120</v>
      </c>
      <c r="W108" s="126"/>
      <c r="X108" s="130" t="s">
        <v>120</v>
      </c>
      <c r="Y108" s="126" t="s">
        <v>1620</v>
      </c>
      <c r="Z108" s="165" t="s">
        <v>120</v>
      </c>
      <c r="AA108" s="158"/>
      <c r="AB108" s="158"/>
      <c r="AC108" s="170" t="s">
        <v>123</v>
      </c>
      <c r="AD108" s="126" t="s">
        <v>1906</v>
      </c>
      <c r="AE108" s="130" t="s">
        <v>120</v>
      </c>
      <c r="AF108" s="127"/>
      <c r="AG108" s="131"/>
      <c r="AH108" s="131"/>
      <c r="AI108" s="126"/>
      <c r="AJ108" s="130" t="s">
        <v>120</v>
      </c>
      <c r="AK108" s="126" t="s">
        <v>123</v>
      </c>
      <c r="AL108" s="126" t="s">
        <v>1418</v>
      </c>
      <c r="AM108" s="130"/>
      <c r="AN108" s="126"/>
      <c r="AO108" s="132"/>
      <c r="AP108" s="126"/>
      <c r="AQ108" s="126"/>
      <c r="AR108" s="130"/>
      <c r="AS108" s="126"/>
      <c r="AT108" s="127">
        <v>43461.456340625002</v>
      </c>
      <c r="AU108" s="127">
        <v>43479.735439120399</v>
      </c>
      <c r="AV108" s="127">
        <v>43476.689971527798</v>
      </c>
      <c r="AW108" s="127">
        <v>43461.456340625002</v>
      </c>
      <c r="AX108" s="127">
        <v>43472.6568140046</v>
      </c>
      <c r="AY108" s="127">
        <v>43461.444858217597</v>
      </c>
      <c r="AZ108" s="133">
        <v>43480.437805208298</v>
      </c>
      <c r="BA108" s="134">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B108" s="135">
        <f>COUNTIFS(_05preva_view43[Site ID],_05preva_view43[[#This Row],[Site ID]],_05preva_view43[Prevalidation Status],"Under Prevalidation")</f>
        <v>0</v>
      </c>
      <c r="BC108" s="157" t="e">
        <f ca="1">HYPERLINK(CheckPath(_05preva_view43[[#This Row],[File Path]],_05preva_view43[[#This Row],[File Path]],_05preva_view43[[#This Row],[Folder Path3]]),CheckPath(_05preva_view43[[#This Row],[File Path]],"Open File","No File"))</f>
        <v>#VALUE!</v>
      </c>
      <c r="BD108" s="136" t="str">
        <f>CONCATENATE(_05preva_view43[[#This Row],[Site ID]]," (",_05preva_view43[[#This Row],[tenant id]],") Application",IF(_05preva_view43[[#This Row],[Colo Rev]]&gt;0," Rev "&amp;_05preva_view43[[#This Row],[Colo Rev]],""),".xlsx")</f>
        <v>ASKH_0007 (KYH00181) Application Rev 0.xlsx</v>
      </c>
      <c r="BE108" s="64" t="e">
        <f t="shared" ca="1" si="3"/>
        <v>#VALUE!</v>
      </c>
      <c r="BF108" s="104" t="e">
        <f ca="1">LEFT(CELL("filename",A93),_05preva_view43[[#This Row],[Find Process &amp; Database]]-1)</f>
        <v>#VALUE!</v>
      </c>
      <c r="BG108" s="104" t="e">
        <f ca="1">_05preva_view43[Folder Path1]&amp;"Process &amp; Database\Documentation\Colo Applications"</f>
        <v>#VALUE!</v>
      </c>
      <c r="BH108" s="104" t="e">
        <f ca="1">_05preva_view43[Folder Path2]&amp;"\Colo App "&amp;_05preva_view43[[#This Row],[Operator]]&amp;"\"</f>
        <v>#VALUE!</v>
      </c>
      <c r="BI108" s="63" t="e">
        <f ca="1">_05preva_view43[[#This Row],[Folder Path3]]&amp;_05preva_view43[[#This Row],[File Name]]</f>
        <v>#VALUE!</v>
      </c>
      <c r="BJ108" s="104"/>
      <c r="BK108" s="3"/>
      <c r="BL108" s="3"/>
      <c r="CJ108" s="5"/>
      <c r="CK108" s="5"/>
      <c r="CL108" s="3"/>
      <c r="CN108" s="5"/>
      <c r="CR108" s="3"/>
      <c r="CS108" s="3"/>
      <c r="CT108" s="5"/>
      <c r="CV108" s="3"/>
      <c r="DR108" s="5"/>
      <c r="DT108" s="3"/>
      <c r="EF108" s="7"/>
      <c r="EG108" s="7"/>
      <c r="EJ108" s="4"/>
      <c r="EK108" s="4"/>
      <c r="EU108" s="2"/>
      <c r="EV108" s="2"/>
    </row>
    <row r="109" spans="1:152">
      <c r="A109" s="125">
        <v>3537</v>
      </c>
      <c r="B109" s="126" t="s">
        <v>1621</v>
      </c>
      <c r="C109" s="126" t="s">
        <v>116</v>
      </c>
      <c r="D109" s="126" t="s">
        <v>117</v>
      </c>
      <c r="E109" s="126" t="s">
        <v>1622</v>
      </c>
      <c r="F109" s="126" t="s">
        <v>35</v>
      </c>
      <c r="G109" s="126" t="s">
        <v>118</v>
      </c>
      <c r="H109" s="126" t="s">
        <v>1143</v>
      </c>
      <c r="I109" s="126" t="s">
        <v>1077</v>
      </c>
      <c r="J109" s="126" t="s">
        <v>940</v>
      </c>
      <c r="K109" s="127">
        <v>43461</v>
      </c>
      <c r="L109" s="128">
        <v>0.72</v>
      </c>
      <c r="M109" s="128">
        <v>0.9</v>
      </c>
      <c r="N109" s="126">
        <v>3.18</v>
      </c>
      <c r="O109" s="126" t="s">
        <v>119</v>
      </c>
      <c r="P109" s="129" t="s">
        <v>958</v>
      </c>
      <c r="Q109" s="129" t="s">
        <v>959</v>
      </c>
      <c r="R109" s="126" t="s">
        <v>24</v>
      </c>
      <c r="S109" s="126"/>
      <c r="T109" s="130" t="s">
        <v>120</v>
      </c>
      <c r="U109" s="126"/>
      <c r="V109" s="130" t="s">
        <v>120</v>
      </c>
      <c r="W109" s="126"/>
      <c r="X109" s="130" t="s">
        <v>120</v>
      </c>
      <c r="Y109" s="126" t="s">
        <v>1623</v>
      </c>
      <c r="Z109" s="165" t="s">
        <v>120</v>
      </c>
      <c r="AA109" s="158"/>
      <c r="AB109" s="158"/>
      <c r="AC109" s="170" t="s">
        <v>123</v>
      </c>
      <c r="AD109" s="126" t="s">
        <v>1861</v>
      </c>
      <c r="AE109" s="130" t="s">
        <v>120</v>
      </c>
      <c r="AF109" s="127"/>
      <c r="AG109" s="131"/>
      <c r="AH109" s="131"/>
      <c r="AI109" s="126"/>
      <c r="AJ109" s="130" t="s">
        <v>120</v>
      </c>
      <c r="AK109" s="126" t="s">
        <v>123</v>
      </c>
      <c r="AL109" s="126" t="s">
        <v>1418</v>
      </c>
      <c r="AM109" s="130"/>
      <c r="AN109" s="126"/>
      <c r="AO109" s="132"/>
      <c r="AP109" s="126"/>
      <c r="AQ109" s="126"/>
      <c r="AR109" s="130"/>
      <c r="AS109" s="126"/>
      <c r="AT109" s="127">
        <v>43461.456341550896</v>
      </c>
      <c r="AU109" s="127">
        <v>43479.7354394676</v>
      </c>
      <c r="AV109" s="127">
        <v>43473.5905802083</v>
      </c>
      <c r="AW109" s="127">
        <v>43461.456341550896</v>
      </c>
      <c r="AX109" s="127">
        <v>43472.656815046299</v>
      </c>
      <c r="AY109" s="127">
        <v>43461.444858912</v>
      </c>
      <c r="AZ109" s="133">
        <v>43480.437806597198</v>
      </c>
      <c r="BA109" s="134">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B109" s="135">
        <f>COUNTIFS(_05preva_view43[Site ID],_05preva_view43[[#This Row],[Site ID]],_05preva_view43[Prevalidation Status],"Under Prevalidation")</f>
        <v>0</v>
      </c>
      <c r="BC109" s="157" t="e">
        <f ca="1">HYPERLINK(CheckPath(_05preva_view43[[#This Row],[File Path]],_05preva_view43[[#This Row],[File Path]],_05preva_view43[[#This Row],[Folder Path3]]),CheckPath(_05preva_view43[[#This Row],[File Path]],"Open File","No File"))</f>
        <v>#VALUE!</v>
      </c>
      <c r="BD109" s="136" t="str">
        <f>CONCATENATE(_05preva_view43[[#This Row],[Site ID]]," (",_05preva_view43[[#This Row],[tenant id]],") Application",IF(_05preva_view43[[#This Row],[Colo Rev]]&gt;0," Rev "&amp;_05preva_view43[[#This Row],[Colo Rev]],""),".xlsx")</f>
        <v>ANNP_0222 (NPT00514) Application Rev 0.xlsx</v>
      </c>
      <c r="BE109" s="64" t="e">
        <f t="shared" ca="1" si="3"/>
        <v>#VALUE!</v>
      </c>
      <c r="BF109" s="104" t="e">
        <f ca="1">LEFT(CELL("filename",A94),_05preva_view43[[#This Row],[Find Process &amp; Database]]-1)</f>
        <v>#VALUE!</v>
      </c>
      <c r="BG109" s="104" t="e">
        <f ca="1">_05preva_view43[Folder Path1]&amp;"Process &amp; Database\Documentation\Colo Applications"</f>
        <v>#VALUE!</v>
      </c>
      <c r="BH109" s="104" t="e">
        <f ca="1">_05preva_view43[Folder Path2]&amp;"\Colo App "&amp;_05preva_view43[[#This Row],[Operator]]&amp;"\"</f>
        <v>#VALUE!</v>
      </c>
      <c r="BI109" s="63" t="e">
        <f ca="1">_05preva_view43[[#This Row],[Folder Path3]]&amp;_05preva_view43[[#This Row],[File Name]]</f>
        <v>#VALUE!</v>
      </c>
      <c r="BJ109" s="104"/>
      <c r="BK109" s="3"/>
      <c r="BL109" s="3"/>
      <c r="CJ109" s="5"/>
      <c r="CK109" s="5"/>
      <c r="CL109" s="3"/>
      <c r="CN109" s="5"/>
      <c r="CR109" s="3"/>
      <c r="CS109" s="3"/>
      <c r="CT109" s="5"/>
      <c r="CV109" s="3"/>
      <c r="DR109" s="5"/>
      <c r="DT109" s="3"/>
      <c r="EF109" s="7"/>
      <c r="EG109" s="7"/>
      <c r="EJ109" s="4"/>
      <c r="EK109" s="4"/>
      <c r="EU109" s="2"/>
      <c r="EV109" s="2"/>
    </row>
    <row r="110" spans="1:152">
      <c r="A110" s="125">
        <v>3538</v>
      </c>
      <c r="B110" s="126" t="s">
        <v>1624</v>
      </c>
      <c r="C110" s="126" t="s">
        <v>331</v>
      </c>
      <c r="D110" s="126" t="s">
        <v>127</v>
      </c>
      <c r="E110" s="126" t="s">
        <v>1625</v>
      </c>
      <c r="F110" s="126" t="s">
        <v>35</v>
      </c>
      <c r="G110" s="126" t="s">
        <v>1583</v>
      </c>
      <c r="H110" s="126" t="s">
        <v>1575</v>
      </c>
      <c r="I110" s="126" t="s">
        <v>1263</v>
      </c>
      <c r="J110" s="126" t="s">
        <v>990</v>
      </c>
      <c r="K110" s="127">
        <v>43461</v>
      </c>
      <c r="L110" s="128">
        <v>1.054</v>
      </c>
      <c r="M110" s="128">
        <v>1.46</v>
      </c>
      <c r="N110" s="126">
        <v>3.59</v>
      </c>
      <c r="O110" s="126" t="s">
        <v>950</v>
      </c>
      <c r="P110" s="129" t="s">
        <v>1072</v>
      </c>
      <c r="Q110" s="129" t="s">
        <v>1227</v>
      </c>
      <c r="R110" s="126" t="s">
        <v>24</v>
      </c>
      <c r="S110" s="126"/>
      <c r="T110" s="130" t="s">
        <v>120</v>
      </c>
      <c r="U110" s="126"/>
      <c r="V110" s="130" t="s">
        <v>120</v>
      </c>
      <c r="W110" s="126"/>
      <c r="X110" s="130" t="s">
        <v>120</v>
      </c>
      <c r="Y110" s="126" t="s">
        <v>1626</v>
      </c>
      <c r="Z110" s="165" t="s">
        <v>120</v>
      </c>
      <c r="AA110" s="158"/>
      <c r="AB110" s="158"/>
      <c r="AC110" s="170" t="s">
        <v>123</v>
      </c>
      <c r="AD110" s="126" t="s">
        <v>1627</v>
      </c>
      <c r="AE110" s="130" t="s">
        <v>861</v>
      </c>
      <c r="AF110" s="127"/>
      <c r="AG110" s="131"/>
      <c r="AH110" s="131"/>
      <c r="AI110" s="126" t="s">
        <v>2102</v>
      </c>
      <c r="AJ110" s="130" t="s">
        <v>120</v>
      </c>
      <c r="AK110" s="126" t="s">
        <v>123</v>
      </c>
      <c r="AL110" s="126" t="s">
        <v>1198</v>
      </c>
      <c r="AM110" s="130"/>
      <c r="AN110" s="126"/>
      <c r="AO110" s="132"/>
      <c r="AP110" s="126"/>
      <c r="AQ110" s="126"/>
      <c r="AR110" s="130"/>
      <c r="AS110" s="126"/>
      <c r="AT110" s="127">
        <v>43461.484659143498</v>
      </c>
      <c r="AU110" s="127"/>
      <c r="AV110" s="127">
        <v>43462.497513078699</v>
      </c>
      <c r="AW110" s="127">
        <v>43461.484659143498</v>
      </c>
      <c r="AX110" s="127">
        <v>43472.656815740702</v>
      </c>
      <c r="AY110" s="127">
        <v>43461.439167476798</v>
      </c>
      <c r="AZ110" s="133">
        <v>43480.577520717598</v>
      </c>
      <c r="BA110" s="134">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B110" s="135">
        <f>COUNTIFS(_05preva_view43[Site ID],_05preva_view43[[#This Row],[Site ID]],_05preva_view43[Prevalidation Status],"Under Prevalidation")</f>
        <v>0</v>
      </c>
      <c r="BC110" s="157" t="e">
        <f ca="1">HYPERLINK(CheckPath(_05preva_view43[[#This Row],[File Path]],_05preva_view43[[#This Row],[File Path]],_05preva_view43[[#This Row],[Folder Path3]]),CheckPath(_05preva_view43[[#This Row],[File Path]],"Open File","No File"))</f>
        <v>#VALUE!</v>
      </c>
      <c r="BD110" s="136" t="str">
        <f>CONCATENATE(_05preva_view43[[#This Row],[Site ID]]," (",_05preva_view43[[#This Row],[tenant id]],") Application",IF(_05preva_view43[[#This Row],[Colo Rev]]&gt;0," Rev "&amp;_05preva_view43[[#This Row],[Colo Rev]],""),".xlsx")</f>
        <v>3-00-01014-003 (KCN00120) Application Rev 3.xlsx</v>
      </c>
      <c r="BE110" s="64" t="e">
        <f t="shared" ca="1" si="3"/>
        <v>#VALUE!</v>
      </c>
      <c r="BF110" s="104" t="e">
        <f ca="1">LEFT(CELL("filename",A95),_05preva_view43[[#This Row],[Find Process &amp; Database]]-1)</f>
        <v>#VALUE!</v>
      </c>
      <c r="BG110" s="104" t="e">
        <f ca="1">_05preva_view43[Folder Path1]&amp;"Process &amp; Database\Documentation\Colo Applications"</f>
        <v>#VALUE!</v>
      </c>
      <c r="BH110" s="104" t="e">
        <f ca="1">_05preva_view43[Folder Path2]&amp;"\Colo App "&amp;_05preva_view43[[#This Row],[Operator]]&amp;"\"</f>
        <v>#VALUE!</v>
      </c>
      <c r="BI110" s="63" t="e">
        <f ca="1">_05preva_view43[[#This Row],[Folder Path3]]&amp;_05preva_view43[[#This Row],[File Name]]</f>
        <v>#VALUE!</v>
      </c>
      <c r="BJ110" s="104"/>
      <c r="BK110" s="3"/>
      <c r="BL110" s="3"/>
      <c r="CJ110" s="5"/>
      <c r="CK110" s="5"/>
      <c r="CL110" s="3"/>
      <c r="CN110" s="5"/>
      <c r="CR110" s="3"/>
      <c r="CS110" s="3"/>
      <c r="CT110" s="5"/>
      <c r="CV110" s="3"/>
      <c r="DR110" s="5"/>
      <c r="DT110" s="3"/>
      <c r="EF110" s="7"/>
      <c r="EG110" s="7"/>
      <c r="EJ110" s="4"/>
      <c r="EK110" s="4"/>
      <c r="EU110" s="2"/>
      <c r="EV110" s="2"/>
    </row>
    <row r="111" spans="1:152">
      <c r="A111" s="125">
        <v>3539</v>
      </c>
      <c r="B111" s="126" t="s">
        <v>1628</v>
      </c>
      <c r="C111" s="126" t="s">
        <v>331</v>
      </c>
      <c r="D111" s="126" t="s">
        <v>127</v>
      </c>
      <c r="E111" s="126" t="s">
        <v>1629</v>
      </c>
      <c r="F111" s="126" t="s">
        <v>35</v>
      </c>
      <c r="G111" s="126" t="s">
        <v>1583</v>
      </c>
      <c r="H111" s="126" t="s">
        <v>1575</v>
      </c>
      <c r="I111" s="126" t="s">
        <v>1263</v>
      </c>
      <c r="J111" s="126" t="s">
        <v>990</v>
      </c>
      <c r="K111" s="127">
        <v>43461</v>
      </c>
      <c r="L111" s="128">
        <v>1.1080000000000001</v>
      </c>
      <c r="M111" s="128">
        <v>1.52</v>
      </c>
      <c r="N111" s="126">
        <v>4.25</v>
      </c>
      <c r="O111" s="126" t="s">
        <v>950</v>
      </c>
      <c r="P111" s="129" t="s">
        <v>1072</v>
      </c>
      <c r="Q111" s="129" t="s">
        <v>1227</v>
      </c>
      <c r="R111" s="126" t="s">
        <v>24</v>
      </c>
      <c r="S111" s="126"/>
      <c r="T111" s="130" t="s">
        <v>120</v>
      </c>
      <c r="U111" s="126"/>
      <c r="V111" s="130" t="s">
        <v>120</v>
      </c>
      <c r="W111" s="126"/>
      <c r="X111" s="130" t="s">
        <v>120</v>
      </c>
      <c r="Y111" s="126" t="s">
        <v>1630</v>
      </c>
      <c r="Z111" s="165" t="s">
        <v>120</v>
      </c>
      <c r="AA111" s="158"/>
      <c r="AB111" s="158"/>
      <c r="AC111" s="170" t="s">
        <v>123</v>
      </c>
      <c r="AD111" s="126" t="s">
        <v>1776</v>
      </c>
      <c r="AE111" s="130" t="s">
        <v>861</v>
      </c>
      <c r="AF111" s="127"/>
      <c r="AG111" s="131"/>
      <c r="AH111" s="131"/>
      <c r="AI111" s="126" t="s">
        <v>2102</v>
      </c>
      <c r="AJ111" s="130" t="s">
        <v>120</v>
      </c>
      <c r="AK111" s="126" t="s">
        <v>123</v>
      </c>
      <c r="AL111" s="126" t="s">
        <v>1198</v>
      </c>
      <c r="AM111" s="130"/>
      <c r="AN111" s="126"/>
      <c r="AO111" s="132"/>
      <c r="AP111" s="126"/>
      <c r="AQ111" s="126"/>
      <c r="AR111" s="130"/>
      <c r="AS111" s="126"/>
      <c r="AT111" s="127">
        <v>43461.484659722199</v>
      </c>
      <c r="AU111" s="127"/>
      <c r="AV111" s="127">
        <v>43462.701907638897</v>
      </c>
      <c r="AW111" s="127">
        <v>43461.484659722199</v>
      </c>
      <c r="AX111" s="127">
        <v>43472.656817129602</v>
      </c>
      <c r="AY111" s="127">
        <v>43461.439167939803</v>
      </c>
      <c r="AZ111" s="133">
        <v>43480.577521180603</v>
      </c>
      <c r="BA111" s="134">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B111" s="135">
        <f>COUNTIFS(_05preva_view43[Site ID],_05preva_view43[[#This Row],[Site ID]],_05preva_view43[Prevalidation Status],"Under Prevalidation")</f>
        <v>0</v>
      </c>
      <c r="BC111" s="157" t="e">
        <f ca="1">HYPERLINK(CheckPath(_05preva_view43[[#This Row],[File Path]],_05preva_view43[[#This Row],[File Path]],_05preva_view43[[#This Row],[Folder Path3]]),CheckPath(_05preva_view43[[#This Row],[File Path]],"Open File","No File"))</f>
        <v>#VALUE!</v>
      </c>
      <c r="BD111" s="136" t="str">
        <f>CONCATENATE(_05preva_view43[[#This Row],[Site ID]]," (",_05preva_view43[[#This Row],[tenant id]],") Application",IF(_05preva_view43[[#This Row],[Colo Rev]]&gt;0," Rev "&amp;_05preva_view43[[#This Row],[Colo Rev]],""),".xlsx")</f>
        <v>3-00-01014-002 (KCN00121) Application Rev 3.xlsx</v>
      </c>
      <c r="BE111" s="64" t="e">
        <f t="shared" ca="1" si="3"/>
        <v>#VALUE!</v>
      </c>
      <c r="BF111" s="104" t="e">
        <f ca="1">LEFT(CELL("filename",A96),_05preva_view43[[#This Row],[Find Process &amp; Database]]-1)</f>
        <v>#VALUE!</v>
      </c>
      <c r="BG111" s="104" t="e">
        <f ca="1">_05preva_view43[Folder Path1]&amp;"Process &amp; Database\Documentation\Colo Applications"</f>
        <v>#VALUE!</v>
      </c>
      <c r="BH111" s="104" t="e">
        <f ca="1">_05preva_view43[Folder Path2]&amp;"\Colo App "&amp;_05preva_view43[[#This Row],[Operator]]&amp;"\"</f>
        <v>#VALUE!</v>
      </c>
      <c r="BI111" s="63" t="e">
        <f ca="1">_05preva_view43[[#This Row],[Folder Path3]]&amp;_05preva_view43[[#This Row],[File Name]]</f>
        <v>#VALUE!</v>
      </c>
      <c r="BJ111" s="104"/>
      <c r="BK111" s="3"/>
      <c r="BL111" s="3"/>
      <c r="CJ111" s="5"/>
      <c r="CK111" s="5"/>
      <c r="CL111" s="3"/>
      <c r="CN111" s="5"/>
      <c r="CR111" s="3"/>
      <c r="CS111" s="3"/>
      <c r="CT111" s="5"/>
      <c r="CV111" s="3"/>
      <c r="DR111" s="5"/>
      <c r="DT111" s="3"/>
      <c r="EF111" s="7"/>
      <c r="EG111" s="7"/>
      <c r="EJ111" s="4"/>
      <c r="EK111" s="4"/>
      <c r="EU111" s="2"/>
      <c r="EV111" s="2"/>
    </row>
    <row r="112" spans="1:152">
      <c r="A112" s="125">
        <v>3540</v>
      </c>
      <c r="B112" s="126" t="s">
        <v>1631</v>
      </c>
      <c r="C112" s="126" t="s">
        <v>331</v>
      </c>
      <c r="D112" s="126" t="s">
        <v>127</v>
      </c>
      <c r="E112" s="126" t="s">
        <v>1632</v>
      </c>
      <c r="F112" s="126" t="s">
        <v>35</v>
      </c>
      <c r="G112" s="126" t="s">
        <v>1583</v>
      </c>
      <c r="H112" s="126" t="s">
        <v>1575</v>
      </c>
      <c r="I112" s="126" t="s">
        <v>1263</v>
      </c>
      <c r="J112" s="126" t="s">
        <v>990</v>
      </c>
      <c r="K112" s="127">
        <v>43461</v>
      </c>
      <c r="L112" s="128">
        <v>1</v>
      </c>
      <c r="M112" s="128">
        <v>1.4</v>
      </c>
      <c r="N112" s="126">
        <v>3.61</v>
      </c>
      <c r="O112" s="126" t="s">
        <v>950</v>
      </c>
      <c r="P112" s="129" t="s">
        <v>1062</v>
      </c>
      <c r="Q112" s="129" t="s">
        <v>958</v>
      </c>
      <c r="R112" s="126" t="s">
        <v>24</v>
      </c>
      <c r="S112" s="126"/>
      <c r="T112" s="130" t="s">
        <v>120</v>
      </c>
      <c r="U112" s="126"/>
      <c r="V112" s="130" t="s">
        <v>120</v>
      </c>
      <c r="W112" s="126"/>
      <c r="X112" s="130" t="s">
        <v>120</v>
      </c>
      <c r="Y112" s="126" t="s">
        <v>1633</v>
      </c>
      <c r="Z112" s="165" t="s">
        <v>120</v>
      </c>
      <c r="AA112" s="158"/>
      <c r="AB112" s="158"/>
      <c r="AC112" s="170" t="s">
        <v>123</v>
      </c>
      <c r="AD112" s="126" t="s">
        <v>1777</v>
      </c>
      <c r="AE112" s="130" t="s">
        <v>120</v>
      </c>
      <c r="AF112" s="127"/>
      <c r="AG112" s="131"/>
      <c r="AH112" s="131"/>
      <c r="AI112" s="126"/>
      <c r="AJ112" s="130" t="s">
        <v>120</v>
      </c>
      <c r="AK112" s="126" t="s">
        <v>123</v>
      </c>
      <c r="AL112" s="126" t="s">
        <v>1198</v>
      </c>
      <c r="AM112" s="130"/>
      <c r="AN112" s="126"/>
      <c r="AO112" s="132"/>
      <c r="AP112" s="126"/>
      <c r="AQ112" s="126"/>
      <c r="AR112" s="130"/>
      <c r="AS112" s="126"/>
      <c r="AT112" s="127">
        <v>43461.484660300899</v>
      </c>
      <c r="AU112" s="127">
        <v>43479.735444560203</v>
      </c>
      <c r="AV112" s="127">
        <v>43467.484192592601</v>
      </c>
      <c r="AW112" s="127">
        <v>43461.484660300899</v>
      </c>
      <c r="AX112" s="127">
        <v>43472.656817708303</v>
      </c>
      <c r="AY112" s="127">
        <v>43461.439168981502</v>
      </c>
      <c r="AZ112" s="133">
        <v>43480.437808796298</v>
      </c>
      <c r="BA112" s="134">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B112" s="135">
        <f>COUNTIFS(_05preva_view43[Site ID],_05preva_view43[[#This Row],[Site ID]],_05preva_view43[Prevalidation Status],"Under Prevalidation")</f>
        <v>0</v>
      </c>
      <c r="BC112" s="157" t="e">
        <f ca="1">HYPERLINK(CheckPath(_05preva_view43[[#This Row],[File Path]],_05preva_view43[[#This Row],[File Path]],_05preva_view43[[#This Row],[Folder Path3]]),CheckPath(_05preva_view43[[#This Row],[File Path]],"Open File","No File"))</f>
        <v>#VALUE!</v>
      </c>
      <c r="BD112" s="136" t="str">
        <f>CONCATENATE(_05preva_view43[[#This Row],[Site ID]]," (",_05preva_view43[[#This Row],[tenant id]],") Application",IF(_05preva_view43[[#This Row],[Colo Rev]]&gt;0," Rev "&amp;_05preva_view43[[#This Row],[Colo Rev]],""),".xlsx")</f>
        <v>1-01-05015-002 (SGG00199) Application Rev 3.xlsx</v>
      </c>
      <c r="BE112" s="64" t="e">
        <f t="shared" ca="1" si="3"/>
        <v>#VALUE!</v>
      </c>
      <c r="BF112" s="104" t="e">
        <f ca="1">LEFT(CELL("filename",A97),_05preva_view43[[#This Row],[Find Process &amp; Database]]-1)</f>
        <v>#VALUE!</v>
      </c>
      <c r="BG112" s="104" t="e">
        <f ca="1">_05preva_view43[Folder Path1]&amp;"Process &amp; Database\Documentation\Colo Applications"</f>
        <v>#VALUE!</v>
      </c>
      <c r="BH112" s="104" t="e">
        <f ca="1">_05preva_view43[Folder Path2]&amp;"\Colo App "&amp;_05preva_view43[[#This Row],[Operator]]&amp;"\"</f>
        <v>#VALUE!</v>
      </c>
      <c r="BI112" s="63" t="e">
        <f ca="1">_05preva_view43[[#This Row],[Folder Path3]]&amp;_05preva_view43[[#This Row],[File Name]]</f>
        <v>#VALUE!</v>
      </c>
      <c r="BJ112" s="104"/>
      <c r="BK112" s="3"/>
      <c r="BL112" s="3"/>
      <c r="CJ112" s="5"/>
      <c r="CK112" s="5"/>
      <c r="CL112" s="3"/>
      <c r="CN112" s="5"/>
      <c r="CR112" s="3"/>
      <c r="CS112" s="3"/>
      <c r="CT112" s="5"/>
      <c r="CV112" s="3"/>
      <c r="DR112" s="5"/>
      <c r="DT112" s="3"/>
      <c r="EF112" s="7"/>
      <c r="EG112" s="7"/>
      <c r="EJ112" s="4"/>
      <c r="EK112" s="4"/>
      <c r="EU112" s="2"/>
      <c r="EV112" s="2"/>
    </row>
    <row r="113" spans="1:152">
      <c r="A113" s="125">
        <v>3541</v>
      </c>
      <c r="B113" s="126" t="s">
        <v>976</v>
      </c>
      <c r="C113" s="126" t="s">
        <v>331</v>
      </c>
      <c r="D113" s="126" t="s">
        <v>127</v>
      </c>
      <c r="E113" s="126" t="s">
        <v>977</v>
      </c>
      <c r="F113" s="126" t="s">
        <v>35</v>
      </c>
      <c r="G113" s="126" t="s">
        <v>1583</v>
      </c>
      <c r="H113" s="126" t="s">
        <v>1575</v>
      </c>
      <c r="I113" s="126" t="s">
        <v>1634</v>
      </c>
      <c r="J113" s="126" t="s">
        <v>990</v>
      </c>
      <c r="K113" s="127">
        <v>43461</v>
      </c>
      <c r="L113" s="128">
        <v>2.2999999999999998</v>
      </c>
      <c r="M113" s="128">
        <v>3.5</v>
      </c>
      <c r="N113" s="126">
        <v>4.0599999999999996</v>
      </c>
      <c r="O113" s="126" t="s">
        <v>950</v>
      </c>
      <c r="P113" s="129" t="s">
        <v>704</v>
      </c>
      <c r="Q113" s="129" t="s">
        <v>705</v>
      </c>
      <c r="R113" s="126" t="s">
        <v>24</v>
      </c>
      <c r="S113" s="126"/>
      <c r="T113" s="130" t="s">
        <v>120</v>
      </c>
      <c r="U113" s="126"/>
      <c r="V113" s="130" t="s">
        <v>120</v>
      </c>
      <c r="W113" s="126"/>
      <c r="X113" s="130" t="s">
        <v>120</v>
      </c>
      <c r="Y113" s="126" t="s">
        <v>1635</v>
      </c>
      <c r="Z113" s="165" t="s">
        <v>120</v>
      </c>
      <c r="AA113" s="158"/>
      <c r="AB113" s="158"/>
      <c r="AC113" s="170" t="s">
        <v>123</v>
      </c>
      <c r="AD113" s="126" t="s">
        <v>1778</v>
      </c>
      <c r="AE113" s="130" t="s">
        <v>120</v>
      </c>
      <c r="AF113" s="127" t="s">
        <v>2094</v>
      </c>
      <c r="AG113" s="131"/>
      <c r="AH113" s="131"/>
      <c r="AI113" s="126" t="s">
        <v>2103</v>
      </c>
      <c r="AJ113" s="130" t="s">
        <v>120</v>
      </c>
      <c r="AK113" s="126" t="s">
        <v>123</v>
      </c>
      <c r="AL113" s="126" t="s">
        <v>1198</v>
      </c>
      <c r="AM113" s="130"/>
      <c r="AN113" s="126"/>
      <c r="AO113" s="132"/>
      <c r="AP113" s="126"/>
      <c r="AQ113" s="126"/>
      <c r="AR113" s="130"/>
      <c r="AS113" s="126"/>
      <c r="AT113" s="127">
        <v>43461.702668055601</v>
      </c>
      <c r="AU113" s="127">
        <v>43481.501123611102</v>
      </c>
      <c r="AV113" s="127">
        <v>43467.618563194403</v>
      </c>
      <c r="AW113" s="127">
        <v>43461.702668055601</v>
      </c>
      <c r="AX113" s="127">
        <v>43472.656819097203</v>
      </c>
      <c r="AY113" s="127">
        <v>43461.633895370403</v>
      </c>
      <c r="AZ113" s="133">
        <v>43481.630462847199</v>
      </c>
      <c r="BA113" s="134">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B113" s="135">
        <f>COUNTIFS(_05preva_view43[Site ID],_05preva_view43[[#This Row],[Site ID]],_05preva_view43[Prevalidation Status],"Under Prevalidation")</f>
        <v>0</v>
      </c>
      <c r="BC113" s="157" t="e">
        <f ca="1">HYPERLINK(CheckPath(_05preva_view43[[#This Row],[File Path]],_05preva_view43[[#This Row],[File Path]],_05preva_view43[[#This Row],[Folder Path3]]),CheckPath(_05preva_view43[[#This Row],[File Path]],"Open File","No File"))</f>
        <v>#VALUE!</v>
      </c>
      <c r="BD113" s="136" t="str">
        <f>CONCATENATE(_05preva_view43[[#This Row],[Site ID]]," (",_05preva_view43[[#This Row],[tenant id]],") Application",IF(_05preva_view43[[#This Row],[Colo Rev]]&gt;0," Rev "&amp;_05preva_view43[[#This Row],[Colo Rev]],""),".xlsx")</f>
        <v>1-01-01002-007 (KCN00293) Application Rev 3.xlsx</v>
      </c>
      <c r="BE113" s="64" t="e">
        <f t="shared" ca="1" si="3"/>
        <v>#VALUE!</v>
      </c>
      <c r="BF113" s="104" t="e">
        <f ca="1">LEFT(CELL("filename",A98),_05preva_view43[[#This Row],[Find Process &amp; Database]]-1)</f>
        <v>#VALUE!</v>
      </c>
      <c r="BG113" s="104" t="e">
        <f ca="1">_05preva_view43[Folder Path1]&amp;"Process &amp; Database\Documentation\Colo Applications"</f>
        <v>#VALUE!</v>
      </c>
      <c r="BH113" s="104" t="e">
        <f ca="1">_05preva_view43[Folder Path2]&amp;"\Colo App "&amp;_05preva_view43[[#This Row],[Operator]]&amp;"\"</f>
        <v>#VALUE!</v>
      </c>
      <c r="BI113" s="63" t="e">
        <f ca="1">_05preva_view43[[#This Row],[Folder Path3]]&amp;_05preva_view43[[#This Row],[File Name]]</f>
        <v>#VALUE!</v>
      </c>
      <c r="BJ113" s="104"/>
      <c r="BK113" s="3"/>
      <c r="BL113" s="3"/>
      <c r="CJ113" s="5"/>
      <c r="CK113" s="5"/>
      <c r="CL113" s="3"/>
      <c r="CN113" s="5"/>
      <c r="CR113" s="3"/>
      <c r="CS113" s="3"/>
      <c r="CT113" s="5"/>
      <c r="CV113" s="3"/>
      <c r="DR113" s="5"/>
      <c r="DT113" s="3"/>
      <c r="EF113" s="7"/>
      <c r="EG113" s="7"/>
      <c r="EJ113" s="4"/>
      <c r="EK113" s="4"/>
      <c r="EU113" s="2"/>
      <c r="EV113" s="2"/>
    </row>
    <row r="114" spans="1:152">
      <c r="A114" s="125">
        <v>3542</v>
      </c>
      <c r="B114" s="126" t="s">
        <v>1636</v>
      </c>
      <c r="C114" s="126" t="s">
        <v>331</v>
      </c>
      <c r="D114" s="126" t="s">
        <v>163</v>
      </c>
      <c r="E114" s="126" t="s">
        <v>1637</v>
      </c>
      <c r="F114" s="126" t="s">
        <v>34</v>
      </c>
      <c r="G114" s="126" t="s">
        <v>1582</v>
      </c>
      <c r="H114" s="126" t="s">
        <v>1575</v>
      </c>
      <c r="I114" s="126" t="s">
        <v>1517</v>
      </c>
      <c r="J114" s="126" t="s">
        <v>949</v>
      </c>
      <c r="K114" s="127">
        <v>43461</v>
      </c>
      <c r="L114" s="128"/>
      <c r="M114" s="128"/>
      <c r="N114" s="126">
        <v>4.6399999999999997</v>
      </c>
      <c r="O114" s="126" t="s">
        <v>950</v>
      </c>
      <c r="P114" s="129" t="s">
        <v>704</v>
      </c>
      <c r="Q114" s="129" t="s">
        <v>705</v>
      </c>
      <c r="R114" s="126" t="s">
        <v>24</v>
      </c>
      <c r="S114" s="126"/>
      <c r="T114" s="130" t="s">
        <v>861</v>
      </c>
      <c r="U114" s="126"/>
      <c r="V114" s="130" t="s">
        <v>861</v>
      </c>
      <c r="W114" s="126"/>
      <c r="X114" s="130" t="s">
        <v>120</v>
      </c>
      <c r="Y114" s="126" t="s">
        <v>1638</v>
      </c>
      <c r="Z114" s="165" t="s">
        <v>120</v>
      </c>
      <c r="AA114" s="158"/>
      <c r="AB114" s="158"/>
      <c r="AC114" s="170" t="s">
        <v>123</v>
      </c>
      <c r="AD114" s="126" t="s">
        <v>1809</v>
      </c>
      <c r="AE114" s="130" t="s">
        <v>861</v>
      </c>
      <c r="AF114" s="127"/>
      <c r="AG114" s="131"/>
      <c r="AH114" s="131"/>
      <c r="AI114" s="126"/>
      <c r="AJ114" s="130" t="s">
        <v>861</v>
      </c>
      <c r="AK114" s="126"/>
      <c r="AL114" s="126"/>
      <c r="AM114" s="130" t="s">
        <v>861</v>
      </c>
      <c r="AN114" s="126"/>
      <c r="AO114" s="132"/>
      <c r="AP114" s="126" t="s">
        <v>861</v>
      </c>
      <c r="AQ114" s="126"/>
      <c r="AR114" s="130" t="s">
        <v>120</v>
      </c>
      <c r="AS114" s="126"/>
      <c r="AT114" s="127">
        <v>43461.702668749997</v>
      </c>
      <c r="AU114" s="127"/>
      <c r="AV114" s="127">
        <v>43472.675091666701</v>
      </c>
      <c r="AW114" s="127"/>
      <c r="AX114" s="127"/>
      <c r="AY114" s="127"/>
      <c r="AZ114" s="133">
        <v>43472.675091666701</v>
      </c>
      <c r="BA114" s="134">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B114" s="135">
        <f>COUNTIFS(_05preva_view43[Site ID],_05preva_view43[[#This Row],[Site ID]],_05preva_view43[Prevalidation Status],"Under Prevalidation")</f>
        <v>0</v>
      </c>
      <c r="BC114" s="157" t="e">
        <f ca="1">HYPERLINK(CheckPath(_05preva_view43[[#This Row],[File Path]],_05preva_view43[[#This Row],[File Path]],_05preva_view43[[#This Row],[Folder Path3]]),CheckPath(_05preva_view43[[#This Row],[File Path]],"Open File","No File"))</f>
        <v>#VALUE!</v>
      </c>
      <c r="BD114" s="136" t="str">
        <f>CONCATENATE(_05preva_view43[[#This Row],[Site ID]]," (",_05preva_view43[[#This Row],[tenant id]],") Application",IF(_05preva_view43[[#This Row],[Colo Rev]]&gt;0," Rev "&amp;_05preva_view43[[#This Row],[Colo Rev]],""),".xlsx")</f>
        <v>1-01-17008-014 (AYY0016) Application Rev 2.xlsx</v>
      </c>
      <c r="BE114" s="64" t="e">
        <f t="shared" ca="1" si="3"/>
        <v>#VALUE!</v>
      </c>
      <c r="BF114" s="104" t="e">
        <f ca="1">LEFT(CELL("filename",A99),_05preva_view43[[#This Row],[Find Process &amp; Database]]-1)</f>
        <v>#VALUE!</v>
      </c>
      <c r="BG114" s="104" t="e">
        <f ca="1">_05preva_view43[Folder Path1]&amp;"Process &amp; Database\Documentation\Colo Applications"</f>
        <v>#VALUE!</v>
      </c>
      <c r="BH114" s="104" t="e">
        <f ca="1">_05preva_view43[Folder Path2]&amp;"\Colo App "&amp;_05preva_view43[[#This Row],[Operator]]&amp;"\"</f>
        <v>#VALUE!</v>
      </c>
      <c r="BI114" s="63" t="e">
        <f ca="1">_05preva_view43[[#This Row],[Folder Path3]]&amp;_05preva_view43[[#This Row],[File Name]]</f>
        <v>#VALUE!</v>
      </c>
      <c r="BJ114" s="104"/>
      <c r="BK114" s="3"/>
      <c r="BL114" s="3"/>
      <c r="CJ114" s="5"/>
      <c r="CK114" s="5"/>
      <c r="CL114" s="3"/>
      <c r="CN114" s="5"/>
      <c r="CR114" s="3"/>
      <c r="CS114" s="3"/>
      <c r="CT114" s="5"/>
      <c r="CV114" s="3"/>
      <c r="DR114" s="5"/>
      <c r="DT114" s="3"/>
      <c r="EF114" s="7"/>
      <c r="EG114" s="7"/>
      <c r="EJ114" s="4"/>
      <c r="EK114" s="4"/>
      <c r="EU114" s="2"/>
      <c r="EV114" s="2"/>
    </row>
    <row r="115" spans="1:152">
      <c r="A115" s="125">
        <v>3543</v>
      </c>
      <c r="B115" s="126" t="s">
        <v>1639</v>
      </c>
      <c r="C115" s="126" t="s">
        <v>331</v>
      </c>
      <c r="D115" s="126" t="s">
        <v>163</v>
      </c>
      <c r="E115" s="126" t="s">
        <v>1640</v>
      </c>
      <c r="F115" s="126" t="s">
        <v>34</v>
      </c>
      <c r="G115" s="126" t="s">
        <v>1582</v>
      </c>
      <c r="H115" s="126" t="s">
        <v>1575</v>
      </c>
      <c r="I115" s="126" t="s">
        <v>1517</v>
      </c>
      <c r="J115" s="126" t="s">
        <v>949</v>
      </c>
      <c r="K115" s="127">
        <v>43461</v>
      </c>
      <c r="L115" s="128">
        <v>1.6</v>
      </c>
      <c r="M115" s="128">
        <v>1.8</v>
      </c>
      <c r="N115" s="126">
        <v>4.92</v>
      </c>
      <c r="O115" s="126" t="s">
        <v>950</v>
      </c>
      <c r="P115" s="129" t="s">
        <v>1028</v>
      </c>
      <c r="Q115" s="129" t="s">
        <v>1029</v>
      </c>
      <c r="R115" s="126" t="s">
        <v>24</v>
      </c>
      <c r="S115" s="126"/>
      <c r="T115" s="130" t="s">
        <v>861</v>
      </c>
      <c r="U115" s="126"/>
      <c r="V115" s="130" t="s">
        <v>861</v>
      </c>
      <c r="W115" s="126"/>
      <c r="X115" s="130" t="s">
        <v>120</v>
      </c>
      <c r="Y115" s="126" t="s">
        <v>1641</v>
      </c>
      <c r="Z115" s="165" t="s">
        <v>120</v>
      </c>
      <c r="AA115" s="158"/>
      <c r="AB115" s="158"/>
      <c r="AC115" s="170" t="s">
        <v>123</v>
      </c>
      <c r="AD115" s="126" t="s">
        <v>1810</v>
      </c>
      <c r="AE115" s="130" t="s">
        <v>861</v>
      </c>
      <c r="AF115" s="127"/>
      <c r="AG115" s="131"/>
      <c r="AH115" s="131"/>
      <c r="AI115" s="126"/>
      <c r="AJ115" s="130" t="s">
        <v>861</v>
      </c>
      <c r="AK115" s="126"/>
      <c r="AL115" s="126"/>
      <c r="AM115" s="130" t="s">
        <v>861</v>
      </c>
      <c r="AN115" s="126"/>
      <c r="AO115" s="132"/>
      <c r="AP115" s="126" t="s">
        <v>861</v>
      </c>
      <c r="AQ115" s="126"/>
      <c r="AR115" s="130" t="s">
        <v>120</v>
      </c>
      <c r="AS115" s="126"/>
      <c r="AT115" s="127">
        <v>43461.702670023202</v>
      </c>
      <c r="AU115" s="127"/>
      <c r="AV115" s="127">
        <v>43472.675092245401</v>
      </c>
      <c r="AW115" s="127"/>
      <c r="AX115" s="127"/>
      <c r="AY115" s="127"/>
      <c r="AZ115" s="133">
        <v>43472.675092245401</v>
      </c>
      <c r="BA115" s="134">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B115" s="135">
        <f>COUNTIFS(_05preva_view43[Site ID],_05preva_view43[[#This Row],[Site ID]],_05preva_view43[Prevalidation Status],"Under Prevalidation")</f>
        <v>0</v>
      </c>
      <c r="BC115" s="157" t="e">
        <f ca="1">HYPERLINK(CheckPath(_05preva_view43[[#This Row],[File Path]],_05preva_view43[[#This Row],[File Path]],_05preva_view43[[#This Row],[Folder Path3]]),CheckPath(_05preva_view43[[#This Row],[File Path]],"Open File","No File"))</f>
        <v>#VALUE!</v>
      </c>
      <c r="BD115" s="136" t="str">
        <f>CONCATENATE(_05preva_view43[[#This Row],[Site ID]]," (",_05preva_view43[[#This Row],[tenant id]],") Application",IF(_05preva_view43[[#This Row],[Colo Rev]]&gt;0," Rev "&amp;_05preva_view43[[#This Row],[Colo Rev]],""),".xlsx")</f>
        <v>1-01-17019-006 (AYY0333) Application Rev 2.xlsx</v>
      </c>
      <c r="BE115" s="64" t="e">
        <f t="shared" ca="1" si="3"/>
        <v>#VALUE!</v>
      </c>
      <c r="BF115" s="104" t="e">
        <f ca="1">LEFT(CELL("filename",A100),_05preva_view43[[#This Row],[Find Process &amp; Database]]-1)</f>
        <v>#VALUE!</v>
      </c>
      <c r="BG115" s="104" t="e">
        <f ca="1">_05preva_view43[Folder Path1]&amp;"Process &amp; Database\Documentation\Colo Applications"</f>
        <v>#VALUE!</v>
      </c>
      <c r="BH115" s="104" t="e">
        <f ca="1">_05preva_view43[Folder Path2]&amp;"\Colo App "&amp;_05preva_view43[[#This Row],[Operator]]&amp;"\"</f>
        <v>#VALUE!</v>
      </c>
      <c r="BI115" s="63" t="e">
        <f ca="1">_05preva_view43[[#This Row],[Folder Path3]]&amp;_05preva_view43[[#This Row],[File Name]]</f>
        <v>#VALUE!</v>
      </c>
      <c r="BJ115" s="104"/>
      <c r="BK115" s="3"/>
      <c r="BL115" s="3"/>
      <c r="CJ115" s="5"/>
      <c r="CK115" s="5"/>
      <c r="CL115" s="3"/>
      <c r="CN115" s="5"/>
      <c r="CR115" s="3"/>
      <c r="CS115" s="3"/>
      <c r="CT115" s="5"/>
      <c r="CV115" s="3"/>
      <c r="DR115" s="5"/>
      <c r="DT115" s="3"/>
      <c r="EF115" s="7"/>
      <c r="EG115" s="7"/>
      <c r="EJ115" s="4"/>
      <c r="EK115" s="4"/>
      <c r="EU115" s="2"/>
      <c r="EV115" s="2"/>
    </row>
    <row r="116" spans="1:152">
      <c r="A116" s="125">
        <v>3544</v>
      </c>
      <c r="B116" s="126" t="s">
        <v>1642</v>
      </c>
      <c r="C116" s="126" t="s">
        <v>331</v>
      </c>
      <c r="D116" s="126" t="s">
        <v>127</v>
      </c>
      <c r="E116" s="126" t="s">
        <v>1643</v>
      </c>
      <c r="F116" s="126" t="s">
        <v>34</v>
      </c>
      <c r="G116" s="126" t="s">
        <v>1582</v>
      </c>
      <c r="H116" s="126" t="s">
        <v>1575</v>
      </c>
      <c r="I116" s="126" t="s">
        <v>1517</v>
      </c>
      <c r="J116" s="126" t="s">
        <v>949</v>
      </c>
      <c r="K116" s="127">
        <v>43461</v>
      </c>
      <c r="L116" s="128">
        <v>1.5</v>
      </c>
      <c r="M116" s="128">
        <v>1.7</v>
      </c>
      <c r="N116" s="126">
        <v>4.07</v>
      </c>
      <c r="O116" s="126" t="s">
        <v>950</v>
      </c>
      <c r="P116" s="129" t="s">
        <v>704</v>
      </c>
      <c r="Q116" s="129" t="s">
        <v>705</v>
      </c>
      <c r="R116" s="126" t="s">
        <v>24</v>
      </c>
      <c r="S116" s="126"/>
      <c r="T116" s="130" t="s">
        <v>861</v>
      </c>
      <c r="U116" s="126"/>
      <c r="V116" s="130" t="s">
        <v>861</v>
      </c>
      <c r="W116" s="126"/>
      <c r="X116" s="130" t="s">
        <v>120</v>
      </c>
      <c r="Y116" s="126" t="s">
        <v>1644</v>
      </c>
      <c r="Z116" s="165" t="s">
        <v>120</v>
      </c>
      <c r="AA116" s="158"/>
      <c r="AB116" s="158"/>
      <c r="AC116" s="170" t="s">
        <v>123</v>
      </c>
      <c r="AD116" s="126" t="s">
        <v>1811</v>
      </c>
      <c r="AE116" s="130" t="s">
        <v>861</v>
      </c>
      <c r="AF116" s="127"/>
      <c r="AG116" s="131"/>
      <c r="AH116" s="131"/>
      <c r="AI116" s="126"/>
      <c r="AJ116" s="130" t="s">
        <v>861</v>
      </c>
      <c r="AK116" s="126"/>
      <c r="AL116" s="126"/>
      <c r="AM116" s="130" t="s">
        <v>861</v>
      </c>
      <c r="AN116" s="126"/>
      <c r="AO116" s="132"/>
      <c r="AP116" s="126" t="s">
        <v>861</v>
      </c>
      <c r="AQ116" s="126"/>
      <c r="AR116" s="130" t="s">
        <v>120</v>
      </c>
      <c r="AS116" s="126"/>
      <c r="AT116" s="127">
        <v>43461.702671064799</v>
      </c>
      <c r="AU116" s="127"/>
      <c r="AV116" s="127">
        <v>43472.510648379597</v>
      </c>
      <c r="AW116" s="127"/>
      <c r="AX116" s="127"/>
      <c r="AY116" s="127"/>
      <c r="AZ116" s="133">
        <v>43472.510648379597</v>
      </c>
      <c r="BA116" s="134">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B116" s="135">
        <f>COUNTIFS(_05preva_view43[Site ID],_05preva_view43[[#This Row],[Site ID]],_05preva_view43[Prevalidation Status],"Under Prevalidation")</f>
        <v>0</v>
      </c>
      <c r="BC116" s="157" t="e">
        <f ca="1">HYPERLINK(CheckPath(_05preva_view43[[#This Row],[File Path]],_05preva_view43[[#This Row],[File Path]],_05preva_view43[[#This Row],[Folder Path3]]),CheckPath(_05preva_view43[[#This Row],[File Path]],"Open File","No File"))</f>
        <v>#VALUE!</v>
      </c>
      <c r="BD116" s="136" t="str">
        <f>CONCATENATE(_05preva_view43[[#This Row],[Site ID]]," (",_05preva_view43[[#This Row],[tenant id]],") Application",IF(_05preva_view43[[#This Row],[Colo Rev]]&gt;0," Rev "&amp;_05preva_view43[[#This Row],[Colo Rev]],""),".xlsx")</f>
        <v>1-01-01008-016 (KCN0033) Application Rev 2.xlsx</v>
      </c>
      <c r="BE116" s="64" t="e">
        <f t="shared" ca="1" si="3"/>
        <v>#VALUE!</v>
      </c>
      <c r="BF116" s="104" t="e">
        <f ca="1">LEFT(CELL("filename",A101),_05preva_view43[[#This Row],[Find Process &amp; Database]]-1)</f>
        <v>#VALUE!</v>
      </c>
      <c r="BG116" s="104" t="e">
        <f ca="1">_05preva_view43[Folder Path1]&amp;"Process &amp; Database\Documentation\Colo Applications"</f>
        <v>#VALUE!</v>
      </c>
      <c r="BH116" s="104" t="e">
        <f ca="1">_05preva_view43[Folder Path2]&amp;"\Colo App "&amp;_05preva_view43[[#This Row],[Operator]]&amp;"\"</f>
        <v>#VALUE!</v>
      </c>
      <c r="BI116" s="63" t="e">
        <f ca="1">_05preva_view43[[#This Row],[Folder Path3]]&amp;_05preva_view43[[#This Row],[File Name]]</f>
        <v>#VALUE!</v>
      </c>
      <c r="BJ116" s="104"/>
      <c r="BK116" s="3"/>
      <c r="BL116" s="3"/>
      <c r="CJ116" s="5"/>
      <c r="CK116" s="5"/>
      <c r="CL116" s="3"/>
      <c r="CN116" s="5"/>
      <c r="CR116" s="3"/>
      <c r="CS116" s="3"/>
      <c r="CT116" s="5"/>
      <c r="CV116" s="3"/>
      <c r="DR116" s="5"/>
      <c r="DT116" s="3"/>
      <c r="EF116" s="7"/>
      <c r="EG116" s="7"/>
      <c r="EJ116" s="4"/>
      <c r="EK116" s="4"/>
      <c r="EU116" s="2"/>
      <c r="EV116" s="2"/>
    </row>
    <row r="117" spans="1:152">
      <c r="A117" s="125">
        <v>3545</v>
      </c>
      <c r="B117" s="126" t="s">
        <v>1645</v>
      </c>
      <c r="C117" s="126" t="s">
        <v>331</v>
      </c>
      <c r="D117" s="126" t="s">
        <v>127</v>
      </c>
      <c r="E117" s="126" t="s">
        <v>1646</v>
      </c>
      <c r="F117" s="126" t="s">
        <v>34</v>
      </c>
      <c r="G117" s="126" t="s">
        <v>1582</v>
      </c>
      <c r="H117" s="126" t="s">
        <v>1575</v>
      </c>
      <c r="I117" s="126" t="s">
        <v>1517</v>
      </c>
      <c r="J117" s="126" t="s">
        <v>949</v>
      </c>
      <c r="K117" s="127">
        <v>43461</v>
      </c>
      <c r="L117" s="128">
        <v>1.6</v>
      </c>
      <c r="M117" s="128">
        <v>1.8</v>
      </c>
      <c r="N117" s="126">
        <v>4.99</v>
      </c>
      <c r="O117" s="126" t="s">
        <v>950</v>
      </c>
      <c r="P117" s="129" t="s">
        <v>704</v>
      </c>
      <c r="Q117" s="129" t="s">
        <v>705</v>
      </c>
      <c r="R117" s="126" t="s">
        <v>24</v>
      </c>
      <c r="S117" s="126"/>
      <c r="T117" s="130" t="s">
        <v>861</v>
      </c>
      <c r="U117" s="126"/>
      <c r="V117" s="130" t="s">
        <v>861</v>
      </c>
      <c r="W117" s="126"/>
      <c r="X117" s="130" t="s">
        <v>120</v>
      </c>
      <c r="Y117" s="126" t="s">
        <v>1647</v>
      </c>
      <c r="Z117" s="165" t="s">
        <v>120</v>
      </c>
      <c r="AA117" s="158"/>
      <c r="AB117" s="158"/>
      <c r="AC117" s="170" t="s">
        <v>123</v>
      </c>
      <c r="AD117" s="126" t="s">
        <v>1862</v>
      </c>
      <c r="AE117" s="130" t="s">
        <v>861</v>
      </c>
      <c r="AF117" s="127"/>
      <c r="AG117" s="131"/>
      <c r="AH117" s="131"/>
      <c r="AI117" s="126"/>
      <c r="AJ117" s="130" t="s">
        <v>861</v>
      </c>
      <c r="AK117" s="126"/>
      <c r="AL117" s="126"/>
      <c r="AM117" s="130" t="s">
        <v>861</v>
      </c>
      <c r="AN117" s="126"/>
      <c r="AO117" s="132"/>
      <c r="AP117" s="126" t="s">
        <v>861</v>
      </c>
      <c r="AQ117" s="126"/>
      <c r="AR117" s="130" t="s">
        <v>120</v>
      </c>
      <c r="AS117" s="126"/>
      <c r="AT117" s="127">
        <v>43461.702671759303</v>
      </c>
      <c r="AU117" s="127"/>
      <c r="AV117" s="127">
        <v>43473.657833333302</v>
      </c>
      <c r="AW117" s="127"/>
      <c r="AX117" s="127"/>
      <c r="AY117" s="127"/>
      <c r="AZ117" s="133">
        <v>43473.657833333302</v>
      </c>
      <c r="BA117" s="134">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B117" s="135">
        <f>COUNTIFS(_05preva_view43[Site ID],_05preva_view43[[#This Row],[Site ID]],_05preva_view43[Prevalidation Status],"Under Prevalidation")</f>
        <v>0</v>
      </c>
      <c r="BC117" s="157" t="e">
        <f ca="1">HYPERLINK(CheckPath(_05preva_view43[[#This Row],[File Path]],_05preva_view43[[#This Row],[File Path]],_05preva_view43[[#This Row],[Folder Path3]]),CheckPath(_05preva_view43[[#This Row],[File Path]],"Open File","No File"))</f>
        <v>#VALUE!</v>
      </c>
      <c r="BD117" s="136" t="str">
        <f>CONCATENATE(_05preva_view43[[#This Row],[Site ID]]," (",_05preva_view43[[#This Row],[tenant id]],") Application",IF(_05preva_view43[[#This Row],[Colo Rev]]&gt;0," Rev "&amp;_05preva_view43[[#This Row],[Colo Rev]],""),".xlsx")</f>
        <v>1-01-10030-007 (MDY0162) Application Rev 2.xlsx</v>
      </c>
      <c r="BE117" s="64" t="e">
        <f t="shared" ca="1" si="3"/>
        <v>#VALUE!</v>
      </c>
      <c r="BF117" s="104" t="e">
        <f ca="1">LEFT(CELL("filename",A102),_05preva_view43[[#This Row],[Find Process &amp; Database]]-1)</f>
        <v>#VALUE!</v>
      </c>
      <c r="BG117" s="104" t="e">
        <f ca="1">_05preva_view43[Folder Path1]&amp;"Process &amp; Database\Documentation\Colo Applications"</f>
        <v>#VALUE!</v>
      </c>
      <c r="BH117" s="104" t="e">
        <f ca="1">_05preva_view43[Folder Path2]&amp;"\Colo App "&amp;_05preva_view43[[#This Row],[Operator]]&amp;"\"</f>
        <v>#VALUE!</v>
      </c>
      <c r="BI117" s="63" t="e">
        <f ca="1">_05preva_view43[[#This Row],[Folder Path3]]&amp;_05preva_view43[[#This Row],[File Name]]</f>
        <v>#VALUE!</v>
      </c>
      <c r="BJ117" s="104"/>
      <c r="BK117" s="3"/>
      <c r="BL117" s="3"/>
      <c r="CJ117" s="5"/>
      <c r="CK117" s="5"/>
      <c r="CL117" s="3"/>
      <c r="CN117" s="5"/>
      <c r="CR117" s="3"/>
      <c r="CS117" s="3"/>
      <c r="CT117" s="5"/>
      <c r="CV117" s="3"/>
      <c r="DR117" s="5"/>
      <c r="DT117" s="3"/>
      <c r="EF117" s="7"/>
      <c r="EG117" s="7"/>
      <c r="EJ117" s="4"/>
      <c r="EK117" s="4"/>
      <c r="EU117" s="2"/>
      <c r="EV117" s="2"/>
    </row>
    <row r="118" spans="1:152">
      <c r="A118" s="125">
        <v>3546</v>
      </c>
      <c r="B118" s="126" t="s">
        <v>1648</v>
      </c>
      <c r="C118" s="126" t="s">
        <v>331</v>
      </c>
      <c r="D118" s="126" t="s">
        <v>127</v>
      </c>
      <c r="E118" s="126" t="s">
        <v>1649</v>
      </c>
      <c r="F118" s="126" t="s">
        <v>34</v>
      </c>
      <c r="G118" s="126" t="s">
        <v>1582</v>
      </c>
      <c r="H118" s="126" t="s">
        <v>1575</v>
      </c>
      <c r="I118" s="126" t="s">
        <v>1517</v>
      </c>
      <c r="J118" s="126" t="s">
        <v>949</v>
      </c>
      <c r="K118" s="127">
        <v>43461</v>
      </c>
      <c r="L118" s="128">
        <v>1.6</v>
      </c>
      <c r="M118" s="128">
        <v>1.7</v>
      </c>
      <c r="N118" s="126">
        <v>4.3600000000000003</v>
      </c>
      <c r="O118" s="126" t="s">
        <v>950</v>
      </c>
      <c r="P118" s="129" t="s">
        <v>1378</v>
      </c>
      <c r="Q118" s="129" t="s">
        <v>1121</v>
      </c>
      <c r="R118" s="126" t="s">
        <v>24</v>
      </c>
      <c r="S118" s="126"/>
      <c r="T118" s="130" t="s">
        <v>861</v>
      </c>
      <c r="U118" s="126"/>
      <c r="V118" s="130" t="s">
        <v>861</v>
      </c>
      <c r="W118" s="126"/>
      <c r="X118" s="130" t="s">
        <v>120</v>
      </c>
      <c r="Y118" s="126" t="s">
        <v>1650</v>
      </c>
      <c r="Z118" s="165" t="s">
        <v>120</v>
      </c>
      <c r="AA118" s="158"/>
      <c r="AB118" s="158"/>
      <c r="AC118" s="170" t="s">
        <v>123</v>
      </c>
      <c r="AD118" s="126" t="s">
        <v>1863</v>
      </c>
      <c r="AE118" s="130" t="s">
        <v>861</v>
      </c>
      <c r="AF118" s="127"/>
      <c r="AG118" s="131"/>
      <c r="AH118" s="131"/>
      <c r="AI118" s="126"/>
      <c r="AJ118" s="130" t="s">
        <v>861</v>
      </c>
      <c r="AK118" s="126"/>
      <c r="AL118" s="126"/>
      <c r="AM118" s="130" t="s">
        <v>861</v>
      </c>
      <c r="AN118" s="126"/>
      <c r="AO118" s="132"/>
      <c r="AP118" s="126" t="s">
        <v>861</v>
      </c>
      <c r="AQ118" s="126"/>
      <c r="AR118" s="130" t="s">
        <v>120</v>
      </c>
      <c r="AS118" s="126"/>
      <c r="AT118" s="127">
        <v>43461.702673148102</v>
      </c>
      <c r="AU118" s="127"/>
      <c r="AV118" s="127">
        <v>43474.469203240697</v>
      </c>
      <c r="AW118" s="127"/>
      <c r="AX118" s="127"/>
      <c r="AY118" s="127"/>
      <c r="AZ118" s="133">
        <v>43474.469203240697</v>
      </c>
      <c r="BA118" s="134">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B118" s="135">
        <f>COUNTIFS(_05preva_view43[Site ID],_05preva_view43[[#This Row],[Site ID]],_05preva_view43[Prevalidation Status],"Under Prevalidation")</f>
        <v>0</v>
      </c>
      <c r="BC118" s="157" t="e">
        <f ca="1">HYPERLINK(CheckPath(_05preva_view43[[#This Row],[File Path]],_05preva_view43[[#This Row],[File Path]],_05preva_view43[[#This Row],[Folder Path3]]),CheckPath(_05preva_view43[[#This Row],[File Path]],"Open File","No File"))</f>
        <v>#VALUE!</v>
      </c>
      <c r="BD118" s="136" t="str">
        <f>CONCATENATE(_05preva_view43[[#This Row],[Site ID]]," (",_05preva_view43[[#This Row],[tenant id]],") Application",IF(_05preva_view43[[#This Row],[Colo Rev]]&gt;0," Rev "&amp;_05preva_view43[[#This Row],[Colo Rev]],""),".xlsx")</f>
        <v>1-01-10024-004 (MDY0379) Application Rev 2.xlsx</v>
      </c>
      <c r="BE118" s="64" t="e">
        <f t="shared" ca="1" si="3"/>
        <v>#VALUE!</v>
      </c>
      <c r="BF118" s="104" t="e">
        <f ca="1">LEFT(CELL("filename",A103),_05preva_view43[[#This Row],[Find Process &amp; Database]]-1)</f>
        <v>#VALUE!</v>
      </c>
      <c r="BG118" s="104" t="e">
        <f ca="1">_05preva_view43[Folder Path1]&amp;"Process &amp; Database\Documentation\Colo Applications"</f>
        <v>#VALUE!</v>
      </c>
      <c r="BH118" s="104" t="e">
        <f ca="1">_05preva_view43[Folder Path2]&amp;"\Colo App "&amp;_05preva_view43[[#This Row],[Operator]]&amp;"\"</f>
        <v>#VALUE!</v>
      </c>
      <c r="BI118" s="63" t="e">
        <f ca="1">_05preva_view43[[#This Row],[Folder Path3]]&amp;_05preva_view43[[#This Row],[File Name]]</f>
        <v>#VALUE!</v>
      </c>
      <c r="BJ118" s="104"/>
      <c r="BK118" s="3"/>
      <c r="BL118" s="3"/>
      <c r="CJ118" s="5"/>
      <c r="CK118" s="5"/>
      <c r="CL118" s="3"/>
      <c r="CN118" s="5"/>
      <c r="CR118" s="3"/>
      <c r="CS118" s="3"/>
      <c r="CT118" s="5"/>
      <c r="CV118" s="3"/>
      <c r="DR118" s="5"/>
      <c r="DT118" s="3"/>
      <c r="EF118" s="7"/>
      <c r="EG118" s="7"/>
      <c r="EJ118" s="4"/>
      <c r="EK118" s="4"/>
      <c r="EU118" s="2"/>
      <c r="EV118" s="2"/>
    </row>
    <row r="119" spans="1:152">
      <c r="A119" s="125">
        <v>3547</v>
      </c>
      <c r="B119" s="126" t="s">
        <v>1651</v>
      </c>
      <c r="C119" s="126" t="s">
        <v>331</v>
      </c>
      <c r="D119" s="126" t="s">
        <v>127</v>
      </c>
      <c r="E119" s="126" t="s">
        <v>1652</v>
      </c>
      <c r="F119" s="126" t="s">
        <v>34</v>
      </c>
      <c r="G119" s="126" t="s">
        <v>118</v>
      </c>
      <c r="H119" s="126" t="s">
        <v>1619</v>
      </c>
      <c r="I119" s="126" t="s">
        <v>1252</v>
      </c>
      <c r="J119" s="126" t="s">
        <v>931</v>
      </c>
      <c r="K119" s="127">
        <v>43461</v>
      </c>
      <c r="L119" s="128">
        <v>2</v>
      </c>
      <c r="M119" s="128">
        <v>2</v>
      </c>
      <c r="N119" s="126">
        <v>6</v>
      </c>
      <c r="O119" s="126" t="s">
        <v>950</v>
      </c>
      <c r="P119" s="129" t="s">
        <v>276</v>
      </c>
      <c r="Q119" s="129" t="s">
        <v>277</v>
      </c>
      <c r="R119" s="126" t="s">
        <v>24</v>
      </c>
      <c r="S119" s="126"/>
      <c r="T119" s="130" t="s">
        <v>861</v>
      </c>
      <c r="U119" s="126"/>
      <c r="V119" s="130" t="s">
        <v>861</v>
      </c>
      <c r="W119" s="126"/>
      <c r="X119" s="130" t="s">
        <v>861</v>
      </c>
      <c r="Y119" s="126"/>
      <c r="Z119" s="165" t="s">
        <v>861</v>
      </c>
      <c r="AA119" s="158"/>
      <c r="AB119" s="158"/>
      <c r="AC119" s="170"/>
      <c r="AD119" s="126"/>
      <c r="AE119" s="130" t="s">
        <v>120</v>
      </c>
      <c r="AF119" s="127" t="s">
        <v>2104</v>
      </c>
      <c r="AG119" s="131"/>
      <c r="AH119" s="131"/>
      <c r="AI119" s="126" t="s">
        <v>2105</v>
      </c>
      <c r="AJ119" s="130" t="s">
        <v>861</v>
      </c>
      <c r="AK119" s="126"/>
      <c r="AL119" s="126"/>
      <c r="AM119" s="130" t="s">
        <v>861</v>
      </c>
      <c r="AN119" s="126"/>
      <c r="AO119" s="132"/>
      <c r="AP119" s="126" t="s">
        <v>861</v>
      </c>
      <c r="AQ119" s="126"/>
      <c r="AR119" s="130" t="s">
        <v>120</v>
      </c>
      <c r="AS119" s="126"/>
      <c r="AT119" s="127"/>
      <c r="AU119" s="127">
        <v>43479.735448148102</v>
      </c>
      <c r="AV119" s="127"/>
      <c r="AW119" s="127"/>
      <c r="AX119" s="127"/>
      <c r="AY119" s="127"/>
      <c r="AZ119" s="133">
        <v>43480.463188888898</v>
      </c>
      <c r="BA119" s="134">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B119" s="135">
        <f>COUNTIFS(_05preva_view43[Site ID],_05preva_view43[[#This Row],[Site ID]],_05preva_view43[Prevalidation Status],"Under Prevalidation")</f>
        <v>0</v>
      </c>
      <c r="BC119" s="157" t="e">
        <f ca="1">HYPERLINK(CheckPath(_05preva_view43[[#This Row],[File Path]],_05preva_view43[[#This Row],[File Path]],_05preva_view43[[#This Row],[Folder Path3]]),CheckPath(_05preva_view43[[#This Row],[File Path]],"Open File","No File"))</f>
        <v>#VALUE!</v>
      </c>
      <c r="BD119" s="136" t="str">
        <f>CONCATENATE(_05preva_view43[[#This Row],[Site ID]]," (",_05preva_view43[[#This Row],[tenant id]],") Application",IF(_05preva_view43[[#This Row],[Colo Rev]]&gt;0," Rev "&amp;_05preva_view43[[#This Row],[Colo Rev]],""),".xlsx")</f>
        <v>1-01-01001-018 (KCN0063) Application Rev 1.xlsx</v>
      </c>
      <c r="BE119" s="64" t="e">
        <f t="shared" ca="1" si="3"/>
        <v>#VALUE!</v>
      </c>
      <c r="BF119" s="104" t="e">
        <f ca="1">LEFT(CELL("filename",A104),_05preva_view43[[#This Row],[Find Process &amp; Database]]-1)</f>
        <v>#VALUE!</v>
      </c>
      <c r="BG119" s="104" t="e">
        <f ca="1">_05preva_view43[Folder Path1]&amp;"Process &amp; Database\Documentation\Colo Applications"</f>
        <v>#VALUE!</v>
      </c>
      <c r="BH119" s="104" t="e">
        <f ca="1">_05preva_view43[Folder Path2]&amp;"\Colo App "&amp;_05preva_view43[[#This Row],[Operator]]&amp;"\"</f>
        <v>#VALUE!</v>
      </c>
      <c r="BI119" s="63" t="e">
        <f ca="1">_05preva_view43[[#This Row],[Folder Path3]]&amp;_05preva_view43[[#This Row],[File Name]]</f>
        <v>#VALUE!</v>
      </c>
      <c r="BJ119" s="104"/>
      <c r="BK119" s="3"/>
      <c r="BL119" s="3"/>
      <c r="CJ119" s="5"/>
      <c r="CK119" s="5"/>
      <c r="CL119" s="3"/>
      <c r="CN119" s="5"/>
      <c r="CR119" s="3"/>
      <c r="CS119" s="3"/>
      <c r="CT119" s="5"/>
      <c r="CV119" s="3"/>
      <c r="DR119" s="5"/>
      <c r="DT119" s="3"/>
      <c r="EF119" s="7"/>
      <c r="EG119" s="7"/>
      <c r="EJ119" s="4"/>
      <c r="EK119" s="4"/>
      <c r="EU119" s="2"/>
      <c r="EV119" s="2"/>
    </row>
    <row r="120" spans="1:152">
      <c r="A120" s="125">
        <v>3528</v>
      </c>
      <c r="B120" s="126" t="s">
        <v>1653</v>
      </c>
      <c r="C120" s="126" t="s">
        <v>116</v>
      </c>
      <c r="D120" s="126" t="s">
        <v>117</v>
      </c>
      <c r="E120" s="126" t="s">
        <v>1654</v>
      </c>
      <c r="F120" s="126" t="s">
        <v>35</v>
      </c>
      <c r="G120" s="126" t="s">
        <v>1577</v>
      </c>
      <c r="H120" s="126" t="s">
        <v>1575</v>
      </c>
      <c r="I120" s="126" t="s">
        <v>1053</v>
      </c>
      <c r="J120" s="126" t="s">
        <v>949</v>
      </c>
      <c r="K120" s="127">
        <v>43460</v>
      </c>
      <c r="L120" s="128">
        <v>2.3050000000000002</v>
      </c>
      <c r="M120" s="128">
        <v>4.07</v>
      </c>
      <c r="N120" s="126">
        <v>6.81</v>
      </c>
      <c r="O120" s="126" t="s">
        <v>119</v>
      </c>
      <c r="P120" s="129" t="s">
        <v>338</v>
      </c>
      <c r="Q120" s="129" t="s">
        <v>339</v>
      </c>
      <c r="R120" s="126" t="s">
        <v>24</v>
      </c>
      <c r="S120" s="126"/>
      <c r="T120" s="130" t="s">
        <v>120</v>
      </c>
      <c r="U120" s="126" t="s">
        <v>1655</v>
      </c>
      <c r="V120" s="130" t="s">
        <v>120</v>
      </c>
      <c r="W120" s="126"/>
      <c r="X120" s="130" t="s">
        <v>120</v>
      </c>
      <c r="Y120" s="126" t="s">
        <v>1656</v>
      </c>
      <c r="Z120" s="165" t="s">
        <v>120</v>
      </c>
      <c r="AA120" s="158"/>
      <c r="AB120" s="158"/>
      <c r="AC120" s="170" t="s">
        <v>123</v>
      </c>
      <c r="AD120" s="126" t="s">
        <v>1657</v>
      </c>
      <c r="AE120" s="130" t="s">
        <v>120</v>
      </c>
      <c r="AF120" s="127"/>
      <c r="AG120" s="131"/>
      <c r="AH120" s="131"/>
      <c r="AI120" s="126"/>
      <c r="AJ120" s="130" t="s">
        <v>120</v>
      </c>
      <c r="AK120" s="126" t="s">
        <v>123</v>
      </c>
      <c r="AL120" s="126" t="s">
        <v>1198</v>
      </c>
      <c r="AM120" s="130"/>
      <c r="AN120" s="126"/>
      <c r="AO120" s="132"/>
      <c r="AP120" s="126"/>
      <c r="AQ120" s="126"/>
      <c r="AR120" s="130"/>
      <c r="AS120" s="126"/>
      <c r="AT120" s="127">
        <v>43460.704988425903</v>
      </c>
      <c r="AU120" s="127">
        <v>43479.735422800899</v>
      </c>
      <c r="AV120" s="127">
        <v>43461.5884149306</v>
      </c>
      <c r="AW120" s="127">
        <v>43460.704988425903</v>
      </c>
      <c r="AX120" s="127">
        <v>43460.604122800898</v>
      </c>
      <c r="AY120" s="127">
        <v>43460.457213773101</v>
      </c>
      <c r="AZ120" s="133">
        <v>43480.437797106497</v>
      </c>
      <c r="BA120" s="134">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B120" s="135">
        <f>COUNTIFS(_05preva_view43[Site ID],_05preva_view43[[#This Row],[Site ID]],_05preva_view43[Prevalidation Status],"Under Prevalidation")</f>
        <v>0</v>
      </c>
      <c r="BC120" s="157" t="e">
        <f ca="1">HYPERLINK(CheckPath(_05preva_view43[[#This Row],[File Path]],_05preva_view43[[#This Row],[File Path]],_05preva_view43[[#This Row],[Folder Path3]]),CheckPath(_05preva_view43[[#This Row],[File Path]],"Open File","No File"))</f>
        <v>#VALUE!</v>
      </c>
      <c r="BD120" s="136" t="str">
        <f>CONCATENATE(_05preva_view43[[#This Row],[Site ID]]," (",_05preva_view43[[#This Row],[tenant id]],") Application",IF(_05preva_view43[[#This Row],[Colo Rev]]&gt;0," Rev "&amp;_05preva_view43[[#This Row],[Colo Rev]],""),".xlsx")</f>
        <v>ANMG_0037 (MGW00580) Application Rev 2.xlsx</v>
      </c>
      <c r="BE120" s="64" t="e">
        <f t="shared" ca="1" si="3"/>
        <v>#VALUE!</v>
      </c>
      <c r="BF120" s="104" t="e">
        <f ca="1">LEFT(CELL("filename",A105),_05preva_view43[[#This Row],[Find Process &amp; Database]]-1)</f>
        <v>#VALUE!</v>
      </c>
      <c r="BG120" s="104" t="e">
        <f ca="1">_05preva_view43[Folder Path1]&amp;"Process &amp; Database\Documentation\Colo Applications"</f>
        <v>#VALUE!</v>
      </c>
      <c r="BH120" s="104" t="e">
        <f ca="1">_05preva_view43[Folder Path2]&amp;"\Colo App "&amp;_05preva_view43[[#This Row],[Operator]]&amp;"\"</f>
        <v>#VALUE!</v>
      </c>
      <c r="BI120" s="63" t="e">
        <f ca="1">_05preva_view43[[#This Row],[Folder Path3]]&amp;_05preva_view43[[#This Row],[File Name]]</f>
        <v>#VALUE!</v>
      </c>
      <c r="BJ120" s="104"/>
      <c r="BK120" s="3"/>
      <c r="BL120" s="3"/>
      <c r="CJ120" s="5"/>
      <c r="CK120" s="5"/>
      <c r="CL120" s="3"/>
      <c r="CN120" s="5"/>
      <c r="CR120" s="3"/>
      <c r="CS120" s="3"/>
      <c r="CT120" s="5"/>
      <c r="CV120" s="3"/>
      <c r="DR120" s="5"/>
      <c r="DT120" s="3"/>
      <c r="EF120" s="7"/>
      <c r="EG120" s="7"/>
      <c r="EJ120" s="4"/>
      <c r="EK120" s="4"/>
      <c r="EU120" s="2"/>
      <c r="EV120" s="2"/>
    </row>
    <row r="121" spans="1:152">
      <c r="A121" s="125">
        <v>3529</v>
      </c>
      <c r="B121" s="126" t="s">
        <v>224</v>
      </c>
      <c r="C121" s="126" t="s">
        <v>116</v>
      </c>
      <c r="D121" s="126" t="s">
        <v>163</v>
      </c>
      <c r="E121" s="126" t="s">
        <v>225</v>
      </c>
      <c r="F121" s="126" t="s">
        <v>35</v>
      </c>
      <c r="G121" s="126" t="s">
        <v>1577</v>
      </c>
      <c r="H121" s="126" t="s">
        <v>1575</v>
      </c>
      <c r="I121" s="126" t="s">
        <v>1077</v>
      </c>
      <c r="J121" s="126" t="s">
        <v>949</v>
      </c>
      <c r="K121" s="127">
        <v>43460</v>
      </c>
      <c r="L121" s="128">
        <v>1.04</v>
      </c>
      <c r="M121" s="128">
        <v>1.3</v>
      </c>
      <c r="N121" s="126">
        <v>1.1479999999999999</v>
      </c>
      <c r="O121" s="126" t="s">
        <v>119</v>
      </c>
      <c r="P121" s="129" t="s">
        <v>334</v>
      </c>
      <c r="Q121" s="129" t="s">
        <v>736</v>
      </c>
      <c r="R121" s="126" t="s">
        <v>24</v>
      </c>
      <c r="S121" s="126"/>
      <c r="T121" s="130" t="s">
        <v>120</v>
      </c>
      <c r="U121" s="126" t="s">
        <v>1658</v>
      </c>
      <c r="V121" s="130" t="s">
        <v>120</v>
      </c>
      <c r="W121" s="126"/>
      <c r="X121" s="130" t="s">
        <v>120</v>
      </c>
      <c r="Y121" s="126" t="s">
        <v>1659</v>
      </c>
      <c r="Z121" s="165" t="s">
        <v>120</v>
      </c>
      <c r="AA121" s="158"/>
      <c r="AB121" s="158"/>
      <c r="AC121" s="170" t="s">
        <v>123</v>
      </c>
      <c r="AD121" s="126" t="s">
        <v>1660</v>
      </c>
      <c r="AE121" s="130" t="s">
        <v>120</v>
      </c>
      <c r="AF121" s="127"/>
      <c r="AG121" s="131"/>
      <c r="AH121" s="131"/>
      <c r="AI121" s="126"/>
      <c r="AJ121" s="130" t="s">
        <v>120</v>
      </c>
      <c r="AK121" s="126" t="s">
        <v>123</v>
      </c>
      <c r="AL121" s="126" t="s">
        <v>1198</v>
      </c>
      <c r="AM121" s="130"/>
      <c r="AN121" s="126"/>
      <c r="AO121" s="132"/>
      <c r="AP121" s="126"/>
      <c r="AQ121" s="126"/>
      <c r="AR121" s="130"/>
      <c r="AS121" s="126"/>
      <c r="AT121" s="127">
        <v>43460.704989699101</v>
      </c>
      <c r="AU121" s="127">
        <v>43479.7354233796</v>
      </c>
      <c r="AV121" s="127">
        <v>43461.692372106503</v>
      </c>
      <c r="AW121" s="127">
        <v>43460.704989699101</v>
      </c>
      <c r="AX121" s="127">
        <v>43460.604123379599</v>
      </c>
      <c r="AY121" s="127">
        <v>43460.457214699098</v>
      </c>
      <c r="AZ121" s="133">
        <v>43480.437797916697</v>
      </c>
      <c r="BA121" s="134">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B121" s="135">
        <f>COUNTIFS(_05preva_view43[Site ID],_05preva_view43[[#This Row],[Site ID]],_05preva_view43[Prevalidation Status],"Under Prevalidation")</f>
        <v>0</v>
      </c>
      <c r="BC121" s="157" t="e">
        <f ca="1">HYPERLINK(CheckPath(_05preva_view43[[#This Row],[File Path]],_05preva_view43[[#This Row],[File Path]],_05preva_view43[[#This Row],[Folder Path3]]),CheckPath(_05preva_view43[[#This Row],[File Path]],"Open File","No File"))</f>
        <v>#VALUE!</v>
      </c>
      <c r="BD121" s="136" t="str">
        <f>CONCATENATE(_05preva_view43[[#This Row],[Site ID]]," (",_05preva_view43[[#This Row],[tenant id]],") Application",IF(_05preva_view43[[#This Row],[Colo Rev]]&gt;0," Rev "&amp;_05preva_view43[[#This Row],[Colo Rev]],""),".xlsx")</f>
        <v>AYYN_0251 (YGN01769) Application Rev 2.xlsx</v>
      </c>
      <c r="BE121" s="64" t="e">
        <f t="shared" ca="1" si="3"/>
        <v>#VALUE!</v>
      </c>
      <c r="BF121" s="104" t="e">
        <f ca="1">LEFT(CELL("filename",A106),_05preva_view43[[#This Row],[Find Process &amp; Database]]-1)</f>
        <v>#VALUE!</v>
      </c>
      <c r="BG121" s="104" t="e">
        <f ca="1">_05preva_view43[Folder Path1]&amp;"Process &amp; Database\Documentation\Colo Applications"</f>
        <v>#VALUE!</v>
      </c>
      <c r="BH121" s="104" t="e">
        <f ca="1">_05preva_view43[Folder Path2]&amp;"\Colo App "&amp;_05preva_view43[[#This Row],[Operator]]&amp;"\"</f>
        <v>#VALUE!</v>
      </c>
      <c r="BI121" s="63" t="e">
        <f ca="1">_05preva_view43[[#This Row],[Folder Path3]]&amp;_05preva_view43[[#This Row],[File Name]]</f>
        <v>#VALUE!</v>
      </c>
      <c r="BJ121" s="104"/>
      <c r="BK121" s="3"/>
      <c r="BL121" s="3"/>
      <c r="CJ121" s="5"/>
      <c r="CK121" s="5"/>
      <c r="CL121" s="3"/>
      <c r="CN121" s="5"/>
      <c r="CR121" s="3"/>
      <c r="CS121" s="3"/>
      <c r="CT121" s="5"/>
      <c r="CV121" s="3"/>
      <c r="DR121" s="5"/>
      <c r="DT121" s="3"/>
      <c r="EF121" s="7"/>
      <c r="EG121" s="7"/>
      <c r="EJ121" s="4"/>
      <c r="EK121" s="4"/>
      <c r="EU121" s="2"/>
      <c r="EV121" s="2"/>
    </row>
    <row r="122" spans="1:152">
      <c r="A122" s="125">
        <v>3530</v>
      </c>
      <c r="B122" s="126" t="s">
        <v>1661</v>
      </c>
      <c r="C122" s="126" t="s">
        <v>116</v>
      </c>
      <c r="D122" s="126" t="s">
        <v>127</v>
      </c>
      <c r="E122" s="126" t="s">
        <v>1662</v>
      </c>
      <c r="F122" s="126" t="s">
        <v>35</v>
      </c>
      <c r="G122" s="126" t="s">
        <v>1577</v>
      </c>
      <c r="H122" s="126" t="s">
        <v>1575</v>
      </c>
      <c r="I122" s="126" t="s">
        <v>1351</v>
      </c>
      <c r="J122" s="126" t="s">
        <v>949</v>
      </c>
      <c r="K122" s="127">
        <v>43460</v>
      </c>
      <c r="L122" s="128">
        <v>1.8220000000000001</v>
      </c>
      <c r="M122" s="128">
        <v>2.93</v>
      </c>
      <c r="N122" s="126">
        <v>7.31</v>
      </c>
      <c r="O122" s="126" t="s">
        <v>119</v>
      </c>
      <c r="P122" s="129" t="s">
        <v>276</v>
      </c>
      <c r="Q122" s="129" t="s">
        <v>277</v>
      </c>
      <c r="R122" s="126" t="s">
        <v>25</v>
      </c>
      <c r="S122" s="126"/>
      <c r="T122" s="130" t="s">
        <v>120</v>
      </c>
      <c r="U122" s="126" t="s">
        <v>1663</v>
      </c>
      <c r="V122" s="130" t="s">
        <v>120</v>
      </c>
      <c r="W122" s="126"/>
      <c r="X122" s="130" t="s">
        <v>120</v>
      </c>
      <c r="Y122" s="126" t="s">
        <v>1664</v>
      </c>
      <c r="Z122" s="165" t="s">
        <v>144</v>
      </c>
      <c r="AA122" s="158" t="s">
        <v>2169</v>
      </c>
      <c r="AB122" s="158" t="s">
        <v>2141</v>
      </c>
      <c r="AC122" s="170" t="s">
        <v>123</v>
      </c>
      <c r="AD122" s="126" t="s">
        <v>1864</v>
      </c>
      <c r="AE122" s="130" t="s">
        <v>120</v>
      </c>
      <c r="AF122" s="127"/>
      <c r="AG122" s="131"/>
      <c r="AH122" s="131"/>
      <c r="AI122" s="126"/>
      <c r="AJ122" s="130" t="s">
        <v>120</v>
      </c>
      <c r="AK122" s="126" t="s">
        <v>123</v>
      </c>
      <c r="AL122" s="126" t="s">
        <v>1198</v>
      </c>
      <c r="AM122" s="130"/>
      <c r="AN122" s="126"/>
      <c r="AO122" s="132"/>
      <c r="AP122" s="126"/>
      <c r="AQ122" s="126"/>
      <c r="AR122" s="130"/>
      <c r="AS122" s="126"/>
      <c r="AT122" s="127">
        <v>43460.704991435203</v>
      </c>
      <c r="AU122" s="127">
        <v>43479.735425694402</v>
      </c>
      <c r="AV122" s="127">
        <v>43488.484967708297</v>
      </c>
      <c r="AW122" s="127">
        <v>43460.704991435203</v>
      </c>
      <c r="AX122" s="127">
        <v>43460.606377546297</v>
      </c>
      <c r="AY122" s="127">
        <v>43461.412907060199</v>
      </c>
      <c r="AZ122" s="133"/>
      <c r="BA122" s="134">
        <f ca="1">IF(_05preva_view43[[#This Row],[Prevalidation Status]]="Under Prevalidation",NOW()-_05preva_view43[[#This Row],[Request Date]],IF(_05preva_view43[[#This Row],[Close Date]]&gt;_05preva_view43[[#This Row],[Request Date]],_05preva_view43[[#This Row],[Close Date]]-_05preva_view43[[#This Row],[Request Date]],"Not  Calculated"))</f>
        <v>28.70510648148047</v>
      </c>
      <c r="BB122" s="135">
        <f>COUNTIFS(_05preva_view43[Site ID],_05preva_view43[[#This Row],[Site ID]],_05preva_view43[Prevalidation Status],"Under Prevalidation")</f>
        <v>1</v>
      </c>
      <c r="BC122" s="157" t="e">
        <f ca="1">HYPERLINK(CheckPath(_05preva_view43[[#This Row],[File Path]],_05preva_view43[[#This Row],[File Path]],_05preva_view43[[#This Row],[Folder Path3]]),CheckPath(_05preva_view43[[#This Row],[File Path]],"Open File","No File"))</f>
        <v>#VALUE!</v>
      </c>
      <c r="BD122" s="136" t="str">
        <f>CONCATENATE(_05preva_view43[[#This Row],[Site ID]]," (",_05preva_view43[[#This Row],[tenant id]],") Application",IF(_05preva_view43[[#This Row],[Colo Rev]]&gt;0," Rev "&amp;_05preva_view43[[#This Row],[Colo Rev]],""),".xlsx")</f>
        <v>ANMD_0176 (MDY00350) Application Rev 2.xlsx</v>
      </c>
      <c r="BE122" s="64" t="e">
        <f t="shared" ca="1" si="3"/>
        <v>#VALUE!</v>
      </c>
      <c r="BF122" s="104" t="e">
        <f ca="1">LEFT(CELL("filename",A107),_05preva_view43[[#This Row],[Find Process &amp; Database]]-1)</f>
        <v>#VALUE!</v>
      </c>
      <c r="BG122" s="104" t="e">
        <f ca="1">_05preva_view43[Folder Path1]&amp;"Process &amp; Database\Documentation\Colo Applications"</f>
        <v>#VALUE!</v>
      </c>
      <c r="BH122" s="104" t="e">
        <f ca="1">_05preva_view43[Folder Path2]&amp;"\Colo App "&amp;_05preva_view43[[#This Row],[Operator]]&amp;"\"</f>
        <v>#VALUE!</v>
      </c>
      <c r="BI122" s="63" t="e">
        <f ca="1">_05preva_view43[[#This Row],[Folder Path3]]&amp;_05preva_view43[[#This Row],[File Name]]</f>
        <v>#VALUE!</v>
      </c>
      <c r="BJ122" s="104"/>
      <c r="BK122" s="3"/>
      <c r="BL122" s="3"/>
      <c r="CJ122" s="5"/>
      <c r="CK122" s="5"/>
      <c r="CL122" s="3"/>
      <c r="CN122" s="5"/>
      <c r="CR122" s="3"/>
      <c r="CS122" s="3"/>
      <c r="CT122" s="5"/>
      <c r="CV122" s="3"/>
      <c r="DR122" s="5"/>
      <c r="DT122" s="3"/>
      <c r="EF122" s="7"/>
      <c r="EG122" s="7"/>
      <c r="EJ122" s="4"/>
      <c r="EK122" s="4"/>
      <c r="EU122" s="2"/>
      <c r="EV122" s="2"/>
    </row>
    <row r="123" spans="1:152">
      <c r="A123" s="125">
        <v>3531</v>
      </c>
      <c r="B123" s="126" t="s">
        <v>1089</v>
      </c>
      <c r="C123" s="126" t="s">
        <v>116</v>
      </c>
      <c r="D123" s="126" t="s">
        <v>127</v>
      </c>
      <c r="E123" s="126" t="s">
        <v>1090</v>
      </c>
      <c r="F123" s="126" t="s">
        <v>35</v>
      </c>
      <c r="G123" s="126" t="s">
        <v>1577</v>
      </c>
      <c r="H123" s="126" t="s">
        <v>1575</v>
      </c>
      <c r="I123" s="126" t="s">
        <v>1053</v>
      </c>
      <c r="J123" s="126" t="s">
        <v>957</v>
      </c>
      <c r="K123" s="127">
        <v>43460</v>
      </c>
      <c r="L123" s="128">
        <v>1.9890000000000001</v>
      </c>
      <c r="M123" s="128">
        <v>3.5489999999999999</v>
      </c>
      <c r="N123" s="126">
        <v>6.3</v>
      </c>
      <c r="O123" s="126" t="s">
        <v>119</v>
      </c>
      <c r="P123" s="129" t="s">
        <v>916</v>
      </c>
      <c r="Q123" s="129" t="s">
        <v>932</v>
      </c>
      <c r="R123" s="126" t="s">
        <v>24</v>
      </c>
      <c r="S123" s="126"/>
      <c r="T123" s="130" t="s">
        <v>120</v>
      </c>
      <c r="U123" s="126" t="s">
        <v>1665</v>
      </c>
      <c r="V123" s="130" t="s">
        <v>120</v>
      </c>
      <c r="W123" s="126"/>
      <c r="X123" s="130" t="s">
        <v>120</v>
      </c>
      <c r="Y123" s="126" t="s">
        <v>1666</v>
      </c>
      <c r="Z123" s="165" t="s">
        <v>120</v>
      </c>
      <c r="AA123" s="158"/>
      <c r="AB123" s="158"/>
      <c r="AC123" s="170" t="s">
        <v>123</v>
      </c>
      <c r="AD123" s="126" t="s">
        <v>1812</v>
      </c>
      <c r="AE123" s="130" t="s">
        <v>120</v>
      </c>
      <c r="AF123" s="127"/>
      <c r="AG123" s="131"/>
      <c r="AH123" s="131"/>
      <c r="AI123" s="126" t="s">
        <v>2106</v>
      </c>
      <c r="AJ123" s="130" t="s">
        <v>120</v>
      </c>
      <c r="AK123" s="126" t="s">
        <v>123</v>
      </c>
      <c r="AL123" s="126" t="s">
        <v>1198</v>
      </c>
      <c r="AM123" s="130"/>
      <c r="AN123" s="126"/>
      <c r="AO123" s="132"/>
      <c r="AP123" s="126"/>
      <c r="AQ123" s="126"/>
      <c r="AR123" s="130"/>
      <c r="AS123" s="126"/>
      <c r="AT123" s="127">
        <v>43461.456333564798</v>
      </c>
      <c r="AU123" s="127">
        <v>43479.735428472202</v>
      </c>
      <c r="AV123" s="127">
        <v>43472.480117939798</v>
      </c>
      <c r="AW123" s="127">
        <v>43461.456333564798</v>
      </c>
      <c r="AX123" s="127">
        <v>43460.606378703698</v>
      </c>
      <c r="AY123" s="127">
        <v>43461.412907986101</v>
      </c>
      <c r="AZ123" s="133">
        <v>43480.437799537001</v>
      </c>
      <c r="BA123" s="134">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B123" s="135">
        <f>COUNTIFS(_05preva_view43[Site ID],_05preva_view43[[#This Row],[Site ID]],_05preva_view43[Prevalidation Status],"Under Prevalidation")</f>
        <v>0</v>
      </c>
      <c r="BC123" s="157" t="e">
        <f ca="1">HYPERLINK(CheckPath(_05preva_view43[[#This Row],[File Path]],_05preva_view43[[#This Row],[File Path]],_05preva_view43[[#This Row],[Folder Path3]]),CheckPath(_05preva_view43[[#This Row],[File Path]],"Open File","No File"))</f>
        <v>#VALUE!</v>
      </c>
      <c r="BD123" s="136" t="str">
        <f>CONCATENATE(_05preva_view43[[#This Row],[Site ID]]," (",_05preva_view43[[#This Row],[tenant id]],") Application",IF(_05preva_view43[[#This Row],[Colo Rev]]&gt;0," Rev "&amp;_05preva_view43[[#This Row],[Colo Rev]],""),".xlsx")</f>
        <v>ANSG_0454 (SGG00785) Application Rev 4.xlsx</v>
      </c>
      <c r="BE123" s="64" t="e">
        <f t="shared" ca="1" si="3"/>
        <v>#VALUE!</v>
      </c>
      <c r="BF123" s="104" t="e">
        <f ca="1">LEFT(CELL("filename",A108),_05preva_view43[[#This Row],[Find Process &amp; Database]]-1)</f>
        <v>#VALUE!</v>
      </c>
      <c r="BG123" s="104" t="e">
        <f ca="1">_05preva_view43[Folder Path1]&amp;"Process &amp; Database\Documentation\Colo Applications"</f>
        <v>#VALUE!</v>
      </c>
      <c r="BH123" s="104" t="e">
        <f ca="1">_05preva_view43[Folder Path2]&amp;"\Colo App "&amp;_05preva_view43[[#This Row],[Operator]]&amp;"\"</f>
        <v>#VALUE!</v>
      </c>
      <c r="BI123" s="63" t="e">
        <f ca="1">_05preva_view43[[#This Row],[Folder Path3]]&amp;_05preva_view43[[#This Row],[File Name]]</f>
        <v>#VALUE!</v>
      </c>
      <c r="BJ123" s="104"/>
      <c r="BK123" s="3"/>
      <c r="BL123" s="3"/>
      <c r="CJ123" s="5"/>
      <c r="CK123" s="5"/>
      <c r="CL123" s="3"/>
      <c r="CN123" s="5"/>
      <c r="CR123" s="3"/>
      <c r="CS123" s="3"/>
      <c r="CT123" s="5"/>
      <c r="CV123" s="3"/>
      <c r="DR123" s="5"/>
      <c r="DT123" s="3"/>
      <c r="EF123" s="7"/>
      <c r="EG123" s="7"/>
      <c r="EJ123" s="4"/>
      <c r="EK123" s="4"/>
      <c r="EU123" s="2"/>
      <c r="EV123" s="2"/>
    </row>
    <row r="124" spans="1:152">
      <c r="A124" s="125">
        <v>3532</v>
      </c>
      <c r="B124" s="126" t="s">
        <v>1667</v>
      </c>
      <c r="C124" s="126" t="s">
        <v>116</v>
      </c>
      <c r="D124" s="126" t="s">
        <v>163</v>
      </c>
      <c r="E124" s="126" t="s">
        <v>1668</v>
      </c>
      <c r="F124" s="126" t="s">
        <v>35</v>
      </c>
      <c r="G124" s="126" t="s">
        <v>1577</v>
      </c>
      <c r="H124" s="126" t="s">
        <v>1575</v>
      </c>
      <c r="I124" s="126" t="s">
        <v>1263</v>
      </c>
      <c r="J124" s="126" t="s">
        <v>949</v>
      </c>
      <c r="K124" s="127">
        <v>43460</v>
      </c>
      <c r="L124" s="128">
        <v>1.44</v>
      </c>
      <c r="M124" s="128">
        <v>1.8</v>
      </c>
      <c r="N124" s="126">
        <v>3.21</v>
      </c>
      <c r="O124" s="126" t="s">
        <v>119</v>
      </c>
      <c r="P124" s="129" t="s">
        <v>1669</v>
      </c>
      <c r="Q124" s="129" t="s">
        <v>1670</v>
      </c>
      <c r="R124" s="126" t="s">
        <v>24</v>
      </c>
      <c r="S124" s="126"/>
      <c r="T124" s="130" t="s">
        <v>120</v>
      </c>
      <c r="U124" s="126" t="s">
        <v>1671</v>
      </c>
      <c r="V124" s="130" t="s">
        <v>120</v>
      </c>
      <c r="W124" s="126"/>
      <c r="X124" s="130" t="s">
        <v>120</v>
      </c>
      <c r="Y124" s="126" t="s">
        <v>1672</v>
      </c>
      <c r="Z124" s="165" t="s">
        <v>144</v>
      </c>
      <c r="AA124" s="158" t="s">
        <v>2153</v>
      </c>
      <c r="AB124" s="158" t="s">
        <v>2141</v>
      </c>
      <c r="AC124" s="170" t="s">
        <v>123</v>
      </c>
      <c r="AD124" s="126" t="s">
        <v>1865</v>
      </c>
      <c r="AE124" s="130" t="s">
        <v>120</v>
      </c>
      <c r="AF124" s="127"/>
      <c r="AG124" s="131"/>
      <c r="AH124" s="131"/>
      <c r="AI124" s="126"/>
      <c r="AJ124" s="130" t="s">
        <v>120</v>
      </c>
      <c r="AK124" s="126" t="s">
        <v>123</v>
      </c>
      <c r="AL124" s="126" t="s">
        <v>1198</v>
      </c>
      <c r="AM124" s="130"/>
      <c r="AN124" s="126"/>
      <c r="AO124" s="132"/>
      <c r="AP124" s="126"/>
      <c r="AQ124" s="126"/>
      <c r="AR124" s="130" t="s">
        <v>1866</v>
      </c>
      <c r="AS124" s="126" t="s">
        <v>2163</v>
      </c>
      <c r="AT124" s="127">
        <v>43461.456334953698</v>
      </c>
      <c r="AU124" s="127">
        <v>43479.7354305556</v>
      </c>
      <c r="AV124" s="127"/>
      <c r="AW124" s="127">
        <v>43461.456334953698</v>
      </c>
      <c r="AX124" s="127">
        <v>43460.606382986101</v>
      </c>
      <c r="AY124" s="127">
        <v>43461.412909259299</v>
      </c>
      <c r="AZ124" s="133">
        <v>43488.480392592603</v>
      </c>
      <c r="BA124" s="134">
        <f ca="1">IF(_05preva_view43[[#This Row],[Prevalidation Status]]="Under Prevalidation",NOW()-_05preva_view43[[#This Row],[Request Date]],IF(_05preva_view43[[#This Row],[Close Date]]&gt;_05preva_view43[[#This Row],[Request Date]],_05preva_view43[[#This Row],[Close Date]]-_05preva_view43[[#This Row],[Request Date]],"Not  Calculated"))</f>
        <v>28.480392592602584</v>
      </c>
      <c r="BB124" s="135">
        <f>COUNTIFS(_05preva_view43[Site ID],_05preva_view43[[#This Row],[Site ID]],_05preva_view43[Prevalidation Status],"Under Prevalidation")</f>
        <v>0</v>
      </c>
      <c r="BC124" s="157" t="e">
        <f ca="1">HYPERLINK(CheckPath(_05preva_view43[[#This Row],[File Path]],_05preva_view43[[#This Row],[File Path]],_05preva_view43[[#This Row],[Folder Path3]]),CheckPath(_05preva_view43[[#This Row],[File Path]],"Open File","No File"))</f>
        <v>#VALUE!</v>
      </c>
      <c r="BD124" s="136" t="str">
        <f>CONCATENATE(_05preva_view43[[#This Row],[Site ID]]," (",_05preva_view43[[#This Row],[tenant id]],") Application",IF(_05preva_view43[[#This Row],[Colo Rev]]&gt;0," Rev "&amp;_05preva_view43[[#This Row],[Colo Rev]],""),".xlsx")</f>
        <v>ASTN_0023 (TNY00315) Application Rev 2.xlsx</v>
      </c>
      <c r="BE124" s="64" t="e">
        <f t="shared" ca="1" si="3"/>
        <v>#VALUE!</v>
      </c>
      <c r="BF124" s="104" t="e">
        <f ca="1">LEFT(CELL("filename",A109),_05preva_view43[[#This Row],[Find Process &amp; Database]]-1)</f>
        <v>#VALUE!</v>
      </c>
      <c r="BG124" s="104" t="e">
        <f ca="1">_05preva_view43[Folder Path1]&amp;"Process &amp; Database\Documentation\Colo Applications"</f>
        <v>#VALUE!</v>
      </c>
      <c r="BH124" s="104" t="e">
        <f ca="1">_05preva_view43[Folder Path2]&amp;"\Colo App "&amp;_05preva_view43[[#This Row],[Operator]]&amp;"\"</f>
        <v>#VALUE!</v>
      </c>
      <c r="BI124" s="63" t="e">
        <f ca="1">_05preva_view43[[#This Row],[Folder Path3]]&amp;_05preva_view43[[#This Row],[File Name]]</f>
        <v>#VALUE!</v>
      </c>
      <c r="BJ124" s="104"/>
      <c r="BK124" s="3"/>
      <c r="BL124" s="3"/>
      <c r="CJ124" s="5"/>
      <c r="CK124" s="5"/>
      <c r="CL124" s="3"/>
      <c r="CN124" s="5"/>
      <c r="CR124" s="3"/>
      <c r="CS124" s="3"/>
      <c r="CT124" s="5"/>
      <c r="CV124" s="3"/>
      <c r="DR124" s="5"/>
      <c r="DT124" s="3"/>
      <c r="EF124" s="7"/>
      <c r="EG124" s="7"/>
      <c r="EJ124" s="4"/>
      <c r="EK124" s="4"/>
      <c r="EU124" s="2"/>
      <c r="EV124" s="2"/>
    </row>
    <row r="125" spans="1:152">
      <c r="A125" s="125">
        <v>3533</v>
      </c>
      <c r="B125" s="126" t="s">
        <v>1673</v>
      </c>
      <c r="C125" s="126" t="s">
        <v>331</v>
      </c>
      <c r="D125" s="126" t="s">
        <v>127</v>
      </c>
      <c r="E125" s="126" t="s">
        <v>1674</v>
      </c>
      <c r="F125" s="126" t="s">
        <v>35</v>
      </c>
      <c r="G125" s="126" t="s">
        <v>1583</v>
      </c>
      <c r="H125" s="126" t="s">
        <v>1575</v>
      </c>
      <c r="I125" s="126" t="s">
        <v>1061</v>
      </c>
      <c r="J125" s="126" t="s">
        <v>949</v>
      </c>
      <c r="K125" s="127">
        <v>43460</v>
      </c>
      <c r="L125" s="128">
        <v>1.712</v>
      </c>
      <c r="M125" s="128">
        <v>3.0579999999999998</v>
      </c>
      <c r="N125" s="126">
        <v>6.88</v>
      </c>
      <c r="O125" s="126" t="s">
        <v>950</v>
      </c>
      <c r="P125" s="129" t="s">
        <v>958</v>
      </c>
      <c r="Q125" s="129" t="s">
        <v>959</v>
      </c>
      <c r="R125" s="126" t="s">
        <v>24</v>
      </c>
      <c r="S125" s="126"/>
      <c r="T125" s="130" t="s">
        <v>120</v>
      </c>
      <c r="U125" s="126"/>
      <c r="V125" s="130" t="s">
        <v>120</v>
      </c>
      <c r="W125" s="126"/>
      <c r="X125" s="130" t="s">
        <v>120</v>
      </c>
      <c r="Y125" s="126" t="s">
        <v>1675</v>
      </c>
      <c r="Z125" s="165" t="s">
        <v>120</v>
      </c>
      <c r="AA125" s="158"/>
      <c r="AB125" s="158"/>
      <c r="AC125" s="170" t="s">
        <v>123</v>
      </c>
      <c r="AD125" s="126" t="s">
        <v>1676</v>
      </c>
      <c r="AE125" s="130" t="s">
        <v>120</v>
      </c>
      <c r="AF125" s="127" t="s">
        <v>2104</v>
      </c>
      <c r="AG125" s="131"/>
      <c r="AH125" s="131"/>
      <c r="AI125" s="126" t="s">
        <v>2107</v>
      </c>
      <c r="AJ125" s="130" t="s">
        <v>120</v>
      </c>
      <c r="AK125" s="126" t="s">
        <v>123</v>
      </c>
      <c r="AL125" s="126" t="s">
        <v>1198</v>
      </c>
      <c r="AM125" s="130"/>
      <c r="AN125" s="126"/>
      <c r="AO125" s="132"/>
      <c r="AP125" s="126"/>
      <c r="AQ125" s="126"/>
      <c r="AR125" s="130"/>
      <c r="AS125" s="126"/>
      <c r="AT125" s="127">
        <v>43461.4563361111</v>
      </c>
      <c r="AU125" s="127">
        <v>43479.735431134301</v>
      </c>
      <c r="AV125" s="127">
        <v>43462.497509143497</v>
      </c>
      <c r="AW125" s="127">
        <v>43461.4563361111</v>
      </c>
      <c r="AX125" s="127">
        <v>43472.656811111097</v>
      </c>
      <c r="AY125" s="127">
        <v>43461.439164120398</v>
      </c>
      <c r="AZ125" s="133">
        <v>43480.4378013889</v>
      </c>
      <c r="BA125" s="134">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B125" s="135">
        <f>COUNTIFS(_05preva_view43[Site ID],_05preva_view43[[#This Row],[Site ID]],_05preva_view43[Prevalidation Status],"Under Prevalidation")</f>
        <v>0</v>
      </c>
      <c r="BC125" s="157" t="e">
        <f ca="1">HYPERLINK(CheckPath(_05preva_view43[[#This Row],[File Path]],_05preva_view43[[#This Row],[File Path]],_05preva_view43[[#This Row],[Folder Path3]]),CheckPath(_05preva_view43[[#This Row],[File Path]],"Open File","No File"))</f>
        <v>#VALUE!</v>
      </c>
      <c r="BD125" s="136" t="str">
        <f>CONCATENATE(_05preva_view43[[#This Row],[Site ID]]," (",_05preva_view43[[#This Row],[tenant id]],") Application",IF(_05preva_view43[[#This Row],[Colo Rev]]&gt;0," Rev "&amp;_05preva_view43[[#This Row],[Colo Rev]],""),".xlsx")</f>
        <v>1-01-01004-001 (KCN00148) Application Rev 2.xlsx</v>
      </c>
      <c r="BE125" s="64" t="e">
        <f t="shared" ca="1" si="3"/>
        <v>#VALUE!</v>
      </c>
      <c r="BF125" s="104" t="e">
        <f ca="1">LEFT(CELL("filename",A110),_05preva_view43[[#This Row],[Find Process &amp; Database]]-1)</f>
        <v>#VALUE!</v>
      </c>
      <c r="BG125" s="104" t="e">
        <f ca="1">_05preva_view43[Folder Path1]&amp;"Process &amp; Database\Documentation\Colo Applications"</f>
        <v>#VALUE!</v>
      </c>
      <c r="BH125" s="104" t="e">
        <f ca="1">_05preva_view43[Folder Path2]&amp;"\Colo App "&amp;_05preva_view43[[#This Row],[Operator]]&amp;"\"</f>
        <v>#VALUE!</v>
      </c>
      <c r="BI125" s="63" t="e">
        <f ca="1">_05preva_view43[[#This Row],[Folder Path3]]&amp;_05preva_view43[[#This Row],[File Name]]</f>
        <v>#VALUE!</v>
      </c>
      <c r="BJ125" s="104"/>
      <c r="BK125" s="3"/>
      <c r="BL125" s="3"/>
      <c r="CJ125" s="5"/>
      <c r="CK125" s="5"/>
      <c r="CL125" s="3"/>
      <c r="CN125" s="5"/>
      <c r="CR125" s="3"/>
      <c r="CS125" s="3"/>
      <c r="CT125" s="5"/>
      <c r="CV125" s="3"/>
      <c r="DR125" s="5"/>
      <c r="DT125" s="3"/>
      <c r="EF125" s="7"/>
      <c r="EG125" s="7"/>
      <c r="EJ125" s="4"/>
      <c r="EK125" s="4"/>
      <c r="EU125" s="2"/>
      <c r="EV125" s="2"/>
    </row>
    <row r="126" spans="1:152">
      <c r="A126" s="125">
        <v>3534</v>
      </c>
      <c r="B126" s="126" t="s">
        <v>1677</v>
      </c>
      <c r="C126" s="126" t="s">
        <v>331</v>
      </c>
      <c r="D126" s="126" t="s">
        <v>127</v>
      </c>
      <c r="E126" s="126" t="s">
        <v>1678</v>
      </c>
      <c r="F126" s="126" t="s">
        <v>35</v>
      </c>
      <c r="G126" s="126" t="s">
        <v>1583</v>
      </c>
      <c r="H126" s="126" t="s">
        <v>1575</v>
      </c>
      <c r="I126" s="126" t="s">
        <v>1053</v>
      </c>
      <c r="J126" s="126" t="s">
        <v>931</v>
      </c>
      <c r="K126" s="127">
        <v>43460</v>
      </c>
      <c r="L126" s="128">
        <v>2.0590000000000002</v>
      </c>
      <c r="M126" s="128">
        <v>3.6110000000000002</v>
      </c>
      <c r="N126" s="126">
        <v>7.84</v>
      </c>
      <c r="O126" s="126" t="s">
        <v>950</v>
      </c>
      <c r="P126" s="129" t="s">
        <v>958</v>
      </c>
      <c r="Q126" s="129" t="s">
        <v>959</v>
      </c>
      <c r="R126" s="126" t="s">
        <v>24</v>
      </c>
      <c r="S126" s="126"/>
      <c r="T126" s="130" t="s">
        <v>120</v>
      </c>
      <c r="U126" s="126"/>
      <c r="V126" s="130" t="s">
        <v>120</v>
      </c>
      <c r="W126" s="126" t="s">
        <v>1679</v>
      </c>
      <c r="X126" s="130" t="s">
        <v>120</v>
      </c>
      <c r="Y126" s="126" t="s">
        <v>1680</v>
      </c>
      <c r="Z126" s="165" t="s">
        <v>120</v>
      </c>
      <c r="AA126" s="158"/>
      <c r="AB126" s="158"/>
      <c r="AC126" s="170" t="s">
        <v>123</v>
      </c>
      <c r="AD126" s="126" t="s">
        <v>1681</v>
      </c>
      <c r="AE126" s="130" t="s">
        <v>120</v>
      </c>
      <c r="AF126" s="127"/>
      <c r="AG126" s="131"/>
      <c r="AH126" s="131"/>
      <c r="AI126" s="126"/>
      <c r="AJ126" s="130" t="s">
        <v>120</v>
      </c>
      <c r="AK126" s="126" t="s">
        <v>123</v>
      </c>
      <c r="AL126" s="126" t="s">
        <v>1198</v>
      </c>
      <c r="AM126" s="130"/>
      <c r="AN126" s="126"/>
      <c r="AO126" s="132"/>
      <c r="AP126" s="126"/>
      <c r="AQ126" s="126"/>
      <c r="AR126" s="130"/>
      <c r="AS126" s="126"/>
      <c r="AT126" s="127">
        <v>43461.456337268501</v>
      </c>
      <c r="AU126" s="127">
        <v>43479.735433680602</v>
      </c>
      <c r="AV126" s="127">
        <v>43462.497509953697</v>
      </c>
      <c r="AW126" s="127">
        <v>43461.456337268501</v>
      </c>
      <c r="AX126" s="127">
        <v>43472.656811921297</v>
      </c>
      <c r="AY126" s="127">
        <v>43461.439164583302</v>
      </c>
      <c r="AZ126" s="133">
        <v>43480.437802893503</v>
      </c>
      <c r="BA126" s="134">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B126" s="135">
        <f>COUNTIFS(_05preva_view43[Site ID],_05preva_view43[[#This Row],[Site ID]],_05preva_view43[Prevalidation Status],"Under Prevalidation")</f>
        <v>0</v>
      </c>
      <c r="BC126" s="157" t="e">
        <f ca="1">HYPERLINK(CheckPath(_05preva_view43[[#This Row],[File Path]],_05preva_view43[[#This Row],[File Path]],_05preva_view43[[#This Row],[Folder Path3]]),CheckPath(_05preva_view43[[#This Row],[File Path]],"Open File","No File"))</f>
        <v>#VALUE!</v>
      </c>
      <c r="BD126" s="136" t="str">
        <f>CONCATENATE(_05preva_view43[[#This Row],[Site ID]]," (",_05preva_view43[[#This Row],[tenant id]],") Application",IF(_05preva_view43[[#This Row],[Colo Rev]]&gt;0," Rev "&amp;_05preva_view43[[#This Row],[Colo Rev]],""),".xlsx")</f>
        <v>1-01-15013-001 (SHN00055) Application Rev 1.xlsx</v>
      </c>
      <c r="BE126" s="64" t="e">
        <f t="shared" ca="1" si="3"/>
        <v>#VALUE!</v>
      </c>
      <c r="BF126" s="104" t="e">
        <f ca="1">LEFT(CELL("filename",A111),_05preva_view43[[#This Row],[Find Process &amp; Database]]-1)</f>
        <v>#VALUE!</v>
      </c>
      <c r="BG126" s="104" t="e">
        <f ca="1">_05preva_view43[Folder Path1]&amp;"Process &amp; Database\Documentation\Colo Applications"</f>
        <v>#VALUE!</v>
      </c>
      <c r="BH126" s="104" t="e">
        <f ca="1">_05preva_view43[Folder Path2]&amp;"\Colo App "&amp;_05preva_view43[[#This Row],[Operator]]&amp;"\"</f>
        <v>#VALUE!</v>
      </c>
      <c r="BI126" s="63" t="e">
        <f ca="1">_05preva_view43[[#This Row],[Folder Path3]]&amp;_05preva_view43[[#This Row],[File Name]]</f>
        <v>#VALUE!</v>
      </c>
      <c r="BJ126" s="104"/>
      <c r="BK126" s="3"/>
      <c r="BL126" s="3"/>
      <c r="CJ126" s="5"/>
      <c r="CK126" s="5"/>
      <c r="CL126" s="3"/>
      <c r="CN126" s="5"/>
      <c r="CR126" s="3"/>
      <c r="CS126" s="3"/>
      <c r="CT126" s="5"/>
      <c r="CV126" s="3"/>
      <c r="DR126" s="5"/>
      <c r="DT126" s="3"/>
      <c r="EF126" s="7"/>
      <c r="EG126" s="7"/>
      <c r="EJ126" s="4"/>
      <c r="EK126" s="4"/>
      <c r="EU126" s="2"/>
      <c r="EV126" s="2"/>
    </row>
    <row r="127" spans="1:152">
      <c r="A127" s="125">
        <v>3535</v>
      </c>
      <c r="B127" s="126" t="s">
        <v>1682</v>
      </c>
      <c r="C127" s="126" t="s">
        <v>331</v>
      </c>
      <c r="D127" s="126" t="s">
        <v>127</v>
      </c>
      <c r="E127" s="126" t="s">
        <v>1683</v>
      </c>
      <c r="F127" s="126" t="s">
        <v>35</v>
      </c>
      <c r="G127" s="126" t="s">
        <v>1583</v>
      </c>
      <c r="H127" s="126" t="s">
        <v>1575</v>
      </c>
      <c r="I127" s="126" t="s">
        <v>1288</v>
      </c>
      <c r="J127" s="126" t="s">
        <v>990</v>
      </c>
      <c r="K127" s="127">
        <v>43460</v>
      </c>
      <c r="L127" s="128">
        <v>1.399</v>
      </c>
      <c r="M127" s="128">
        <v>2.1989999999999998</v>
      </c>
      <c r="N127" s="126">
        <v>5.13</v>
      </c>
      <c r="O127" s="126" t="s">
        <v>950</v>
      </c>
      <c r="P127" s="129" t="s">
        <v>958</v>
      </c>
      <c r="Q127" s="129" t="s">
        <v>959</v>
      </c>
      <c r="R127" s="126" t="s">
        <v>24</v>
      </c>
      <c r="S127" s="126"/>
      <c r="T127" s="130" t="s">
        <v>120</v>
      </c>
      <c r="U127" s="126"/>
      <c r="V127" s="130" t="s">
        <v>120</v>
      </c>
      <c r="W127" s="126"/>
      <c r="X127" s="130" t="s">
        <v>120</v>
      </c>
      <c r="Y127" s="126" t="s">
        <v>1684</v>
      </c>
      <c r="Z127" s="165" t="s">
        <v>120</v>
      </c>
      <c r="AA127" s="158"/>
      <c r="AB127" s="158"/>
      <c r="AC127" s="170" t="s">
        <v>123</v>
      </c>
      <c r="AD127" s="126" t="s">
        <v>1685</v>
      </c>
      <c r="AE127" s="130" t="s">
        <v>120</v>
      </c>
      <c r="AF127" s="127"/>
      <c r="AG127" s="131"/>
      <c r="AH127" s="131"/>
      <c r="AI127" s="126"/>
      <c r="AJ127" s="130" t="s">
        <v>120</v>
      </c>
      <c r="AK127" s="126" t="s">
        <v>123</v>
      </c>
      <c r="AL127" s="126" t="s">
        <v>1198</v>
      </c>
      <c r="AM127" s="130"/>
      <c r="AN127" s="126"/>
      <c r="AO127" s="132"/>
      <c r="AP127" s="126"/>
      <c r="AQ127" s="126"/>
      <c r="AR127" s="130"/>
      <c r="AS127" s="126"/>
      <c r="AT127" s="127">
        <v>43461.456339004602</v>
      </c>
      <c r="AU127" s="127">
        <v>43479.735436342598</v>
      </c>
      <c r="AV127" s="127">
        <v>43462.497511226902</v>
      </c>
      <c r="AW127" s="127">
        <v>43461.456339004602</v>
      </c>
      <c r="AX127" s="127">
        <v>43472.6568134259</v>
      </c>
      <c r="AY127" s="127">
        <v>43461.439165740703</v>
      </c>
      <c r="AZ127" s="133">
        <v>43480.437804282403</v>
      </c>
      <c r="BA127" s="134">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B127" s="135">
        <f>COUNTIFS(_05preva_view43[Site ID],_05preva_view43[[#This Row],[Site ID]],_05preva_view43[Prevalidation Status],"Under Prevalidation")</f>
        <v>0</v>
      </c>
      <c r="BC127" s="157" t="e">
        <f ca="1">HYPERLINK(CheckPath(_05preva_view43[[#This Row],[File Path]],_05preva_view43[[#This Row],[File Path]],_05preva_view43[[#This Row],[Folder Path3]]),CheckPath(_05preva_view43[[#This Row],[File Path]],"Open File","No File"))</f>
        <v>#VALUE!</v>
      </c>
      <c r="BD127" s="136" t="str">
        <f>CONCATENATE(_05preva_view43[[#This Row],[Site ID]]," (",_05preva_view43[[#This Row],[tenant id]],") Application",IF(_05preva_view43[[#This Row],[Colo Rev]]&gt;0," Rev "&amp;_05preva_view43[[#This Row],[Colo Rev]],""),".xlsx")</f>
        <v>1-01-14007-016 (SHN00079) Application Rev 3.xlsx</v>
      </c>
      <c r="BE127" s="64" t="e">
        <f t="shared" ca="1" si="3"/>
        <v>#VALUE!</v>
      </c>
      <c r="BF127" s="104" t="e">
        <f ca="1">LEFT(CELL("filename",A112),_05preva_view43[[#This Row],[Find Process &amp; Database]]-1)</f>
        <v>#VALUE!</v>
      </c>
      <c r="BG127" s="104" t="e">
        <f ca="1">_05preva_view43[Folder Path1]&amp;"Process &amp; Database\Documentation\Colo Applications"</f>
        <v>#VALUE!</v>
      </c>
      <c r="BH127" s="104" t="e">
        <f ca="1">_05preva_view43[Folder Path2]&amp;"\Colo App "&amp;_05preva_view43[[#This Row],[Operator]]&amp;"\"</f>
        <v>#VALUE!</v>
      </c>
      <c r="BI127" s="63" t="e">
        <f ca="1">_05preva_view43[[#This Row],[Folder Path3]]&amp;_05preva_view43[[#This Row],[File Name]]</f>
        <v>#VALUE!</v>
      </c>
      <c r="BJ127" s="104"/>
      <c r="BK127" s="3"/>
      <c r="BL127" s="3"/>
      <c r="CJ127" s="5"/>
      <c r="CK127" s="5"/>
      <c r="CL127" s="3"/>
      <c r="CN127" s="5"/>
      <c r="CR127" s="3"/>
      <c r="CS127" s="3"/>
      <c r="CT127" s="5"/>
      <c r="CV127" s="3"/>
      <c r="DR127" s="5"/>
      <c r="DT127" s="3"/>
      <c r="EF127" s="7"/>
      <c r="EG127" s="7"/>
      <c r="EJ127" s="4"/>
      <c r="EK127" s="4"/>
      <c r="EU127" s="2"/>
      <c r="EV127" s="2"/>
    </row>
    <row r="128" spans="1:152">
      <c r="A128" s="125">
        <v>3522</v>
      </c>
      <c r="B128" s="126" t="s">
        <v>1686</v>
      </c>
      <c r="C128" s="126" t="s">
        <v>331</v>
      </c>
      <c r="D128" s="126" t="s">
        <v>127</v>
      </c>
      <c r="E128" s="126" t="s">
        <v>1687</v>
      </c>
      <c r="F128" s="126" t="s">
        <v>34</v>
      </c>
      <c r="G128" s="126" t="s">
        <v>118</v>
      </c>
      <c r="H128" s="126" t="s">
        <v>1619</v>
      </c>
      <c r="I128" s="126" t="s">
        <v>1252</v>
      </c>
      <c r="J128" s="126" t="s">
        <v>931</v>
      </c>
      <c r="K128" s="127">
        <v>43458</v>
      </c>
      <c r="L128" s="128">
        <v>2</v>
      </c>
      <c r="M128" s="128">
        <v>2</v>
      </c>
      <c r="N128" s="126">
        <v>6</v>
      </c>
      <c r="O128" s="126" t="s">
        <v>950</v>
      </c>
      <c r="P128" s="129" t="s">
        <v>1028</v>
      </c>
      <c r="Q128" s="129" t="s">
        <v>1029</v>
      </c>
      <c r="R128" s="126" t="s">
        <v>24</v>
      </c>
      <c r="S128" s="126"/>
      <c r="T128" s="130" t="s">
        <v>861</v>
      </c>
      <c r="U128" s="126"/>
      <c r="V128" s="130" t="s">
        <v>861</v>
      </c>
      <c r="W128" s="126"/>
      <c r="X128" s="130" t="s">
        <v>861</v>
      </c>
      <c r="Y128" s="126"/>
      <c r="Z128" s="165" t="s">
        <v>861</v>
      </c>
      <c r="AA128" s="158"/>
      <c r="AB128" s="158"/>
      <c r="AC128" s="170"/>
      <c r="AD128" s="126"/>
      <c r="AE128" s="130" t="s">
        <v>120</v>
      </c>
      <c r="AF128" s="127" t="s">
        <v>1167</v>
      </c>
      <c r="AG128" s="131"/>
      <c r="AH128" s="131"/>
      <c r="AI128" s="126" t="s">
        <v>2108</v>
      </c>
      <c r="AJ128" s="130" t="s">
        <v>861</v>
      </c>
      <c r="AK128" s="126"/>
      <c r="AL128" s="126"/>
      <c r="AM128" s="130" t="s">
        <v>861</v>
      </c>
      <c r="AN128" s="126"/>
      <c r="AO128" s="132"/>
      <c r="AP128" s="126" t="s">
        <v>861</v>
      </c>
      <c r="AQ128" s="126"/>
      <c r="AR128" s="130" t="s">
        <v>120</v>
      </c>
      <c r="AS128" s="126"/>
      <c r="AT128" s="127"/>
      <c r="AU128" s="127">
        <v>43479.735417361102</v>
      </c>
      <c r="AV128" s="127"/>
      <c r="AW128" s="127"/>
      <c r="AX128" s="127"/>
      <c r="AY128" s="127"/>
      <c r="AZ128" s="133">
        <v>43480.463186226902</v>
      </c>
      <c r="BA128" s="134">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B128" s="135">
        <f>COUNTIFS(_05preva_view43[Site ID],_05preva_view43[[#This Row],[Site ID]],_05preva_view43[Prevalidation Status],"Under Prevalidation")</f>
        <v>0</v>
      </c>
      <c r="BC128" s="157" t="e">
        <f ca="1">HYPERLINK(CheckPath(_05preva_view43[[#This Row],[File Path]],_05preva_view43[[#This Row],[File Path]],_05preva_view43[[#This Row],[Folder Path3]]),CheckPath(_05preva_view43[[#This Row],[File Path]],"Open File","No File"))</f>
        <v>#VALUE!</v>
      </c>
      <c r="BD128" s="136" t="str">
        <f>CONCATENATE(_05preva_view43[[#This Row],[Site ID]]," (",_05preva_view43[[#This Row],[tenant id]],") Application",IF(_05preva_view43[[#This Row],[Colo Rev]]&gt;0," Rev "&amp;_05preva_view43[[#This Row],[Colo Rev]],""),".xlsx")</f>
        <v>1-01-10029-005 (MDY0382) Application Rev 1.xlsx</v>
      </c>
      <c r="BE128" s="64" t="e">
        <f t="shared" ca="1" si="3"/>
        <v>#VALUE!</v>
      </c>
      <c r="BF128" s="104" t="e">
        <f ca="1">LEFT(CELL("filename",A113),_05preva_view43[[#This Row],[Find Process &amp; Database]]-1)</f>
        <v>#VALUE!</v>
      </c>
      <c r="BG128" s="104" t="e">
        <f ca="1">_05preva_view43[Folder Path1]&amp;"Process &amp; Database\Documentation\Colo Applications"</f>
        <v>#VALUE!</v>
      </c>
      <c r="BH128" s="104" t="e">
        <f ca="1">_05preva_view43[Folder Path2]&amp;"\Colo App "&amp;_05preva_view43[[#This Row],[Operator]]&amp;"\"</f>
        <v>#VALUE!</v>
      </c>
      <c r="BI128" s="63" t="e">
        <f ca="1">_05preva_view43[[#This Row],[Folder Path3]]&amp;_05preva_view43[[#This Row],[File Name]]</f>
        <v>#VALUE!</v>
      </c>
      <c r="BJ128" s="104"/>
      <c r="BK128" s="3"/>
      <c r="BL128" s="3"/>
      <c r="CJ128" s="5"/>
      <c r="CK128" s="5"/>
      <c r="CL128" s="3"/>
      <c r="CN128" s="5"/>
      <c r="CR128" s="3"/>
      <c r="CS128" s="3"/>
      <c r="CT128" s="5"/>
      <c r="CV128" s="3"/>
      <c r="DR128" s="5"/>
      <c r="DT128" s="3"/>
      <c r="EF128" s="7"/>
      <c r="EG128" s="7"/>
      <c r="EJ128" s="4"/>
      <c r="EK128" s="4"/>
      <c r="EU128" s="2"/>
      <c r="EV128" s="2"/>
    </row>
    <row r="129" spans="1:152">
      <c r="A129" s="125">
        <v>3523</v>
      </c>
      <c r="B129" s="126" t="s">
        <v>1688</v>
      </c>
      <c r="C129" s="126" t="s">
        <v>331</v>
      </c>
      <c r="D129" s="126" t="s">
        <v>117</v>
      </c>
      <c r="E129" s="126" t="s">
        <v>1689</v>
      </c>
      <c r="F129" s="126" t="s">
        <v>34</v>
      </c>
      <c r="G129" s="126" t="s">
        <v>1582</v>
      </c>
      <c r="H129" s="126" t="s">
        <v>1580</v>
      </c>
      <c r="I129" s="126" t="s">
        <v>1252</v>
      </c>
      <c r="J129" s="126" t="s">
        <v>931</v>
      </c>
      <c r="K129" s="127">
        <v>43458</v>
      </c>
      <c r="L129" s="128">
        <v>2</v>
      </c>
      <c r="M129" s="128">
        <v>2</v>
      </c>
      <c r="N129" s="126">
        <v>6</v>
      </c>
      <c r="O129" s="126" t="s">
        <v>950</v>
      </c>
      <c r="P129" s="129" t="s">
        <v>1028</v>
      </c>
      <c r="Q129" s="129" t="s">
        <v>1029</v>
      </c>
      <c r="R129" s="126" t="s">
        <v>27</v>
      </c>
      <c r="S129" s="126"/>
      <c r="T129" s="130" t="s">
        <v>861</v>
      </c>
      <c r="U129" s="126"/>
      <c r="V129" s="130" t="s">
        <v>861</v>
      </c>
      <c r="W129" s="126"/>
      <c r="X129" s="130" t="s">
        <v>861</v>
      </c>
      <c r="Y129" s="126"/>
      <c r="Z129" s="165" t="s">
        <v>861</v>
      </c>
      <c r="AA129" s="158"/>
      <c r="AB129" s="158"/>
      <c r="AC129" s="170"/>
      <c r="AD129" s="126"/>
      <c r="AE129" s="130" t="s">
        <v>120</v>
      </c>
      <c r="AF129" s="127" t="s">
        <v>1167</v>
      </c>
      <c r="AG129" s="131"/>
      <c r="AH129" s="131"/>
      <c r="AI129" s="126" t="s">
        <v>2109</v>
      </c>
      <c r="AJ129" s="130" t="s">
        <v>861</v>
      </c>
      <c r="AK129" s="126"/>
      <c r="AL129" s="126"/>
      <c r="AM129" s="130" t="s">
        <v>861</v>
      </c>
      <c r="AN129" s="126"/>
      <c r="AO129" s="132"/>
      <c r="AP129" s="126" t="s">
        <v>861</v>
      </c>
      <c r="AQ129" s="126"/>
      <c r="AR129" s="130" t="s">
        <v>120</v>
      </c>
      <c r="AS129" s="126"/>
      <c r="AT129" s="127"/>
      <c r="AU129" s="127">
        <v>43479.735417939803</v>
      </c>
      <c r="AV129" s="127"/>
      <c r="AW129" s="127"/>
      <c r="AX129" s="127"/>
      <c r="AY129" s="127"/>
      <c r="AZ129" s="133">
        <v>43476.700147453703</v>
      </c>
      <c r="BA129" s="134">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B129" s="135">
        <f>COUNTIFS(_05preva_view43[Site ID],_05preva_view43[[#This Row],[Site ID]],_05preva_view43[Prevalidation Status],"Under Prevalidation")</f>
        <v>0</v>
      </c>
      <c r="BC129" s="157" t="e">
        <f ca="1">HYPERLINK(CheckPath(_05preva_view43[[#This Row],[File Path]],_05preva_view43[[#This Row],[File Path]],_05preva_view43[[#This Row],[Folder Path3]]),CheckPath(_05preva_view43[[#This Row],[File Path]],"Open File","No File"))</f>
        <v>#VALUE!</v>
      </c>
      <c r="BD129" s="136" t="str">
        <f>CONCATENATE(_05preva_view43[[#This Row],[Site ID]]," (",_05preva_view43[[#This Row],[tenant id]],") Application",IF(_05preva_view43[[#This Row],[Colo Rev]]&gt;0," Rev "&amp;_05preva_view43[[#This Row],[Colo Rev]],""),".xlsx")</f>
        <v>1-01-12007-001 (RKE0013) Application Rev 1.xlsx</v>
      </c>
      <c r="BE129" s="64" t="e">
        <f t="shared" ca="1" si="3"/>
        <v>#VALUE!</v>
      </c>
      <c r="BF129" s="104" t="e">
        <f ca="1">LEFT(CELL("filename",A114),_05preva_view43[[#This Row],[Find Process &amp; Database]]-1)</f>
        <v>#VALUE!</v>
      </c>
      <c r="BG129" s="104" t="e">
        <f ca="1">_05preva_view43[Folder Path1]&amp;"Process &amp; Database\Documentation\Colo Applications"</f>
        <v>#VALUE!</v>
      </c>
      <c r="BH129" s="104" t="e">
        <f ca="1">_05preva_view43[Folder Path2]&amp;"\Colo App "&amp;_05preva_view43[[#This Row],[Operator]]&amp;"\"</f>
        <v>#VALUE!</v>
      </c>
      <c r="BI129" s="63" t="e">
        <f ca="1">_05preva_view43[[#This Row],[Folder Path3]]&amp;_05preva_view43[[#This Row],[File Name]]</f>
        <v>#VALUE!</v>
      </c>
      <c r="BJ129" s="104"/>
      <c r="BK129" s="3"/>
      <c r="BL129" s="3"/>
      <c r="CJ129" s="5"/>
      <c r="CK129" s="5"/>
      <c r="CL129" s="3"/>
      <c r="CN129" s="5"/>
      <c r="CR129" s="3"/>
      <c r="CS129" s="3"/>
      <c r="CT129" s="5"/>
      <c r="CV129" s="3"/>
      <c r="DR129" s="5"/>
      <c r="DT129" s="3"/>
      <c r="EF129" s="7"/>
      <c r="EG129" s="7"/>
      <c r="EJ129" s="4"/>
      <c r="EK129" s="4"/>
      <c r="EU129" s="2"/>
      <c r="EV129" s="2"/>
    </row>
    <row r="130" spans="1:152">
      <c r="A130" s="125">
        <v>3524</v>
      </c>
      <c r="B130" s="126" t="s">
        <v>1690</v>
      </c>
      <c r="C130" s="126" t="s">
        <v>331</v>
      </c>
      <c r="D130" s="126" t="s">
        <v>163</v>
      </c>
      <c r="E130" s="126" t="s">
        <v>1691</v>
      </c>
      <c r="F130" s="126" t="s">
        <v>34</v>
      </c>
      <c r="G130" s="126" t="s">
        <v>1582</v>
      </c>
      <c r="H130" s="126" t="s">
        <v>1575</v>
      </c>
      <c r="I130" s="126" t="s">
        <v>1252</v>
      </c>
      <c r="J130" s="126" t="s">
        <v>931</v>
      </c>
      <c r="K130" s="127">
        <v>43458</v>
      </c>
      <c r="L130" s="128">
        <v>2</v>
      </c>
      <c r="M130" s="128">
        <v>2</v>
      </c>
      <c r="N130" s="126">
        <v>6</v>
      </c>
      <c r="O130" s="126" t="s">
        <v>950</v>
      </c>
      <c r="P130" s="129" t="s">
        <v>1028</v>
      </c>
      <c r="Q130" s="129" t="s">
        <v>1029</v>
      </c>
      <c r="R130" s="126" t="s">
        <v>24</v>
      </c>
      <c r="S130" s="126"/>
      <c r="T130" s="130" t="s">
        <v>861</v>
      </c>
      <c r="U130" s="126"/>
      <c r="V130" s="130" t="s">
        <v>861</v>
      </c>
      <c r="W130" s="126"/>
      <c r="X130" s="130" t="s">
        <v>861</v>
      </c>
      <c r="Y130" s="126"/>
      <c r="Z130" s="165" t="s">
        <v>861</v>
      </c>
      <c r="AA130" s="158"/>
      <c r="AB130" s="158"/>
      <c r="AC130" s="170"/>
      <c r="AD130" s="126"/>
      <c r="AE130" s="130" t="s">
        <v>120</v>
      </c>
      <c r="AF130" s="127"/>
      <c r="AG130" s="131"/>
      <c r="AH130" s="131"/>
      <c r="AI130" s="126"/>
      <c r="AJ130" s="130" t="s">
        <v>861</v>
      </c>
      <c r="AK130" s="126"/>
      <c r="AL130" s="126"/>
      <c r="AM130" s="130" t="s">
        <v>861</v>
      </c>
      <c r="AN130" s="126"/>
      <c r="AO130" s="132"/>
      <c r="AP130" s="126" t="s">
        <v>861</v>
      </c>
      <c r="AQ130" s="126"/>
      <c r="AR130" s="130" t="s">
        <v>120</v>
      </c>
      <c r="AS130" s="126"/>
      <c r="AT130" s="127"/>
      <c r="AU130" s="127">
        <v>43479.735418518503</v>
      </c>
      <c r="AV130" s="127"/>
      <c r="AW130" s="127"/>
      <c r="AX130" s="127"/>
      <c r="AY130" s="127"/>
      <c r="AZ130" s="133">
        <v>43476.700148148098</v>
      </c>
      <c r="BA130" s="134">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B130" s="135">
        <f>COUNTIFS(_05preva_view43[Site ID],_05preva_view43[[#This Row],[Site ID]],_05preva_view43[Prevalidation Status],"Under Prevalidation")</f>
        <v>0</v>
      </c>
      <c r="BC130" s="157" t="e">
        <f ca="1">HYPERLINK(CheckPath(_05preva_view43[[#This Row],[File Path]],_05preva_view43[[#This Row],[File Path]],_05preva_view43[[#This Row],[Folder Path3]]),CheckPath(_05preva_view43[[#This Row],[File Path]],"Open File","No File"))</f>
        <v>#VALUE!</v>
      </c>
      <c r="BD130" s="136" t="str">
        <f>CONCATENATE(_05preva_view43[[#This Row],[Site ID]]," (",_05preva_view43[[#This Row],[tenant id]],") Application",IF(_05preva_view43[[#This Row],[Colo Rev]]&gt;0," Rev "&amp;_05preva_view43[[#This Row],[Colo Rev]],""),".xlsx")</f>
        <v>1-01-03005-004 (KYN0185) Application Rev 1.xlsx</v>
      </c>
      <c r="BE130" s="64" t="e">
        <f t="shared" ca="1" si="3"/>
        <v>#VALUE!</v>
      </c>
      <c r="BF130" s="104" t="e">
        <f ca="1">LEFT(CELL("filename",A115),_05preva_view43[[#This Row],[Find Process &amp; Database]]-1)</f>
        <v>#VALUE!</v>
      </c>
      <c r="BG130" s="104" t="e">
        <f ca="1">_05preva_view43[Folder Path1]&amp;"Process &amp; Database\Documentation\Colo Applications"</f>
        <v>#VALUE!</v>
      </c>
      <c r="BH130" s="104" t="e">
        <f ca="1">_05preva_view43[Folder Path2]&amp;"\Colo App "&amp;_05preva_view43[[#This Row],[Operator]]&amp;"\"</f>
        <v>#VALUE!</v>
      </c>
      <c r="BI130" s="63" t="e">
        <f ca="1">_05preva_view43[[#This Row],[Folder Path3]]&amp;_05preva_view43[[#This Row],[File Name]]</f>
        <v>#VALUE!</v>
      </c>
      <c r="BJ130" s="104"/>
      <c r="BK130" s="3"/>
      <c r="BL130" s="3"/>
      <c r="CJ130" s="5"/>
      <c r="CK130" s="5"/>
      <c r="CL130" s="3"/>
      <c r="CN130" s="5"/>
      <c r="CR130" s="3"/>
      <c r="CS130" s="3"/>
      <c r="CT130" s="5"/>
      <c r="CV130" s="3"/>
      <c r="DR130" s="5"/>
      <c r="DT130" s="3"/>
      <c r="EF130" s="7"/>
      <c r="EG130" s="7"/>
      <c r="EJ130" s="4"/>
      <c r="EK130" s="4"/>
      <c r="EU130" s="2"/>
      <c r="EV130" s="2"/>
    </row>
    <row r="131" spans="1:152">
      <c r="A131" s="125">
        <v>3525</v>
      </c>
      <c r="B131" s="126" t="s">
        <v>1692</v>
      </c>
      <c r="C131" s="126" t="s">
        <v>331</v>
      </c>
      <c r="D131" s="126" t="s">
        <v>163</v>
      </c>
      <c r="E131" s="126" t="s">
        <v>1693</v>
      </c>
      <c r="F131" s="126" t="s">
        <v>34</v>
      </c>
      <c r="G131" s="126" t="s">
        <v>1582</v>
      </c>
      <c r="H131" s="126" t="s">
        <v>1575</v>
      </c>
      <c r="I131" s="126" t="s">
        <v>1252</v>
      </c>
      <c r="J131" s="126" t="s">
        <v>931</v>
      </c>
      <c r="K131" s="127">
        <v>43458</v>
      </c>
      <c r="L131" s="128">
        <v>2</v>
      </c>
      <c r="M131" s="128">
        <v>2</v>
      </c>
      <c r="N131" s="126">
        <v>6</v>
      </c>
      <c r="O131" s="126" t="s">
        <v>950</v>
      </c>
      <c r="P131" s="129" t="s">
        <v>1028</v>
      </c>
      <c r="Q131" s="129" t="s">
        <v>1029</v>
      </c>
      <c r="R131" s="126" t="s">
        <v>24</v>
      </c>
      <c r="S131" s="126"/>
      <c r="T131" s="130" t="s">
        <v>861</v>
      </c>
      <c r="U131" s="126"/>
      <c r="V131" s="130" t="s">
        <v>861</v>
      </c>
      <c r="W131" s="126"/>
      <c r="X131" s="130" t="s">
        <v>861</v>
      </c>
      <c r="Y131" s="126"/>
      <c r="Z131" s="165" t="s">
        <v>861</v>
      </c>
      <c r="AA131" s="158"/>
      <c r="AB131" s="158"/>
      <c r="AC131" s="170"/>
      <c r="AD131" s="126"/>
      <c r="AE131" s="130" t="s">
        <v>120</v>
      </c>
      <c r="AF131" s="127"/>
      <c r="AG131" s="131"/>
      <c r="AH131" s="131"/>
      <c r="AI131" s="126"/>
      <c r="AJ131" s="130" t="s">
        <v>861</v>
      </c>
      <c r="AK131" s="126"/>
      <c r="AL131" s="126"/>
      <c r="AM131" s="130" t="s">
        <v>861</v>
      </c>
      <c r="AN131" s="126"/>
      <c r="AO131" s="132"/>
      <c r="AP131" s="126" t="s">
        <v>861</v>
      </c>
      <c r="AQ131" s="126"/>
      <c r="AR131" s="130" t="s">
        <v>120</v>
      </c>
      <c r="AS131" s="126"/>
      <c r="AT131" s="127"/>
      <c r="AU131" s="127">
        <v>43479.735420254598</v>
      </c>
      <c r="AV131" s="127"/>
      <c r="AW131" s="127"/>
      <c r="AX131" s="127"/>
      <c r="AY131" s="127"/>
      <c r="AZ131" s="133">
        <v>43476.700148958298</v>
      </c>
      <c r="BA131" s="134">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B131" s="135">
        <f>COUNTIFS(_05preva_view43[Site ID],_05preva_view43[[#This Row],[Site ID]],_05preva_view43[Prevalidation Status],"Under Prevalidation")</f>
        <v>0</v>
      </c>
      <c r="BC131" s="157" t="e">
        <f ca="1">HYPERLINK(CheckPath(_05preva_view43[[#This Row],[File Path]],_05preva_view43[[#This Row],[File Path]],_05preva_view43[[#This Row],[Folder Path3]]),CheckPath(_05preva_view43[[#This Row],[File Path]],"Open File","No File"))</f>
        <v>#VALUE!</v>
      </c>
      <c r="BD131" s="136" t="str">
        <f>CONCATENATE(_05preva_view43[[#This Row],[Site ID]]," (",_05preva_view43[[#This Row],[tenant id]],") Application",IF(_05preva_view43[[#This Row],[Colo Rev]]&gt;0," Rev "&amp;_05preva_view43[[#This Row],[Colo Rev]],""),".xlsx")</f>
        <v>1-01-17026-003 (AYY0879) Application Rev 1.xlsx</v>
      </c>
      <c r="BE131" s="64" t="e">
        <f t="shared" ca="1" si="3"/>
        <v>#VALUE!</v>
      </c>
      <c r="BF131" s="104" t="e">
        <f ca="1">LEFT(CELL("filename",A116),_05preva_view43[[#This Row],[Find Process &amp; Database]]-1)</f>
        <v>#VALUE!</v>
      </c>
      <c r="BG131" s="104" t="e">
        <f ca="1">_05preva_view43[Folder Path1]&amp;"Process &amp; Database\Documentation\Colo Applications"</f>
        <v>#VALUE!</v>
      </c>
      <c r="BH131" s="104" t="e">
        <f ca="1">_05preva_view43[Folder Path2]&amp;"\Colo App "&amp;_05preva_view43[[#This Row],[Operator]]&amp;"\"</f>
        <v>#VALUE!</v>
      </c>
      <c r="BI131" s="63" t="e">
        <f ca="1">_05preva_view43[[#This Row],[Folder Path3]]&amp;_05preva_view43[[#This Row],[File Name]]</f>
        <v>#VALUE!</v>
      </c>
      <c r="BJ131" s="104"/>
      <c r="BK131" s="3"/>
      <c r="BL131" s="3"/>
      <c r="CJ131" s="5"/>
      <c r="CK131" s="5"/>
      <c r="CL131" s="3"/>
      <c r="CN131" s="5"/>
      <c r="CR131" s="3"/>
      <c r="CS131" s="3"/>
      <c r="CT131" s="5"/>
      <c r="CV131" s="3"/>
      <c r="DR131" s="5"/>
      <c r="DT131" s="3"/>
      <c r="EF131" s="7"/>
      <c r="EG131" s="7"/>
      <c r="EJ131" s="4"/>
      <c r="EK131" s="4"/>
      <c r="EU131" s="2"/>
      <c r="EV131" s="2"/>
    </row>
    <row r="132" spans="1:152">
      <c r="A132" s="125">
        <v>3526</v>
      </c>
      <c r="B132" s="126" t="s">
        <v>1694</v>
      </c>
      <c r="C132" s="126" t="s">
        <v>331</v>
      </c>
      <c r="D132" s="126" t="s">
        <v>163</v>
      </c>
      <c r="E132" s="126" t="s">
        <v>1695</v>
      </c>
      <c r="F132" s="126" t="s">
        <v>34</v>
      </c>
      <c r="G132" s="126" t="s">
        <v>1582</v>
      </c>
      <c r="H132" s="126" t="s">
        <v>1575</v>
      </c>
      <c r="I132" s="126" t="s">
        <v>1252</v>
      </c>
      <c r="J132" s="126" t="s">
        <v>931</v>
      </c>
      <c r="K132" s="127">
        <v>43458</v>
      </c>
      <c r="L132" s="128">
        <v>2</v>
      </c>
      <c r="M132" s="128">
        <v>2</v>
      </c>
      <c r="N132" s="126">
        <v>6</v>
      </c>
      <c r="O132" s="126" t="s">
        <v>950</v>
      </c>
      <c r="P132" s="129" t="s">
        <v>1028</v>
      </c>
      <c r="Q132" s="129" t="s">
        <v>1029</v>
      </c>
      <c r="R132" s="126" t="s">
        <v>24</v>
      </c>
      <c r="S132" s="126"/>
      <c r="T132" s="130" t="s">
        <v>861</v>
      </c>
      <c r="U132" s="126"/>
      <c r="V132" s="130" t="s">
        <v>861</v>
      </c>
      <c r="W132" s="126"/>
      <c r="X132" s="130" t="s">
        <v>861</v>
      </c>
      <c r="Y132" s="126"/>
      <c r="Z132" s="165" t="s">
        <v>861</v>
      </c>
      <c r="AA132" s="158"/>
      <c r="AB132" s="158"/>
      <c r="AC132" s="170"/>
      <c r="AD132" s="126"/>
      <c r="AE132" s="130" t="s">
        <v>120</v>
      </c>
      <c r="AF132" s="127" t="s">
        <v>1167</v>
      </c>
      <c r="AG132" s="131"/>
      <c r="AH132" s="131"/>
      <c r="AI132" s="126" t="s">
        <v>2110</v>
      </c>
      <c r="AJ132" s="130" t="s">
        <v>861</v>
      </c>
      <c r="AK132" s="126"/>
      <c r="AL132" s="126"/>
      <c r="AM132" s="130" t="s">
        <v>861</v>
      </c>
      <c r="AN132" s="126"/>
      <c r="AO132" s="132"/>
      <c r="AP132" s="126" t="s">
        <v>861</v>
      </c>
      <c r="AQ132" s="126"/>
      <c r="AR132" s="130" t="s">
        <v>120</v>
      </c>
      <c r="AS132" s="126"/>
      <c r="AT132" s="127"/>
      <c r="AU132" s="127">
        <v>43479.735420833298</v>
      </c>
      <c r="AV132" s="127"/>
      <c r="AW132" s="127"/>
      <c r="AX132" s="127"/>
      <c r="AY132" s="127"/>
      <c r="AZ132" s="133">
        <v>43480.4631876157</v>
      </c>
      <c r="BA132" s="134">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B132" s="135">
        <f>COUNTIFS(_05preva_view43[Site ID],_05preva_view43[[#This Row],[Site ID]],_05preva_view43[Prevalidation Status],"Under Prevalidation")</f>
        <v>0</v>
      </c>
      <c r="BC132" s="157" t="e">
        <f ca="1">HYPERLINK(CheckPath(_05preva_view43[[#This Row],[File Path]],_05preva_view43[[#This Row],[File Path]],_05preva_view43[[#This Row],[Folder Path3]]),CheckPath(_05preva_view43[[#This Row],[File Path]],"Open File","No File"))</f>
        <v>#VALUE!</v>
      </c>
      <c r="BD132" s="136" t="str">
        <f>CONCATENATE(_05preva_view43[[#This Row],[Site ID]]," (",_05preva_view43[[#This Row],[tenant id]],") Application",IF(_05preva_view43[[#This Row],[Colo Rev]]&gt;0," Rev "&amp;_05preva_view43[[#This Row],[Colo Rev]],""),".xlsx")</f>
        <v>1-01-17004-007 (AYY0207) Application Rev 1.xlsx</v>
      </c>
      <c r="BE132" s="64" t="e">
        <f t="shared" ca="1" si="3"/>
        <v>#VALUE!</v>
      </c>
      <c r="BF132" s="104" t="e">
        <f ca="1">LEFT(CELL("filename",A117),_05preva_view43[[#This Row],[Find Process &amp; Database]]-1)</f>
        <v>#VALUE!</v>
      </c>
      <c r="BG132" s="104" t="e">
        <f ca="1">_05preva_view43[Folder Path1]&amp;"Process &amp; Database\Documentation\Colo Applications"</f>
        <v>#VALUE!</v>
      </c>
      <c r="BH132" s="104" t="e">
        <f ca="1">_05preva_view43[Folder Path2]&amp;"\Colo App "&amp;_05preva_view43[[#This Row],[Operator]]&amp;"\"</f>
        <v>#VALUE!</v>
      </c>
      <c r="BI132" s="63" t="e">
        <f ca="1">_05preva_view43[[#This Row],[Folder Path3]]&amp;_05preva_view43[[#This Row],[File Name]]</f>
        <v>#VALUE!</v>
      </c>
      <c r="BJ132" s="104"/>
      <c r="BK132" s="3"/>
      <c r="BL132" s="3"/>
      <c r="CJ132" s="5"/>
      <c r="CK132" s="5"/>
      <c r="CL132" s="3"/>
      <c r="CN132" s="5"/>
      <c r="CR132" s="3"/>
      <c r="CS132" s="3"/>
      <c r="CT132" s="5"/>
      <c r="CV132" s="3"/>
      <c r="DR132" s="5"/>
      <c r="DT132" s="3"/>
      <c r="EF132" s="7"/>
      <c r="EG132" s="7"/>
      <c r="EJ132" s="4"/>
      <c r="EK132" s="4"/>
      <c r="EU132" s="2"/>
      <c r="EV132" s="2"/>
    </row>
    <row r="133" spans="1:152">
      <c r="A133" s="125">
        <v>3521</v>
      </c>
      <c r="B133" s="126" t="s">
        <v>1696</v>
      </c>
      <c r="C133" s="126" t="s">
        <v>331</v>
      </c>
      <c r="D133" s="126" t="s">
        <v>127</v>
      </c>
      <c r="E133" s="126" t="s">
        <v>1697</v>
      </c>
      <c r="F133" s="126" t="s">
        <v>34</v>
      </c>
      <c r="G133" s="126" t="s">
        <v>118</v>
      </c>
      <c r="H133" s="126" t="s">
        <v>1619</v>
      </c>
      <c r="I133" s="126" t="s">
        <v>1143</v>
      </c>
      <c r="J133" s="126" t="s">
        <v>940</v>
      </c>
      <c r="K133" s="127">
        <v>43454</v>
      </c>
      <c r="L133" s="128">
        <v>2</v>
      </c>
      <c r="M133" s="128">
        <v>2</v>
      </c>
      <c r="N133" s="126">
        <v>6</v>
      </c>
      <c r="O133" s="126" t="s">
        <v>950</v>
      </c>
      <c r="P133" s="129" t="s">
        <v>1698</v>
      </c>
      <c r="Q133" s="129" t="s">
        <v>1699</v>
      </c>
      <c r="R133" s="126" t="s">
        <v>25</v>
      </c>
      <c r="S133" s="126"/>
      <c r="T133" s="130" t="s">
        <v>120</v>
      </c>
      <c r="U133" s="126"/>
      <c r="V133" s="130" t="s">
        <v>120</v>
      </c>
      <c r="W133" s="126"/>
      <c r="X133" s="130" t="s">
        <v>120</v>
      </c>
      <c r="Y133" s="126" t="s">
        <v>1700</v>
      </c>
      <c r="Z133" s="165" t="s">
        <v>120</v>
      </c>
      <c r="AA133" s="158" t="s">
        <v>2140</v>
      </c>
      <c r="AB133" s="158" t="s">
        <v>2141</v>
      </c>
      <c r="AC133" s="170" t="s">
        <v>123</v>
      </c>
      <c r="AD133" s="126" t="s">
        <v>1701</v>
      </c>
      <c r="AE133" s="130" t="s">
        <v>120</v>
      </c>
      <c r="AF133" s="127" t="s">
        <v>1167</v>
      </c>
      <c r="AG133" s="131"/>
      <c r="AH133" s="131"/>
      <c r="AI133" s="126" t="s">
        <v>2111</v>
      </c>
      <c r="AJ133" s="130" t="s">
        <v>120</v>
      </c>
      <c r="AK133" s="126" t="s">
        <v>240</v>
      </c>
      <c r="AL133" s="126" t="s">
        <v>1493</v>
      </c>
      <c r="AM133" s="130"/>
      <c r="AN133" s="126"/>
      <c r="AO133" s="132"/>
      <c r="AP133" s="126"/>
      <c r="AQ133" s="126"/>
      <c r="AR133" s="130" t="s">
        <v>120</v>
      </c>
      <c r="AS133" s="126"/>
      <c r="AT133" s="127">
        <v>43456.477405787002</v>
      </c>
      <c r="AU133" s="127">
        <v>43479.735417013901</v>
      </c>
      <c r="AV133" s="127">
        <v>43458.463354050902</v>
      </c>
      <c r="AW133" s="127">
        <v>43456.477405787002</v>
      </c>
      <c r="AX133" s="127">
        <v>43472.676680439799</v>
      </c>
      <c r="AY133" s="127">
        <v>43461.439160416703</v>
      </c>
      <c r="AZ133" s="133"/>
      <c r="BA133" s="134">
        <f ca="1">IF(_05preva_view43[[#This Row],[Prevalidation Status]]="Under Prevalidation",NOW()-_05preva_view43[[#This Row],[Request Date]],IF(_05preva_view43[[#This Row],[Close Date]]&gt;_05preva_view43[[#This Row],[Request Date]],_05preva_view43[[#This Row],[Close Date]]-_05preva_view43[[#This Row],[Request Date]],"Not  Calculated"))</f>
        <v>34.70510648148047</v>
      </c>
      <c r="BB133" s="135">
        <f>COUNTIFS(_05preva_view43[Site ID],_05preva_view43[[#This Row],[Site ID]],_05preva_view43[Prevalidation Status],"Under Prevalidation")</f>
        <v>1</v>
      </c>
      <c r="BC133" s="157" t="e">
        <f ca="1">HYPERLINK(CheckPath(_05preva_view43[[#This Row],[File Path]],_05preva_view43[[#This Row],[File Path]],_05preva_view43[[#This Row],[Folder Path3]]),CheckPath(_05preva_view43[[#This Row],[File Path]],"Open File","No File"))</f>
        <v>#VALUE!</v>
      </c>
      <c r="BD133" s="136" t="str">
        <f>CONCATENATE(_05preva_view43[[#This Row],[Site ID]]," (",_05preva_view43[[#This Row],[tenant id]],") Application",IF(_05preva_view43[[#This Row],[Colo Rev]]&gt;0," Rev "&amp;_05preva_view43[[#This Row],[Colo Rev]],""),".xlsx")</f>
        <v>1-01-10020-003 (MDY0280) Application Rev 0.xlsx</v>
      </c>
      <c r="BE133" s="64" t="e">
        <f t="shared" ca="1" si="3"/>
        <v>#VALUE!</v>
      </c>
      <c r="BF133" s="104" t="e">
        <f ca="1">LEFT(CELL("filename",A118),_05preva_view43[[#This Row],[Find Process &amp; Database]]-1)</f>
        <v>#VALUE!</v>
      </c>
      <c r="BG133" s="104" t="e">
        <f ca="1">_05preva_view43[Folder Path1]&amp;"Process &amp; Database\Documentation\Colo Applications"</f>
        <v>#VALUE!</v>
      </c>
      <c r="BH133" s="104" t="e">
        <f ca="1">_05preva_view43[Folder Path2]&amp;"\Colo App "&amp;_05preva_view43[[#This Row],[Operator]]&amp;"\"</f>
        <v>#VALUE!</v>
      </c>
      <c r="BI133" s="63" t="e">
        <f ca="1">_05preva_view43[[#This Row],[Folder Path3]]&amp;_05preva_view43[[#This Row],[File Name]]</f>
        <v>#VALUE!</v>
      </c>
      <c r="BJ133" s="104"/>
      <c r="BK133" s="3"/>
      <c r="BL133" s="3"/>
      <c r="CJ133" s="5"/>
      <c r="CK133" s="5"/>
      <c r="CL133" s="3"/>
      <c r="CN133" s="5"/>
      <c r="CR133" s="3"/>
      <c r="CS133" s="3"/>
      <c r="CT133" s="5"/>
      <c r="CV133" s="3"/>
      <c r="DR133" s="5"/>
      <c r="DT133" s="3"/>
      <c r="EF133" s="7"/>
      <c r="EG133" s="7"/>
      <c r="EJ133" s="4"/>
      <c r="EK133" s="4"/>
      <c r="EU133" s="2"/>
      <c r="EV133" s="2"/>
    </row>
    <row r="134" spans="1:152">
      <c r="A134" s="125">
        <v>3516</v>
      </c>
      <c r="B134" s="126" t="s">
        <v>1181</v>
      </c>
      <c r="C134" s="126" t="s">
        <v>331</v>
      </c>
      <c r="D134" s="126" t="s">
        <v>117</v>
      </c>
      <c r="E134" s="126" t="s">
        <v>1182</v>
      </c>
      <c r="F134" s="126" t="s">
        <v>35</v>
      </c>
      <c r="G134" s="126" t="s">
        <v>1583</v>
      </c>
      <c r="H134" s="126" t="s">
        <v>1575</v>
      </c>
      <c r="I134" s="126" t="s">
        <v>1252</v>
      </c>
      <c r="J134" s="126" t="s">
        <v>1091</v>
      </c>
      <c r="K134" s="127">
        <v>43452</v>
      </c>
      <c r="L134" s="128">
        <v>1.68</v>
      </c>
      <c r="M134" s="128">
        <v>2.1</v>
      </c>
      <c r="N134" s="126"/>
      <c r="O134" s="126" t="s">
        <v>950</v>
      </c>
      <c r="P134" s="129" t="s">
        <v>958</v>
      </c>
      <c r="Q134" s="129" t="s">
        <v>959</v>
      </c>
      <c r="R134" s="126" t="s">
        <v>24</v>
      </c>
      <c r="S134" s="126"/>
      <c r="T134" s="130" t="s">
        <v>861</v>
      </c>
      <c r="U134" s="126"/>
      <c r="V134" s="130" t="s">
        <v>861</v>
      </c>
      <c r="W134" s="126"/>
      <c r="X134" s="130" t="s">
        <v>861</v>
      </c>
      <c r="Y134" s="126"/>
      <c r="Z134" s="165" t="s">
        <v>861</v>
      </c>
      <c r="AA134" s="158"/>
      <c r="AB134" s="158"/>
      <c r="AC134" s="170"/>
      <c r="AD134" s="126"/>
      <c r="AE134" s="130" t="s">
        <v>120</v>
      </c>
      <c r="AF134" s="127"/>
      <c r="AG134" s="131"/>
      <c r="AH134" s="131"/>
      <c r="AI134" s="126" t="s">
        <v>2112</v>
      </c>
      <c r="AJ134" s="130" t="s">
        <v>861</v>
      </c>
      <c r="AK134" s="126"/>
      <c r="AL134" s="126"/>
      <c r="AM134" s="130"/>
      <c r="AN134" s="126"/>
      <c r="AO134" s="132"/>
      <c r="AP134" s="126"/>
      <c r="AQ134" s="126"/>
      <c r="AR134" s="130"/>
      <c r="AS134" s="126"/>
      <c r="AT134" s="127"/>
      <c r="AU134" s="127">
        <v>43479.735409259301</v>
      </c>
      <c r="AV134" s="127"/>
      <c r="AW134" s="127"/>
      <c r="AX134" s="127"/>
      <c r="AY134" s="127"/>
      <c r="AZ134" s="133">
        <v>43480.442146759298</v>
      </c>
      <c r="BA134" s="134">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B134" s="135">
        <f>COUNTIFS(_05preva_view43[Site ID],_05preva_view43[[#This Row],[Site ID]],_05preva_view43[Prevalidation Status],"Under Prevalidation")</f>
        <v>0</v>
      </c>
      <c r="BC134" s="157" t="e">
        <f ca="1">HYPERLINK(CheckPath(_05preva_view43[[#This Row],[File Path]],_05preva_view43[[#This Row],[File Path]],_05preva_view43[[#This Row],[Folder Path3]]),CheckPath(_05preva_view43[[#This Row],[File Path]],"Open File","No File"))</f>
        <v>#VALUE!</v>
      </c>
      <c r="BD134" s="136" t="str">
        <f>CONCATENATE(_05preva_view43[[#This Row],[Site ID]]," (",_05preva_view43[[#This Row],[tenant id]],") Application",IF(_05preva_view43[[#This Row],[Colo Rev]]&gt;0," Rev "&amp;_05preva_view43[[#This Row],[Colo Rev]],""),".xlsx")</f>
        <v>1-01-14001-033 (SHS00466) Application Rev .xlsx</v>
      </c>
      <c r="BE134" s="64" t="e">
        <f t="shared" ca="1" si="3"/>
        <v>#VALUE!</v>
      </c>
      <c r="BF134" s="104" t="e">
        <f ca="1">LEFT(CELL("filename",A119),_05preva_view43[[#This Row],[Find Process &amp; Database]]-1)</f>
        <v>#VALUE!</v>
      </c>
      <c r="BG134" s="104" t="e">
        <f ca="1">_05preva_view43[Folder Path1]&amp;"Process &amp; Database\Documentation\Colo Applications"</f>
        <v>#VALUE!</v>
      </c>
      <c r="BH134" s="104" t="e">
        <f ca="1">_05preva_view43[Folder Path2]&amp;"\Colo App "&amp;_05preva_view43[[#This Row],[Operator]]&amp;"\"</f>
        <v>#VALUE!</v>
      </c>
      <c r="BI134" s="63" t="e">
        <f ca="1">_05preva_view43[[#This Row],[Folder Path3]]&amp;_05preva_view43[[#This Row],[File Name]]</f>
        <v>#VALUE!</v>
      </c>
      <c r="BJ134" s="104"/>
      <c r="BK134" s="3"/>
      <c r="BL134" s="3"/>
      <c r="CJ134" s="5"/>
      <c r="CK134" s="5"/>
      <c r="CL134" s="3"/>
      <c r="CN134" s="5"/>
      <c r="CR134" s="3"/>
      <c r="CS134" s="3"/>
      <c r="CT134" s="5"/>
      <c r="CV134" s="3"/>
      <c r="DR134" s="5"/>
      <c r="DT134" s="3"/>
      <c r="EF134" s="7"/>
      <c r="EG134" s="7"/>
      <c r="EJ134" s="4"/>
      <c r="EK134" s="4"/>
      <c r="EU134" s="2"/>
      <c r="EV134" s="2"/>
    </row>
    <row r="135" spans="1:152">
      <c r="A135" s="125">
        <v>3517</v>
      </c>
      <c r="B135" s="126" t="s">
        <v>1458</v>
      </c>
      <c r="C135" s="126" t="s">
        <v>116</v>
      </c>
      <c r="D135" s="126" t="s">
        <v>163</v>
      </c>
      <c r="E135" s="126" t="s">
        <v>1459</v>
      </c>
      <c r="F135" s="126" t="s">
        <v>35</v>
      </c>
      <c r="G135" s="126" t="s">
        <v>1577</v>
      </c>
      <c r="H135" s="126" t="s">
        <v>1575</v>
      </c>
      <c r="I135" s="126" t="s">
        <v>1702</v>
      </c>
      <c r="J135" s="126" t="s">
        <v>990</v>
      </c>
      <c r="K135" s="127">
        <v>43452</v>
      </c>
      <c r="L135" s="128">
        <v>2.16</v>
      </c>
      <c r="M135" s="128">
        <v>2.7</v>
      </c>
      <c r="N135" s="126">
        <v>6.0010000000000003</v>
      </c>
      <c r="O135" s="126" t="s">
        <v>119</v>
      </c>
      <c r="P135" s="129" t="s">
        <v>263</v>
      </c>
      <c r="Q135" s="129" t="s">
        <v>264</v>
      </c>
      <c r="R135" s="126" t="s">
        <v>24</v>
      </c>
      <c r="S135" s="126"/>
      <c r="T135" s="130" t="s">
        <v>861</v>
      </c>
      <c r="U135" s="126"/>
      <c r="V135" s="130" t="s">
        <v>861</v>
      </c>
      <c r="W135" s="126"/>
      <c r="X135" s="130" t="s">
        <v>120</v>
      </c>
      <c r="Y135" s="126" t="s">
        <v>1703</v>
      </c>
      <c r="Z135" s="165" t="s">
        <v>144</v>
      </c>
      <c r="AA135" s="158"/>
      <c r="AB135" s="158"/>
      <c r="AC135" s="170" t="s">
        <v>123</v>
      </c>
      <c r="AD135" s="126" t="s">
        <v>1704</v>
      </c>
      <c r="AE135" s="130" t="s">
        <v>120</v>
      </c>
      <c r="AF135" s="127"/>
      <c r="AG135" s="131"/>
      <c r="AH135" s="131"/>
      <c r="AI135" s="126"/>
      <c r="AJ135" s="130" t="s">
        <v>120</v>
      </c>
      <c r="AK135" s="126" t="s">
        <v>123</v>
      </c>
      <c r="AL135" s="126" t="s">
        <v>1198</v>
      </c>
      <c r="AM135" s="130"/>
      <c r="AN135" s="126"/>
      <c r="AO135" s="132"/>
      <c r="AP135" s="126"/>
      <c r="AQ135" s="126"/>
      <c r="AR135" s="130" t="s">
        <v>1866</v>
      </c>
      <c r="AS135" s="126" t="s">
        <v>2113</v>
      </c>
      <c r="AT135" s="127">
        <v>43453.414149652803</v>
      </c>
      <c r="AU135" s="127">
        <v>43480.567753009302</v>
      </c>
      <c r="AV135" s="127"/>
      <c r="AW135" s="127">
        <v>43453.414149652803</v>
      </c>
      <c r="AX135" s="127"/>
      <c r="AY135" s="127"/>
      <c r="AZ135" s="133">
        <v>43481.412547916698</v>
      </c>
      <c r="BA135" s="134">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B135" s="135">
        <f>COUNTIFS(_05preva_view43[Site ID],_05preva_view43[[#This Row],[Site ID]],_05preva_view43[Prevalidation Status],"Under Prevalidation")</f>
        <v>0</v>
      </c>
      <c r="BC135" s="157" t="e">
        <f ca="1">HYPERLINK(CheckPath(_05preva_view43[[#This Row],[File Path]],_05preva_view43[[#This Row],[File Path]],_05preva_view43[[#This Row],[Folder Path3]]),CheckPath(_05preva_view43[[#This Row],[File Path]],"Open File","No File"))</f>
        <v>#VALUE!</v>
      </c>
      <c r="BD135" s="136" t="str">
        <f>CONCATENATE(_05preva_view43[[#This Row],[Site ID]]," (",_05preva_view43[[#This Row],[tenant id]],") Application",IF(_05preva_view43[[#This Row],[Colo Rev]]&gt;0," Rev "&amp;_05preva_view43[[#This Row],[Colo Rev]],""),".xlsx")</f>
        <v>ACAY_0122 (AWD00530) Application Rev 3.xlsx</v>
      </c>
      <c r="BE135" s="64" t="e">
        <f t="shared" ca="1" si="3"/>
        <v>#VALUE!</v>
      </c>
      <c r="BF135" s="104" t="e">
        <f ca="1">LEFT(CELL("filename",A120),_05preva_view43[[#This Row],[Find Process &amp; Database]]-1)</f>
        <v>#VALUE!</v>
      </c>
      <c r="BG135" s="104" t="e">
        <f ca="1">_05preva_view43[Folder Path1]&amp;"Process &amp; Database\Documentation\Colo Applications"</f>
        <v>#VALUE!</v>
      </c>
      <c r="BH135" s="104" t="e">
        <f ca="1">_05preva_view43[Folder Path2]&amp;"\Colo App "&amp;_05preva_view43[[#This Row],[Operator]]&amp;"\"</f>
        <v>#VALUE!</v>
      </c>
      <c r="BI135" s="63" t="e">
        <f ca="1">_05preva_view43[[#This Row],[Folder Path3]]&amp;_05preva_view43[[#This Row],[File Name]]</f>
        <v>#VALUE!</v>
      </c>
      <c r="BJ135" s="104"/>
      <c r="BK135" s="3"/>
      <c r="BL135" s="3"/>
      <c r="CJ135" s="5"/>
      <c r="CK135" s="5"/>
      <c r="CL135" s="3"/>
      <c r="CN135" s="5"/>
      <c r="CR135" s="3"/>
      <c r="CS135" s="3"/>
      <c r="CT135" s="5"/>
      <c r="CV135" s="3"/>
      <c r="DR135" s="5"/>
      <c r="DT135" s="3"/>
      <c r="EF135" s="7"/>
      <c r="EG135" s="7"/>
      <c r="EJ135" s="4"/>
      <c r="EK135" s="4"/>
      <c r="EU135" s="2"/>
      <c r="EV135" s="2"/>
    </row>
    <row r="136" spans="1:152">
      <c r="A136" s="125">
        <v>3518</v>
      </c>
      <c r="B136" s="126" t="s">
        <v>1705</v>
      </c>
      <c r="C136" s="126" t="s">
        <v>116</v>
      </c>
      <c r="D136" s="126" t="s">
        <v>127</v>
      </c>
      <c r="E136" s="126" t="s">
        <v>1706</v>
      </c>
      <c r="F136" s="126" t="s">
        <v>35</v>
      </c>
      <c r="G136" s="126" t="s">
        <v>1577</v>
      </c>
      <c r="H136" s="126" t="s">
        <v>1580</v>
      </c>
      <c r="I136" s="126" t="s">
        <v>1077</v>
      </c>
      <c r="J136" s="126" t="s">
        <v>949</v>
      </c>
      <c r="K136" s="127">
        <v>43452</v>
      </c>
      <c r="L136" s="128">
        <v>1.175</v>
      </c>
      <c r="M136" s="128">
        <v>2.1389999999999998</v>
      </c>
      <c r="N136" s="126">
        <v>4.29</v>
      </c>
      <c r="O136" s="126" t="s">
        <v>119</v>
      </c>
      <c r="P136" s="129" t="s">
        <v>276</v>
      </c>
      <c r="Q136" s="129" t="s">
        <v>277</v>
      </c>
      <c r="R136" s="126" t="s">
        <v>24</v>
      </c>
      <c r="S136" s="126"/>
      <c r="T136" s="130" t="s">
        <v>120</v>
      </c>
      <c r="U136" s="126" t="s">
        <v>1707</v>
      </c>
      <c r="V136" s="130" t="s">
        <v>120</v>
      </c>
      <c r="W136" s="126"/>
      <c r="X136" s="130" t="s">
        <v>120</v>
      </c>
      <c r="Y136" s="126" t="s">
        <v>1708</v>
      </c>
      <c r="Z136" s="165" t="s">
        <v>120</v>
      </c>
      <c r="AA136" s="158"/>
      <c r="AB136" s="158"/>
      <c r="AC136" s="170" t="s">
        <v>123</v>
      </c>
      <c r="AD136" s="126" t="s">
        <v>1709</v>
      </c>
      <c r="AE136" s="130" t="s">
        <v>120</v>
      </c>
      <c r="AF136" s="127"/>
      <c r="AG136" s="131"/>
      <c r="AH136" s="131"/>
      <c r="AI136" s="126"/>
      <c r="AJ136" s="130" t="s">
        <v>120</v>
      </c>
      <c r="AK136" s="126" t="s">
        <v>123</v>
      </c>
      <c r="AL136" s="126" t="s">
        <v>1198</v>
      </c>
      <c r="AM136" s="130"/>
      <c r="AN136" s="126"/>
      <c r="AO136" s="132"/>
      <c r="AP136" s="126"/>
      <c r="AQ136" s="126"/>
      <c r="AR136" s="130"/>
      <c r="AS136" s="126"/>
      <c r="AT136" s="127">
        <v>43453.414151504599</v>
      </c>
      <c r="AU136" s="127">
        <v>43479.735410763897</v>
      </c>
      <c r="AV136" s="127">
        <v>43453.663259259301</v>
      </c>
      <c r="AW136" s="127">
        <v>43453.414151504599</v>
      </c>
      <c r="AX136" s="127">
        <v>43460.604116666698</v>
      </c>
      <c r="AY136" s="127">
        <v>43453.6699806713</v>
      </c>
      <c r="AZ136" s="133">
        <v>43480.437795254598</v>
      </c>
      <c r="BA136" s="134">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B136" s="135">
        <f>COUNTIFS(_05preva_view43[Site ID],_05preva_view43[[#This Row],[Site ID]],_05preva_view43[Prevalidation Status],"Under Prevalidation")</f>
        <v>0</v>
      </c>
      <c r="BC136" s="157" t="e">
        <f ca="1">HYPERLINK(CheckPath(_05preva_view43[[#This Row],[File Path]],_05preva_view43[[#This Row],[File Path]],_05preva_view43[[#This Row],[Folder Path3]]),CheckPath(_05preva_view43[[#This Row],[File Path]],"Open File","No File"))</f>
        <v>#VALUE!</v>
      </c>
      <c r="BD136" s="136" t="str">
        <f>CONCATENATE(_05preva_view43[[#This Row],[Site ID]]," (",_05preva_view43[[#This Row],[tenant id]],") Application",IF(_05preva_view43[[#This Row],[Colo Rev]]&gt;0," Rev "&amp;_05preva_view43[[#This Row],[Colo Rev]],""),".xlsx")</f>
        <v>ANMD_0136 (MDY01437) Application Rev 2.xlsx</v>
      </c>
      <c r="BE136" s="64" t="e">
        <f t="shared" ca="1" si="3"/>
        <v>#VALUE!</v>
      </c>
      <c r="BF136" s="104" t="e">
        <f ca="1">LEFT(CELL("filename",A121),_05preva_view43[[#This Row],[Find Process &amp; Database]]-1)</f>
        <v>#VALUE!</v>
      </c>
      <c r="BG136" s="104" t="e">
        <f ca="1">_05preva_view43[Folder Path1]&amp;"Process &amp; Database\Documentation\Colo Applications"</f>
        <v>#VALUE!</v>
      </c>
      <c r="BH136" s="104" t="e">
        <f ca="1">_05preva_view43[Folder Path2]&amp;"\Colo App "&amp;_05preva_view43[[#This Row],[Operator]]&amp;"\"</f>
        <v>#VALUE!</v>
      </c>
      <c r="BI136" s="63" t="e">
        <f ca="1">_05preva_view43[[#This Row],[Folder Path3]]&amp;_05preva_view43[[#This Row],[File Name]]</f>
        <v>#VALUE!</v>
      </c>
      <c r="BJ136" s="104"/>
      <c r="BK136" s="3"/>
      <c r="BL136" s="3"/>
      <c r="CJ136" s="5"/>
      <c r="CK136" s="5"/>
      <c r="CL136" s="3"/>
      <c r="CN136" s="5"/>
      <c r="CR136" s="3"/>
      <c r="CS136" s="3"/>
      <c r="CT136" s="5"/>
      <c r="CV136" s="3"/>
      <c r="DR136" s="5"/>
      <c r="DT136" s="3"/>
      <c r="EF136" s="7"/>
      <c r="EG136" s="7"/>
      <c r="EJ136" s="4"/>
      <c r="EK136" s="4"/>
      <c r="EU136" s="2"/>
      <c r="EV136" s="2"/>
    </row>
    <row r="137" spans="1:152">
      <c r="A137" s="125">
        <v>3519</v>
      </c>
      <c r="B137" s="126" t="s">
        <v>1710</v>
      </c>
      <c r="C137" s="126" t="s">
        <v>331</v>
      </c>
      <c r="D137" s="126" t="s">
        <v>127</v>
      </c>
      <c r="E137" s="126" t="s">
        <v>1711</v>
      </c>
      <c r="F137" s="126" t="s">
        <v>35</v>
      </c>
      <c r="G137" s="126" t="s">
        <v>1583</v>
      </c>
      <c r="H137" s="126" t="s">
        <v>1580</v>
      </c>
      <c r="I137" s="126" t="s">
        <v>1077</v>
      </c>
      <c r="J137" s="126" t="s">
        <v>931</v>
      </c>
      <c r="K137" s="127">
        <v>43452</v>
      </c>
      <c r="L137" s="128">
        <v>1.175</v>
      </c>
      <c r="M137" s="128">
        <v>2.1389999999999998</v>
      </c>
      <c r="N137" s="126">
        <v>5.64</v>
      </c>
      <c r="O137" s="126" t="s">
        <v>950</v>
      </c>
      <c r="P137" s="129" t="s">
        <v>916</v>
      </c>
      <c r="Q137" s="129" t="s">
        <v>932</v>
      </c>
      <c r="R137" s="126" t="s">
        <v>24</v>
      </c>
      <c r="S137" s="126"/>
      <c r="T137" s="130" t="s">
        <v>120</v>
      </c>
      <c r="U137" s="126"/>
      <c r="V137" s="130" t="s">
        <v>120</v>
      </c>
      <c r="W137" s="126"/>
      <c r="X137" s="130" t="s">
        <v>120</v>
      </c>
      <c r="Y137" s="126" t="s">
        <v>1712</v>
      </c>
      <c r="Z137" s="165" t="s">
        <v>120</v>
      </c>
      <c r="AA137" s="158"/>
      <c r="AB137" s="158"/>
      <c r="AC137" s="170" t="s">
        <v>123</v>
      </c>
      <c r="AD137" s="126" t="s">
        <v>1713</v>
      </c>
      <c r="AE137" s="130" t="s">
        <v>120</v>
      </c>
      <c r="AF137" s="127"/>
      <c r="AG137" s="131"/>
      <c r="AH137" s="131"/>
      <c r="AI137" s="126" t="s">
        <v>2114</v>
      </c>
      <c r="AJ137" s="130" t="s">
        <v>120</v>
      </c>
      <c r="AK137" s="126" t="s">
        <v>123</v>
      </c>
      <c r="AL137" s="126" t="s">
        <v>1198</v>
      </c>
      <c r="AM137" s="130"/>
      <c r="AN137" s="126"/>
      <c r="AO137" s="132"/>
      <c r="AP137" s="126"/>
      <c r="AQ137" s="126"/>
      <c r="AR137" s="130"/>
      <c r="AS137" s="126"/>
      <c r="AT137" s="127">
        <v>43453.414153819402</v>
      </c>
      <c r="AU137" s="127">
        <v>43479.735415972202</v>
      </c>
      <c r="AV137" s="127">
        <v>43454.667723032398</v>
      </c>
      <c r="AW137" s="127">
        <v>43453.414153819402</v>
      </c>
      <c r="AX137" s="127">
        <v>43472.656804050901</v>
      </c>
      <c r="AY137" s="127">
        <v>43452.731311921299</v>
      </c>
      <c r="AZ137" s="133">
        <v>43480.437795833299</v>
      </c>
      <c r="BA137" s="134">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B137" s="135">
        <f>COUNTIFS(_05preva_view43[Site ID],_05preva_view43[[#This Row],[Site ID]],_05preva_view43[Prevalidation Status],"Under Prevalidation")</f>
        <v>0</v>
      </c>
      <c r="BC137" s="157" t="e">
        <f ca="1">HYPERLINK(CheckPath(_05preva_view43[[#This Row],[File Path]],_05preva_view43[[#This Row],[File Path]],_05preva_view43[[#This Row],[Folder Path3]]),CheckPath(_05preva_view43[[#This Row],[File Path]],"Open File","No File"))</f>
        <v>#VALUE!</v>
      </c>
      <c r="BD137" s="136" t="str">
        <f>CONCATENATE(_05preva_view43[[#This Row],[Site ID]]," (",_05preva_view43[[#This Row],[tenant id]],") Application",IF(_05preva_view43[[#This Row],[Colo Rev]]&gt;0," Rev "&amp;_05preva_view43[[#This Row],[Colo Rev]],""),".xlsx")</f>
        <v>1-01-01010-003 (KCN00441) Application Rev 1.xlsx</v>
      </c>
      <c r="BE137" s="64" t="e">
        <f t="shared" ca="1" si="3"/>
        <v>#VALUE!</v>
      </c>
      <c r="BF137" s="104" t="e">
        <f ca="1">LEFT(CELL("filename",A122),_05preva_view43[[#This Row],[Find Process &amp; Database]]-1)</f>
        <v>#VALUE!</v>
      </c>
      <c r="BG137" s="104" t="e">
        <f ca="1">_05preva_view43[Folder Path1]&amp;"Process &amp; Database\Documentation\Colo Applications"</f>
        <v>#VALUE!</v>
      </c>
      <c r="BH137" s="104" t="e">
        <f ca="1">_05preva_view43[Folder Path2]&amp;"\Colo App "&amp;_05preva_view43[[#This Row],[Operator]]&amp;"\"</f>
        <v>#VALUE!</v>
      </c>
      <c r="BI137" s="63" t="e">
        <f ca="1">_05preva_view43[[#This Row],[Folder Path3]]&amp;_05preva_view43[[#This Row],[File Name]]</f>
        <v>#VALUE!</v>
      </c>
      <c r="BJ137" s="104"/>
      <c r="BK137" s="3"/>
      <c r="BL137" s="3"/>
      <c r="CJ137" s="5"/>
      <c r="CK137" s="5"/>
      <c r="CL137" s="3"/>
      <c r="CN137" s="5"/>
      <c r="CR137" s="3"/>
      <c r="CS137" s="3"/>
      <c r="CT137" s="5"/>
      <c r="CV137" s="3"/>
      <c r="DR137" s="5"/>
      <c r="DT137" s="3"/>
      <c r="EF137" s="7"/>
      <c r="EG137" s="7"/>
      <c r="EJ137" s="4"/>
      <c r="EK137" s="4"/>
      <c r="EU137" s="2"/>
      <c r="EV137" s="2"/>
    </row>
    <row r="138" spans="1:152">
      <c r="A138" s="125">
        <v>3520</v>
      </c>
      <c r="B138" s="126" t="s">
        <v>274</v>
      </c>
      <c r="C138" s="126" t="s">
        <v>116</v>
      </c>
      <c r="D138" s="126" t="s">
        <v>127</v>
      </c>
      <c r="E138" s="126" t="s">
        <v>1714</v>
      </c>
      <c r="F138" s="126" t="s">
        <v>35</v>
      </c>
      <c r="G138" s="126" t="s">
        <v>1577</v>
      </c>
      <c r="H138" s="126" t="s">
        <v>1580</v>
      </c>
      <c r="I138" s="126" t="s">
        <v>1715</v>
      </c>
      <c r="J138" s="126" t="s">
        <v>949</v>
      </c>
      <c r="K138" s="127">
        <v>43452</v>
      </c>
      <c r="L138" s="128">
        <v>1.175</v>
      </c>
      <c r="M138" s="128">
        <v>2.1389999999999998</v>
      </c>
      <c r="N138" s="126">
        <v>4.32</v>
      </c>
      <c r="O138" s="126" t="s">
        <v>119</v>
      </c>
      <c r="P138" s="129" t="s">
        <v>705</v>
      </c>
      <c r="Q138" s="129" t="s">
        <v>1062</v>
      </c>
      <c r="R138" s="126" t="s">
        <v>24</v>
      </c>
      <c r="S138" s="126"/>
      <c r="T138" s="130" t="s">
        <v>120</v>
      </c>
      <c r="U138" s="126" t="s">
        <v>1707</v>
      </c>
      <c r="V138" s="130" t="s">
        <v>120</v>
      </c>
      <c r="W138" s="126"/>
      <c r="X138" s="130" t="s">
        <v>120</v>
      </c>
      <c r="Y138" s="126" t="s">
        <v>1716</v>
      </c>
      <c r="Z138" s="165" t="s">
        <v>120</v>
      </c>
      <c r="AA138" s="158"/>
      <c r="AB138" s="158"/>
      <c r="AC138" s="170" t="s">
        <v>123</v>
      </c>
      <c r="AD138" s="126" t="s">
        <v>1717</v>
      </c>
      <c r="AE138" s="130" t="s">
        <v>120</v>
      </c>
      <c r="AF138" s="127"/>
      <c r="AG138" s="131"/>
      <c r="AH138" s="131"/>
      <c r="AI138" s="126"/>
      <c r="AJ138" s="130" t="s">
        <v>120</v>
      </c>
      <c r="AK138" s="126" t="s">
        <v>123</v>
      </c>
      <c r="AL138" s="126" t="s">
        <v>1198</v>
      </c>
      <c r="AM138" s="130"/>
      <c r="AN138" s="126"/>
      <c r="AO138" s="132"/>
      <c r="AP138" s="126"/>
      <c r="AQ138" s="126"/>
      <c r="AR138" s="130"/>
      <c r="AS138" s="126"/>
      <c r="AT138" s="127">
        <v>43453.414155555598</v>
      </c>
      <c r="AU138" s="127">
        <v>43479.735416666699</v>
      </c>
      <c r="AV138" s="127">
        <v>43454.6677239583</v>
      </c>
      <c r="AW138" s="127">
        <v>43453.414155555598</v>
      </c>
      <c r="AX138" s="127">
        <v>43460.6041184028</v>
      </c>
      <c r="AY138" s="127">
        <v>43453.669993518502</v>
      </c>
      <c r="AZ138" s="133">
        <v>43480.437796527804</v>
      </c>
      <c r="BA138" s="134">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B138" s="135">
        <f>COUNTIFS(_05preva_view43[Site ID],_05preva_view43[[#This Row],[Site ID]],_05preva_view43[Prevalidation Status],"Under Prevalidation")</f>
        <v>0</v>
      </c>
      <c r="BC138" s="157" t="e">
        <f ca="1">HYPERLINK(CheckPath(_05preva_view43[[#This Row],[File Path]],_05preva_view43[[#This Row],[File Path]],_05preva_view43[[#This Row],[Folder Path3]]),CheckPath(_05preva_view43[[#This Row],[File Path]],"Open File","No File"))</f>
        <v>#VALUE!</v>
      </c>
      <c r="BD138" s="136" t="str">
        <f>CONCATENATE(_05preva_view43[[#This Row],[Site ID]]," (",_05preva_view43[[#This Row],[tenant id]],") Application",IF(_05preva_view43[[#This Row],[Colo Rev]]&gt;0," Rev "&amp;_05preva_view43[[#This Row],[Colo Rev]],""),".xlsx")</f>
        <v>ANKC_0017 (KCN00564) Application Rev 2.xlsx</v>
      </c>
      <c r="BE138" s="64" t="e">
        <f t="shared" ca="1" si="3"/>
        <v>#VALUE!</v>
      </c>
      <c r="BF138" s="104" t="e">
        <f ca="1">LEFT(CELL("filename",A123),_05preva_view43[[#This Row],[Find Process &amp; Database]]-1)</f>
        <v>#VALUE!</v>
      </c>
      <c r="BG138" s="104" t="e">
        <f ca="1">_05preva_view43[Folder Path1]&amp;"Process &amp; Database\Documentation\Colo Applications"</f>
        <v>#VALUE!</v>
      </c>
      <c r="BH138" s="104" t="e">
        <f ca="1">_05preva_view43[Folder Path2]&amp;"\Colo App "&amp;_05preva_view43[[#This Row],[Operator]]&amp;"\"</f>
        <v>#VALUE!</v>
      </c>
      <c r="BI138" s="63" t="e">
        <f ca="1">_05preva_view43[[#This Row],[Folder Path3]]&amp;_05preva_view43[[#This Row],[File Name]]</f>
        <v>#VALUE!</v>
      </c>
      <c r="BJ138" s="104"/>
      <c r="BK138" s="3"/>
      <c r="BL138" s="3"/>
      <c r="CJ138" s="5"/>
      <c r="CK138" s="5"/>
      <c r="CL138" s="3"/>
      <c r="CN138" s="5"/>
      <c r="CR138" s="3"/>
      <c r="CS138" s="3"/>
      <c r="CT138" s="5"/>
      <c r="CV138" s="3"/>
      <c r="DR138" s="5"/>
      <c r="DT138" s="3"/>
      <c r="EF138" s="7"/>
      <c r="EG138" s="7"/>
      <c r="EJ138" s="4"/>
      <c r="EK138" s="4"/>
      <c r="EU138" s="2"/>
      <c r="EV138" s="2"/>
    </row>
    <row r="139" spans="1:152">
      <c r="A139" s="125">
        <v>3512</v>
      </c>
      <c r="B139" s="126" t="s">
        <v>1718</v>
      </c>
      <c r="C139" s="126" t="s">
        <v>331</v>
      </c>
      <c r="D139" s="126" t="s">
        <v>117</v>
      </c>
      <c r="E139" s="126" t="s">
        <v>1719</v>
      </c>
      <c r="F139" s="126" t="s">
        <v>35</v>
      </c>
      <c r="G139" s="126" t="s">
        <v>1583</v>
      </c>
      <c r="H139" s="126" t="s">
        <v>1575</v>
      </c>
      <c r="I139" s="126" t="s">
        <v>1053</v>
      </c>
      <c r="J139" s="126" t="s">
        <v>990</v>
      </c>
      <c r="K139" s="127">
        <v>43451</v>
      </c>
      <c r="L139" s="128">
        <v>3.44</v>
      </c>
      <c r="M139" s="128">
        <v>4.3</v>
      </c>
      <c r="N139" s="126">
        <v>7.63</v>
      </c>
      <c r="O139" s="126" t="s">
        <v>950</v>
      </c>
      <c r="P139" s="129" t="s">
        <v>276</v>
      </c>
      <c r="Q139" s="129" t="s">
        <v>1018</v>
      </c>
      <c r="R139" s="126" t="s">
        <v>24</v>
      </c>
      <c r="S139" s="126"/>
      <c r="T139" s="130" t="s">
        <v>861</v>
      </c>
      <c r="U139" s="126"/>
      <c r="V139" s="130" t="s">
        <v>120</v>
      </c>
      <c r="W139" s="126"/>
      <c r="X139" s="130" t="s">
        <v>120</v>
      </c>
      <c r="Y139" s="126" t="s">
        <v>1720</v>
      </c>
      <c r="Z139" s="165" t="s">
        <v>120</v>
      </c>
      <c r="AA139" s="158"/>
      <c r="AB139" s="158"/>
      <c r="AC139" s="170" t="s">
        <v>123</v>
      </c>
      <c r="AD139" s="126" t="s">
        <v>1721</v>
      </c>
      <c r="AE139" s="130" t="s">
        <v>120</v>
      </c>
      <c r="AF139" s="127" t="s">
        <v>1722</v>
      </c>
      <c r="AG139" s="131"/>
      <c r="AH139" s="131"/>
      <c r="AI139" s="126" t="s">
        <v>1597</v>
      </c>
      <c r="AJ139" s="130" t="s">
        <v>120</v>
      </c>
      <c r="AK139" s="126" t="s">
        <v>123</v>
      </c>
      <c r="AL139" s="126" t="s">
        <v>1198</v>
      </c>
      <c r="AM139" s="130"/>
      <c r="AN139" s="126"/>
      <c r="AO139" s="132"/>
      <c r="AP139" s="126"/>
      <c r="AQ139" s="126"/>
      <c r="AR139" s="130"/>
      <c r="AS139" s="126"/>
      <c r="AT139" s="127">
        <v>43452.439615162002</v>
      </c>
      <c r="AU139" s="127">
        <v>43452.507346527796</v>
      </c>
      <c r="AV139" s="127">
        <v>43452.672315625001</v>
      </c>
      <c r="AW139" s="127">
        <v>43452.439615162002</v>
      </c>
      <c r="AX139" s="127"/>
      <c r="AY139" s="127">
        <v>43451.729554513899</v>
      </c>
      <c r="AZ139" s="133">
        <v>43453.663835300897</v>
      </c>
      <c r="BA139" s="134">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B139" s="135">
        <f>COUNTIFS(_05preva_view43[Site ID],_05preva_view43[[#This Row],[Site ID]],_05preva_view43[Prevalidation Status],"Under Prevalidation")</f>
        <v>0</v>
      </c>
      <c r="BC139" s="157" t="e">
        <f ca="1">HYPERLINK(CheckPath(_05preva_view43[[#This Row],[File Path]],_05preva_view43[[#This Row],[File Path]],_05preva_view43[[#This Row],[Folder Path3]]),CheckPath(_05preva_view43[[#This Row],[File Path]],"Open File","No File"))</f>
        <v>#VALUE!</v>
      </c>
      <c r="BD139" s="136" t="str">
        <f>CONCATENATE(_05preva_view43[[#This Row],[Site ID]]," (",_05preva_view43[[#This Row],[tenant id]],") Application",IF(_05preva_view43[[#This Row],[Colo Rev]]&gt;0," Rev "&amp;_05preva_view43[[#This Row],[Colo Rev]],""),".xlsx")</f>
        <v>1-01-14001-010 (SHS00100) Application Rev 3.xlsx</v>
      </c>
      <c r="BE139" s="64" t="e">
        <f t="shared" ca="1" si="3"/>
        <v>#VALUE!</v>
      </c>
      <c r="BF139" s="104" t="e">
        <f ca="1">LEFT(CELL("filename",A124),_05preva_view43[[#This Row],[Find Process &amp; Database]]-1)</f>
        <v>#VALUE!</v>
      </c>
      <c r="BG139" s="104" t="e">
        <f ca="1">_05preva_view43[Folder Path1]&amp;"Process &amp; Database\Documentation\Colo Applications"</f>
        <v>#VALUE!</v>
      </c>
      <c r="BH139" s="104" t="e">
        <f ca="1">_05preva_view43[Folder Path2]&amp;"\Colo App "&amp;_05preva_view43[[#This Row],[Operator]]&amp;"\"</f>
        <v>#VALUE!</v>
      </c>
      <c r="BI139" s="63" t="e">
        <f ca="1">_05preva_view43[[#This Row],[Folder Path3]]&amp;_05preva_view43[[#This Row],[File Name]]</f>
        <v>#VALUE!</v>
      </c>
      <c r="BJ139" s="104"/>
      <c r="BK139" s="3"/>
      <c r="BL139" s="3"/>
      <c r="CJ139" s="5"/>
      <c r="CK139" s="5"/>
      <c r="CL139" s="3"/>
      <c r="CN139" s="5"/>
      <c r="CR139" s="3"/>
      <c r="CS139" s="3"/>
      <c r="CT139" s="5"/>
      <c r="CV139" s="3"/>
      <c r="DR139" s="5"/>
      <c r="DT139" s="3"/>
      <c r="EF139" s="7"/>
      <c r="EG139" s="7"/>
      <c r="EJ139" s="4"/>
      <c r="EK139" s="4"/>
      <c r="EU139" s="2"/>
      <c r="EV139" s="2"/>
    </row>
    <row r="140" spans="1:152">
      <c r="A140" s="125">
        <v>3513</v>
      </c>
      <c r="B140" s="126" t="s">
        <v>1141</v>
      </c>
      <c r="C140" s="126" t="s">
        <v>331</v>
      </c>
      <c r="D140" s="126" t="s">
        <v>117</v>
      </c>
      <c r="E140" s="126" t="s">
        <v>1142</v>
      </c>
      <c r="F140" s="126" t="s">
        <v>35</v>
      </c>
      <c r="G140" s="126" t="s">
        <v>1584</v>
      </c>
      <c r="H140" s="126" t="s">
        <v>1580</v>
      </c>
      <c r="I140" s="126" t="s">
        <v>1144</v>
      </c>
      <c r="J140" s="126" t="s">
        <v>957</v>
      </c>
      <c r="K140" s="127">
        <v>43451</v>
      </c>
      <c r="L140" s="128">
        <v>0.58399999999999996</v>
      </c>
      <c r="M140" s="128">
        <v>0.879</v>
      </c>
      <c r="N140" s="126"/>
      <c r="O140" s="126" t="s">
        <v>950</v>
      </c>
      <c r="P140" s="129" t="s">
        <v>1028</v>
      </c>
      <c r="Q140" s="129" t="s">
        <v>1029</v>
      </c>
      <c r="R140" s="126" t="s">
        <v>24</v>
      </c>
      <c r="S140" s="126"/>
      <c r="T140" s="130" t="s">
        <v>861</v>
      </c>
      <c r="U140" s="126"/>
      <c r="V140" s="130" t="s">
        <v>861</v>
      </c>
      <c r="W140" s="126"/>
      <c r="X140" s="130" t="s">
        <v>861</v>
      </c>
      <c r="Y140" s="126"/>
      <c r="Z140" s="165" t="s">
        <v>861</v>
      </c>
      <c r="AA140" s="158"/>
      <c r="AB140" s="158"/>
      <c r="AC140" s="170"/>
      <c r="AD140" s="126"/>
      <c r="AE140" s="130" t="s">
        <v>120</v>
      </c>
      <c r="AF140" s="127" t="s">
        <v>1723</v>
      </c>
      <c r="AG140" s="131"/>
      <c r="AH140" s="131"/>
      <c r="AI140" s="126"/>
      <c r="AJ140" s="130" t="s">
        <v>861</v>
      </c>
      <c r="AK140" s="126"/>
      <c r="AL140" s="126"/>
      <c r="AM140" s="130"/>
      <c r="AN140" s="126"/>
      <c r="AO140" s="132"/>
      <c r="AP140" s="126"/>
      <c r="AQ140" s="126"/>
      <c r="AR140" s="130"/>
      <c r="AS140" s="126"/>
      <c r="AT140" s="127"/>
      <c r="AU140" s="127">
        <v>43452.5073486111</v>
      </c>
      <c r="AV140" s="127"/>
      <c r="AW140" s="127"/>
      <c r="AX140" s="127"/>
      <c r="AY140" s="127"/>
      <c r="AZ140" s="133">
        <v>43452.584178935198</v>
      </c>
      <c r="BA140" s="134">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B140" s="135">
        <f>COUNTIFS(_05preva_view43[Site ID],_05preva_view43[[#This Row],[Site ID]],_05preva_view43[Prevalidation Status],"Under Prevalidation")</f>
        <v>0</v>
      </c>
      <c r="BC140" s="157" t="e">
        <f ca="1">HYPERLINK(CheckPath(_05preva_view43[[#This Row],[File Path]],_05preva_view43[[#This Row],[File Path]],_05preva_view43[[#This Row],[Folder Path3]]),CheckPath(_05preva_view43[[#This Row],[File Path]],"Open File","No File"))</f>
        <v>#VALUE!</v>
      </c>
      <c r="BD140" s="136" t="str">
        <f>CONCATENATE(_05preva_view43[[#This Row],[Site ID]]," (",_05preva_view43[[#This Row],[tenant id]],") Application",IF(_05preva_view43[[#This Row],[Colo Rev]]&gt;0," Rev "&amp;_05preva_view43[[#This Row],[Colo Rev]],""),".xlsx")</f>
        <v>1-01-04007-009 (CHN00225) Application Rev 4.xlsx</v>
      </c>
      <c r="BE140" s="64" t="e">
        <f t="shared" ca="1" si="3"/>
        <v>#VALUE!</v>
      </c>
      <c r="BF140" s="104" t="e">
        <f ca="1">LEFT(CELL("filename",A125),_05preva_view43[[#This Row],[Find Process &amp; Database]]-1)</f>
        <v>#VALUE!</v>
      </c>
      <c r="BG140" s="104" t="e">
        <f ca="1">_05preva_view43[Folder Path1]&amp;"Process &amp; Database\Documentation\Colo Applications"</f>
        <v>#VALUE!</v>
      </c>
      <c r="BH140" s="104" t="e">
        <f ca="1">_05preva_view43[Folder Path2]&amp;"\Colo App "&amp;_05preva_view43[[#This Row],[Operator]]&amp;"\"</f>
        <v>#VALUE!</v>
      </c>
      <c r="BI140" s="63" t="e">
        <f ca="1">_05preva_view43[[#This Row],[Folder Path3]]&amp;_05preva_view43[[#This Row],[File Name]]</f>
        <v>#VALUE!</v>
      </c>
      <c r="BJ140" s="104"/>
      <c r="BK140" s="3"/>
      <c r="BL140" s="3"/>
      <c r="CJ140" s="5"/>
      <c r="CK140" s="5"/>
      <c r="CL140" s="3"/>
      <c r="CN140" s="5"/>
      <c r="CR140" s="3"/>
      <c r="CS140" s="3"/>
      <c r="CT140" s="5"/>
      <c r="CV140" s="3"/>
      <c r="DR140" s="5"/>
      <c r="DT140" s="3"/>
      <c r="EF140" s="7"/>
      <c r="EG140" s="7"/>
      <c r="EJ140" s="4"/>
      <c r="EK140" s="4"/>
      <c r="EU140" s="2"/>
      <c r="EV140" s="2"/>
    </row>
    <row r="141" spans="1:152">
      <c r="A141" s="125">
        <v>3514</v>
      </c>
      <c r="B141" s="126" t="s">
        <v>1724</v>
      </c>
      <c r="C141" s="126" t="s">
        <v>331</v>
      </c>
      <c r="D141" s="126" t="s">
        <v>127</v>
      </c>
      <c r="E141" s="126" t="s">
        <v>1725</v>
      </c>
      <c r="F141" s="126" t="s">
        <v>35</v>
      </c>
      <c r="G141" s="126" t="s">
        <v>1583</v>
      </c>
      <c r="H141" s="126" t="s">
        <v>1580</v>
      </c>
      <c r="I141" s="126" t="s">
        <v>1252</v>
      </c>
      <c r="J141" s="126" t="s">
        <v>931</v>
      </c>
      <c r="K141" s="127">
        <v>43451</v>
      </c>
      <c r="L141" s="128">
        <v>1</v>
      </c>
      <c r="M141" s="128">
        <v>1.4</v>
      </c>
      <c r="N141" s="126"/>
      <c r="O141" s="126" t="s">
        <v>950</v>
      </c>
      <c r="P141" s="129" t="s">
        <v>968</v>
      </c>
      <c r="Q141" s="129" t="s">
        <v>969</v>
      </c>
      <c r="R141" s="126" t="s">
        <v>24</v>
      </c>
      <c r="S141" s="126"/>
      <c r="T141" s="130" t="s">
        <v>861</v>
      </c>
      <c r="U141" s="126"/>
      <c r="V141" s="130" t="s">
        <v>861</v>
      </c>
      <c r="W141" s="126"/>
      <c r="X141" s="130" t="s">
        <v>861</v>
      </c>
      <c r="Y141" s="126"/>
      <c r="Z141" s="165" t="s">
        <v>861</v>
      </c>
      <c r="AA141" s="158"/>
      <c r="AB141" s="158"/>
      <c r="AC141" s="170"/>
      <c r="AD141" s="126"/>
      <c r="AE141" s="130" t="s">
        <v>120</v>
      </c>
      <c r="AF141" s="127" t="s">
        <v>1726</v>
      </c>
      <c r="AG141" s="131"/>
      <c r="AH141" s="131"/>
      <c r="AI141" s="126" t="s">
        <v>1727</v>
      </c>
      <c r="AJ141" s="130" t="s">
        <v>861</v>
      </c>
      <c r="AK141" s="126"/>
      <c r="AL141" s="126"/>
      <c r="AM141" s="130"/>
      <c r="AN141" s="126"/>
      <c r="AO141" s="132"/>
      <c r="AP141" s="126"/>
      <c r="AQ141" s="126"/>
      <c r="AR141" s="130"/>
      <c r="AS141" s="126"/>
      <c r="AT141" s="127"/>
      <c r="AU141" s="127">
        <v>43452.507353472203</v>
      </c>
      <c r="AV141" s="127"/>
      <c r="AW141" s="127"/>
      <c r="AX141" s="127"/>
      <c r="AY141" s="127"/>
      <c r="AZ141" s="133">
        <v>43452.584182638901</v>
      </c>
      <c r="BA141" s="134">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B141" s="135">
        <f>COUNTIFS(_05preva_view43[Site ID],_05preva_view43[[#This Row],[Site ID]],_05preva_view43[Prevalidation Status],"Under Prevalidation")</f>
        <v>0</v>
      </c>
      <c r="BC141" s="157" t="e">
        <f ca="1">HYPERLINK(CheckPath(_05preva_view43[[#This Row],[File Path]],_05preva_view43[[#This Row],[File Path]],_05preva_view43[[#This Row],[Folder Path3]]),CheckPath(_05preva_view43[[#This Row],[File Path]],"Open File","No File"))</f>
        <v>#VALUE!</v>
      </c>
      <c r="BD141" s="136" t="str">
        <f>CONCATENATE(_05preva_view43[[#This Row],[Site ID]]," (",_05preva_view43[[#This Row],[tenant id]],") Application",IF(_05preva_view43[[#This Row],[Colo Rev]]&gt;0," Rev "&amp;_05preva_view43[[#This Row],[Colo Rev]],""),".xlsx")</f>
        <v>1-01-10009-003 (MDY01362) Application Rev 1.xlsx</v>
      </c>
      <c r="BE141" s="64" t="e">
        <f t="shared" ca="1" si="3"/>
        <v>#VALUE!</v>
      </c>
      <c r="BF141" s="104" t="e">
        <f ca="1">LEFT(CELL("filename",A126),_05preva_view43[[#This Row],[Find Process &amp; Database]]-1)</f>
        <v>#VALUE!</v>
      </c>
      <c r="BG141" s="104" t="e">
        <f ca="1">_05preva_view43[Folder Path1]&amp;"Process &amp; Database\Documentation\Colo Applications"</f>
        <v>#VALUE!</v>
      </c>
      <c r="BH141" s="104" t="e">
        <f ca="1">_05preva_view43[Folder Path2]&amp;"\Colo App "&amp;_05preva_view43[[#This Row],[Operator]]&amp;"\"</f>
        <v>#VALUE!</v>
      </c>
      <c r="BI141" s="63" t="e">
        <f ca="1">_05preva_view43[[#This Row],[Folder Path3]]&amp;_05preva_view43[[#This Row],[File Name]]</f>
        <v>#VALUE!</v>
      </c>
      <c r="BJ141" s="104"/>
      <c r="BK141" s="3"/>
      <c r="BL141" s="3"/>
      <c r="CJ141" s="5"/>
      <c r="CK141" s="5"/>
      <c r="CL141" s="3"/>
      <c r="CN141" s="5"/>
      <c r="CR141" s="3"/>
      <c r="CS141" s="3"/>
      <c r="CT141" s="5"/>
      <c r="CV141" s="3"/>
      <c r="DR141" s="5"/>
      <c r="DT141" s="3"/>
      <c r="EF141" s="7"/>
      <c r="EG141" s="7"/>
      <c r="EJ141" s="4"/>
      <c r="EK141" s="4"/>
      <c r="EU141" s="2"/>
      <c r="EV141" s="2"/>
    </row>
    <row r="142" spans="1:152">
      <c r="A142" s="125">
        <v>3515</v>
      </c>
      <c r="B142" s="126" t="s">
        <v>1682</v>
      </c>
      <c r="C142" s="126" t="s">
        <v>331</v>
      </c>
      <c r="D142" s="126" t="s">
        <v>127</v>
      </c>
      <c r="E142" s="126" t="s">
        <v>1683</v>
      </c>
      <c r="F142" s="126" t="s">
        <v>35</v>
      </c>
      <c r="G142" s="126" t="s">
        <v>1583</v>
      </c>
      <c r="H142" s="126" t="s">
        <v>1575</v>
      </c>
      <c r="I142" s="126" t="s">
        <v>1120</v>
      </c>
      <c r="J142" s="126" t="s">
        <v>949</v>
      </c>
      <c r="K142" s="127">
        <v>43451</v>
      </c>
      <c r="L142" s="128">
        <v>1</v>
      </c>
      <c r="M142" s="128">
        <v>1.4</v>
      </c>
      <c r="N142" s="126">
        <v>4.97</v>
      </c>
      <c r="O142" s="126" t="s">
        <v>950</v>
      </c>
      <c r="P142" s="129" t="s">
        <v>958</v>
      </c>
      <c r="Q142" s="129" t="s">
        <v>959</v>
      </c>
      <c r="R142" s="126" t="s">
        <v>24</v>
      </c>
      <c r="S142" s="126"/>
      <c r="T142" s="130" t="s">
        <v>861</v>
      </c>
      <c r="U142" s="126"/>
      <c r="V142" s="130" t="s">
        <v>120</v>
      </c>
      <c r="W142" s="126"/>
      <c r="X142" s="130" t="s">
        <v>120</v>
      </c>
      <c r="Y142" s="126" t="s">
        <v>1728</v>
      </c>
      <c r="Z142" s="165" t="s">
        <v>120</v>
      </c>
      <c r="AA142" s="158"/>
      <c r="AB142" s="158"/>
      <c r="AC142" s="170" t="s">
        <v>123</v>
      </c>
      <c r="AD142" s="126" t="s">
        <v>1729</v>
      </c>
      <c r="AE142" s="130" t="s">
        <v>861</v>
      </c>
      <c r="AF142" s="127"/>
      <c r="AG142" s="131"/>
      <c r="AH142" s="131"/>
      <c r="AI142" s="126"/>
      <c r="AJ142" s="130" t="s">
        <v>120</v>
      </c>
      <c r="AK142" s="126" t="s">
        <v>123</v>
      </c>
      <c r="AL142" s="126" t="s">
        <v>1198</v>
      </c>
      <c r="AM142" s="130"/>
      <c r="AN142" s="126"/>
      <c r="AO142" s="132"/>
      <c r="AP142" s="126"/>
      <c r="AQ142" s="126"/>
      <c r="AR142" s="130"/>
      <c r="AS142" s="126"/>
      <c r="AT142" s="127">
        <v>43452.439618286997</v>
      </c>
      <c r="AU142" s="127"/>
      <c r="AV142" s="127">
        <v>43452.644825347197</v>
      </c>
      <c r="AW142" s="127">
        <v>43452.439618286997</v>
      </c>
      <c r="AX142" s="127"/>
      <c r="AY142" s="127">
        <v>43451.727060995399</v>
      </c>
      <c r="AZ142" s="133">
        <v>43452.7045194444</v>
      </c>
      <c r="BA142" s="134">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B142" s="135">
        <f>COUNTIFS(_05preva_view43[Site ID],_05preva_view43[[#This Row],[Site ID]],_05preva_view43[Prevalidation Status],"Under Prevalidation")</f>
        <v>0</v>
      </c>
      <c r="BC142" s="157" t="e">
        <f ca="1">HYPERLINK(CheckPath(_05preva_view43[[#This Row],[File Path]],_05preva_view43[[#This Row],[File Path]],_05preva_view43[[#This Row],[Folder Path3]]),CheckPath(_05preva_view43[[#This Row],[File Path]],"Open File","No File"))</f>
        <v>#VALUE!</v>
      </c>
      <c r="BD142" s="136" t="str">
        <f>CONCATENATE(_05preva_view43[[#This Row],[Site ID]]," (",_05preva_view43[[#This Row],[tenant id]],") Application",IF(_05preva_view43[[#This Row],[Colo Rev]]&gt;0," Rev "&amp;_05preva_view43[[#This Row],[Colo Rev]],""),".xlsx")</f>
        <v>1-01-14007-016 (SHN00079) Application Rev 2.xlsx</v>
      </c>
      <c r="BE142" s="64" t="e">
        <f t="shared" ca="1" si="3"/>
        <v>#VALUE!</v>
      </c>
      <c r="BF142" s="104" t="e">
        <f ca="1">LEFT(CELL("filename",A127),_05preva_view43[[#This Row],[Find Process &amp; Database]]-1)</f>
        <v>#VALUE!</v>
      </c>
      <c r="BG142" s="104" t="e">
        <f ca="1">_05preva_view43[Folder Path1]&amp;"Process &amp; Database\Documentation\Colo Applications"</f>
        <v>#VALUE!</v>
      </c>
      <c r="BH142" s="104" t="e">
        <f ca="1">_05preva_view43[Folder Path2]&amp;"\Colo App "&amp;_05preva_view43[[#This Row],[Operator]]&amp;"\"</f>
        <v>#VALUE!</v>
      </c>
      <c r="BI142" s="63" t="e">
        <f ca="1">_05preva_view43[[#This Row],[Folder Path3]]&amp;_05preva_view43[[#This Row],[File Name]]</f>
        <v>#VALUE!</v>
      </c>
      <c r="BJ142" s="104"/>
      <c r="BK142" s="3"/>
      <c r="BL142" s="3"/>
      <c r="CJ142" s="5"/>
      <c r="CK142" s="5"/>
      <c r="CL142" s="3"/>
      <c r="CN142" s="5"/>
      <c r="CR142" s="3"/>
      <c r="CS142" s="3"/>
      <c r="CT142" s="5"/>
      <c r="CV142" s="3"/>
      <c r="DR142" s="5"/>
      <c r="DT142" s="3"/>
      <c r="EF142" s="7"/>
      <c r="EG142" s="7"/>
      <c r="EJ142" s="4"/>
      <c r="EK142" s="4"/>
      <c r="EU142" s="2"/>
      <c r="EV142" s="2"/>
    </row>
    <row r="143" spans="1:152">
      <c r="A143" s="125">
        <v>3498</v>
      </c>
      <c r="B143" s="126" t="s">
        <v>1549</v>
      </c>
      <c r="C143" s="126" t="s">
        <v>331</v>
      </c>
      <c r="D143" s="126" t="s">
        <v>163</v>
      </c>
      <c r="E143" s="126" t="s">
        <v>1550</v>
      </c>
      <c r="F143" s="126" t="s">
        <v>35</v>
      </c>
      <c r="G143" s="126" t="s">
        <v>1583</v>
      </c>
      <c r="H143" s="126" t="s">
        <v>1575</v>
      </c>
      <c r="I143" s="126" t="s">
        <v>1551</v>
      </c>
      <c r="J143" s="126" t="s">
        <v>957</v>
      </c>
      <c r="K143" s="127">
        <v>43447</v>
      </c>
      <c r="L143" s="128">
        <v>1.68</v>
      </c>
      <c r="M143" s="128">
        <v>2.1</v>
      </c>
      <c r="N143" s="126">
        <v>2.9449999999999998</v>
      </c>
      <c r="O143" s="126" t="s">
        <v>950</v>
      </c>
      <c r="P143" s="129" t="s">
        <v>958</v>
      </c>
      <c r="Q143" s="129" t="s">
        <v>959</v>
      </c>
      <c r="R143" s="126" t="s">
        <v>24</v>
      </c>
      <c r="S143" s="126"/>
      <c r="T143" s="130" t="s">
        <v>861</v>
      </c>
      <c r="U143" s="126"/>
      <c r="V143" s="130" t="s">
        <v>120</v>
      </c>
      <c r="W143" s="126"/>
      <c r="X143" s="130" t="s">
        <v>120</v>
      </c>
      <c r="Y143" s="126" t="s">
        <v>1587</v>
      </c>
      <c r="Z143" s="165" t="s">
        <v>120</v>
      </c>
      <c r="AA143" s="158"/>
      <c r="AB143" s="158"/>
      <c r="AC143" s="170" t="s">
        <v>123</v>
      </c>
      <c r="AD143" s="126" t="s">
        <v>1598</v>
      </c>
      <c r="AE143" s="130" t="s">
        <v>120</v>
      </c>
      <c r="AF143" s="127" t="s">
        <v>1730</v>
      </c>
      <c r="AG143" s="131"/>
      <c r="AH143" s="131"/>
      <c r="AI143" s="126" t="s">
        <v>1588</v>
      </c>
      <c r="AJ143" s="130" t="s">
        <v>120</v>
      </c>
      <c r="AK143" s="126" t="s">
        <v>123</v>
      </c>
      <c r="AL143" s="126" t="s">
        <v>1198</v>
      </c>
      <c r="AM143" s="130"/>
      <c r="AN143" s="126"/>
      <c r="AO143" s="132"/>
      <c r="AP143" s="126"/>
      <c r="AQ143" s="126"/>
      <c r="AR143" s="130"/>
      <c r="AS143" s="126"/>
      <c r="AT143" s="127">
        <v>43447.75481875</v>
      </c>
      <c r="AU143" s="127">
        <v>43451.370478472199</v>
      </c>
      <c r="AV143" s="127">
        <v>43448.476636111103</v>
      </c>
      <c r="AW143" s="127">
        <v>43447.75481875</v>
      </c>
      <c r="AX143" s="127"/>
      <c r="AY143" s="127">
        <v>43447.715323842604</v>
      </c>
      <c r="AZ143" s="133">
        <v>43451.4114646991</v>
      </c>
      <c r="BA143" s="134">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B143" s="135">
        <f>COUNTIFS(_05preva_view43[Site ID],_05preva_view43[[#This Row],[Site ID]],_05preva_view43[Prevalidation Status],"Under Prevalidation")</f>
        <v>0</v>
      </c>
      <c r="BC143" s="157" t="e">
        <f ca="1">HYPERLINK(CheckPath(_05preva_view43[[#This Row],[File Path]],_05preva_view43[[#This Row],[File Path]],_05preva_view43[[#This Row],[Folder Path3]]),CheckPath(_05preva_view43[[#This Row],[File Path]],"Open File","No File"))</f>
        <v>#VALUE!</v>
      </c>
      <c r="BD143" s="136" t="str">
        <f>CONCATENATE(_05preva_view43[[#This Row],[Site ID]]," (",_05preva_view43[[#This Row],[tenant id]],") Application",IF(_05preva_view43[[#This Row],[Colo Rev]]&gt;0," Rev "&amp;_05preva_view43[[#This Row],[Colo Rev]],""),".xlsx")</f>
        <v>1-01-17007-005 (AWD00484) Application Rev 4.xlsx</v>
      </c>
      <c r="BE143" s="64" t="e">
        <f t="shared" ca="1" si="3"/>
        <v>#VALUE!</v>
      </c>
      <c r="BF143" s="104" t="e">
        <f ca="1">LEFT(CELL("filename",A128),_05preva_view43[[#This Row],[Find Process &amp; Database]]-1)</f>
        <v>#VALUE!</v>
      </c>
      <c r="BG143" s="104" t="e">
        <f ca="1">_05preva_view43[Folder Path1]&amp;"Process &amp; Database\Documentation\Colo Applications"</f>
        <v>#VALUE!</v>
      </c>
      <c r="BH143" s="104" t="e">
        <f ca="1">_05preva_view43[Folder Path2]&amp;"\Colo App "&amp;_05preva_view43[[#This Row],[Operator]]&amp;"\"</f>
        <v>#VALUE!</v>
      </c>
      <c r="BI143" s="63" t="e">
        <f ca="1">_05preva_view43[[#This Row],[Folder Path3]]&amp;_05preva_view43[[#This Row],[File Name]]</f>
        <v>#VALUE!</v>
      </c>
      <c r="BJ143" s="104"/>
      <c r="BK143" s="3"/>
      <c r="BL143" s="3"/>
      <c r="CJ143" s="5"/>
      <c r="CK143" s="5"/>
      <c r="CL143" s="3"/>
      <c r="CN143" s="5"/>
      <c r="CR143" s="3"/>
      <c r="CS143" s="3"/>
      <c r="CT143" s="5"/>
      <c r="CV143" s="3"/>
      <c r="DR143" s="5"/>
      <c r="DT143" s="3"/>
      <c r="EF143" s="7"/>
      <c r="EG143" s="7"/>
      <c r="EJ143" s="4"/>
      <c r="EK143" s="4"/>
      <c r="EU143" s="2"/>
      <c r="EV143" s="2"/>
    </row>
    <row r="144" spans="1:152">
      <c r="A144" s="125">
        <v>3499</v>
      </c>
      <c r="B144" s="126" t="s">
        <v>1552</v>
      </c>
      <c r="C144" s="126" t="s">
        <v>331</v>
      </c>
      <c r="D144" s="126" t="s">
        <v>117</v>
      </c>
      <c r="E144" s="126" t="s">
        <v>1553</v>
      </c>
      <c r="F144" s="126" t="s">
        <v>35</v>
      </c>
      <c r="G144" s="126" t="s">
        <v>1583</v>
      </c>
      <c r="H144" s="126" t="s">
        <v>1575</v>
      </c>
      <c r="I144" s="126" t="s">
        <v>1551</v>
      </c>
      <c r="J144" s="126" t="s">
        <v>949</v>
      </c>
      <c r="K144" s="127">
        <v>43447</v>
      </c>
      <c r="L144" s="128">
        <v>2.16</v>
      </c>
      <c r="M144" s="128">
        <v>2.7</v>
      </c>
      <c r="N144" s="126">
        <v>4.45</v>
      </c>
      <c r="O144" s="126" t="s">
        <v>950</v>
      </c>
      <c r="P144" s="129" t="s">
        <v>958</v>
      </c>
      <c r="Q144" s="129" t="s">
        <v>959</v>
      </c>
      <c r="R144" s="126" t="s">
        <v>24</v>
      </c>
      <c r="S144" s="126"/>
      <c r="T144" s="130" t="s">
        <v>861</v>
      </c>
      <c r="U144" s="126"/>
      <c r="V144" s="130" t="s">
        <v>120</v>
      </c>
      <c r="W144" s="126"/>
      <c r="X144" s="130" t="s">
        <v>120</v>
      </c>
      <c r="Y144" s="126" t="s">
        <v>1589</v>
      </c>
      <c r="Z144" s="165" t="s">
        <v>120</v>
      </c>
      <c r="AA144" s="158"/>
      <c r="AB144" s="158"/>
      <c r="AC144" s="170" t="s">
        <v>123</v>
      </c>
      <c r="AD144" s="126" t="s">
        <v>1599</v>
      </c>
      <c r="AE144" s="130" t="s">
        <v>120</v>
      </c>
      <c r="AF144" s="127" t="s">
        <v>1731</v>
      </c>
      <c r="AG144" s="131"/>
      <c r="AH144" s="131"/>
      <c r="AI144" s="126" t="s">
        <v>1590</v>
      </c>
      <c r="AJ144" s="130" t="s">
        <v>120</v>
      </c>
      <c r="AK144" s="126" t="s">
        <v>123</v>
      </c>
      <c r="AL144" s="126" t="s">
        <v>1198</v>
      </c>
      <c r="AM144" s="130"/>
      <c r="AN144" s="126"/>
      <c r="AO144" s="132"/>
      <c r="AP144" s="126"/>
      <c r="AQ144" s="126"/>
      <c r="AR144" s="130"/>
      <c r="AS144" s="126"/>
      <c r="AT144" s="127">
        <v>43447.754820254602</v>
      </c>
      <c r="AU144" s="127">
        <v>43451.370479745397</v>
      </c>
      <c r="AV144" s="127">
        <v>43448.606992245397</v>
      </c>
      <c r="AW144" s="127">
        <v>43447.754820254602</v>
      </c>
      <c r="AX144" s="127"/>
      <c r="AY144" s="127">
        <v>43447.715324768498</v>
      </c>
      <c r="AZ144" s="133">
        <v>43451.411465393503</v>
      </c>
      <c r="BA144" s="134">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B144" s="135">
        <f>COUNTIFS(_05preva_view43[Site ID],_05preva_view43[[#This Row],[Site ID]],_05preva_view43[Prevalidation Status],"Under Prevalidation")</f>
        <v>0</v>
      </c>
      <c r="BC144" s="157" t="e">
        <f ca="1">HYPERLINK(CheckPath(_05preva_view43[[#This Row],[File Path]],_05preva_view43[[#This Row],[File Path]],_05preva_view43[[#This Row],[Folder Path3]]),CheckPath(_05preva_view43[[#This Row],[File Path]],"Open File","No File"))</f>
        <v>#VALUE!</v>
      </c>
      <c r="BD144" s="136" t="str">
        <f>CONCATENATE(_05preva_view43[[#This Row],[Site ID]]," (",_05preva_view43[[#This Row],[tenant id]],") Application",IF(_05preva_view43[[#This Row],[Colo Rev]]&gt;0," Rev "&amp;_05preva_view43[[#This Row],[Colo Rev]],""),".xlsx")</f>
        <v>1-01-02003-003 (KYH00055) Application Rev 2.xlsx</v>
      </c>
      <c r="BE144" s="64" t="e">
        <f t="shared" ref="BE144:BE207" ca="1" si="4">FIND("Process &amp; Database\",CELL("filename",$A$1))</f>
        <v>#VALUE!</v>
      </c>
      <c r="BF144" s="104" t="e">
        <f ca="1">LEFT(CELL("filename",A129),_05preva_view43[[#This Row],[Find Process &amp; Database]]-1)</f>
        <v>#VALUE!</v>
      </c>
      <c r="BG144" s="104" t="e">
        <f ca="1">_05preva_view43[Folder Path1]&amp;"Process &amp; Database\Documentation\Colo Applications"</f>
        <v>#VALUE!</v>
      </c>
      <c r="BH144" s="104" t="e">
        <f ca="1">_05preva_view43[Folder Path2]&amp;"\Colo App "&amp;_05preva_view43[[#This Row],[Operator]]&amp;"\"</f>
        <v>#VALUE!</v>
      </c>
      <c r="BI144" s="63" t="e">
        <f ca="1">_05preva_view43[[#This Row],[Folder Path3]]&amp;_05preva_view43[[#This Row],[File Name]]</f>
        <v>#VALUE!</v>
      </c>
      <c r="BJ144" s="104"/>
      <c r="BK144" s="3"/>
      <c r="BL144" s="3"/>
      <c r="CJ144" s="5"/>
      <c r="CK144" s="5"/>
      <c r="CL144" s="3"/>
      <c r="CN144" s="5"/>
      <c r="CR144" s="3"/>
      <c r="CS144" s="3"/>
      <c r="CT144" s="5"/>
      <c r="CV144" s="3"/>
      <c r="DR144" s="5"/>
      <c r="DT144" s="3"/>
      <c r="EF144" s="7"/>
      <c r="EG144" s="7"/>
      <c r="EJ144" s="4"/>
      <c r="EK144" s="4"/>
      <c r="EU144" s="2"/>
      <c r="EV144" s="2"/>
    </row>
    <row r="145" spans="1:152">
      <c r="A145" s="125">
        <v>3500</v>
      </c>
      <c r="B145" s="126" t="s">
        <v>1554</v>
      </c>
      <c r="C145" s="126" t="s">
        <v>331</v>
      </c>
      <c r="D145" s="126" t="s">
        <v>163</v>
      </c>
      <c r="E145" s="126" t="s">
        <v>1555</v>
      </c>
      <c r="F145" s="126" t="s">
        <v>35</v>
      </c>
      <c r="G145" s="126" t="s">
        <v>1583</v>
      </c>
      <c r="H145" s="126" t="s">
        <v>1575</v>
      </c>
      <c r="I145" s="126" t="s">
        <v>1048</v>
      </c>
      <c r="J145" s="126" t="s">
        <v>949</v>
      </c>
      <c r="K145" s="127">
        <v>43447</v>
      </c>
      <c r="L145" s="128">
        <v>3.36</v>
      </c>
      <c r="M145" s="128">
        <v>4.8</v>
      </c>
      <c r="N145" s="126">
        <v>4.8600000000000003</v>
      </c>
      <c r="O145" s="126" t="s">
        <v>950</v>
      </c>
      <c r="P145" s="129" t="s">
        <v>880</v>
      </c>
      <c r="Q145" s="129" t="s">
        <v>910</v>
      </c>
      <c r="R145" s="126" t="s">
        <v>24</v>
      </c>
      <c r="S145" s="126"/>
      <c r="T145" s="130" t="s">
        <v>861</v>
      </c>
      <c r="U145" s="126"/>
      <c r="V145" s="130" t="s">
        <v>120</v>
      </c>
      <c r="W145" s="126"/>
      <c r="X145" s="130" t="s">
        <v>120</v>
      </c>
      <c r="Y145" s="126" t="s">
        <v>1591</v>
      </c>
      <c r="Z145" s="165" t="s">
        <v>120</v>
      </c>
      <c r="AA145" s="158"/>
      <c r="AB145" s="158"/>
      <c r="AC145" s="170" t="s">
        <v>123</v>
      </c>
      <c r="AD145" s="126" t="s">
        <v>1600</v>
      </c>
      <c r="AE145" s="130" t="s">
        <v>120</v>
      </c>
      <c r="AF145" s="127" t="s">
        <v>1732</v>
      </c>
      <c r="AG145" s="131"/>
      <c r="AH145" s="131"/>
      <c r="AI145" s="126" t="s">
        <v>1597</v>
      </c>
      <c r="AJ145" s="130" t="s">
        <v>120</v>
      </c>
      <c r="AK145" s="126" t="s">
        <v>123</v>
      </c>
      <c r="AL145" s="126" t="s">
        <v>1198</v>
      </c>
      <c r="AM145" s="130"/>
      <c r="AN145" s="126"/>
      <c r="AO145" s="132"/>
      <c r="AP145" s="126"/>
      <c r="AQ145" s="126"/>
      <c r="AR145" s="130"/>
      <c r="AS145" s="126"/>
      <c r="AT145" s="127">
        <v>43447.754822222203</v>
      </c>
      <c r="AU145" s="127">
        <v>43451.3704804398</v>
      </c>
      <c r="AV145" s="127">
        <v>43448.687077893497</v>
      </c>
      <c r="AW145" s="127">
        <v>43447.754822222203</v>
      </c>
      <c r="AX145" s="127"/>
      <c r="AY145" s="127">
        <v>43452.557504398203</v>
      </c>
      <c r="AZ145" s="133">
        <v>43452.584172800904</v>
      </c>
      <c r="BA145" s="134">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B145" s="135">
        <f>COUNTIFS(_05preva_view43[Site ID],_05preva_view43[[#This Row],[Site ID]],_05preva_view43[Prevalidation Status],"Under Prevalidation")</f>
        <v>0</v>
      </c>
      <c r="BC145" s="157" t="e">
        <f ca="1">HYPERLINK(CheckPath(_05preva_view43[[#This Row],[File Path]],_05preva_view43[[#This Row],[File Path]],_05preva_view43[[#This Row],[Folder Path3]]),CheckPath(_05preva_view43[[#This Row],[File Path]],"Open File","No File"))</f>
        <v>#VALUE!</v>
      </c>
      <c r="BD145" s="136" t="str">
        <f>CONCATENATE(_05preva_view43[[#This Row],[Site ID]]," (",_05preva_view43[[#This Row],[tenant id]],") Application",IF(_05preva_view43[[#This Row],[Colo Rev]]&gt;0," Rev "&amp;_05preva_view43[[#This Row],[Colo Rev]],""),".xlsx")</f>
        <v>1-01-03001-001 (KYN00267) Application Rev 2.xlsx</v>
      </c>
      <c r="BE145" s="64" t="e">
        <f t="shared" ca="1" si="4"/>
        <v>#VALUE!</v>
      </c>
      <c r="BF145" s="104" t="e">
        <f ca="1">LEFT(CELL("filename",A130),_05preva_view43[[#This Row],[Find Process &amp; Database]]-1)</f>
        <v>#VALUE!</v>
      </c>
      <c r="BG145" s="104" t="e">
        <f ca="1">_05preva_view43[Folder Path1]&amp;"Process &amp; Database\Documentation\Colo Applications"</f>
        <v>#VALUE!</v>
      </c>
      <c r="BH145" s="104" t="e">
        <f ca="1">_05preva_view43[Folder Path2]&amp;"\Colo App "&amp;_05preva_view43[[#This Row],[Operator]]&amp;"\"</f>
        <v>#VALUE!</v>
      </c>
      <c r="BI145" s="63" t="e">
        <f ca="1">_05preva_view43[[#This Row],[Folder Path3]]&amp;_05preva_view43[[#This Row],[File Name]]</f>
        <v>#VALUE!</v>
      </c>
      <c r="BJ145" s="104"/>
      <c r="BK145" s="3"/>
      <c r="BL145" s="3"/>
      <c r="CJ145" s="5"/>
      <c r="CK145" s="5"/>
      <c r="CL145" s="3"/>
      <c r="CN145" s="5"/>
      <c r="CR145" s="3"/>
      <c r="CS145" s="3"/>
      <c r="CT145" s="5"/>
      <c r="CV145" s="3"/>
      <c r="DR145" s="5"/>
      <c r="DT145" s="3"/>
      <c r="EF145" s="7"/>
      <c r="EG145" s="7"/>
      <c r="EJ145" s="4"/>
      <c r="EK145" s="4"/>
      <c r="EU145" s="2"/>
      <c r="EV145" s="2"/>
    </row>
    <row r="146" spans="1:152">
      <c r="A146" s="125">
        <v>3501</v>
      </c>
      <c r="B146" s="126" t="s">
        <v>1556</v>
      </c>
      <c r="C146" s="126" t="s">
        <v>331</v>
      </c>
      <c r="D146" s="126" t="s">
        <v>117</v>
      </c>
      <c r="E146" s="126" t="s">
        <v>1557</v>
      </c>
      <c r="F146" s="126" t="s">
        <v>35</v>
      </c>
      <c r="G146" s="126" t="s">
        <v>1583</v>
      </c>
      <c r="H146" s="126" t="s">
        <v>1575</v>
      </c>
      <c r="I146" s="126" t="s">
        <v>1263</v>
      </c>
      <c r="J146" s="126" t="s">
        <v>931</v>
      </c>
      <c r="K146" s="127">
        <v>43447</v>
      </c>
      <c r="L146" s="128">
        <v>1.054</v>
      </c>
      <c r="M146" s="128">
        <v>1.522</v>
      </c>
      <c r="N146" s="126">
        <v>4.6900000000000004</v>
      </c>
      <c r="O146" s="126" t="s">
        <v>950</v>
      </c>
      <c r="P146" s="129" t="s">
        <v>1062</v>
      </c>
      <c r="Q146" s="129" t="s">
        <v>958</v>
      </c>
      <c r="R146" s="126" t="s">
        <v>24</v>
      </c>
      <c r="S146" s="126"/>
      <c r="T146" s="130" t="s">
        <v>861</v>
      </c>
      <c r="U146" s="126"/>
      <c r="V146" s="130" t="s">
        <v>120</v>
      </c>
      <c r="W146" s="126"/>
      <c r="X146" s="130" t="s">
        <v>120</v>
      </c>
      <c r="Y146" s="126" t="s">
        <v>1592</v>
      </c>
      <c r="Z146" s="165" t="s">
        <v>120</v>
      </c>
      <c r="AA146" s="158"/>
      <c r="AB146" s="158"/>
      <c r="AC146" s="170" t="s">
        <v>123</v>
      </c>
      <c r="AD146" s="126" t="s">
        <v>1601</v>
      </c>
      <c r="AE146" s="130" t="s">
        <v>120</v>
      </c>
      <c r="AF146" s="127"/>
      <c r="AG146" s="131"/>
      <c r="AH146" s="131"/>
      <c r="AI146" s="126"/>
      <c r="AJ146" s="130" t="s">
        <v>120</v>
      </c>
      <c r="AK146" s="126" t="s">
        <v>123</v>
      </c>
      <c r="AL146" s="126" t="s">
        <v>1198</v>
      </c>
      <c r="AM146" s="130"/>
      <c r="AN146" s="126"/>
      <c r="AO146" s="132"/>
      <c r="AP146" s="126"/>
      <c r="AQ146" s="126"/>
      <c r="AR146" s="130"/>
      <c r="AS146" s="126"/>
      <c r="AT146" s="127">
        <v>43447.754823726798</v>
      </c>
      <c r="AU146" s="127">
        <v>43447.716965277803</v>
      </c>
      <c r="AV146" s="127">
        <v>43448.581684722201</v>
      </c>
      <c r="AW146" s="127">
        <v>43447.754823726798</v>
      </c>
      <c r="AX146" s="127"/>
      <c r="AY146" s="127">
        <v>43447.715326851903</v>
      </c>
      <c r="AZ146" s="133">
        <v>43448.727956481503</v>
      </c>
      <c r="BA146" s="134">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B146" s="135">
        <f>COUNTIFS(_05preva_view43[Site ID],_05preva_view43[[#This Row],[Site ID]],_05preva_view43[Prevalidation Status],"Under Prevalidation")</f>
        <v>0</v>
      </c>
      <c r="BC146" s="157" t="e">
        <f ca="1">HYPERLINK(CheckPath(_05preva_view43[[#This Row],[File Path]],_05preva_view43[[#This Row],[File Path]],_05preva_view43[[#This Row],[Folder Path3]]),CheckPath(_05preva_view43[[#This Row],[File Path]],"Open File","No File"))</f>
        <v>#VALUE!</v>
      </c>
      <c r="BD146" s="136" t="str">
        <f>CONCATENATE(_05preva_view43[[#This Row],[Site ID]]," (",_05preva_view43[[#This Row],[tenant id]],") Application",IF(_05preva_view43[[#This Row],[Colo Rev]]&gt;0," Rev "&amp;_05preva_view43[[#This Row],[Colo Rev]],""),".xlsx")</f>
        <v>1-01-09001-003 (MGW00148) Application Rev 1.xlsx</v>
      </c>
      <c r="BE146" s="64" t="e">
        <f t="shared" ca="1" si="4"/>
        <v>#VALUE!</v>
      </c>
      <c r="BF146" s="104" t="e">
        <f ca="1">LEFT(CELL("filename",A131),_05preva_view43[[#This Row],[Find Process &amp; Database]]-1)</f>
        <v>#VALUE!</v>
      </c>
      <c r="BG146" s="104" t="e">
        <f ca="1">_05preva_view43[Folder Path1]&amp;"Process &amp; Database\Documentation\Colo Applications"</f>
        <v>#VALUE!</v>
      </c>
      <c r="BH146" s="104" t="e">
        <f ca="1">_05preva_view43[Folder Path2]&amp;"\Colo App "&amp;_05preva_view43[[#This Row],[Operator]]&amp;"\"</f>
        <v>#VALUE!</v>
      </c>
      <c r="BI146" s="63" t="e">
        <f ca="1">_05preva_view43[[#This Row],[Folder Path3]]&amp;_05preva_view43[[#This Row],[File Name]]</f>
        <v>#VALUE!</v>
      </c>
      <c r="BJ146" s="104"/>
      <c r="BK146" s="3"/>
      <c r="BL146" s="3"/>
      <c r="CJ146" s="5"/>
      <c r="CK146" s="5"/>
      <c r="CL146" s="3"/>
      <c r="CN146" s="5"/>
      <c r="CR146" s="3"/>
      <c r="CS146" s="3"/>
      <c r="CT146" s="5"/>
      <c r="CV146" s="3"/>
      <c r="DR146" s="5"/>
      <c r="DT146" s="3"/>
      <c r="EF146" s="7"/>
      <c r="EG146" s="7"/>
      <c r="EJ146" s="4"/>
      <c r="EK146" s="4"/>
      <c r="EU146" s="2"/>
      <c r="EV146" s="2"/>
    </row>
    <row r="147" spans="1:152">
      <c r="A147" s="125">
        <v>3502</v>
      </c>
      <c r="B147" s="126" t="s">
        <v>1382</v>
      </c>
      <c r="C147" s="126" t="s">
        <v>331</v>
      </c>
      <c r="D147" s="126" t="s">
        <v>117</v>
      </c>
      <c r="E147" s="126" t="s">
        <v>1383</v>
      </c>
      <c r="F147" s="126" t="s">
        <v>35</v>
      </c>
      <c r="G147" s="126" t="s">
        <v>1583</v>
      </c>
      <c r="H147" s="126" t="s">
        <v>1575</v>
      </c>
      <c r="I147" s="126" t="s">
        <v>1053</v>
      </c>
      <c r="J147" s="126" t="s">
        <v>931</v>
      </c>
      <c r="K147" s="127">
        <v>43447</v>
      </c>
      <c r="L147" s="128">
        <v>2.3180000000000001</v>
      </c>
      <c r="M147" s="128">
        <v>4.3479999999999999</v>
      </c>
      <c r="N147" s="126">
        <v>3.56</v>
      </c>
      <c r="O147" s="126" t="s">
        <v>950</v>
      </c>
      <c r="P147" s="129" t="s">
        <v>1062</v>
      </c>
      <c r="Q147" s="129" t="s">
        <v>958</v>
      </c>
      <c r="R147" s="126" t="s">
        <v>24</v>
      </c>
      <c r="S147" s="126"/>
      <c r="T147" s="130" t="s">
        <v>861</v>
      </c>
      <c r="U147" s="126"/>
      <c r="V147" s="130" t="s">
        <v>120</v>
      </c>
      <c r="W147" s="126"/>
      <c r="X147" s="130" t="s">
        <v>120</v>
      </c>
      <c r="Y147" s="126" t="s">
        <v>1602</v>
      </c>
      <c r="Z147" s="165" t="s">
        <v>120</v>
      </c>
      <c r="AA147" s="158"/>
      <c r="AB147" s="158"/>
      <c r="AC147" s="170" t="s">
        <v>123</v>
      </c>
      <c r="AD147" s="126" t="s">
        <v>1603</v>
      </c>
      <c r="AE147" s="130" t="s">
        <v>120</v>
      </c>
      <c r="AF147" s="127" t="s">
        <v>1733</v>
      </c>
      <c r="AG147" s="131"/>
      <c r="AH147" s="131"/>
      <c r="AI147" s="126" t="s">
        <v>1597</v>
      </c>
      <c r="AJ147" s="130" t="s">
        <v>120</v>
      </c>
      <c r="AK147" s="126" t="s">
        <v>123</v>
      </c>
      <c r="AL147" s="126" t="s">
        <v>1198</v>
      </c>
      <c r="AM147" s="130"/>
      <c r="AN147" s="126"/>
      <c r="AO147" s="132"/>
      <c r="AP147" s="126"/>
      <c r="AQ147" s="126"/>
      <c r="AR147" s="130"/>
      <c r="AS147" s="126"/>
      <c r="AT147" s="127">
        <v>43447.754825231503</v>
      </c>
      <c r="AU147" s="127">
        <v>43451.370481828701</v>
      </c>
      <c r="AV147" s="127">
        <v>43448.581685416699</v>
      </c>
      <c r="AW147" s="127">
        <v>43447.754825231503</v>
      </c>
      <c r="AX147" s="127"/>
      <c r="AY147" s="127">
        <v>43447.715327777798</v>
      </c>
      <c r="AZ147" s="133">
        <v>43451.411466898098</v>
      </c>
      <c r="BA147" s="134">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B147" s="135">
        <f>COUNTIFS(_05preva_view43[Site ID],_05preva_view43[[#This Row],[Site ID]],_05preva_view43[Prevalidation Status],"Under Prevalidation")</f>
        <v>0</v>
      </c>
      <c r="BC147" s="157" t="e">
        <f ca="1">HYPERLINK(CheckPath(_05preva_view43[[#This Row],[File Path]],_05preva_view43[[#This Row],[File Path]],_05preva_view43[[#This Row],[Folder Path3]]),CheckPath(_05preva_view43[[#This Row],[File Path]],"Open File","No File"))</f>
        <v>#VALUE!</v>
      </c>
      <c r="BD147" s="136" t="str">
        <f>CONCATENATE(_05preva_view43[[#This Row],[Site ID]]," (",_05preva_view43[[#This Row],[tenant id]],") Application",IF(_05preva_view43[[#This Row],[Colo Rev]]&gt;0," Rev "&amp;_05preva_view43[[#This Row],[Colo Rev]],""),".xlsx")</f>
        <v>1-01-09017-004 (MGW00413) Application Rev 1.xlsx</v>
      </c>
      <c r="BE147" s="64" t="e">
        <f t="shared" ca="1" si="4"/>
        <v>#VALUE!</v>
      </c>
      <c r="BF147" s="104" t="e">
        <f ca="1">LEFT(CELL("filename",A132),_05preva_view43[[#This Row],[Find Process &amp; Database]]-1)</f>
        <v>#VALUE!</v>
      </c>
      <c r="BG147" s="104" t="e">
        <f ca="1">_05preva_view43[Folder Path1]&amp;"Process &amp; Database\Documentation\Colo Applications"</f>
        <v>#VALUE!</v>
      </c>
      <c r="BH147" s="104" t="e">
        <f ca="1">_05preva_view43[Folder Path2]&amp;"\Colo App "&amp;_05preva_view43[[#This Row],[Operator]]&amp;"\"</f>
        <v>#VALUE!</v>
      </c>
      <c r="BI147" s="63" t="e">
        <f ca="1">_05preva_view43[[#This Row],[Folder Path3]]&amp;_05preva_view43[[#This Row],[File Name]]</f>
        <v>#VALUE!</v>
      </c>
      <c r="BJ147" s="104"/>
      <c r="BK147" s="3"/>
      <c r="BL147" s="3"/>
      <c r="CJ147" s="5"/>
      <c r="CK147" s="5"/>
      <c r="CL147" s="3"/>
      <c r="CN147" s="5"/>
      <c r="CR147" s="3"/>
      <c r="CS147" s="3"/>
      <c r="CT147" s="5"/>
      <c r="CV147" s="3"/>
      <c r="DR147" s="5"/>
      <c r="DT147" s="3"/>
      <c r="EF147" s="7"/>
      <c r="EG147" s="7"/>
      <c r="EJ147" s="4"/>
      <c r="EK147" s="4"/>
      <c r="EU147" s="2"/>
      <c r="EV147" s="2"/>
    </row>
    <row r="148" spans="1:152">
      <c r="A148" s="125">
        <v>3503</v>
      </c>
      <c r="B148" s="126" t="s">
        <v>1558</v>
      </c>
      <c r="C148" s="126" t="s">
        <v>331</v>
      </c>
      <c r="D148" s="126" t="s">
        <v>127</v>
      </c>
      <c r="E148" s="126" t="s">
        <v>1559</v>
      </c>
      <c r="F148" s="126" t="s">
        <v>35</v>
      </c>
      <c r="G148" s="126" t="s">
        <v>1583</v>
      </c>
      <c r="H148" s="126" t="s">
        <v>1575</v>
      </c>
      <c r="I148" s="126" t="s">
        <v>1288</v>
      </c>
      <c r="J148" s="126" t="s">
        <v>931</v>
      </c>
      <c r="K148" s="127">
        <v>43447</v>
      </c>
      <c r="L148" s="128">
        <v>1.1080000000000001</v>
      </c>
      <c r="M148" s="128">
        <v>1.52</v>
      </c>
      <c r="N148" s="126">
        <v>3.11</v>
      </c>
      <c r="O148" s="126" t="s">
        <v>950</v>
      </c>
      <c r="P148" s="129" t="s">
        <v>958</v>
      </c>
      <c r="Q148" s="129" t="s">
        <v>959</v>
      </c>
      <c r="R148" s="126" t="s">
        <v>24</v>
      </c>
      <c r="S148" s="126"/>
      <c r="T148" s="130" t="s">
        <v>861</v>
      </c>
      <c r="U148" s="126"/>
      <c r="V148" s="130" t="s">
        <v>120</v>
      </c>
      <c r="W148" s="126"/>
      <c r="X148" s="130" t="s">
        <v>120</v>
      </c>
      <c r="Y148" s="126" t="s">
        <v>1604</v>
      </c>
      <c r="Z148" s="165" t="s">
        <v>120</v>
      </c>
      <c r="AA148" s="158"/>
      <c r="AB148" s="158"/>
      <c r="AC148" s="170" t="s">
        <v>123</v>
      </c>
      <c r="AD148" s="126" t="s">
        <v>1605</v>
      </c>
      <c r="AE148" s="130" t="s">
        <v>120</v>
      </c>
      <c r="AF148" s="127" t="s">
        <v>1734</v>
      </c>
      <c r="AG148" s="131"/>
      <c r="AH148" s="131"/>
      <c r="AI148" s="126" t="s">
        <v>1597</v>
      </c>
      <c r="AJ148" s="130" t="s">
        <v>120</v>
      </c>
      <c r="AK148" s="126" t="s">
        <v>123</v>
      </c>
      <c r="AL148" s="126" t="s">
        <v>1198</v>
      </c>
      <c r="AM148" s="130"/>
      <c r="AN148" s="126"/>
      <c r="AO148" s="132"/>
      <c r="AP148" s="126"/>
      <c r="AQ148" s="126"/>
      <c r="AR148" s="130"/>
      <c r="AS148" s="126"/>
      <c r="AT148" s="127">
        <v>43447.754826620403</v>
      </c>
      <c r="AU148" s="127">
        <v>43451.370482523103</v>
      </c>
      <c r="AV148" s="127">
        <v>43448.581686458303</v>
      </c>
      <c r="AW148" s="127">
        <v>43447.754826620403</v>
      </c>
      <c r="AX148" s="127"/>
      <c r="AY148" s="127">
        <v>43447.7153300926</v>
      </c>
      <c r="AZ148" s="133">
        <v>43451.411467708298</v>
      </c>
      <c r="BA148" s="134">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B148" s="135">
        <f>COUNTIFS(_05preva_view43[Site ID],_05preva_view43[[#This Row],[Site ID]],_05preva_view43[Prevalidation Status],"Under Prevalidation")</f>
        <v>0</v>
      </c>
      <c r="BC148" s="157" t="e">
        <f ca="1">HYPERLINK(CheckPath(_05preva_view43[[#This Row],[File Path]],_05preva_view43[[#This Row],[File Path]],_05preva_view43[[#This Row],[Folder Path3]]),CheckPath(_05preva_view43[[#This Row],[File Path]],"Open File","No File"))</f>
        <v>#VALUE!</v>
      </c>
      <c r="BD148" s="136" t="str">
        <f>CONCATENATE(_05preva_view43[[#This Row],[Site ID]]," (",_05preva_view43[[#This Row],[tenant id]],") Application",IF(_05preva_view43[[#This Row],[Colo Rev]]&gt;0," Rev "&amp;_05preva_view43[[#This Row],[Colo Rev]],""),".xlsx")</f>
        <v>1-01-05009-001 (SGG00235) Application Rev 1.xlsx</v>
      </c>
      <c r="BE148" s="64" t="e">
        <f t="shared" ca="1" si="4"/>
        <v>#VALUE!</v>
      </c>
      <c r="BF148" s="104" t="e">
        <f ca="1">LEFT(CELL("filename",A133),_05preva_view43[[#This Row],[Find Process &amp; Database]]-1)</f>
        <v>#VALUE!</v>
      </c>
      <c r="BG148" s="104" t="e">
        <f ca="1">_05preva_view43[Folder Path1]&amp;"Process &amp; Database\Documentation\Colo Applications"</f>
        <v>#VALUE!</v>
      </c>
      <c r="BH148" s="104" t="e">
        <f ca="1">_05preva_view43[Folder Path2]&amp;"\Colo App "&amp;_05preva_view43[[#This Row],[Operator]]&amp;"\"</f>
        <v>#VALUE!</v>
      </c>
      <c r="BI148" s="63" t="e">
        <f ca="1">_05preva_view43[[#This Row],[Folder Path3]]&amp;_05preva_view43[[#This Row],[File Name]]</f>
        <v>#VALUE!</v>
      </c>
      <c r="BJ148" s="104"/>
      <c r="BK148" s="3"/>
      <c r="BL148" s="3"/>
      <c r="CJ148" s="5"/>
      <c r="CK148" s="5"/>
      <c r="CL148" s="3"/>
      <c r="CN148" s="5"/>
      <c r="CR148" s="3"/>
      <c r="CS148" s="3"/>
      <c r="CT148" s="5"/>
      <c r="CV148" s="3"/>
      <c r="DR148" s="5"/>
      <c r="DT148" s="3"/>
      <c r="EF148" s="7"/>
      <c r="EG148" s="7"/>
      <c r="EJ148" s="4"/>
      <c r="EK148" s="4"/>
      <c r="EU148" s="2"/>
      <c r="EV148" s="2"/>
    </row>
    <row r="149" spans="1:152">
      <c r="A149" s="125">
        <v>3504</v>
      </c>
      <c r="B149" s="126" t="s">
        <v>1560</v>
      </c>
      <c r="C149" s="126" t="s">
        <v>331</v>
      </c>
      <c r="D149" s="126" t="s">
        <v>127</v>
      </c>
      <c r="E149" s="126" t="s">
        <v>1561</v>
      </c>
      <c r="F149" s="126" t="s">
        <v>35</v>
      </c>
      <c r="G149" s="126" t="s">
        <v>1583</v>
      </c>
      <c r="H149" s="126" t="s">
        <v>1575</v>
      </c>
      <c r="I149" s="126" t="s">
        <v>1288</v>
      </c>
      <c r="J149" s="126" t="s">
        <v>931</v>
      </c>
      <c r="K149" s="127">
        <v>43447</v>
      </c>
      <c r="L149" s="128">
        <v>1.399</v>
      </c>
      <c r="M149" s="128">
        <v>2.1989999999999998</v>
      </c>
      <c r="N149" s="126">
        <v>2.87</v>
      </c>
      <c r="O149" s="126" t="s">
        <v>950</v>
      </c>
      <c r="P149" s="129" t="s">
        <v>704</v>
      </c>
      <c r="Q149" s="129" t="s">
        <v>705</v>
      </c>
      <c r="R149" s="126" t="s">
        <v>24</v>
      </c>
      <c r="S149" s="126"/>
      <c r="T149" s="130" t="s">
        <v>861</v>
      </c>
      <c r="U149" s="126"/>
      <c r="V149" s="130" t="s">
        <v>120</v>
      </c>
      <c r="W149" s="126"/>
      <c r="X149" s="130" t="s">
        <v>120</v>
      </c>
      <c r="Y149" s="126" t="s">
        <v>1606</v>
      </c>
      <c r="Z149" s="165" t="s">
        <v>120</v>
      </c>
      <c r="AA149" s="158"/>
      <c r="AB149" s="158"/>
      <c r="AC149" s="170" t="s">
        <v>123</v>
      </c>
      <c r="AD149" s="126" t="s">
        <v>1735</v>
      </c>
      <c r="AE149" s="130" t="s">
        <v>120</v>
      </c>
      <c r="AF149" s="127" t="s">
        <v>1736</v>
      </c>
      <c r="AG149" s="131"/>
      <c r="AH149" s="131"/>
      <c r="AI149" s="126" t="s">
        <v>1593</v>
      </c>
      <c r="AJ149" s="130" t="s">
        <v>120</v>
      </c>
      <c r="AK149" s="126" t="s">
        <v>123</v>
      </c>
      <c r="AL149" s="126" t="s">
        <v>1198</v>
      </c>
      <c r="AM149" s="130"/>
      <c r="AN149" s="126"/>
      <c r="AO149" s="132"/>
      <c r="AP149" s="126"/>
      <c r="AQ149" s="126"/>
      <c r="AR149" s="130"/>
      <c r="AS149" s="126"/>
      <c r="AT149" s="127">
        <v>43447.754828009303</v>
      </c>
      <c r="AU149" s="127">
        <v>43447.716971180598</v>
      </c>
      <c r="AV149" s="127">
        <v>43451.553795486099</v>
      </c>
      <c r="AW149" s="127">
        <v>43447.754828009303</v>
      </c>
      <c r="AX149" s="127"/>
      <c r="AY149" s="127">
        <v>43447.715331828702</v>
      </c>
      <c r="AZ149" s="133">
        <v>43451.712500463</v>
      </c>
      <c r="BA149" s="134">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B149" s="135">
        <f>COUNTIFS(_05preva_view43[Site ID],_05preva_view43[[#This Row],[Site ID]],_05preva_view43[Prevalidation Status],"Under Prevalidation")</f>
        <v>0</v>
      </c>
      <c r="BC149" s="157" t="e">
        <f ca="1">HYPERLINK(CheckPath(_05preva_view43[[#This Row],[File Path]],_05preva_view43[[#This Row],[File Path]],_05preva_view43[[#This Row],[Folder Path3]]),CheckPath(_05preva_view43[[#This Row],[File Path]],"Open File","No File"))</f>
        <v>#VALUE!</v>
      </c>
      <c r="BD149" s="136" t="str">
        <f>CONCATENATE(_05preva_view43[[#This Row],[Site ID]]," (",_05preva_view43[[#This Row],[tenant id]],") Application",IF(_05preva_view43[[#This Row],[Colo Rev]]&gt;0," Rev "&amp;_05preva_view43[[#This Row],[Colo Rev]],""),".xlsx")</f>
        <v>1-01-05015-004 (SGG00765) Application Rev 1.xlsx</v>
      </c>
      <c r="BE149" s="64" t="e">
        <f t="shared" ca="1" si="4"/>
        <v>#VALUE!</v>
      </c>
      <c r="BF149" s="104" t="e">
        <f ca="1">LEFT(CELL("filename",A134),_05preva_view43[[#This Row],[Find Process &amp; Database]]-1)</f>
        <v>#VALUE!</v>
      </c>
      <c r="BG149" s="104" t="e">
        <f ca="1">_05preva_view43[Folder Path1]&amp;"Process &amp; Database\Documentation\Colo Applications"</f>
        <v>#VALUE!</v>
      </c>
      <c r="BH149" s="104" t="e">
        <f ca="1">_05preva_view43[Folder Path2]&amp;"\Colo App "&amp;_05preva_view43[[#This Row],[Operator]]&amp;"\"</f>
        <v>#VALUE!</v>
      </c>
      <c r="BI149" s="63" t="e">
        <f ca="1">_05preva_view43[[#This Row],[Folder Path3]]&amp;_05preva_view43[[#This Row],[File Name]]</f>
        <v>#VALUE!</v>
      </c>
      <c r="BJ149" s="104"/>
      <c r="BK149" s="3"/>
      <c r="BL149" s="3"/>
      <c r="CJ149" s="5"/>
      <c r="CK149" s="5"/>
      <c r="CL149" s="3"/>
      <c r="CN149" s="5"/>
      <c r="CR149" s="3"/>
      <c r="CS149" s="3"/>
      <c r="CT149" s="5"/>
      <c r="CV149" s="3"/>
      <c r="DR149" s="5"/>
      <c r="DT149" s="3"/>
      <c r="EF149" s="7"/>
      <c r="EG149" s="7"/>
      <c r="EJ149" s="4"/>
      <c r="EK149" s="4"/>
      <c r="EU149" s="2"/>
      <c r="EV149" s="2"/>
    </row>
    <row r="150" spans="1:152">
      <c r="A150" s="125">
        <v>3505</v>
      </c>
      <c r="B150" s="126" t="s">
        <v>954</v>
      </c>
      <c r="C150" s="126" t="s">
        <v>331</v>
      </c>
      <c r="D150" s="126" t="s">
        <v>117</v>
      </c>
      <c r="E150" s="126" t="s">
        <v>955</v>
      </c>
      <c r="F150" s="126" t="s">
        <v>35</v>
      </c>
      <c r="G150" s="126" t="s">
        <v>1583</v>
      </c>
      <c r="H150" s="126" t="s">
        <v>1575</v>
      </c>
      <c r="I150" s="126" t="s">
        <v>1551</v>
      </c>
      <c r="J150" s="126" t="s">
        <v>370</v>
      </c>
      <c r="K150" s="127">
        <v>43447</v>
      </c>
      <c r="L150" s="128">
        <v>3.44</v>
      </c>
      <c r="M150" s="128">
        <v>4.3</v>
      </c>
      <c r="N150" s="126">
        <v>4.55</v>
      </c>
      <c r="O150" s="126" t="s">
        <v>950</v>
      </c>
      <c r="P150" s="129" t="s">
        <v>958</v>
      </c>
      <c r="Q150" s="129" t="s">
        <v>959</v>
      </c>
      <c r="R150" s="126" t="s">
        <v>24</v>
      </c>
      <c r="S150" s="126"/>
      <c r="T150" s="130" t="s">
        <v>861</v>
      </c>
      <c r="U150" s="126"/>
      <c r="V150" s="130" t="s">
        <v>120</v>
      </c>
      <c r="W150" s="126"/>
      <c r="X150" s="130" t="s">
        <v>120</v>
      </c>
      <c r="Y150" s="126" t="s">
        <v>1607</v>
      </c>
      <c r="Z150" s="165" t="s">
        <v>120</v>
      </c>
      <c r="AA150" s="158"/>
      <c r="AB150" s="158"/>
      <c r="AC150" s="170" t="s">
        <v>123</v>
      </c>
      <c r="AD150" s="126" t="s">
        <v>1608</v>
      </c>
      <c r="AE150" s="130" t="s">
        <v>120</v>
      </c>
      <c r="AF150" s="127" t="s">
        <v>1734</v>
      </c>
      <c r="AG150" s="131"/>
      <c r="AH150" s="131"/>
      <c r="AI150" s="126" t="s">
        <v>1597</v>
      </c>
      <c r="AJ150" s="130" t="s">
        <v>120</v>
      </c>
      <c r="AK150" s="126" t="s">
        <v>123</v>
      </c>
      <c r="AL150" s="126" t="s">
        <v>1198</v>
      </c>
      <c r="AM150" s="130"/>
      <c r="AN150" s="126"/>
      <c r="AO150" s="132"/>
      <c r="AP150" s="126"/>
      <c r="AQ150" s="126"/>
      <c r="AR150" s="130"/>
      <c r="AS150" s="126"/>
      <c r="AT150" s="127">
        <v>43447.754829513899</v>
      </c>
      <c r="AU150" s="127">
        <v>43451.370484143503</v>
      </c>
      <c r="AV150" s="127">
        <v>43448.619258911996</v>
      </c>
      <c r="AW150" s="127">
        <v>43447.754829513899</v>
      </c>
      <c r="AX150" s="127"/>
      <c r="AY150" s="127">
        <v>43447.715332754597</v>
      </c>
      <c r="AZ150" s="133">
        <v>43451.4114694444</v>
      </c>
      <c r="BA150" s="134">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B150" s="135">
        <f>COUNTIFS(_05preva_view43[Site ID],_05preva_view43[[#This Row],[Site ID]],_05preva_view43[Prevalidation Status],"Under Prevalidation")</f>
        <v>0</v>
      </c>
      <c r="BC150" s="157" t="e">
        <f ca="1">HYPERLINK(CheckPath(_05preva_view43[[#This Row],[File Path]],_05preva_view43[[#This Row],[File Path]],_05preva_view43[[#This Row],[Folder Path3]]),CheckPath(_05preva_view43[[#This Row],[File Path]],"Open File","No File"))</f>
        <v>#VALUE!</v>
      </c>
      <c r="BD150" s="136" t="str">
        <f>CONCATENATE(_05preva_view43[[#This Row],[Site ID]]," (",_05preva_view43[[#This Row],[tenant id]],") Application",IF(_05preva_view43[[#This Row],[Colo Rev]]&gt;0," Rev "&amp;_05preva_view43[[#This Row],[Colo Rev]],""),".xlsx")</f>
        <v>1-01-16011-001 (SHE00089) Application Rev 6.xlsx</v>
      </c>
      <c r="BE150" s="64" t="e">
        <f t="shared" ca="1" si="4"/>
        <v>#VALUE!</v>
      </c>
      <c r="BF150" s="104" t="e">
        <f ca="1">LEFT(CELL("filename",A135),_05preva_view43[[#This Row],[Find Process &amp; Database]]-1)</f>
        <v>#VALUE!</v>
      </c>
      <c r="BG150" s="104" t="e">
        <f ca="1">_05preva_view43[Folder Path1]&amp;"Process &amp; Database\Documentation\Colo Applications"</f>
        <v>#VALUE!</v>
      </c>
      <c r="BH150" s="104" t="e">
        <f ca="1">_05preva_view43[Folder Path2]&amp;"\Colo App "&amp;_05preva_view43[[#This Row],[Operator]]&amp;"\"</f>
        <v>#VALUE!</v>
      </c>
      <c r="BI150" s="63" t="e">
        <f ca="1">_05preva_view43[[#This Row],[Folder Path3]]&amp;_05preva_view43[[#This Row],[File Name]]</f>
        <v>#VALUE!</v>
      </c>
      <c r="BJ150" s="104"/>
      <c r="BK150" s="3"/>
      <c r="BL150" s="3"/>
      <c r="CJ150" s="5"/>
      <c r="CK150" s="5"/>
      <c r="CL150" s="3"/>
      <c r="CN150" s="5"/>
      <c r="CR150" s="3"/>
      <c r="CS150" s="3"/>
      <c r="CT150" s="5"/>
      <c r="CV150" s="3"/>
      <c r="DR150" s="5"/>
      <c r="DT150" s="3"/>
      <c r="EF150" s="7"/>
      <c r="EG150" s="7"/>
      <c r="EJ150" s="4"/>
      <c r="EK150" s="4"/>
      <c r="EU150" s="2"/>
      <c r="EV150" s="2"/>
    </row>
    <row r="151" spans="1:152">
      <c r="A151" s="125">
        <v>3506</v>
      </c>
      <c r="B151" s="126" t="s">
        <v>1406</v>
      </c>
      <c r="C151" s="126" t="s">
        <v>331</v>
      </c>
      <c r="D151" s="126" t="s">
        <v>127</v>
      </c>
      <c r="E151" s="126" t="s">
        <v>1407</v>
      </c>
      <c r="F151" s="126" t="s">
        <v>35</v>
      </c>
      <c r="G151" s="126" t="s">
        <v>1583</v>
      </c>
      <c r="H151" s="126" t="s">
        <v>1575</v>
      </c>
      <c r="I151" s="126" t="s">
        <v>1053</v>
      </c>
      <c r="J151" s="126" t="s">
        <v>957</v>
      </c>
      <c r="K151" s="127">
        <v>43447</v>
      </c>
      <c r="L151" s="128">
        <v>1.1080000000000001</v>
      </c>
      <c r="M151" s="128">
        <v>1.5820000000000001</v>
      </c>
      <c r="N151" s="126">
        <v>5.87</v>
      </c>
      <c r="O151" s="126" t="s">
        <v>950</v>
      </c>
      <c r="P151" s="129" t="s">
        <v>1071</v>
      </c>
      <c r="Q151" s="129" t="s">
        <v>1072</v>
      </c>
      <c r="R151" s="126" t="s">
        <v>24</v>
      </c>
      <c r="S151" s="126"/>
      <c r="T151" s="130" t="s">
        <v>861</v>
      </c>
      <c r="U151" s="126"/>
      <c r="V151" s="130" t="s">
        <v>120</v>
      </c>
      <c r="W151" s="126"/>
      <c r="X151" s="130" t="s">
        <v>120</v>
      </c>
      <c r="Y151" s="126" t="s">
        <v>1609</v>
      </c>
      <c r="Z151" s="165" t="s">
        <v>120</v>
      </c>
      <c r="AA151" s="158"/>
      <c r="AB151" s="158"/>
      <c r="AC151" s="170" t="s">
        <v>123</v>
      </c>
      <c r="AD151" s="126" t="s">
        <v>1737</v>
      </c>
      <c r="AE151" s="130" t="s">
        <v>120</v>
      </c>
      <c r="AF151" s="127" t="s">
        <v>1738</v>
      </c>
      <c r="AG151" s="131"/>
      <c r="AH151" s="131"/>
      <c r="AI151" s="126" t="s">
        <v>1597</v>
      </c>
      <c r="AJ151" s="130" t="s">
        <v>120</v>
      </c>
      <c r="AK151" s="126" t="s">
        <v>123</v>
      </c>
      <c r="AL151" s="126" t="s">
        <v>1198</v>
      </c>
      <c r="AM151" s="130"/>
      <c r="AN151" s="126"/>
      <c r="AO151" s="132"/>
      <c r="AP151" s="126"/>
      <c r="AQ151" s="126"/>
      <c r="AR151" s="130"/>
      <c r="AS151" s="126"/>
      <c r="AT151" s="127">
        <v>43448.468701620397</v>
      </c>
      <c r="AU151" s="127">
        <v>43451.370484838</v>
      </c>
      <c r="AV151" s="127">
        <v>43451.553796180597</v>
      </c>
      <c r="AW151" s="127">
        <v>43448.468701620397</v>
      </c>
      <c r="AX151" s="127"/>
      <c r="AY151" s="127">
        <v>43447.715337499998</v>
      </c>
      <c r="AZ151" s="133">
        <v>43451.712501388902</v>
      </c>
      <c r="BA151" s="134">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B151" s="135">
        <f>COUNTIFS(_05preva_view43[Site ID],_05preva_view43[[#This Row],[Site ID]],_05preva_view43[Prevalidation Status],"Under Prevalidation")</f>
        <v>0</v>
      </c>
      <c r="BC151" s="157" t="e">
        <f ca="1">HYPERLINK(CheckPath(_05preva_view43[[#This Row],[File Path]],_05preva_view43[[#This Row],[File Path]],_05preva_view43[[#This Row],[Folder Path3]]),CheckPath(_05preva_view43[[#This Row],[File Path]],"Open File","No File"))</f>
        <v>#VALUE!</v>
      </c>
      <c r="BD151" s="136" t="str">
        <f>CONCATENATE(_05preva_view43[[#This Row],[Site ID]]," (",_05preva_view43[[#This Row],[tenant id]],") Application",IF(_05preva_view43[[#This Row],[Colo Rev]]&gt;0," Rev "&amp;_05preva_view43[[#This Row],[Colo Rev]],""),".xlsx")</f>
        <v>1-01-15012-004 (SHN00053) Application Rev 4.xlsx</v>
      </c>
      <c r="BE151" s="64" t="e">
        <f t="shared" ca="1" si="4"/>
        <v>#VALUE!</v>
      </c>
      <c r="BF151" s="104" t="e">
        <f ca="1">LEFT(CELL("filename",A136),_05preva_view43[[#This Row],[Find Process &amp; Database]]-1)</f>
        <v>#VALUE!</v>
      </c>
      <c r="BG151" s="104" t="e">
        <f ca="1">_05preva_view43[Folder Path1]&amp;"Process &amp; Database\Documentation\Colo Applications"</f>
        <v>#VALUE!</v>
      </c>
      <c r="BH151" s="104" t="e">
        <f ca="1">_05preva_view43[Folder Path2]&amp;"\Colo App "&amp;_05preva_view43[[#This Row],[Operator]]&amp;"\"</f>
        <v>#VALUE!</v>
      </c>
      <c r="BI151" s="63" t="e">
        <f ca="1">_05preva_view43[[#This Row],[Folder Path3]]&amp;_05preva_view43[[#This Row],[File Name]]</f>
        <v>#VALUE!</v>
      </c>
      <c r="BJ151" s="104"/>
      <c r="BK151" s="3"/>
      <c r="BL151" s="3"/>
      <c r="CJ151" s="5"/>
      <c r="CK151" s="5"/>
      <c r="CL151" s="3"/>
      <c r="CN151" s="5"/>
      <c r="CR151" s="3"/>
      <c r="CS151" s="3"/>
      <c r="CT151" s="5"/>
      <c r="CV151" s="3"/>
      <c r="DR151" s="5"/>
      <c r="DT151" s="3"/>
      <c r="EF151" s="7"/>
      <c r="EG151" s="7"/>
      <c r="EJ151" s="4"/>
      <c r="EK151" s="4"/>
      <c r="EU151" s="2"/>
      <c r="EV151" s="2"/>
    </row>
    <row r="152" spans="1:152">
      <c r="A152" s="125">
        <v>3507</v>
      </c>
      <c r="B152" s="126" t="s">
        <v>1562</v>
      </c>
      <c r="C152" s="126" t="s">
        <v>331</v>
      </c>
      <c r="D152" s="126" t="s">
        <v>127</v>
      </c>
      <c r="E152" s="126" t="s">
        <v>1563</v>
      </c>
      <c r="F152" s="126" t="s">
        <v>35</v>
      </c>
      <c r="G152" s="126" t="s">
        <v>1583</v>
      </c>
      <c r="H152" s="126" t="s">
        <v>1575</v>
      </c>
      <c r="I152" s="126" t="s">
        <v>1288</v>
      </c>
      <c r="J152" s="126" t="s">
        <v>931</v>
      </c>
      <c r="K152" s="127">
        <v>43447</v>
      </c>
      <c r="L152" s="128">
        <v>1.399</v>
      </c>
      <c r="M152" s="128">
        <v>2.2610000000000001</v>
      </c>
      <c r="N152" s="126">
        <v>5.6059999999999999</v>
      </c>
      <c r="O152" s="126" t="s">
        <v>950</v>
      </c>
      <c r="P152" s="129" t="s">
        <v>958</v>
      </c>
      <c r="Q152" s="129" t="s">
        <v>959</v>
      </c>
      <c r="R152" s="126" t="s">
        <v>24</v>
      </c>
      <c r="S152" s="126"/>
      <c r="T152" s="130" t="s">
        <v>861</v>
      </c>
      <c r="U152" s="126"/>
      <c r="V152" s="130" t="s">
        <v>120</v>
      </c>
      <c r="W152" s="126"/>
      <c r="X152" s="130" t="s">
        <v>120</v>
      </c>
      <c r="Y152" s="126" t="s">
        <v>1610</v>
      </c>
      <c r="Z152" s="165" t="s">
        <v>120</v>
      </c>
      <c r="AA152" s="158"/>
      <c r="AB152" s="158"/>
      <c r="AC152" s="170" t="s">
        <v>123</v>
      </c>
      <c r="AD152" s="126" t="s">
        <v>1739</v>
      </c>
      <c r="AE152" s="130" t="s">
        <v>120</v>
      </c>
      <c r="AF152" s="127" t="s">
        <v>1740</v>
      </c>
      <c r="AG152" s="131"/>
      <c r="AH152" s="131"/>
      <c r="AI152" s="126" t="s">
        <v>1594</v>
      </c>
      <c r="AJ152" s="130" t="s">
        <v>120</v>
      </c>
      <c r="AK152" s="126" t="s">
        <v>123</v>
      </c>
      <c r="AL152" s="126" t="s">
        <v>1198</v>
      </c>
      <c r="AM152" s="130"/>
      <c r="AN152" s="126"/>
      <c r="AO152" s="132"/>
      <c r="AP152" s="126"/>
      <c r="AQ152" s="126"/>
      <c r="AR152" s="130"/>
      <c r="AS152" s="126"/>
      <c r="AT152" s="127">
        <v>43448.468703935199</v>
      </c>
      <c r="AU152" s="127">
        <v>43451.370486458298</v>
      </c>
      <c r="AV152" s="127">
        <v>43451.639467824098</v>
      </c>
      <c r="AW152" s="127">
        <v>43448.468703935199</v>
      </c>
      <c r="AX152" s="127"/>
      <c r="AY152" s="127">
        <v>43447.715339351897</v>
      </c>
      <c r="AZ152" s="133">
        <v>43451.712502199101</v>
      </c>
      <c r="BA152" s="134">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B152" s="135">
        <f>COUNTIFS(_05preva_view43[Site ID],_05preva_view43[[#This Row],[Site ID]],_05preva_view43[Prevalidation Status],"Under Prevalidation")</f>
        <v>0</v>
      </c>
      <c r="BC152" s="157" t="e">
        <f ca="1">HYPERLINK(CheckPath(_05preva_view43[[#This Row],[File Path]],_05preva_view43[[#This Row],[File Path]],_05preva_view43[[#This Row],[Folder Path3]]),CheckPath(_05preva_view43[[#This Row],[File Path]],"Open File","No File"))</f>
        <v>#VALUE!</v>
      </c>
      <c r="BD152" s="136" t="str">
        <f>CONCATENATE(_05preva_view43[[#This Row],[Site ID]]," (",_05preva_view43[[#This Row],[tenant id]],") Application",IF(_05preva_view43[[#This Row],[Colo Rev]]&gt;0," Rev "&amp;_05preva_view43[[#This Row],[Colo Rev]],""),".xlsx")</f>
        <v>1-01-15013-008 (SHN00087) Application Rev 1.xlsx</v>
      </c>
      <c r="BE152" s="64" t="e">
        <f t="shared" ca="1" si="4"/>
        <v>#VALUE!</v>
      </c>
      <c r="BF152" s="104" t="e">
        <f ca="1">LEFT(CELL("filename",A137),_05preva_view43[[#This Row],[Find Process &amp; Database]]-1)</f>
        <v>#VALUE!</v>
      </c>
      <c r="BG152" s="104" t="e">
        <f ca="1">_05preva_view43[Folder Path1]&amp;"Process &amp; Database\Documentation\Colo Applications"</f>
        <v>#VALUE!</v>
      </c>
      <c r="BH152" s="104" t="e">
        <f ca="1">_05preva_view43[Folder Path2]&amp;"\Colo App "&amp;_05preva_view43[[#This Row],[Operator]]&amp;"\"</f>
        <v>#VALUE!</v>
      </c>
      <c r="BI152" s="63" t="e">
        <f ca="1">_05preva_view43[[#This Row],[Folder Path3]]&amp;_05preva_view43[[#This Row],[File Name]]</f>
        <v>#VALUE!</v>
      </c>
      <c r="BJ152" s="104"/>
      <c r="BK152" s="3"/>
      <c r="BL152" s="3"/>
      <c r="CJ152" s="5"/>
      <c r="CK152" s="5"/>
      <c r="CL152" s="3"/>
      <c r="CN152" s="5"/>
      <c r="CR152" s="3"/>
      <c r="CS152" s="3"/>
      <c r="CT152" s="5"/>
      <c r="CV152" s="3"/>
      <c r="DR152" s="5"/>
      <c r="DT152" s="3"/>
      <c r="EF152" s="7"/>
      <c r="EG152" s="7"/>
      <c r="EJ152" s="4"/>
      <c r="EK152" s="4"/>
      <c r="EU152" s="2"/>
      <c r="EV152" s="2"/>
    </row>
    <row r="153" spans="1:152">
      <c r="A153" s="125">
        <v>3508</v>
      </c>
      <c r="B153" s="126" t="s">
        <v>1564</v>
      </c>
      <c r="C153" s="126" t="s">
        <v>331</v>
      </c>
      <c r="D153" s="126" t="s">
        <v>163</v>
      </c>
      <c r="E153" s="126" t="s">
        <v>1565</v>
      </c>
      <c r="F153" s="126" t="s">
        <v>35</v>
      </c>
      <c r="G153" s="126" t="s">
        <v>1583</v>
      </c>
      <c r="H153" s="126" t="s">
        <v>1575</v>
      </c>
      <c r="I153" s="126" t="s">
        <v>1053</v>
      </c>
      <c r="J153" s="126" t="s">
        <v>949</v>
      </c>
      <c r="K153" s="127">
        <v>43447</v>
      </c>
      <c r="L153" s="128">
        <v>2.48</v>
      </c>
      <c r="M153" s="128">
        <v>3.1</v>
      </c>
      <c r="N153" s="126">
        <v>3.86</v>
      </c>
      <c r="O153" s="126" t="s">
        <v>950</v>
      </c>
      <c r="P153" s="129" t="s">
        <v>958</v>
      </c>
      <c r="Q153" s="129" t="s">
        <v>959</v>
      </c>
      <c r="R153" s="126" t="s">
        <v>24</v>
      </c>
      <c r="S153" s="126"/>
      <c r="T153" s="130" t="s">
        <v>861</v>
      </c>
      <c r="U153" s="126"/>
      <c r="V153" s="130" t="s">
        <v>120</v>
      </c>
      <c r="W153" s="126"/>
      <c r="X153" s="130" t="s">
        <v>120</v>
      </c>
      <c r="Y153" s="126" t="s">
        <v>1611</v>
      </c>
      <c r="Z153" s="165" t="s">
        <v>120</v>
      </c>
      <c r="AA153" s="158"/>
      <c r="AB153" s="158"/>
      <c r="AC153" s="170" t="s">
        <v>123</v>
      </c>
      <c r="AD153" s="126" t="s">
        <v>1741</v>
      </c>
      <c r="AE153" s="130" t="s">
        <v>120</v>
      </c>
      <c r="AF153" s="127" t="s">
        <v>1742</v>
      </c>
      <c r="AG153" s="131"/>
      <c r="AH153" s="131"/>
      <c r="AI153" s="126" t="s">
        <v>1597</v>
      </c>
      <c r="AJ153" s="130" t="s">
        <v>120</v>
      </c>
      <c r="AK153" s="126" t="s">
        <v>123</v>
      </c>
      <c r="AL153" s="126" t="s">
        <v>1198</v>
      </c>
      <c r="AM153" s="130"/>
      <c r="AN153" s="126"/>
      <c r="AO153" s="132"/>
      <c r="AP153" s="126"/>
      <c r="AQ153" s="126"/>
      <c r="AR153" s="130"/>
      <c r="AS153" s="126"/>
      <c r="AT153" s="127">
        <v>43448.468706250002</v>
      </c>
      <c r="AU153" s="127">
        <v>43451.370487268498</v>
      </c>
      <c r="AV153" s="127">
        <v>43451.655901157399</v>
      </c>
      <c r="AW153" s="127">
        <v>43448.468706250002</v>
      </c>
      <c r="AX153" s="127"/>
      <c r="AY153" s="127">
        <v>43447.715341203701</v>
      </c>
      <c r="AZ153" s="133">
        <v>43451.712503009301</v>
      </c>
      <c r="BA153" s="134">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B153" s="135">
        <f>COUNTIFS(_05preva_view43[Site ID],_05preva_view43[[#This Row],[Site ID]],_05preva_view43[Prevalidation Status],"Under Prevalidation")</f>
        <v>0</v>
      </c>
      <c r="BC153" s="157" t="e">
        <f ca="1">HYPERLINK(CheckPath(_05preva_view43[[#This Row],[File Path]],_05preva_view43[[#This Row],[File Path]],_05preva_view43[[#This Row],[Folder Path3]]),CheckPath(_05preva_view43[[#This Row],[File Path]],"Open File","No File"))</f>
        <v>#VALUE!</v>
      </c>
      <c r="BD153" s="136" t="str">
        <f>CONCATENATE(_05preva_view43[[#This Row],[Site ID]]," (",_05preva_view43[[#This Row],[tenant id]],") Application",IF(_05preva_view43[[#This Row],[Colo Rev]]&gt;0," Rev "&amp;_05preva_view43[[#This Row],[Colo Rev]],""),".xlsx")</f>
        <v>1-01-17016-011 (AWD00293) Application Rev 2.xlsx</v>
      </c>
      <c r="BE153" s="64" t="e">
        <f t="shared" ca="1" si="4"/>
        <v>#VALUE!</v>
      </c>
      <c r="BF153" s="104" t="e">
        <f ca="1">LEFT(CELL("filename",A138),_05preva_view43[[#This Row],[Find Process &amp; Database]]-1)</f>
        <v>#VALUE!</v>
      </c>
      <c r="BG153" s="104" t="e">
        <f ca="1">_05preva_view43[Folder Path1]&amp;"Process &amp; Database\Documentation\Colo Applications"</f>
        <v>#VALUE!</v>
      </c>
      <c r="BH153" s="104" t="e">
        <f ca="1">_05preva_view43[Folder Path2]&amp;"\Colo App "&amp;_05preva_view43[[#This Row],[Operator]]&amp;"\"</f>
        <v>#VALUE!</v>
      </c>
      <c r="BI153" s="63" t="e">
        <f ca="1">_05preva_view43[[#This Row],[Folder Path3]]&amp;_05preva_view43[[#This Row],[File Name]]</f>
        <v>#VALUE!</v>
      </c>
      <c r="BJ153" s="104"/>
      <c r="BK153" s="3"/>
      <c r="BL153" s="3"/>
      <c r="CJ153" s="5"/>
      <c r="CK153" s="5"/>
      <c r="CL153" s="3"/>
      <c r="CN153" s="5"/>
      <c r="CR153" s="3"/>
      <c r="CS153" s="3"/>
      <c r="CT153" s="5"/>
      <c r="CV153" s="3"/>
      <c r="DR153" s="5"/>
      <c r="DT153" s="3"/>
      <c r="EF153" s="7"/>
      <c r="EG153" s="7"/>
      <c r="EJ153" s="4"/>
      <c r="EK153" s="4"/>
      <c r="EU153" s="2"/>
      <c r="EV153" s="2"/>
    </row>
    <row r="154" spans="1:152">
      <c r="A154" s="125">
        <v>3509</v>
      </c>
      <c r="B154" s="126" t="s">
        <v>1566</v>
      </c>
      <c r="C154" s="126" t="s">
        <v>331</v>
      </c>
      <c r="D154" s="126" t="s">
        <v>163</v>
      </c>
      <c r="E154" s="126" t="s">
        <v>1567</v>
      </c>
      <c r="F154" s="126" t="s">
        <v>35</v>
      </c>
      <c r="G154" s="126" t="s">
        <v>1583</v>
      </c>
      <c r="H154" s="126" t="s">
        <v>1575</v>
      </c>
      <c r="I154" s="126" t="s">
        <v>1048</v>
      </c>
      <c r="J154" s="126" t="s">
        <v>931</v>
      </c>
      <c r="K154" s="127">
        <v>43447</v>
      </c>
      <c r="L154" s="128">
        <v>2.64</v>
      </c>
      <c r="M154" s="128">
        <v>3.3</v>
      </c>
      <c r="N154" s="126">
        <v>4.0949999999999998</v>
      </c>
      <c r="O154" s="126" t="s">
        <v>950</v>
      </c>
      <c r="P154" s="129" t="s">
        <v>1028</v>
      </c>
      <c r="Q154" s="129" t="s">
        <v>1029</v>
      </c>
      <c r="R154" s="126" t="s">
        <v>24</v>
      </c>
      <c r="S154" s="126"/>
      <c r="T154" s="130" t="s">
        <v>861</v>
      </c>
      <c r="U154" s="126"/>
      <c r="V154" s="130" t="s">
        <v>120</v>
      </c>
      <c r="W154" s="126"/>
      <c r="X154" s="130" t="s">
        <v>120</v>
      </c>
      <c r="Y154" s="126" t="s">
        <v>1612</v>
      </c>
      <c r="Z154" s="165" t="s">
        <v>120</v>
      </c>
      <c r="AA154" s="158"/>
      <c r="AB154" s="158"/>
      <c r="AC154" s="170" t="s">
        <v>123</v>
      </c>
      <c r="AD154" s="126" t="s">
        <v>1613</v>
      </c>
      <c r="AE154" s="130" t="s">
        <v>120</v>
      </c>
      <c r="AF154" s="127" t="s">
        <v>1743</v>
      </c>
      <c r="AG154" s="131"/>
      <c r="AH154" s="131"/>
      <c r="AI154" s="126" t="s">
        <v>1597</v>
      </c>
      <c r="AJ154" s="130" t="s">
        <v>120</v>
      </c>
      <c r="AK154" s="126" t="s">
        <v>123</v>
      </c>
      <c r="AL154" s="126" t="s">
        <v>1198</v>
      </c>
      <c r="AM154" s="130"/>
      <c r="AN154" s="126"/>
      <c r="AO154" s="132"/>
      <c r="AP154" s="126"/>
      <c r="AQ154" s="126"/>
      <c r="AR154" s="130"/>
      <c r="AS154" s="126"/>
      <c r="AT154" s="127">
        <v>43448.468708564797</v>
      </c>
      <c r="AU154" s="127">
        <v>43451.370488425899</v>
      </c>
      <c r="AV154" s="127">
        <v>43451.397135879597</v>
      </c>
      <c r="AW154" s="127">
        <v>43448.468708564797</v>
      </c>
      <c r="AX154" s="127"/>
      <c r="AY154" s="127">
        <v>43447.715346874997</v>
      </c>
      <c r="AZ154" s="133">
        <v>43451.411472685199</v>
      </c>
      <c r="BA154" s="134">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B154" s="135">
        <f>COUNTIFS(_05preva_view43[Site ID],_05preva_view43[[#This Row],[Site ID]],_05preva_view43[Prevalidation Status],"Under Prevalidation")</f>
        <v>0</v>
      </c>
      <c r="BC154" s="157" t="e">
        <f ca="1">HYPERLINK(CheckPath(_05preva_view43[[#This Row],[File Path]],_05preva_view43[[#This Row],[File Path]],_05preva_view43[[#This Row],[Folder Path3]]),CheckPath(_05preva_view43[[#This Row],[File Path]],"Open File","No File"))</f>
        <v>#VALUE!</v>
      </c>
      <c r="BD154" s="136" t="str">
        <f>CONCATENATE(_05preva_view43[[#This Row],[Site ID]]," (",_05preva_view43[[#This Row],[tenant id]],") Application",IF(_05preva_view43[[#This Row],[Colo Rev]]&gt;0," Rev "&amp;_05preva_view43[[#This Row],[Colo Rev]],""),".xlsx")</f>
        <v>1-01-17017-001 (AWD00871) Application Rev 1.xlsx</v>
      </c>
      <c r="BE154" s="64" t="e">
        <f t="shared" ca="1" si="4"/>
        <v>#VALUE!</v>
      </c>
      <c r="BF154" s="104" t="e">
        <f ca="1">LEFT(CELL("filename",A139),_05preva_view43[[#This Row],[Find Process &amp; Database]]-1)</f>
        <v>#VALUE!</v>
      </c>
      <c r="BG154" s="104" t="e">
        <f ca="1">_05preva_view43[Folder Path1]&amp;"Process &amp; Database\Documentation\Colo Applications"</f>
        <v>#VALUE!</v>
      </c>
      <c r="BH154" s="104" t="e">
        <f ca="1">_05preva_view43[Folder Path2]&amp;"\Colo App "&amp;_05preva_view43[[#This Row],[Operator]]&amp;"\"</f>
        <v>#VALUE!</v>
      </c>
      <c r="BI154" s="63" t="e">
        <f ca="1">_05preva_view43[[#This Row],[Folder Path3]]&amp;_05preva_view43[[#This Row],[File Name]]</f>
        <v>#VALUE!</v>
      </c>
      <c r="BJ154" s="104"/>
      <c r="BK154" s="3"/>
      <c r="BL154" s="3"/>
      <c r="CJ154" s="5"/>
      <c r="CK154" s="5"/>
      <c r="CL154" s="3"/>
      <c r="CN154" s="5"/>
      <c r="CR154" s="3"/>
      <c r="CS154" s="3"/>
      <c r="CT154" s="5"/>
      <c r="CV154" s="3"/>
      <c r="DR154" s="5"/>
      <c r="DT154" s="3"/>
      <c r="EF154" s="7"/>
      <c r="EG154" s="7"/>
      <c r="EJ154" s="4"/>
      <c r="EK154" s="4"/>
      <c r="EU154" s="2"/>
      <c r="EV154" s="2"/>
    </row>
    <row r="155" spans="1:152">
      <c r="A155" s="125">
        <v>3510</v>
      </c>
      <c r="B155" s="126" t="s">
        <v>1568</v>
      </c>
      <c r="C155" s="126" t="s">
        <v>331</v>
      </c>
      <c r="D155" s="126" t="s">
        <v>127</v>
      </c>
      <c r="E155" s="126" t="s">
        <v>1569</v>
      </c>
      <c r="F155" s="126" t="s">
        <v>35</v>
      </c>
      <c r="G155" s="126" t="s">
        <v>1583</v>
      </c>
      <c r="H155" s="126" t="s">
        <v>1575</v>
      </c>
      <c r="I155" s="126" t="s">
        <v>1138</v>
      </c>
      <c r="J155" s="126" t="s">
        <v>957</v>
      </c>
      <c r="K155" s="127">
        <v>43447</v>
      </c>
      <c r="L155" s="128">
        <v>1.1080000000000001</v>
      </c>
      <c r="M155" s="128">
        <v>1.52</v>
      </c>
      <c r="N155" s="126">
        <v>3.1070000000000002</v>
      </c>
      <c r="O155" s="126" t="s">
        <v>950</v>
      </c>
      <c r="P155" s="129" t="s">
        <v>958</v>
      </c>
      <c r="Q155" s="129" t="s">
        <v>959</v>
      </c>
      <c r="R155" s="126" t="s">
        <v>24</v>
      </c>
      <c r="S155" s="126"/>
      <c r="T155" s="130" t="s">
        <v>861</v>
      </c>
      <c r="U155" s="126"/>
      <c r="V155" s="130" t="s">
        <v>120</v>
      </c>
      <c r="W155" s="126"/>
      <c r="X155" s="130" t="s">
        <v>120</v>
      </c>
      <c r="Y155" s="126" t="s">
        <v>1614</v>
      </c>
      <c r="Z155" s="165" t="s">
        <v>120</v>
      </c>
      <c r="AA155" s="158"/>
      <c r="AB155" s="158"/>
      <c r="AC155" s="170" t="s">
        <v>123</v>
      </c>
      <c r="AD155" s="126" t="s">
        <v>1744</v>
      </c>
      <c r="AE155" s="130" t="s">
        <v>861</v>
      </c>
      <c r="AF155" s="127" t="s">
        <v>1259</v>
      </c>
      <c r="AG155" s="131"/>
      <c r="AH155" s="131"/>
      <c r="AI155" s="126"/>
      <c r="AJ155" s="130" t="s">
        <v>120</v>
      </c>
      <c r="AK155" s="126" t="s">
        <v>123</v>
      </c>
      <c r="AL155" s="126" t="s">
        <v>1198</v>
      </c>
      <c r="AM155" s="130"/>
      <c r="AN155" s="126"/>
      <c r="AO155" s="132"/>
      <c r="AP155" s="126"/>
      <c r="AQ155" s="126"/>
      <c r="AR155" s="130"/>
      <c r="AS155" s="126"/>
      <c r="AT155" s="127">
        <v>43448.468711111098</v>
      </c>
      <c r="AU155" s="127"/>
      <c r="AV155" s="127">
        <v>43451.560683680596</v>
      </c>
      <c r="AW155" s="127">
        <v>43448.468711111098</v>
      </c>
      <c r="AX155" s="127"/>
      <c r="AY155" s="127">
        <v>43447.715380092603</v>
      </c>
      <c r="AZ155" s="133">
        <v>43451.712503703697</v>
      </c>
      <c r="BA155" s="134">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B155" s="135">
        <f>COUNTIFS(_05preva_view43[Site ID],_05preva_view43[[#This Row],[Site ID]],_05preva_view43[Prevalidation Status],"Under Prevalidation")</f>
        <v>0</v>
      </c>
      <c r="BC155" s="157" t="e">
        <f ca="1">HYPERLINK(CheckPath(_05preva_view43[[#This Row],[File Path]],_05preva_view43[[#This Row],[File Path]],_05preva_view43[[#This Row],[Folder Path3]]),CheckPath(_05preva_view43[[#This Row],[File Path]],"Open File","No File"))</f>
        <v>#VALUE!</v>
      </c>
      <c r="BD155" s="136" t="str">
        <f>CONCATENATE(_05preva_view43[[#This Row],[Site ID]]," (",_05preva_view43[[#This Row],[tenant id]],") Application",IF(_05preva_view43[[#This Row],[Colo Rev]]&gt;0," Rev "&amp;_05preva_view43[[#This Row],[Colo Rev]],""),".xlsx")</f>
        <v>1-01-01014-005 (KCN00119) Application Rev 4.xlsx</v>
      </c>
      <c r="BE155" s="64" t="e">
        <f t="shared" ca="1" si="4"/>
        <v>#VALUE!</v>
      </c>
      <c r="BF155" s="104" t="e">
        <f ca="1">LEFT(CELL("filename",A140),_05preva_view43[[#This Row],[Find Process &amp; Database]]-1)</f>
        <v>#VALUE!</v>
      </c>
      <c r="BG155" s="104" t="e">
        <f ca="1">_05preva_view43[Folder Path1]&amp;"Process &amp; Database\Documentation\Colo Applications"</f>
        <v>#VALUE!</v>
      </c>
      <c r="BH155" s="104" t="e">
        <f ca="1">_05preva_view43[Folder Path2]&amp;"\Colo App "&amp;_05preva_view43[[#This Row],[Operator]]&amp;"\"</f>
        <v>#VALUE!</v>
      </c>
      <c r="BI155" s="63" t="e">
        <f ca="1">_05preva_view43[[#This Row],[Folder Path3]]&amp;_05preva_view43[[#This Row],[File Name]]</f>
        <v>#VALUE!</v>
      </c>
      <c r="BJ155" s="104"/>
      <c r="BK155" s="3"/>
      <c r="BL155" s="3"/>
      <c r="CJ155" s="5"/>
      <c r="CK155" s="5"/>
      <c r="CL155" s="3"/>
      <c r="CN155" s="5"/>
      <c r="CR155" s="3"/>
      <c r="CS155" s="3"/>
      <c r="CT155" s="5"/>
      <c r="CV155" s="3"/>
      <c r="DR155" s="5"/>
      <c r="DT155" s="3"/>
      <c r="EF155" s="7"/>
      <c r="EG155" s="7"/>
      <c r="EJ155" s="4"/>
      <c r="EK155" s="4"/>
      <c r="EU155" s="2"/>
      <c r="EV155" s="2"/>
    </row>
    <row r="156" spans="1:152">
      <c r="A156" s="125">
        <v>3511</v>
      </c>
      <c r="B156" s="126" t="s">
        <v>1568</v>
      </c>
      <c r="C156" s="126" t="s">
        <v>331</v>
      </c>
      <c r="D156" s="126" t="s">
        <v>127</v>
      </c>
      <c r="E156" s="126" t="s">
        <v>1569</v>
      </c>
      <c r="F156" s="126" t="s">
        <v>35</v>
      </c>
      <c r="G156" s="126" t="s">
        <v>1583</v>
      </c>
      <c r="H156" s="126" t="s">
        <v>1575</v>
      </c>
      <c r="I156" s="126" t="s">
        <v>1570</v>
      </c>
      <c r="J156" s="126" t="s">
        <v>1304</v>
      </c>
      <c r="K156" s="127">
        <v>43447</v>
      </c>
      <c r="L156" s="128">
        <v>1.399</v>
      </c>
      <c r="M156" s="128">
        <v>2.1989999999999998</v>
      </c>
      <c r="N156" s="126">
        <v>3.2650000000000001</v>
      </c>
      <c r="O156" s="126" t="s">
        <v>950</v>
      </c>
      <c r="P156" s="129" t="s">
        <v>958</v>
      </c>
      <c r="Q156" s="129" t="s">
        <v>959</v>
      </c>
      <c r="R156" s="126" t="s">
        <v>24</v>
      </c>
      <c r="S156" s="126"/>
      <c r="T156" s="130" t="s">
        <v>861</v>
      </c>
      <c r="U156" s="126"/>
      <c r="V156" s="130" t="s">
        <v>120</v>
      </c>
      <c r="W156" s="126"/>
      <c r="X156" s="130" t="s">
        <v>120</v>
      </c>
      <c r="Y156" s="126" t="s">
        <v>1615</v>
      </c>
      <c r="Z156" s="165" t="s">
        <v>120</v>
      </c>
      <c r="AA156" s="158"/>
      <c r="AB156" s="158"/>
      <c r="AC156" s="170" t="s">
        <v>123</v>
      </c>
      <c r="AD156" s="126" t="s">
        <v>1745</v>
      </c>
      <c r="AE156" s="130" t="s">
        <v>861</v>
      </c>
      <c r="AF156" s="127" t="s">
        <v>1259</v>
      </c>
      <c r="AG156" s="131"/>
      <c r="AH156" s="131"/>
      <c r="AI156" s="126"/>
      <c r="AJ156" s="130" t="s">
        <v>120</v>
      </c>
      <c r="AK156" s="126" t="s">
        <v>123</v>
      </c>
      <c r="AL156" s="126" t="s">
        <v>1198</v>
      </c>
      <c r="AM156" s="130"/>
      <c r="AN156" s="126"/>
      <c r="AO156" s="132"/>
      <c r="AP156" s="126"/>
      <c r="AQ156" s="126"/>
      <c r="AR156" s="130"/>
      <c r="AS156" s="126"/>
      <c r="AT156" s="127">
        <v>43448.468713657399</v>
      </c>
      <c r="AU156" s="127"/>
      <c r="AV156" s="127">
        <v>43451.560684259297</v>
      </c>
      <c r="AW156" s="127">
        <v>43448.468713657399</v>
      </c>
      <c r="AX156" s="127"/>
      <c r="AY156" s="127">
        <v>43447.715381597198</v>
      </c>
      <c r="AZ156" s="133">
        <v>43451.712504398201</v>
      </c>
      <c r="BA156" s="134">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B156" s="135">
        <f>COUNTIFS(_05preva_view43[Site ID],_05preva_view43[[#This Row],[Site ID]],_05preva_view43[Prevalidation Status],"Under Prevalidation")</f>
        <v>0</v>
      </c>
      <c r="BC156" s="157" t="e">
        <f ca="1">HYPERLINK(CheckPath(_05preva_view43[[#This Row],[File Path]],_05preva_view43[[#This Row],[File Path]],_05preva_view43[[#This Row],[Folder Path3]]),CheckPath(_05preva_view43[[#This Row],[File Path]],"Open File","No File"))</f>
        <v>#VALUE!</v>
      </c>
      <c r="BD156" s="136" t="str">
        <f>CONCATENATE(_05preva_view43[[#This Row],[Site ID]]," (",_05preva_view43[[#This Row],[tenant id]],") Application",IF(_05preva_view43[[#This Row],[Colo Rev]]&gt;0," Rev "&amp;_05preva_view43[[#This Row],[Colo Rev]],""),".xlsx")</f>
        <v>1-01-01014-005 (KCN00119) Application Rev 5.xlsx</v>
      </c>
      <c r="BE156" s="64" t="e">
        <f t="shared" ca="1" si="4"/>
        <v>#VALUE!</v>
      </c>
      <c r="BF156" s="104" t="e">
        <f ca="1">LEFT(CELL("filename",A141),_05preva_view43[[#This Row],[Find Process &amp; Database]]-1)</f>
        <v>#VALUE!</v>
      </c>
      <c r="BG156" s="104" t="e">
        <f ca="1">_05preva_view43[Folder Path1]&amp;"Process &amp; Database\Documentation\Colo Applications"</f>
        <v>#VALUE!</v>
      </c>
      <c r="BH156" s="104" t="e">
        <f ca="1">_05preva_view43[Folder Path2]&amp;"\Colo App "&amp;_05preva_view43[[#This Row],[Operator]]&amp;"\"</f>
        <v>#VALUE!</v>
      </c>
      <c r="BI156" s="63" t="e">
        <f ca="1">_05preva_view43[[#This Row],[Folder Path3]]&amp;_05preva_view43[[#This Row],[File Name]]</f>
        <v>#VALUE!</v>
      </c>
      <c r="BJ156" s="104"/>
      <c r="BK156" s="3"/>
      <c r="BL156" s="3"/>
      <c r="CJ156" s="5"/>
      <c r="CK156" s="5"/>
      <c r="CL156" s="3"/>
      <c r="CN156" s="5"/>
      <c r="CR156" s="3"/>
      <c r="CS156" s="3"/>
      <c r="CT156" s="5"/>
      <c r="CV156" s="3"/>
      <c r="DR156" s="5"/>
      <c r="DT156" s="3"/>
      <c r="EF156" s="7"/>
      <c r="EG156" s="7"/>
      <c r="EJ156" s="4"/>
      <c r="EK156" s="4"/>
      <c r="EU156" s="2"/>
      <c r="EV156" s="2"/>
    </row>
    <row r="157" spans="1:152">
      <c r="A157" s="125">
        <v>3496</v>
      </c>
      <c r="B157" s="126" t="s">
        <v>928</v>
      </c>
      <c r="C157" s="126" t="s">
        <v>116</v>
      </c>
      <c r="D157" s="126" t="s">
        <v>127</v>
      </c>
      <c r="E157" s="126" t="s">
        <v>929</v>
      </c>
      <c r="F157" s="126" t="s">
        <v>35</v>
      </c>
      <c r="G157" s="126" t="s">
        <v>1577</v>
      </c>
      <c r="H157" s="126" t="s">
        <v>1575</v>
      </c>
      <c r="I157" s="126" t="s">
        <v>1263</v>
      </c>
      <c r="J157" s="126" t="s">
        <v>940</v>
      </c>
      <c r="K157" s="127">
        <v>43446</v>
      </c>
      <c r="L157" s="128">
        <v>1</v>
      </c>
      <c r="M157" s="128">
        <v>1.4</v>
      </c>
      <c r="N157" s="126">
        <v>6.52</v>
      </c>
      <c r="O157" s="126" t="s">
        <v>119</v>
      </c>
      <c r="P157" s="129" t="s">
        <v>916</v>
      </c>
      <c r="Q157" s="129" t="s">
        <v>932</v>
      </c>
      <c r="R157" s="126" t="s">
        <v>24</v>
      </c>
      <c r="S157" s="126"/>
      <c r="T157" s="130" t="s">
        <v>861</v>
      </c>
      <c r="U157" s="126"/>
      <c r="V157" s="130" t="s">
        <v>120</v>
      </c>
      <c r="W157" s="126"/>
      <c r="X157" s="130" t="s">
        <v>120</v>
      </c>
      <c r="Y157" s="126" t="s">
        <v>1544</v>
      </c>
      <c r="Z157" s="165" t="s">
        <v>120</v>
      </c>
      <c r="AA157" s="158"/>
      <c r="AB157" s="158"/>
      <c r="AC157" s="170" t="s">
        <v>123</v>
      </c>
      <c r="AD157" s="126" t="s">
        <v>1571</v>
      </c>
      <c r="AE157" s="130" t="s">
        <v>120</v>
      </c>
      <c r="AF157" s="127"/>
      <c r="AG157" s="131"/>
      <c r="AH157" s="131"/>
      <c r="AI157" s="126"/>
      <c r="AJ157" s="130" t="s">
        <v>120</v>
      </c>
      <c r="AK157" s="126" t="s">
        <v>123</v>
      </c>
      <c r="AL157" s="126" t="s">
        <v>1198</v>
      </c>
      <c r="AM157" s="130"/>
      <c r="AN157" s="126"/>
      <c r="AO157" s="132"/>
      <c r="AP157" s="126"/>
      <c r="AQ157" s="126"/>
      <c r="AR157" s="130"/>
      <c r="AS157" s="126"/>
      <c r="AT157" s="127">
        <v>43446.578254513901</v>
      </c>
      <c r="AU157" s="127">
        <v>43447.716954166703</v>
      </c>
      <c r="AV157" s="127">
        <v>43447.423204976898</v>
      </c>
      <c r="AW157" s="127">
        <v>43446.578254513901</v>
      </c>
      <c r="AX157" s="127"/>
      <c r="AY157" s="127">
        <v>43446.542578125001</v>
      </c>
      <c r="AZ157" s="133">
        <v>43448.7279530093</v>
      </c>
      <c r="BA157" s="134">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B157" s="135">
        <f>COUNTIFS(_05preva_view43[Site ID],_05preva_view43[[#This Row],[Site ID]],_05preva_view43[Prevalidation Status],"Under Prevalidation")</f>
        <v>0</v>
      </c>
      <c r="BC157" s="157" t="e">
        <f ca="1">HYPERLINK(CheckPath(_05preva_view43[[#This Row],[File Path]],_05preva_view43[[#This Row],[File Path]],_05preva_view43[[#This Row],[Folder Path3]]),CheckPath(_05preva_view43[[#This Row],[File Path]],"Open File","No File"))</f>
        <v>#VALUE!</v>
      </c>
      <c r="BD157" s="136" t="str">
        <f>CONCATENATE(_05preva_view43[[#This Row],[Site ID]]," (",_05preva_view43[[#This Row],[tenant id]],") Application",IF(_05preva_view43[[#This Row],[Colo Rev]]&gt;0," Rev "&amp;_05preva_view43[[#This Row],[Colo Rev]],""),".xlsx")</f>
        <v>ANSG_0483 (SGG00406) Application Rev 0.xlsx</v>
      </c>
      <c r="BE157" s="64" t="e">
        <f t="shared" ca="1" si="4"/>
        <v>#VALUE!</v>
      </c>
      <c r="BF157" s="104" t="e">
        <f ca="1">LEFT(CELL("filename",A142),_05preva_view43[[#This Row],[Find Process &amp; Database]]-1)</f>
        <v>#VALUE!</v>
      </c>
      <c r="BG157" s="104" t="e">
        <f ca="1">_05preva_view43[Folder Path1]&amp;"Process &amp; Database\Documentation\Colo Applications"</f>
        <v>#VALUE!</v>
      </c>
      <c r="BH157" s="104" t="e">
        <f ca="1">_05preva_view43[Folder Path2]&amp;"\Colo App "&amp;_05preva_view43[[#This Row],[Operator]]&amp;"\"</f>
        <v>#VALUE!</v>
      </c>
      <c r="BI157" s="63" t="e">
        <f ca="1">_05preva_view43[[#This Row],[Folder Path3]]&amp;_05preva_view43[[#This Row],[File Name]]</f>
        <v>#VALUE!</v>
      </c>
      <c r="BJ157" s="104"/>
      <c r="BK157" s="3"/>
      <c r="BL157" s="3"/>
      <c r="CJ157" s="5"/>
      <c r="CK157" s="5"/>
      <c r="CL157" s="3"/>
      <c r="CN157" s="5"/>
      <c r="CR157" s="3"/>
      <c r="CS157" s="3"/>
      <c r="CT157" s="5"/>
      <c r="CV157" s="3"/>
      <c r="DR157" s="5"/>
      <c r="DT157" s="3"/>
      <c r="EF157" s="7"/>
      <c r="EG157" s="7"/>
      <c r="EJ157" s="4"/>
      <c r="EK157" s="4"/>
      <c r="EU157" s="2"/>
      <c r="EV157" s="2"/>
    </row>
    <row r="158" spans="1:152">
      <c r="A158" s="125">
        <v>3497</v>
      </c>
      <c r="B158" s="126" t="s">
        <v>1545</v>
      </c>
      <c r="C158" s="126" t="s">
        <v>116</v>
      </c>
      <c r="D158" s="126" t="s">
        <v>163</v>
      </c>
      <c r="E158" s="126" t="s">
        <v>1546</v>
      </c>
      <c r="F158" s="126" t="s">
        <v>35</v>
      </c>
      <c r="G158" s="126" t="s">
        <v>1577</v>
      </c>
      <c r="H158" s="126" t="s">
        <v>1575</v>
      </c>
      <c r="I158" s="126" t="s">
        <v>1151</v>
      </c>
      <c r="J158" s="126" t="s">
        <v>940</v>
      </c>
      <c r="K158" s="127">
        <v>43446</v>
      </c>
      <c r="L158" s="128">
        <v>2.16</v>
      </c>
      <c r="M158" s="128">
        <v>2.7</v>
      </c>
      <c r="N158" s="126">
        <v>5.41</v>
      </c>
      <c r="O158" s="126" t="s">
        <v>119</v>
      </c>
      <c r="P158" s="129" t="s">
        <v>338</v>
      </c>
      <c r="Q158" s="129" t="s">
        <v>339</v>
      </c>
      <c r="R158" s="126" t="s">
        <v>24</v>
      </c>
      <c r="S158" s="126"/>
      <c r="T158" s="130" t="s">
        <v>861</v>
      </c>
      <c r="U158" s="126"/>
      <c r="V158" s="130" t="s">
        <v>120</v>
      </c>
      <c r="W158" s="126"/>
      <c r="X158" s="130" t="s">
        <v>120</v>
      </c>
      <c r="Y158" s="126" t="s">
        <v>1547</v>
      </c>
      <c r="Z158" s="165" t="s">
        <v>120</v>
      </c>
      <c r="AA158" s="158"/>
      <c r="AB158" s="158"/>
      <c r="AC158" s="170" t="s">
        <v>123</v>
      </c>
      <c r="AD158" s="126" t="s">
        <v>1572</v>
      </c>
      <c r="AE158" s="130" t="s">
        <v>120</v>
      </c>
      <c r="AF158" s="127"/>
      <c r="AG158" s="131"/>
      <c r="AH158" s="131"/>
      <c r="AI158" s="126"/>
      <c r="AJ158" s="130" t="s">
        <v>120</v>
      </c>
      <c r="AK158" s="126" t="s">
        <v>123</v>
      </c>
      <c r="AL158" s="126" t="s">
        <v>1198</v>
      </c>
      <c r="AM158" s="130"/>
      <c r="AN158" s="126"/>
      <c r="AO158" s="132"/>
      <c r="AP158" s="126"/>
      <c r="AQ158" s="126"/>
      <c r="AR158" s="130"/>
      <c r="AS158" s="126"/>
      <c r="AT158" s="127">
        <v>43446.578255902801</v>
      </c>
      <c r="AU158" s="127">
        <v>43447.716957523102</v>
      </c>
      <c r="AV158" s="127">
        <v>43447.629941088002</v>
      </c>
      <c r="AW158" s="127">
        <v>43446.578255902801</v>
      </c>
      <c r="AX158" s="127"/>
      <c r="AY158" s="127">
        <v>43447.641160763902</v>
      </c>
      <c r="AZ158" s="133">
        <v>43448.727954050897</v>
      </c>
      <c r="BA158" s="134">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B158" s="135">
        <f>COUNTIFS(_05preva_view43[Site ID],_05preva_view43[[#This Row],[Site ID]],_05preva_view43[Prevalidation Status],"Under Prevalidation")</f>
        <v>0</v>
      </c>
      <c r="BC158" s="157" t="e">
        <f ca="1">HYPERLINK(CheckPath(_05preva_view43[[#This Row],[File Path]],_05preva_view43[[#This Row],[File Path]],_05preva_view43[[#This Row],[Folder Path3]]),CheckPath(_05preva_view43[[#This Row],[File Path]],"Open File","No File"))</f>
        <v>#VALUE!</v>
      </c>
      <c r="BD158" s="136" t="str">
        <f>CONCATENATE(_05preva_view43[[#This Row],[Site ID]]," (",_05preva_view43[[#This Row],[tenant id]],") Application",IF(_05preva_view43[[#This Row],[Colo Rev]]&gt;0," Rev "&amp;_05preva_view43[[#This Row],[Colo Rev]],""),".xlsx")</f>
        <v>AYYN_0300 (YGN00953) Application Rev 0.xlsx</v>
      </c>
      <c r="BE158" s="64" t="e">
        <f t="shared" ca="1" si="4"/>
        <v>#VALUE!</v>
      </c>
      <c r="BF158" s="104" t="e">
        <f ca="1">LEFT(CELL("filename",A143),_05preva_view43[[#This Row],[Find Process &amp; Database]]-1)</f>
        <v>#VALUE!</v>
      </c>
      <c r="BG158" s="104" t="e">
        <f ca="1">_05preva_view43[Folder Path1]&amp;"Process &amp; Database\Documentation\Colo Applications"</f>
        <v>#VALUE!</v>
      </c>
      <c r="BH158" s="104" t="e">
        <f ca="1">_05preva_view43[Folder Path2]&amp;"\Colo App "&amp;_05preva_view43[[#This Row],[Operator]]&amp;"\"</f>
        <v>#VALUE!</v>
      </c>
      <c r="BI158" s="63" t="e">
        <f ca="1">_05preva_view43[[#This Row],[Folder Path3]]&amp;_05preva_view43[[#This Row],[File Name]]</f>
        <v>#VALUE!</v>
      </c>
      <c r="BJ158" s="104"/>
      <c r="BK158" s="3"/>
      <c r="BL158" s="3"/>
      <c r="CJ158" s="5"/>
      <c r="CK158" s="5"/>
      <c r="CL158" s="3"/>
      <c r="CN158" s="5"/>
      <c r="CR158" s="3"/>
      <c r="CS158" s="3"/>
      <c r="CT158" s="5"/>
      <c r="CV158" s="3"/>
      <c r="DR158" s="5"/>
      <c r="DT158" s="3"/>
      <c r="EF158" s="7"/>
      <c r="EG158" s="7"/>
      <c r="EJ158" s="4"/>
      <c r="EK158" s="4"/>
      <c r="EU158" s="2"/>
      <c r="EV158" s="2"/>
    </row>
    <row r="159" spans="1:152">
      <c r="A159" s="125">
        <v>3493</v>
      </c>
      <c r="B159" s="126" t="s">
        <v>1536</v>
      </c>
      <c r="C159" s="126" t="s">
        <v>116</v>
      </c>
      <c r="D159" s="126" t="s">
        <v>127</v>
      </c>
      <c r="E159" s="126" t="s">
        <v>1537</v>
      </c>
      <c r="F159" s="126" t="s">
        <v>35</v>
      </c>
      <c r="G159" s="126" t="s">
        <v>1577</v>
      </c>
      <c r="H159" s="126" t="s">
        <v>1575</v>
      </c>
      <c r="I159" s="126" t="s">
        <v>1532</v>
      </c>
      <c r="J159" s="126" t="s">
        <v>940</v>
      </c>
      <c r="K159" s="127">
        <v>43445</v>
      </c>
      <c r="L159" s="128">
        <v>1.399</v>
      </c>
      <c r="M159" s="128">
        <v>2.1989999999999998</v>
      </c>
      <c r="N159" s="126">
        <v>4.13</v>
      </c>
      <c r="O159" s="126" t="s">
        <v>119</v>
      </c>
      <c r="P159" s="129" t="s">
        <v>1447</v>
      </c>
      <c r="Q159" s="129" t="s">
        <v>747</v>
      </c>
      <c r="R159" s="126" t="s">
        <v>24</v>
      </c>
      <c r="S159" s="126"/>
      <c r="T159" s="130" t="s">
        <v>861</v>
      </c>
      <c r="U159" s="126"/>
      <c r="V159" s="130" t="s">
        <v>120</v>
      </c>
      <c r="W159" s="126"/>
      <c r="X159" s="130" t="s">
        <v>120</v>
      </c>
      <c r="Y159" s="126" t="s">
        <v>1538</v>
      </c>
      <c r="Z159" s="165" t="s">
        <v>120</v>
      </c>
      <c r="AA159" s="158"/>
      <c r="AB159" s="158"/>
      <c r="AC159" s="170" t="s">
        <v>123</v>
      </c>
      <c r="AD159" s="126" t="s">
        <v>1539</v>
      </c>
      <c r="AE159" s="130" t="s">
        <v>120</v>
      </c>
      <c r="AF159" s="127"/>
      <c r="AG159" s="131"/>
      <c r="AH159" s="131"/>
      <c r="AI159" s="126"/>
      <c r="AJ159" s="130" t="s">
        <v>120</v>
      </c>
      <c r="AK159" s="126" t="s">
        <v>123</v>
      </c>
      <c r="AL159" s="126" t="s">
        <v>1198</v>
      </c>
      <c r="AM159" s="130"/>
      <c r="AN159" s="126"/>
      <c r="AO159" s="132"/>
      <c r="AP159" s="126"/>
      <c r="AQ159" s="126"/>
      <c r="AR159" s="130"/>
      <c r="AS159" s="126"/>
      <c r="AT159" s="127">
        <v>43446.4726368056</v>
      </c>
      <c r="AU159" s="127">
        <v>43445.639607523102</v>
      </c>
      <c r="AV159" s="127">
        <v>43446.611587847197</v>
      </c>
      <c r="AW159" s="127">
        <v>43446.4726368056</v>
      </c>
      <c r="AX159" s="127"/>
      <c r="AY159" s="127">
        <v>43445.434493402798</v>
      </c>
      <c r="AZ159" s="133">
        <v>43447.425436689802</v>
      </c>
      <c r="BA159" s="134">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B159" s="135">
        <f>COUNTIFS(_05preva_view43[Site ID],_05preva_view43[[#This Row],[Site ID]],_05preva_view43[Prevalidation Status],"Under Prevalidation")</f>
        <v>0</v>
      </c>
      <c r="BC159" s="157" t="e">
        <f ca="1">HYPERLINK(CheckPath(_05preva_view43[[#This Row],[File Path]],_05preva_view43[[#This Row],[File Path]],_05preva_view43[[#This Row],[Folder Path3]]),CheckPath(_05preva_view43[[#This Row],[File Path]],"Open File","No File"))</f>
        <v>#VALUE!</v>
      </c>
      <c r="BD159" s="136" t="str">
        <f>CONCATENATE(_05preva_view43[[#This Row],[Site ID]]," (",_05preva_view43[[#This Row],[tenant id]],") Application",IF(_05preva_view43[[#This Row],[Colo Rev]]&gt;0," Rev "&amp;_05preva_view43[[#This Row],[Colo Rev]],""),".xlsx")</f>
        <v>ANMD_0022 (MDY00913) Application Rev 0.xlsx</v>
      </c>
      <c r="BE159" s="64" t="e">
        <f t="shared" ca="1" si="4"/>
        <v>#VALUE!</v>
      </c>
      <c r="BF159" s="104" t="e">
        <f ca="1">LEFT(CELL("filename",A144),_05preva_view43[[#This Row],[Find Process &amp; Database]]-1)</f>
        <v>#VALUE!</v>
      </c>
      <c r="BG159" s="104" t="e">
        <f ca="1">_05preva_view43[Folder Path1]&amp;"Process &amp; Database\Documentation\Colo Applications"</f>
        <v>#VALUE!</v>
      </c>
      <c r="BH159" s="104" t="e">
        <f ca="1">_05preva_view43[Folder Path2]&amp;"\Colo App "&amp;_05preva_view43[[#This Row],[Operator]]&amp;"\"</f>
        <v>#VALUE!</v>
      </c>
      <c r="BI159" s="63" t="e">
        <f ca="1">_05preva_view43[[#This Row],[Folder Path3]]&amp;_05preva_view43[[#This Row],[File Name]]</f>
        <v>#VALUE!</v>
      </c>
      <c r="BJ159" s="104"/>
      <c r="BK159" s="3"/>
      <c r="BL159" s="3"/>
      <c r="CJ159" s="5"/>
      <c r="CK159" s="5"/>
      <c r="CL159" s="3"/>
      <c r="CN159" s="5"/>
      <c r="CR159" s="3"/>
      <c r="CS159" s="3"/>
      <c r="CT159" s="5"/>
      <c r="CV159" s="3"/>
      <c r="DR159" s="5"/>
      <c r="DT159" s="3"/>
      <c r="EF159" s="7"/>
      <c r="EG159" s="7"/>
      <c r="EJ159" s="4"/>
      <c r="EK159" s="4"/>
      <c r="EU159" s="2"/>
      <c r="EV159" s="2"/>
    </row>
    <row r="160" spans="1:152">
      <c r="A160" s="125">
        <v>3494</v>
      </c>
      <c r="B160" s="126" t="s">
        <v>1089</v>
      </c>
      <c r="C160" s="126" t="s">
        <v>116</v>
      </c>
      <c r="D160" s="126" t="s">
        <v>127</v>
      </c>
      <c r="E160" s="126" t="s">
        <v>1090</v>
      </c>
      <c r="F160" s="126" t="s">
        <v>35</v>
      </c>
      <c r="G160" s="126" t="s">
        <v>1577</v>
      </c>
      <c r="H160" s="126" t="s">
        <v>1575</v>
      </c>
      <c r="I160" s="126" t="s">
        <v>1263</v>
      </c>
      <c r="J160" s="126" t="s">
        <v>949</v>
      </c>
      <c r="K160" s="127">
        <v>43445</v>
      </c>
      <c r="L160" s="128">
        <v>1</v>
      </c>
      <c r="M160" s="128">
        <v>1.4</v>
      </c>
      <c r="N160" s="126">
        <v>4.51</v>
      </c>
      <c r="O160" s="126" t="s">
        <v>119</v>
      </c>
      <c r="P160" s="129" t="s">
        <v>916</v>
      </c>
      <c r="Q160" s="129" t="s">
        <v>932</v>
      </c>
      <c r="R160" s="126" t="s">
        <v>24</v>
      </c>
      <c r="S160" s="126"/>
      <c r="T160" s="130" t="s">
        <v>861</v>
      </c>
      <c r="U160" s="126"/>
      <c r="V160" s="130" t="s">
        <v>120</v>
      </c>
      <c r="W160" s="126"/>
      <c r="X160" s="130" t="s">
        <v>120</v>
      </c>
      <c r="Y160" s="126" t="s">
        <v>1540</v>
      </c>
      <c r="Z160" s="165" t="s">
        <v>120</v>
      </c>
      <c r="AA160" s="158"/>
      <c r="AB160" s="158"/>
      <c r="AC160" s="170" t="s">
        <v>123</v>
      </c>
      <c r="AD160" s="126" t="s">
        <v>1541</v>
      </c>
      <c r="AE160" s="130" t="s">
        <v>120</v>
      </c>
      <c r="AF160" s="127"/>
      <c r="AG160" s="131"/>
      <c r="AH160" s="131"/>
      <c r="AI160" s="126"/>
      <c r="AJ160" s="130" t="s">
        <v>120</v>
      </c>
      <c r="AK160" s="126" t="s">
        <v>123</v>
      </c>
      <c r="AL160" s="126" t="s">
        <v>1198</v>
      </c>
      <c r="AM160" s="130"/>
      <c r="AN160" s="126"/>
      <c r="AO160" s="132"/>
      <c r="AP160" s="126"/>
      <c r="AQ160" s="126"/>
      <c r="AR160" s="130"/>
      <c r="AS160" s="126"/>
      <c r="AT160" s="127">
        <v>43446.472638541702</v>
      </c>
      <c r="AU160" s="127">
        <v>43445.639608680598</v>
      </c>
      <c r="AV160" s="127">
        <v>43446.590792361101</v>
      </c>
      <c r="AW160" s="127">
        <v>43446.472638541702</v>
      </c>
      <c r="AX160" s="127"/>
      <c r="AY160" s="127">
        <v>43452.513665972197</v>
      </c>
      <c r="AZ160" s="133">
        <v>43452.584169560199</v>
      </c>
      <c r="BA160" s="134">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B160" s="135">
        <f>COUNTIFS(_05preva_view43[Site ID],_05preva_view43[[#This Row],[Site ID]],_05preva_view43[Prevalidation Status],"Under Prevalidation")</f>
        <v>0</v>
      </c>
      <c r="BC160" s="157" t="e">
        <f ca="1">HYPERLINK(CheckPath(_05preva_view43[[#This Row],[File Path]],_05preva_view43[[#This Row],[File Path]],_05preva_view43[[#This Row],[Folder Path3]]),CheckPath(_05preva_view43[[#This Row],[File Path]],"Open File","No File"))</f>
        <v>#VALUE!</v>
      </c>
      <c r="BD160" s="136" t="str">
        <f>CONCATENATE(_05preva_view43[[#This Row],[Site ID]]," (",_05preva_view43[[#This Row],[tenant id]],") Application",IF(_05preva_view43[[#This Row],[Colo Rev]]&gt;0," Rev "&amp;_05preva_view43[[#This Row],[Colo Rev]],""),".xlsx")</f>
        <v>ANSG_0454 (SGG00785) Application Rev 2.xlsx</v>
      </c>
      <c r="BE160" s="64" t="e">
        <f t="shared" ca="1" si="4"/>
        <v>#VALUE!</v>
      </c>
      <c r="BF160" s="104" t="e">
        <f ca="1">LEFT(CELL("filename",A145),_05preva_view43[[#This Row],[Find Process &amp; Database]]-1)</f>
        <v>#VALUE!</v>
      </c>
      <c r="BG160" s="104" t="e">
        <f ca="1">_05preva_view43[Folder Path1]&amp;"Process &amp; Database\Documentation\Colo Applications"</f>
        <v>#VALUE!</v>
      </c>
      <c r="BH160" s="104" t="e">
        <f ca="1">_05preva_view43[Folder Path2]&amp;"\Colo App "&amp;_05preva_view43[[#This Row],[Operator]]&amp;"\"</f>
        <v>#VALUE!</v>
      </c>
      <c r="BI160" s="63" t="e">
        <f ca="1">_05preva_view43[[#This Row],[Folder Path3]]&amp;_05preva_view43[[#This Row],[File Name]]</f>
        <v>#VALUE!</v>
      </c>
      <c r="BJ160" s="104"/>
      <c r="BK160" s="3"/>
      <c r="BL160" s="3"/>
      <c r="CJ160" s="5"/>
      <c r="CK160" s="5"/>
      <c r="CL160" s="3"/>
      <c r="CN160" s="5"/>
      <c r="CR160" s="3"/>
      <c r="CS160" s="3"/>
      <c r="CT160" s="5"/>
      <c r="CV160" s="3"/>
      <c r="DR160" s="5"/>
      <c r="DT160" s="3"/>
      <c r="EF160" s="7"/>
      <c r="EG160" s="7"/>
      <c r="EJ160" s="4"/>
      <c r="EK160" s="4"/>
      <c r="EU160" s="2"/>
      <c r="EV160" s="2"/>
    </row>
    <row r="161" spans="1:152">
      <c r="A161" s="125">
        <v>3495</v>
      </c>
      <c r="B161" s="126" t="s">
        <v>1542</v>
      </c>
      <c r="C161" s="126" t="s">
        <v>331</v>
      </c>
      <c r="D161" s="126" t="s">
        <v>117</v>
      </c>
      <c r="E161" s="126" t="s">
        <v>1543</v>
      </c>
      <c r="F161" s="126" t="s">
        <v>35</v>
      </c>
      <c r="G161" s="126" t="s">
        <v>1583</v>
      </c>
      <c r="H161" s="126" t="s">
        <v>1580</v>
      </c>
      <c r="I161" s="126" t="s">
        <v>1252</v>
      </c>
      <c r="J161" s="126" t="s">
        <v>940</v>
      </c>
      <c r="K161" s="127">
        <v>43445</v>
      </c>
      <c r="L161" s="128">
        <v>1</v>
      </c>
      <c r="M161" s="128">
        <v>1.462</v>
      </c>
      <c r="N161" s="126"/>
      <c r="O161" s="126" t="s">
        <v>950</v>
      </c>
      <c r="P161" s="129" t="s">
        <v>958</v>
      </c>
      <c r="Q161" s="129" t="s">
        <v>959</v>
      </c>
      <c r="R161" s="126" t="s">
        <v>24</v>
      </c>
      <c r="S161" s="126"/>
      <c r="T161" s="130" t="s">
        <v>861</v>
      </c>
      <c r="U161" s="126"/>
      <c r="V161" s="130" t="s">
        <v>861</v>
      </c>
      <c r="W161" s="126"/>
      <c r="X161" s="130" t="s">
        <v>861</v>
      </c>
      <c r="Y161" s="126"/>
      <c r="Z161" s="165" t="s">
        <v>861</v>
      </c>
      <c r="AA161" s="158"/>
      <c r="AB161" s="158"/>
      <c r="AC161" s="170"/>
      <c r="AD161" s="126"/>
      <c r="AE161" s="130" t="s">
        <v>120</v>
      </c>
      <c r="AF161" s="127"/>
      <c r="AG161" s="131"/>
      <c r="AH161" s="131"/>
      <c r="AI161" s="126"/>
      <c r="AJ161" s="130" t="s">
        <v>861</v>
      </c>
      <c r="AK161" s="126"/>
      <c r="AL161" s="126"/>
      <c r="AM161" s="130"/>
      <c r="AN161" s="126"/>
      <c r="AO161" s="132"/>
      <c r="AP161" s="126"/>
      <c r="AQ161" s="126"/>
      <c r="AR161" s="130"/>
      <c r="AS161" s="126"/>
      <c r="AT161" s="127"/>
      <c r="AU161" s="127">
        <v>43445.639611342602</v>
      </c>
      <c r="AV161" s="127"/>
      <c r="AW161" s="127"/>
      <c r="AX161" s="127"/>
      <c r="AY161" s="127"/>
      <c r="AZ161" s="133">
        <v>43445.714635879602</v>
      </c>
      <c r="BA161" s="134">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B161" s="135">
        <f>COUNTIFS(_05preva_view43[Site ID],_05preva_view43[[#This Row],[Site ID]],_05preva_view43[Prevalidation Status],"Under Prevalidation")</f>
        <v>0</v>
      </c>
      <c r="BC161" s="157" t="e">
        <f ca="1">HYPERLINK(CheckPath(_05preva_view43[[#This Row],[File Path]],_05preva_view43[[#This Row],[File Path]],_05preva_view43[[#This Row],[Folder Path3]]),CheckPath(_05preva_view43[[#This Row],[File Path]],"Open File","No File"))</f>
        <v>#VALUE!</v>
      </c>
      <c r="BD161" s="136" t="str">
        <f>CONCATENATE(_05preva_view43[[#This Row],[Site ID]]," (",_05preva_view43[[#This Row],[tenant id]],") Application",IF(_05preva_view43[[#This Row],[Colo Rev]]&gt;0," Rev "&amp;_05preva_view43[[#This Row],[Colo Rev]],""),".xlsx")</f>
        <v>1-01-09022-005 (MGW00780) Application Rev 0.xlsx</v>
      </c>
      <c r="BE161" s="64" t="e">
        <f t="shared" ca="1" si="4"/>
        <v>#VALUE!</v>
      </c>
      <c r="BF161" s="104" t="e">
        <f ca="1">LEFT(CELL("filename",A146),_05preva_view43[[#This Row],[Find Process &amp; Database]]-1)</f>
        <v>#VALUE!</v>
      </c>
      <c r="BG161" s="104" t="e">
        <f ca="1">_05preva_view43[Folder Path1]&amp;"Process &amp; Database\Documentation\Colo Applications"</f>
        <v>#VALUE!</v>
      </c>
      <c r="BH161" s="104" t="e">
        <f ca="1">_05preva_view43[Folder Path2]&amp;"\Colo App "&amp;_05preva_view43[[#This Row],[Operator]]&amp;"\"</f>
        <v>#VALUE!</v>
      </c>
      <c r="BI161" s="63" t="e">
        <f ca="1">_05preva_view43[[#This Row],[Folder Path3]]&amp;_05preva_view43[[#This Row],[File Name]]</f>
        <v>#VALUE!</v>
      </c>
      <c r="BJ161" s="104"/>
      <c r="BK161" s="3"/>
      <c r="BL161" s="3"/>
      <c r="CJ161" s="5"/>
      <c r="CK161" s="5"/>
      <c r="CL161" s="3"/>
      <c r="CN161" s="5"/>
      <c r="CR161" s="3"/>
      <c r="CS161" s="3"/>
      <c r="CT161" s="5"/>
      <c r="CV161" s="3"/>
      <c r="DR161" s="5"/>
      <c r="DT161" s="3"/>
      <c r="EF161" s="7"/>
      <c r="EG161" s="7"/>
      <c r="EJ161" s="4"/>
      <c r="EK161" s="4"/>
      <c r="EU161" s="2"/>
      <c r="EV161" s="2"/>
    </row>
    <row r="162" spans="1:152">
      <c r="A162" s="125">
        <v>3487</v>
      </c>
      <c r="B162" s="126" t="s">
        <v>1512</v>
      </c>
      <c r="C162" s="126" t="s">
        <v>331</v>
      </c>
      <c r="D162" s="126" t="s">
        <v>127</v>
      </c>
      <c r="E162" s="126" t="s">
        <v>1513</v>
      </c>
      <c r="F162" s="126" t="s">
        <v>35</v>
      </c>
      <c r="G162" s="126" t="s">
        <v>1583</v>
      </c>
      <c r="H162" s="126" t="s">
        <v>1580</v>
      </c>
      <c r="I162" s="126" t="s">
        <v>1077</v>
      </c>
      <c r="J162" s="126" t="s">
        <v>931</v>
      </c>
      <c r="K162" s="127">
        <v>43444</v>
      </c>
      <c r="L162" s="128">
        <v>1</v>
      </c>
      <c r="M162" s="128">
        <v>1.462</v>
      </c>
      <c r="N162" s="126"/>
      <c r="O162" s="126" t="s">
        <v>950</v>
      </c>
      <c r="P162" s="129" t="s">
        <v>736</v>
      </c>
      <c r="Q162" s="129" t="s">
        <v>880</v>
      </c>
      <c r="R162" s="126" t="s">
        <v>24</v>
      </c>
      <c r="S162" s="126"/>
      <c r="T162" s="130" t="s">
        <v>861</v>
      </c>
      <c r="U162" s="126"/>
      <c r="V162" s="130" t="s">
        <v>861</v>
      </c>
      <c r="W162" s="126"/>
      <c r="X162" s="130" t="s">
        <v>861</v>
      </c>
      <c r="Y162" s="126"/>
      <c r="Z162" s="165" t="s">
        <v>861</v>
      </c>
      <c r="AA162" s="158"/>
      <c r="AB162" s="158"/>
      <c r="AC162" s="170"/>
      <c r="AD162" s="126"/>
      <c r="AE162" s="130" t="s">
        <v>120</v>
      </c>
      <c r="AF162" s="127" t="s">
        <v>1167</v>
      </c>
      <c r="AG162" s="131"/>
      <c r="AH162" s="131"/>
      <c r="AI162" s="126" t="s">
        <v>1514</v>
      </c>
      <c r="AJ162" s="130" t="s">
        <v>861</v>
      </c>
      <c r="AK162" s="126"/>
      <c r="AL162" s="126"/>
      <c r="AM162" s="130"/>
      <c r="AN162" s="126"/>
      <c r="AO162" s="132"/>
      <c r="AP162" s="126"/>
      <c r="AQ162" s="126"/>
      <c r="AR162" s="130"/>
      <c r="AS162" s="126"/>
      <c r="AT162" s="127"/>
      <c r="AU162" s="127">
        <v>43444.680435995397</v>
      </c>
      <c r="AV162" s="127"/>
      <c r="AW162" s="127"/>
      <c r="AX162" s="127"/>
      <c r="AY162" s="127"/>
      <c r="AZ162" s="133">
        <v>43445.483934837997</v>
      </c>
      <c r="BA162" s="134">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B162" s="135">
        <f>COUNTIFS(_05preva_view43[Site ID],_05preva_view43[[#This Row],[Site ID]],_05preva_view43[Prevalidation Status],"Under Prevalidation")</f>
        <v>0</v>
      </c>
      <c r="BC162" s="157" t="e">
        <f ca="1">HYPERLINK(CheckPath(_05preva_view43[[#This Row],[File Path]],_05preva_view43[[#This Row],[File Path]],_05preva_view43[[#This Row],[Folder Path3]]),CheckPath(_05preva_view43[[#This Row],[File Path]],"Open File","No File"))</f>
        <v>#VALUE!</v>
      </c>
      <c r="BD162" s="136" t="str">
        <f>CONCATENATE(_05preva_view43[[#This Row],[Site ID]]," (",_05preva_view43[[#This Row],[tenant id]],") Application",IF(_05preva_view43[[#This Row],[Colo Rev]]&gt;0," Rev "&amp;_05preva_view43[[#This Row],[Colo Rev]],""),".xlsx")</f>
        <v>1-01-01010-012 (KCN00455) Application Rev 1.xlsx</v>
      </c>
      <c r="BE162" s="64" t="e">
        <f t="shared" ca="1" si="4"/>
        <v>#VALUE!</v>
      </c>
      <c r="BF162" s="104" t="e">
        <f ca="1">LEFT(CELL("filename",A147),_05preva_view43[[#This Row],[Find Process &amp; Database]]-1)</f>
        <v>#VALUE!</v>
      </c>
      <c r="BG162" s="104" t="e">
        <f ca="1">_05preva_view43[Folder Path1]&amp;"Process &amp; Database\Documentation\Colo Applications"</f>
        <v>#VALUE!</v>
      </c>
      <c r="BH162" s="104" t="e">
        <f ca="1">_05preva_view43[Folder Path2]&amp;"\Colo App "&amp;_05preva_view43[[#This Row],[Operator]]&amp;"\"</f>
        <v>#VALUE!</v>
      </c>
      <c r="BI162" s="63" t="e">
        <f ca="1">_05preva_view43[[#This Row],[Folder Path3]]&amp;_05preva_view43[[#This Row],[File Name]]</f>
        <v>#VALUE!</v>
      </c>
      <c r="BJ162" s="104"/>
      <c r="BK162" s="3"/>
      <c r="BL162" s="3"/>
      <c r="CJ162" s="5"/>
      <c r="CK162" s="5"/>
      <c r="CL162" s="3"/>
      <c r="CN162" s="5"/>
      <c r="CR162" s="3"/>
      <c r="CS162" s="3"/>
      <c r="CT162" s="5"/>
      <c r="CV162" s="3"/>
      <c r="DR162" s="5"/>
      <c r="DT162" s="3"/>
      <c r="EF162" s="7"/>
      <c r="EG162" s="7"/>
      <c r="EJ162" s="4"/>
      <c r="EK162" s="4"/>
      <c r="EU162" s="2"/>
      <c r="EV162" s="2"/>
    </row>
    <row r="163" spans="1:152">
      <c r="A163" s="125">
        <v>3488</v>
      </c>
      <c r="B163" s="126" t="s">
        <v>1515</v>
      </c>
      <c r="C163" s="126" t="s">
        <v>331</v>
      </c>
      <c r="D163" s="126" t="s">
        <v>163</v>
      </c>
      <c r="E163" s="126" t="s">
        <v>1516</v>
      </c>
      <c r="F163" s="126" t="s">
        <v>38</v>
      </c>
      <c r="G163" s="126" t="s">
        <v>1586</v>
      </c>
      <c r="H163" s="126" t="s">
        <v>1575</v>
      </c>
      <c r="I163" s="126" t="s">
        <v>1517</v>
      </c>
      <c r="J163" s="126" t="s">
        <v>931</v>
      </c>
      <c r="K163" s="127">
        <v>43444</v>
      </c>
      <c r="L163" s="128"/>
      <c r="M163" s="128"/>
      <c r="N163" s="126">
        <v>4.6100000000000003</v>
      </c>
      <c r="O163" s="126" t="s">
        <v>950</v>
      </c>
      <c r="P163" s="129" t="s">
        <v>1275</v>
      </c>
      <c r="Q163" s="129" t="s">
        <v>1276</v>
      </c>
      <c r="R163" s="126" t="s">
        <v>24</v>
      </c>
      <c r="S163" s="126"/>
      <c r="T163" s="130" t="s">
        <v>861</v>
      </c>
      <c r="U163" s="126"/>
      <c r="V163" s="130" t="s">
        <v>861</v>
      </c>
      <c r="W163" s="126"/>
      <c r="X163" s="130" t="s">
        <v>120</v>
      </c>
      <c r="Y163" s="126" t="s">
        <v>1518</v>
      </c>
      <c r="Z163" s="165" t="s">
        <v>120</v>
      </c>
      <c r="AA163" s="158"/>
      <c r="AB163" s="158"/>
      <c r="AC163" s="170" t="s">
        <v>123</v>
      </c>
      <c r="AD163" s="126" t="s">
        <v>1519</v>
      </c>
      <c r="AE163" s="130" t="s">
        <v>861</v>
      </c>
      <c r="AF163" s="127"/>
      <c r="AG163" s="131"/>
      <c r="AH163" s="131"/>
      <c r="AI163" s="126"/>
      <c r="AJ163" s="130" t="s">
        <v>120</v>
      </c>
      <c r="AK163" s="126" t="s">
        <v>123</v>
      </c>
      <c r="AL163" s="126" t="s">
        <v>1198</v>
      </c>
      <c r="AM163" s="130"/>
      <c r="AN163" s="126"/>
      <c r="AO163" s="132"/>
      <c r="AP163" s="126"/>
      <c r="AQ163" s="126"/>
      <c r="AR163" s="130"/>
      <c r="AS163" s="126"/>
      <c r="AT163" s="127">
        <v>43444.601477430602</v>
      </c>
      <c r="AU163" s="127"/>
      <c r="AV163" s="127">
        <v>43444.701096990699</v>
      </c>
      <c r="AW163" s="127">
        <v>43444.601477430602</v>
      </c>
      <c r="AX163" s="127"/>
      <c r="AY163" s="127"/>
      <c r="AZ163" s="133">
        <v>43445.588910763901</v>
      </c>
      <c r="BA163" s="134">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B163" s="135">
        <f>COUNTIFS(_05preva_view43[Site ID],_05preva_view43[[#This Row],[Site ID]],_05preva_view43[Prevalidation Status],"Under Prevalidation")</f>
        <v>0</v>
      </c>
      <c r="BC163" s="157" t="e">
        <f ca="1">HYPERLINK(CheckPath(_05preva_view43[[#This Row],[File Path]],_05preva_view43[[#This Row],[File Path]],_05preva_view43[[#This Row],[Folder Path3]]),CheckPath(_05preva_view43[[#This Row],[File Path]],"Open File","No File"))</f>
        <v>#VALUE!</v>
      </c>
      <c r="BD163" s="136" t="str">
        <f>CONCATENATE(_05preva_view43[[#This Row],[Site ID]]," (",_05preva_view43[[#This Row],[tenant id]],") Application",IF(_05preva_view43[[#This Row],[Colo Rev]]&gt;0," Rev "&amp;_05preva_view43[[#This Row],[Colo Rev]],""),".xlsx")</f>
        <v>1-01-17003-008 (AY0830) Application Rev 1.xlsx</v>
      </c>
      <c r="BE163" s="64" t="e">
        <f t="shared" ca="1" si="4"/>
        <v>#VALUE!</v>
      </c>
      <c r="BF163" s="104" t="e">
        <f ca="1">LEFT(CELL("filename",A148),_05preva_view43[[#This Row],[Find Process &amp; Database]]-1)</f>
        <v>#VALUE!</v>
      </c>
      <c r="BG163" s="104" t="e">
        <f ca="1">_05preva_view43[Folder Path1]&amp;"Process &amp; Database\Documentation\Colo Applications"</f>
        <v>#VALUE!</v>
      </c>
      <c r="BH163" s="104" t="e">
        <f ca="1">_05preva_view43[Folder Path2]&amp;"\Colo App "&amp;_05preva_view43[[#This Row],[Operator]]&amp;"\"</f>
        <v>#VALUE!</v>
      </c>
      <c r="BI163" s="63" t="e">
        <f ca="1">_05preva_view43[[#This Row],[Folder Path3]]&amp;_05preva_view43[[#This Row],[File Name]]</f>
        <v>#VALUE!</v>
      </c>
      <c r="BJ163" s="104"/>
      <c r="BK163" s="3"/>
      <c r="BL163" s="3"/>
      <c r="CJ163" s="5"/>
      <c r="CK163" s="5"/>
      <c r="CL163" s="3"/>
      <c r="CN163" s="5"/>
      <c r="CR163" s="3"/>
      <c r="CS163" s="3"/>
      <c r="CT163" s="5"/>
      <c r="CV163" s="3"/>
      <c r="DR163" s="5"/>
      <c r="DT163" s="3"/>
      <c r="EF163" s="7"/>
      <c r="EG163" s="7"/>
      <c r="EJ163" s="4"/>
      <c r="EK163" s="4"/>
      <c r="EU163" s="2"/>
      <c r="EV163" s="2"/>
    </row>
    <row r="164" spans="1:152">
      <c r="A164" s="125">
        <v>3489</v>
      </c>
      <c r="B164" s="126" t="s">
        <v>1520</v>
      </c>
      <c r="C164" s="126" t="s">
        <v>331</v>
      </c>
      <c r="D164" s="126" t="s">
        <v>127</v>
      </c>
      <c r="E164" s="126" t="s">
        <v>1521</v>
      </c>
      <c r="F164" s="126" t="s">
        <v>35</v>
      </c>
      <c r="G164" s="126" t="s">
        <v>1583</v>
      </c>
      <c r="H164" s="126" t="s">
        <v>1580</v>
      </c>
      <c r="I164" s="126" t="s">
        <v>1252</v>
      </c>
      <c r="J164" s="126" t="s">
        <v>940</v>
      </c>
      <c r="K164" s="127">
        <v>43444</v>
      </c>
      <c r="L164" s="128">
        <v>1</v>
      </c>
      <c r="M164" s="128">
        <v>1.462</v>
      </c>
      <c r="N164" s="126"/>
      <c r="O164" s="126" t="s">
        <v>950</v>
      </c>
      <c r="P164" s="129" t="s">
        <v>334</v>
      </c>
      <c r="Q164" s="129" t="s">
        <v>736</v>
      </c>
      <c r="R164" s="126" t="s">
        <v>24</v>
      </c>
      <c r="S164" s="126"/>
      <c r="T164" s="130" t="s">
        <v>861</v>
      </c>
      <c r="U164" s="126"/>
      <c r="V164" s="130" t="s">
        <v>861</v>
      </c>
      <c r="W164" s="126"/>
      <c r="X164" s="130" t="s">
        <v>861</v>
      </c>
      <c r="Y164" s="126"/>
      <c r="Z164" s="165" t="s">
        <v>861</v>
      </c>
      <c r="AA164" s="158"/>
      <c r="AB164" s="158"/>
      <c r="AC164" s="170"/>
      <c r="AD164" s="126"/>
      <c r="AE164" s="130" t="s">
        <v>120</v>
      </c>
      <c r="AF164" s="127" t="s">
        <v>1167</v>
      </c>
      <c r="AG164" s="131"/>
      <c r="AH164" s="131"/>
      <c r="AI164" s="126" t="s">
        <v>1522</v>
      </c>
      <c r="AJ164" s="130" t="s">
        <v>861</v>
      </c>
      <c r="AK164" s="126"/>
      <c r="AL164" s="126"/>
      <c r="AM164" s="130"/>
      <c r="AN164" s="126"/>
      <c r="AO164" s="132"/>
      <c r="AP164" s="126"/>
      <c r="AQ164" s="126"/>
      <c r="AR164" s="130"/>
      <c r="AS164" s="126"/>
      <c r="AT164" s="127"/>
      <c r="AU164" s="127">
        <v>43444.680442013901</v>
      </c>
      <c r="AV164" s="127"/>
      <c r="AW164" s="127"/>
      <c r="AX164" s="127"/>
      <c r="AY164" s="127"/>
      <c r="AZ164" s="133">
        <v>43445.483935648102</v>
      </c>
      <c r="BA164" s="134">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B164" s="135">
        <f>COUNTIFS(_05preva_view43[Site ID],_05preva_view43[[#This Row],[Site ID]],_05preva_view43[Prevalidation Status],"Under Prevalidation")</f>
        <v>0</v>
      </c>
      <c r="BC164" s="157" t="e">
        <f ca="1">HYPERLINK(CheckPath(_05preva_view43[[#This Row],[File Path]],_05preva_view43[[#This Row],[File Path]],_05preva_view43[[#This Row],[Folder Path3]]),CheckPath(_05preva_view43[[#This Row],[File Path]],"Open File","No File"))</f>
        <v>#VALUE!</v>
      </c>
      <c r="BD164" s="136" t="str">
        <f>CONCATENATE(_05preva_view43[[#This Row],[Site ID]]," (",_05preva_view43[[#This Row],[tenant id]],") Application",IF(_05preva_view43[[#This Row],[Colo Rev]]&gt;0," Rev "&amp;_05preva_view43[[#This Row],[Colo Rev]],""),".xlsx")</f>
        <v>1-01-01010-013 (KCN00442) Application Rev 0.xlsx</v>
      </c>
      <c r="BE164" s="64" t="e">
        <f t="shared" ca="1" si="4"/>
        <v>#VALUE!</v>
      </c>
      <c r="BF164" s="104" t="e">
        <f ca="1">LEFT(CELL("filename",A149),_05preva_view43[[#This Row],[Find Process &amp; Database]]-1)</f>
        <v>#VALUE!</v>
      </c>
      <c r="BG164" s="104" t="e">
        <f ca="1">_05preva_view43[Folder Path1]&amp;"Process &amp; Database\Documentation\Colo Applications"</f>
        <v>#VALUE!</v>
      </c>
      <c r="BH164" s="104" t="e">
        <f ca="1">_05preva_view43[Folder Path2]&amp;"\Colo App "&amp;_05preva_view43[[#This Row],[Operator]]&amp;"\"</f>
        <v>#VALUE!</v>
      </c>
      <c r="BI164" s="63" t="e">
        <f ca="1">_05preva_view43[[#This Row],[Folder Path3]]&amp;_05preva_view43[[#This Row],[File Name]]</f>
        <v>#VALUE!</v>
      </c>
      <c r="BJ164" s="104"/>
      <c r="BK164" s="3"/>
      <c r="BL164" s="3"/>
      <c r="CJ164" s="5"/>
      <c r="CK164" s="5"/>
      <c r="CL164" s="3"/>
      <c r="CN164" s="5"/>
      <c r="CR164" s="3"/>
      <c r="CS164" s="3"/>
      <c r="CT164" s="5"/>
      <c r="CV164" s="3"/>
      <c r="DR164" s="5"/>
      <c r="DT164" s="3"/>
      <c r="EF164" s="7"/>
      <c r="EG164" s="7"/>
      <c r="EJ164" s="4"/>
      <c r="EK164" s="4"/>
      <c r="EU164" s="2"/>
      <c r="EV164" s="2"/>
    </row>
    <row r="165" spans="1:152">
      <c r="A165" s="125">
        <v>3490</v>
      </c>
      <c r="B165" s="126" t="s">
        <v>1523</v>
      </c>
      <c r="C165" s="126" t="s">
        <v>116</v>
      </c>
      <c r="D165" s="126" t="s">
        <v>127</v>
      </c>
      <c r="E165" s="126" t="s">
        <v>1524</v>
      </c>
      <c r="F165" s="126" t="s">
        <v>41</v>
      </c>
      <c r="G165" s="126" t="s">
        <v>1412</v>
      </c>
      <c r="H165" s="126" t="s">
        <v>1319</v>
      </c>
      <c r="I165" s="126" t="s">
        <v>1143</v>
      </c>
      <c r="J165" s="126" t="s">
        <v>940</v>
      </c>
      <c r="K165" s="127">
        <v>43444</v>
      </c>
      <c r="L165" s="128"/>
      <c r="M165" s="128">
        <v>2</v>
      </c>
      <c r="N165" s="126">
        <v>3</v>
      </c>
      <c r="O165" s="126" t="s">
        <v>119</v>
      </c>
      <c r="P165" s="129" t="s">
        <v>1304</v>
      </c>
      <c r="Q165" s="129" t="s">
        <v>1245</v>
      </c>
      <c r="R165" s="126" t="s">
        <v>24</v>
      </c>
      <c r="S165" s="126"/>
      <c r="T165" s="130" t="s">
        <v>120</v>
      </c>
      <c r="U165" s="126" t="s">
        <v>1746</v>
      </c>
      <c r="V165" s="130" t="s">
        <v>120</v>
      </c>
      <c r="W165" s="126"/>
      <c r="X165" s="130" t="s">
        <v>120</v>
      </c>
      <c r="Y165" s="126" t="s">
        <v>1525</v>
      </c>
      <c r="Z165" s="165" t="s">
        <v>120</v>
      </c>
      <c r="AA165" s="158"/>
      <c r="AB165" s="158"/>
      <c r="AC165" s="170" t="s">
        <v>123</v>
      </c>
      <c r="AD165" s="126" t="s">
        <v>1526</v>
      </c>
      <c r="AE165" s="130" t="s">
        <v>120</v>
      </c>
      <c r="AF165" s="127" t="s">
        <v>895</v>
      </c>
      <c r="AG165" s="131"/>
      <c r="AH165" s="131"/>
      <c r="AI165" s="126" t="s">
        <v>1417</v>
      </c>
      <c r="AJ165" s="130" t="s">
        <v>120</v>
      </c>
      <c r="AK165" s="126" t="s">
        <v>240</v>
      </c>
      <c r="AL165" s="126" t="s">
        <v>1527</v>
      </c>
      <c r="AM165" s="130"/>
      <c r="AN165" s="126"/>
      <c r="AO165" s="132"/>
      <c r="AP165" s="126"/>
      <c r="AQ165" s="126"/>
      <c r="AR165" s="130"/>
      <c r="AS165" s="126"/>
      <c r="AT165" s="127">
        <v>43444.601481134298</v>
      </c>
      <c r="AU165" s="127">
        <v>43444.680445601902</v>
      </c>
      <c r="AV165" s="127">
        <v>43445.6883550926</v>
      </c>
      <c r="AW165" s="127">
        <v>43444.601481134298</v>
      </c>
      <c r="AX165" s="127">
        <v>43460.604111226901</v>
      </c>
      <c r="AY165" s="127">
        <v>43444.668289236099</v>
      </c>
      <c r="AZ165" s="133">
        <v>43476.382870833302</v>
      </c>
      <c r="BA165" s="134">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B165" s="135">
        <f>COUNTIFS(_05preva_view43[Site ID],_05preva_view43[[#This Row],[Site ID]],_05preva_view43[Prevalidation Status],"Under Prevalidation")</f>
        <v>0</v>
      </c>
      <c r="BC165" s="157" t="e">
        <f ca="1">HYPERLINK(CheckPath(_05preva_view43[[#This Row],[File Path]],_05preva_view43[[#This Row],[File Path]],_05preva_view43[[#This Row],[Folder Path3]]),CheckPath(_05preva_view43[[#This Row],[File Path]],"Open File","No File"))</f>
        <v>#VALUE!</v>
      </c>
      <c r="BD165" s="136" t="str">
        <f>CONCATENATE(_05preva_view43[[#This Row],[Site ID]]," (",_05preva_view43[[#This Row],[tenant id]],") Application",IF(_05preva_view43[[#This Row],[Colo Rev]]&gt;0," Rev "&amp;_05preva_view43[[#This Row],[Colo Rev]],""),".xlsx")</f>
        <v>ANMD_0169 (MDYPGTG007ML) Application Rev 0.xlsx</v>
      </c>
      <c r="BE165" s="64" t="e">
        <f t="shared" ca="1" si="4"/>
        <v>#VALUE!</v>
      </c>
      <c r="BF165" s="104" t="e">
        <f ca="1">LEFT(CELL("filename",A150),_05preva_view43[[#This Row],[Find Process &amp; Database]]-1)</f>
        <v>#VALUE!</v>
      </c>
      <c r="BG165" s="104" t="e">
        <f ca="1">_05preva_view43[Folder Path1]&amp;"Process &amp; Database\Documentation\Colo Applications"</f>
        <v>#VALUE!</v>
      </c>
      <c r="BH165" s="104" t="e">
        <f ca="1">_05preva_view43[Folder Path2]&amp;"\Colo App "&amp;_05preva_view43[[#This Row],[Operator]]&amp;"\"</f>
        <v>#VALUE!</v>
      </c>
      <c r="BI165" s="63" t="e">
        <f ca="1">_05preva_view43[[#This Row],[Folder Path3]]&amp;_05preva_view43[[#This Row],[File Name]]</f>
        <v>#VALUE!</v>
      </c>
      <c r="BJ165" s="104"/>
      <c r="BK165" s="3"/>
      <c r="BL165" s="3"/>
      <c r="CJ165" s="5"/>
      <c r="CK165" s="5"/>
      <c r="CL165" s="3"/>
      <c r="CN165" s="5"/>
      <c r="CR165" s="3"/>
      <c r="CS165" s="3"/>
      <c r="CT165" s="5"/>
      <c r="CV165" s="3"/>
      <c r="DR165" s="5"/>
      <c r="DT165" s="3"/>
      <c r="EF165" s="7"/>
      <c r="EG165" s="7"/>
      <c r="EJ165" s="4"/>
      <c r="EK165" s="4"/>
      <c r="EU165" s="2"/>
      <c r="EV165" s="2"/>
    </row>
    <row r="166" spans="1:152">
      <c r="A166" s="125">
        <v>3491</v>
      </c>
      <c r="B166" s="126" t="s">
        <v>1528</v>
      </c>
      <c r="C166" s="126" t="s">
        <v>331</v>
      </c>
      <c r="D166" s="126" t="s">
        <v>127</v>
      </c>
      <c r="E166" s="126" t="s">
        <v>1529</v>
      </c>
      <c r="F166" s="126" t="s">
        <v>35</v>
      </c>
      <c r="G166" s="126" t="s">
        <v>1583</v>
      </c>
      <c r="H166" s="126" t="s">
        <v>1575</v>
      </c>
      <c r="I166" s="126" t="s">
        <v>1252</v>
      </c>
      <c r="J166" s="126" t="s">
        <v>931</v>
      </c>
      <c r="K166" s="127">
        <v>43444</v>
      </c>
      <c r="L166" s="128">
        <v>1.39</v>
      </c>
      <c r="M166" s="128">
        <v>1.7949999999999999</v>
      </c>
      <c r="N166" s="126"/>
      <c r="O166" s="126" t="s">
        <v>950</v>
      </c>
      <c r="P166" s="129" t="s">
        <v>276</v>
      </c>
      <c r="Q166" s="129" t="s">
        <v>277</v>
      </c>
      <c r="R166" s="126" t="s">
        <v>24</v>
      </c>
      <c r="S166" s="126"/>
      <c r="T166" s="130" t="s">
        <v>861</v>
      </c>
      <c r="U166" s="126"/>
      <c r="V166" s="130" t="s">
        <v>861</v>
      </c>
      <c r="W166" s="126"/>
      <c r="X166" s="130" t="s">
        <v>861</v>
      </c>
      <c r="Y166" s="126"/>
      <c r="Z166" s="165" t="s">
        <v>861</v>
      </c>
      <c r="AA166" s="158"/>
      <c r="AB166" s="158"/>
      <c r="AC166" s="170"/>
      <c r="AD166" s="126"/>
      <c r="AE166" s="130" t="s">
        <v>120</v>
      </c>
      <c r="AF166" s="127" t="s">
        <v>1167</v>
      </c>
      <c r="AG166" s="131"/>
      <c r="AH166" s="131"/>
      <c r="AI166" s="126" t="s">
        <v>1522</v>
      </c>
      <c r="AJ166" s="130" t="s">
        <v>861</v>
      </c>
      <c r="AK166" s="126"/>
      <c r="AL166" s="126"/>
      <c r="AM166" s="130"/>
      <c r="AN166" s="126"/>
      <c r="AO166" s="132"/>
      <c r="AP166" s="126"/>
      <c r="AQ166" s="126"/>
      <c r="AR166" s="130"/>
      <c r="AS166" s="126"/>
      <c r="AT166" s="127"/>
      <c r="AU166" s="127">
        <v>43444.680447685198</v>
      </c>
      <c r="AV166" s="127"/>
      <c r="AW166" s="127"/>
      <c r="AX166" s="127"/>
      <c r="AY166" s="127"/>
      <c r="AZ166" s="133">
        <v>43445.483937037003</v>
      </c>
      <c r="BA166" s="134">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B166" s="135">
        <f>COUNTIFS(_05preva_view43[Site ID],_05preva_view43[[#This Row],[Site ID]],_05preva_view43[Prevalidation Status],"Under Prevalidation")</f>
        <v>0</v>
      </c>
      <c r="BC166" s="157" t="e">
        <f ca="1">HYPERLINK(CheckPath(_05preva_view43[[#This Row],[File Path]],_05preva_view43[[#This Row],[File Path]],_05preva_view43[[#This Row],[Folder Path3]]),CheckPath(_05preva_view43[[#This Row],[File Path]],"Open File","No File"))</f>
        <v>#VALUE!</v>
      </c>
      <c r="BD166" s="136" t="str">
        <f>CONCATENATE(_05preva_view43[[#This Row],[Site ID]]," (",_05preva_view43[[#This Row],[tenant id]],") Application",IF(_05preva_view43[[#This Row],[Colo Rev]]&gt;0," Rev "&amp;_05preva_view43[[#This Row],[Colo Rev]],""),".xlsx")</f>
        <v>1-01-01009-002 (KCN00139) Application Rev 1.xlsx</v>
      </c>
      <c r="BE166" s="64" t="e">
        <f t="shared" ca="1" si="4"/>
        <v>#VALUE!</v>
      </c>
      <c r="BF166" s="104" t="e">
        <f ca="1">LEFT(CELL("filename",A151),_05preva_view43[[#This Row],[Find Process &amp; Database]]-1)</f>
        <v>#VALUE!</v>
      </c>
      <c r="BG166" s="104" t="e">
        <f ca="1">_05preva_view43[Folder Path1]&amp;"Process &amp; Database\Documentation\Colo Applications"</f>
        <v>#VALUE!</v>
      </c>
      <c r="BH166" s="104" t="e">
        <f ca="1">_05preva_view43[Folder Path2]&amp;"\Colo App "&amp;_05preva_view43[[#This Row],[Operator]]&amp;"\"</f>
        <v>#VALUE!</v>
      </c>
      <c r="BI166" s="63" t="e">
        <f ca="1">_05preva_view43[[#This Row],[Folder Path3]]&amp;_05preva_view43[[#This Row],[File Name]]</f>
        <v>#VALUE!</v>
      </c>
      <c r="BJ166" s="104"/>
      <c r="BK166" s="3"/>
      <c r="BL166" s="3"/>
      <c r="CJ166" s="5"/>
      <c r="CK166" s="5"/>
      <c r="CL166" s="3"/>
      <c r="CN166" s="5"/>
      <c r="CR166" s="3"/>
      <c r="CS166" s="3"/>
      <c r="CT166" s="5"/>
      <c r="CV166" s="3"/>
      <c r="DR166" s="5"/>
      <c r="DT166" s="3"/>
      <c r="EF166" s="7"/>
      <c r="EG166" s="7"/>
      <c r="EJ166" s="4"/>
      <c r="EK166" s="4"/>
      <c r="EU166" s="2"/>
      <c r="EV166" s="2"/>
    </row>
    <row r="167" spans="1:152">
      <c r="A167" s="125">
        <v>3492</v>
      </c>
      <c r="B167" s="126" t="s">
        <v>1530</v>
      </c>
      <c r="C167" s="126" t="s">
        <v>116</v>
      </c>
      <c r="D167" s="126" t="s">
        <v>127</v>
      </c>
      <c r="E167" s="126" t="s">
        <v>1531</v>
      </c>
      <c r="F167" s="126" t="s">
        <v>35</v>
      </c>
      <c r="G167" s="126" t="s">
        <v>1577</v>
      </c>
      <c r="H167" s="126" t="s">
        <v>1575</v>
      </c>
      <c r="I167" s="126" t="s">
        <v>1532</v>
      </c>
      <c r="J167" s="126" t="s">
        <v>940</v>
      </c>
      <c r="K167" s="127">
        <v>43444</v>
      </c>
      <c r="L167" s="128">
        <v>1.399</v>
      </c>
      <c r="M167" s="128">
        <v>2.1989999999999998</v>
      </c>
      <c r="N167" s="126">
        <v>4.13</v>
      </c>
      <c r="O167" s="126" t="s">
        <v>119</v>
      </c>
      <c r="P167" s="129" t="s">
        <v>276</v>
      </c>
      <c r="Q167" s="129" t="s">
        <v>277</v>
      </c>
      <c r="R167" s="126" t="s">
        <v>24</v>
      </c>
      <c r="S167" s="126"/>
      <c r="T167" s="130" t="s">
        <v>861</v>
      </c>
      <c r="U167" s="126"/>
      <c r="V167" s="130" t="s">
        <v>120</v>
      </c>
      <c r="W167" s="126"/>
      <c r="X167" s="130" t="s">
        <v>120</v>
      </c>
      <c r="Y167" s="126" t="s">
        <v>1533</v>
      </c>
      <c r="Z167" s="165" t="s">
        <v>120</v>
      </c>
      <c r="AA167" s="158"/>
      <c r="AB167" s="158"/>
      <c r="AC167" s="170" t="s">
        <v>123</v>
      </c>
      <c r="AD167" s="126" t="s">
        <v>1534</v>
      </c>
      <c r="AE167" s="130" t="s">
        <v>120</v>
      </c>
      <c r="AF167" s="127"/>
      <c r="AG167" s="131"/>
      <c r="AH167" s="131"/>
      <c r="AI167" s="126" t="s">
        <v>1535</v>
      </c>
      <c r="AJ167" s="130" t="s">
        <v>120</v>
      </c>
      <c r="AK167" s="126" t="s">
        <v>123</v>
      </c>
      <c r="AL167" s="126" t="s">
        <v>1198</v>
      </c>
      <c r="AM167" s="130"/>
      <c r="AN167" s="126"/>
      <c r="AO167" s="132"/>
      <c r="AP167" s="126"/>
      <c r="AQ167" s="126"/>
      <c r="AR167" s="130"/>
      <c r="AS167" s="126"/>
      <c r="AT167" s="127">
        <v>43446.472635879603</v>
      </c>
      <c r="AU167" s="127">
        <v>43445.639606365701</v>
      </c>
      <c r="AV167" s="127">
        <v>43446.542096411999</v>
      </c>
      <c r="AW167" s="127">
        <v>43446.472635879603</v>
      </c>
      <c r="AX167" s="127"/>
      <c r="AY167" s="127">
        <v>43445.434492824097</v>
      </c>
      <c r="AZ167" s="133">
        <v>43447.425435300902</v>
      </c>
      <c r="BA167" s="134">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B167" s="135">
        <f>COUNTIFS(_05preva_view43[Site ID],_05preva_view43[[#This Row],[Site ID]],_05preva_view43[Prevalidation Status],"Under Prevalidation")</f>
        <v>0</v>
      </c>
      <c r="BC167" s="157" t="e">
        <f ca="1">HYPERLINK(CheckPath(_05preva_view43[[#This Row],[File Path]],_05preva_view43[[#This Row],[File Path]],_05preva_view43[[#This Row],[Folder Path3]]),CheckPath(_05preva_view43[[#This Row],[File Path]],"Open File","No File"))</f>
        <v>#VALUE!</v>
      </c>
      <c r="BD167" s="136" t="str">
        <f>CONCATENATE(_05preva_view43[[#This Row],[Site ID]]," (",_05preva_view43[[#This Row],[tenant id]],") Application",IF(_05preva_view43[[#This Row],[Colo Rev]]&gt;0," Rev "&amp;_05preva_view43[[#This Row],[Colo Rev]],""),".xlsx")</f>
        <v>ANMD_0195 (MDY00607) Application Rev 0.xlsx</v>
      </c>
      <c r="BE167" s="64" t="e">
        <f t="shared" ca="1" si="4"/>
        <v>#VALUE!</v>
      </c>
      <c r="BF167" s="104" t="e">
        <f ca="1">LEFT(CELL("filename",A152),_05preva_view43[[#This Row],[Find Process &amp; Database]]-1)</f>
        <v>#VALUE!</v>
      </c>
      <c r="BG167" s="104" t="e">
        <f ca="1">_05preva_view43[Folder Path1]&amp;"Process &amp; Database\Documentation\Colo Applications"</f>
        <v>#VALUE!</v>
      </c>
      <c r="BH167" s="104" t="e">
        <f ca="1">_05preva_view43[Folder Path2]&amp;"\Colo App "&amp;_05preva_view43[[#This Row],[Operator]]&amp;"\"</f>
        <v>#VALUE!</v>
      </c>
      <c r="BI167" s="63" t="e">
        <f ca="1">_05preva_view43[[#This Row],[Folder Path3]]&amp;_05preva_view43[[#This Row],[File Name]]</f>
        <v>#VALUE!</v>
      </c>
      <c r="BJ167" s="104"/>
      <c r="BK167" s="3"/>
      <c r="BL167" s="3"/>
      <c r="CJ167" s="5"/>
      <c r="CK167" s="5"/>
      <c r="CL167" s="3"/>
      <c r="CN167" s="5"/>
      <c r="CR167" s="3"/>
      <c r="CS167" s="3"/>
      <c r="CT167" s="5"/>
      <c r="CV167" s="3"/>
      <c r="DR167" s="5"/>
      <c r="DT167" s="3"/>
      <c r="EF167" s="7"/>
      <c r="EG167" s="7"/>
      <c r="EJ167" s="4"/>
      <c r="EK167" s="4"/>
      <c r="EU167" s="2"/>
      <c r="EV167" s="2"/>
    </row>
    <row r="168" spans="1:152">
      <c r="A168" s="125">
        <v>3483</v>
      </c>
      <c r="B168" s="126" t="s">
        <v>1498</v>
      </c>
      <c r="C168" s="126" t="s">
        <v>116</v>
      </c>
      <c r="D168" s="126" t="s">
        <v>163</v>
      </c>
      <c r="E168" s="126" t="s">
        <v>1499</v>
      </c>
      <c r="F168" s="126" t="s">
        <v>35</v>
      </c>
      <c r="G168" s="126" t="s">
        <v>1577</v>
      </c>
      <c r="H168" s="126" t="s">
        <v>1575</v>
      </c>
      <c r="I168" s="126" t="s">
        <v>1373</v>
      </c>
      <c r="J168" s="126" t="s">
        <v>931</v>
      </c>
      <c r="K168" s="127">
        <v>43441</v>
      </c>
      <c r="L168" s="128">
        <v>3.28</v>
      </c>
      <c r="M168" s="128">
        <v>4.0999999999999996</v>
      </c>
      <c r="N168" s="126">
        <v>5</v>
      </c>
      <c r="O168" s="126" t="s">
        <v>119</v>
      </c>
      <c r="P168" s="129" t="s">
        <v>1442</v>
      </c>
      <c r="Q168" s="129" t="s">
        <v>1500</v>
      </c>
      <c r="R168" s="126" t="s">
        <v>24</v>
      </c>
      <c r="S168" s="126"/>
      <c r="T168" s="130" t="s">
        <v>861</v>
      </c>
      <c r="U168" s="126"/>
      <c r="V168" s="130" t="s">
        <v>861</v>
      </c>
      <c r="W168" s="126"/>
      <c r="X168" s="130" t="s">
        <v>120</v>
      </c>
      <c r="Y168" s="126" t="s">
        <v>1501</v>
      </c>
      <c r="Z168" s="165" t="s">
        <v>120</v>
      </c>
      <c r="AA168" s="158"/>
      <c r="AB168" s="158"/>
      <c r="AC168" s="170" t="s">
        <v>123</v>
      </c>
      <c r="AD168" s="126" t="s">
        <v>1502</v>
      </c>
      <c r="AE168" s="130" t="s">
        <v>120</v>
      </c>
      <c r="AF168" s="127"/>
      <c r="AG168" s="131"/>
      <c r="AH168" s="131"/>
      <c r="AI168" s="126" t="s">
        <v>1503</v>
      </c>
      <c r="AJ168" s="130" t="s">
        <v>120</v>
      </c>
      <c r="AK168" s="126" t="s">
        <v>123</v>
      </c>
      <c r="AL168" s="126" t="s">
        <v>1198</v>
      </c>
      <c r="AM168" s="130"/>
      <c r="AN168" s="126"/>
      <c r="AO168" s="132"/>
      <c r="AP168" s="126"/>
      <c r="AQ168" s="126"/>
      <c r="AR168" s="130"/>
      <c r="AS168" s="126"/>
      <c r="AT168" s="127">
        <v>43443.930115393501</v>
      </c>
      <c r="AU168" s="127">
        <v>43444.680423611098</v>
      </c>
      <c r="AV168" s="127">
        <v>43445.5993190972</v>
      </c>
      <c r="AW168" s="127">
        <v>43443.930115393501</v>
      </c>
      <c r="AX168" s="127"/>
      <c r="AY168" s="127"/>
      <c r="AZ168" s="133">
        <v>43445.682352546297</v>
      </c>
      <c r="BA168" s="134">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B168" s="135">
        <f>COUNTIFS(_05preva_view43[Site ID],_05preva_view43[[#This Row],[Site ID]],_05preva_view43[Prevalidation Status],"Under Prevalidation")</f>
        <v>0</v>
      </c>
      <c r="BC168" s="157" t="e">
        <f ca="1">HYPERLINK(CheckPath(_05preva_view43[[#This Row],[File Path]],_05preva_view43[[#This Row],[File Path]],_05preva_view43[[#This Row],[Folder Path3]]),CheckPath(_05preva_view43[[#This Row],[File Path]],"Open File","No File"))</f>
        <v>#VALUE!</v>
      </c>
      <c r="BD168" s="136" t="str">
        <f>CONCATENATE(_05preva_view43[[#This Row],[Site ID]]," (",_05preva_view43[[#This Row],[tenant id]],") Application",IF(_05preva_view43[[#This Row],[Colo Rev]]&gt;0," Rev "&amp;_05preva_view43[[#This Row],[Colo Rev]],""),".xlsx")</f>
        <v>AYYN_0225 (YGN00526) Application Rev 1.xlsx</v>
      </c>
      <c r="BE168" s="64" t="e">
        <f t="shared" ca="1" si="4"/>
        <v>#VALUE!</v>
      </c>
      <c r="BF168" s="104" t="e">
        <f ca="1">LEFT(CELL("filename",A153),_05preva_view43[[#This Row],[Find Process &amp; Database]]-1)</f>
        <v>#VALUE!</v>
      </c>
      <c r="BG168" s="104" t="e">
        <f ca="1">_05preva_view43[Folder Path1]&amp;"Process &amp; Database\Documentation\Colo Applications"</f>
        <v>#VALUE!</v>
      </c>
      <c r="BH168" s="104" t="e">
        <f ca="1">_05preva_view43[Folder Path2]&amp;"\Colo App "&amp;_05preva_view43[[#This Row],[Operator]]&amp;"\"</f>
        <v>#VALUE!</v>
      </c>
      <c r="BI168" s="63" t="e">
        <f ca="1">_05preva_view43[[#This Row],[Folder Path3]]&amp;_05preva_view43[[#This Row],[File Name]]</f>
        <v>#VALUE!</v>
      </c>
      <c r="BJ168" s="104"/>
      <c r="BK168" s="3"/>
      <c r="BL168" s="3"/>
      <c r="CJ168" s="5"/>
      <c r="CK168" s="5"/>
      <c r="CL168" s="3"/>
      <c r="CN168" s="5"/>
      <c r="CR168" s="3"/>
      <c r="CS168" s="3"/>
      <c r="CT168" s="5"/>
      <c r="CV168" s="3"/>
      <c r="DR168" s="5"/>
      <c r="DT168" s="3"/>
      <c r="EF168" s="7"/>
      <c r="EG168" s="7"/>
      <c r="EJ168" s="4"/>
      <c r="EK168" s="4"/>
      <c r="EU168" s="2"/>
      <c r="EV168" s="2"/>
    </row>
    <row r="169" spans="1:152">
      <c r="A169" s="125">
        <v>3484</v>
      </c>
      <c r="B169" s="126" t="s">
        <v>1504</v>
      </c>
      <c r="C169" s="126" t="s">
        <v>331</v>
      </c>
      <c r="D169" s="126" t="s">
        <v>163</v>
      </c>
      <c r="E169" s="126" t="s">
        <v>1505</v>
      </c>
      <c r="F169" s="126" t="s">
        <v>35</v>
      </c>
      <c r="G169" s="126" t="s">
        <v>1583</v>
      </c>
      <c r="H169" s="126" t="s">
        <v>1575</v>
      </c>
      <c r="I169" s="126" t="s">
        <v>1053</v>
      </c>
      <c r="J169" s="126" t="s">
        <v>949</v>
      </c>
      <c r="K169" s="127">
        <v>43441</v>
      </c>
      <c r="L169" s="128">
        <v>2.96</v>
      </c>
      <c r="M169" s="128">
        <v>3.7</v>
      </c>
      <c r="N169" s="126"/>
      <c r="O169" s="126" t="s">
        <v>950</v>
      </c>
      <c r="P169" s="129" t="s">
        <v>704</v>
      </c>
      <c r="Q169" s="129" t="s">
        <v>705</v>
      </c>
      <c r="R169" s="126" t="s">
        <v>24</v>
      </c>
      <c r="S169" s="126"/>
      <c r="T169" s="130" t="s">
        <v>861</v>
      </c>
      <c r="U169" s="126"/>
      <c r="V169" s="130" t="s">
        <v>861</v>
      </c>
      <c r="W169" s="126"/>
      <c r="X169" s="130" t="s">
        <v>861</v>
      </c>
      <c r="Y169" s="126"/>
      <c r="Z169" s="165" t="s">
        <v>861</v>
      </c>
      <c r="AA169" s="158"/>
      <c r="AB169" s="158"/>
      <c r="AC169" s="170"/>
      <c r="AD169" s="126"/>
      <c r="AE169" s="130" t="s">
        <v>120</v>
      </c>
      <c r="AF169" s="127" t="s">
        <v>1167</v>
      </c>
      <c r="AG169" s="131"/>
      <c r="AH169" s="131"/>
      <c r="AI169" s="126" t="s">
        <v>1506</v>
      </c>
      <c r="AJ169" s="130" t="s">
        <v>861</v>
      </c>
      <c r="AK169" s="126"/>
      <c r="AL169" s="126"/>
      <c r="AM169" s="130"/>
      <c r="AN169" s="126"/>
      <c r="AO169" s="132"/>
      <c r="AP169" s="126"/>
      <c r="AQ169" s="126"/>
      <c r="AR169" s="130"/>
      <c r="AS169" s="126"/>
      <c r="AT169" s="127"/>
      <c r="AU169" s="127">
        <v>43444.680427777799</v>
      </c>
      <c r="AV169" s="127"/>
      <c r="AW169" s="127"/>
      <c r="AX169" s="127"/>
      <c r="AY169" s="127"/>
      <c r="AZ169" s="133">
        <v>43445.483932407398</v>
      </c>
      <c r="BA169" s="134">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B169" s="135">
        <f>COUNTIFS(_05preva_view43[Site ID],_05preva_view43[[#This Row],[Site ID]],_05preva_view43[Prevalidation Status],"Under Prevalidation")</f>
        <v>0</v>
      </c>
      <c r="BC169" s="157" t="e">
        <f ca="1">HYPERLINK(CheckPath(_05preva_view43[[#This Row],[File Path]],_05preva_view43[[#This Row],[File Path]],_05preva_view43[[#This Row],[Folder Path3]]),CheckPath(_05preva_view43[[#This Row],[File Path]],"Open File","No File"))</f>
        <v>#VALUE!</v>
      </c>
      <c r="BD169" s="136" t="str">
        <f>CONCATENATE(_05preva_view43[[#This Row],[Site ID]]," (",_05preva_view43[[#This Row],[tenant id]],") Application",IF(_05preva_view43[[#This Row],[Colo Rev]]&gt;0," Rev "&amp;_05preva_view43[[#This Row],[Colo Rev]],""),".xlsx")</f>
        <v>1-01-17019-002 (AWD00413) Application Rev 2.xlsx</v>
      </c>
      <c r="BE169" s="64" t="e">
        <f t="shared" ca="1" si="4"/>
        <v>#VALUE!</v>
      </c>
      <c r="BF169" s="104" t="e">
        <f ca="1">LEFT(CELL("filename",A154),_05preva_view43[[#This Row],[Find Process &amp; Database]]-1)</f>
        <v>#VALUE!</v>
      </c>
      <c r="BG169" s="104" t="e">
        <f ca="1">_05preva_view43[Folder Path1]&amp;"Process &amp; Database\Documentation\Colo Applications"</f>
        <v>#VALUE!</v>
      </c>
      <c r="BH169" s="104" t="e">
        <f ca="1">_05preva_view43[Folder Path2]&amp;"\Colo App "&amp;_05preva_view43[[#This Row],[Operator]]&amp;"\"</f>
        <v>#VALUE!</v>
      </c>
      <c r="BI169" s="63" t="e">
        <f ca="1">_05preva_view43[[#This Row],[Folder Path3]]&amp;_05preva_view43[[#This Row],[File Name]]</f>
        <v>#VALUE!</v>
      </c>
      <c r="BJ169" s="104"/>
      <c r="BK169" s="3"/>
      <c r="BL169" s="3"/>
      <c r="CJ169" s="5"/>
      <c r="CK169" s="5"/>
      <c r="CL169" s="3"/>
      <c r="CN169" s="5"/>
      <c r="CR169" s="3"/>
      <c r="CS169" s="3"/>
      <c r="CT169" s="5"/>
      <c r="CV169" s="3"/>
      <c r="DR169" s="5"/>
      <c r="DT169" s="3"/>
      <c r="EF169" s="7"/>
      <c r="EG169" s="7"/>
      <c r="EJ169" s="4"/>
      <c r="EK169" s="4"/>
      <c r="EU169" s="2"/>
      <c r="EV169" s="2"/>
    </row>
    <row r="170" spans="1:152">
      <c r="A170" s="125">
        <v>3485</v>
      </c>
      <c r="B170" s="126" t="s">
        <v>1507</v>
      </c>
      <c r="C170" s="126" t="s">
        <v>331</v>
      </c>
      <c r="D170" s="126" t="s">
        <v>163</v>
      </c>
      <c r="E170" s="126" t="s">
        <v>1508</v>
      </c>
      <c r="F170" s="126" t="s">
        <v>35</v>
      </c>
      <c r="G170" s="126" t="s">
        <v>1583</v>
      </c>
      <c r="H170" s="126" t="s">
        <v>1575</v>
      </c>
      <c r="I170" s="126" t="s">
        <v>1053</v>
      </c>
      <c r="J170" s="126" t="s">
        <v>990</v>
      </c>
      <c r="K170" s="127">
        <v>43441</v>
      </c>
      <c r="L170" s="128">
        <v>2.96</v>
      </c>
      <c r="M170" s="128">
        <v>3.7</v>
      </c>
      <c r="N170" s="126"/>
      <c r="O170" s="126" t="s">
        <v>950</v>
      </c>
      <c r="P170" s="129" t="s">
        <v>958</v>
      </c>
      <c r="Q170" s="129" t="s">
        <v>959</v>
      </c>
      <c r="R170" s="126" t="s">
        <v>24</v>
      </c>
      <c r="S170" s="126"/>
      <c r="T170" s="130" t="s">
        <v>861</v>
      </c>
      <c r="U170" s="126"/>
      <c r="V170" s="130" t="s">
        <v>861</v>
      </c>
      <c r="W170" s="126"/>
      <c r="X170" s="130" t="s">
        <v>861</v>
      </c>
      <c r="Y170" s="126"/>
      <c r="Z170" s="165" t="s">
        <v>861</v>
      </c>
      <c r="AA170" s="158"/>
      <c r="AB170" s="158"/>
      <c r="AC170" s="170"/>
      <c r="AD170" s="126"/>
      <c r="AE170" s="130" t="s">
        <v>120</v>
      </c>
      <c r="AF170" s="127" t="s">
        <v>1167</v>
      </c>
      <c r="AG170" s="131"/>
      <c r="AH170" s="131"/>
      <c r="AI170" s="126" t="s">
        <v>1506</v>
      </c>
      <c r="AJ170" s="130" t="s">
        <v>861</v>
      </c>
      <c r="AK170" s="126"/>
      <c r="AL170" s="126"/>
      <c r="AM170" s="130"/>
      <c r="AN170" s="126"/>
      <c r="AO170" s="132"/>
      <c r="AP170" s="126"/>
      <c r="AQ170" s="126"/>
      <c r="AR170" s="130"/>
      <c r="AS170" s="126"/>
      <c r="AT170" s="127"/>
      <c r="AU170" s="127">
        <v>43444.680430208296</v>
      </c>
      <c r="AV170" s="127"/>
      <c r="AW170" s="127"/>
      <c r="AX170" s="127"/>
      <c r="AY170" s="127"/>
      <c r="AZ170" s="133">
        <v>43445.483933449097</v>
      </c>
      <c r="BA170" s="134">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B170" s="135">
        <f>COUNTIFS(_05preva_view43[Site ID],_05preva_view43[[#This Row],[Site ID]],_05preva_view43[Prevalidation Status],"Under Prevalidation")</f>
        <v>0</v>
      </c>
      <c r="BC170" s="157" t="e">
        <f ca="1">HYPERLINK(CheckPath(_05preva_view43[[#This Row],[File Path]],_05preva_view43[[#This Row],[File Path]],_05preva_view43[[#This Row],[Folder Path3]]),CheckPath(_05preva_view43[[#This Row],[File Path]],"Open File","No File"))</f>
        <v>#VALUE!</v>
      </c>
      <c r="BD170" s="136" t="str">
        <f>CONCATENATE(_05preva_view43[[#This Row],[Site ID]]," (",_05preva_view43[[#This Row],[tenant id]],") Application",IF(_05preva_view43[[#This Row],[Colo Rev]]&gt;0," Rev "&amp;_05preva_view43[[#This Row],[Colo Rev]],""),".xlsx")</f>
        <v>1-01-17011-006 (AWD00287) Application Rev 3.xlsx</v>
      </c>
      <c r="BE170" s="64" t="e">
        <f t="shared" ca="1" si="4"/>
        <v>#VALUE!</v>
      </c>
      <c r="BF170" s="104" t="e">
        <f ca="1">LEFT(CELL("filename",A155),_05preva_view43[[#This Row],[Find Process &amp; Database]]-1)</f>
        <v>#VALUE!</v>
      </c>
      <c r="BG170" s="104" t="e">
        <f ca="1">_05preva_view43[Folder Path1]&amp;"Process &amp; Database\Documentation\Colo Applications"</f>
        <v>#VALUE!</v>
      </c>
      <c r="BH170" s="104" t="e">
        <f ca="1">_05preva_view43[Folder Path2]&amp;"\Colo App "&amp;_05preva_view43[[#This Row],[Operator]]&amp;"\"</f>
        <v>#VALUE!</v>
      </c>
      <c r="BI170" s="63" t="e">
        <f ca="1">_05preva_view43[[#This Row],[Folder Path3]]&amp;_05preva_view43[[#This Row],[File Name]]</f>
        <v>#VALUE!</v>
      </c>
      <c r="BJ170" s="104"/>
      <c r="BK170" s="3"/>
      <c r="BL170" s="3"/>
      <c r="CJ170" s="5"/>
      <c r="CK170" s="5"/>
      <c r="CL170" s="3"/>
      <c r="CN170" s="5"/>
      <c r="CR170" s="3"/>
      <c r="CS170" s="3"/>
      <c r="CT170" s="5"/>
      <c r="CV170" s="3"/>
      <c r="DR170" s="5"/>
      <c r="DT170" s="3"/>
      <c r="EF170" s="7"/>
      <c r="EG170" s="7"/>
      <c r="EJ170" s="4"/>
      <c r="EK170" s="4"/>
      <c r="EU170" s="2"/>
      <c r="EV170" s="2"/>
    </row>
    <row r="171" spans="1:152">
      <c r="A171" s="125">
        <v>3486</v>
      </c>
      <c r="B171" s="126" t="s">
        <v>1509</v>
      </c>
      <c r="C171" s="126" t="s">
        <v>331</v>
      </c>
      <c r="D171" s="126" t="s">
        <v>163</v>
      </c>
      <c r="E171" s="126" t="s">
        <v>1510</v>
      </c>
      <c r="F171" s="126" t="s">
        <v>35</v>
      </c>
      <c r="G171" s="126" t="s">
        <v>1583</v>
      </c>
      <c r="H171" s="126" t="s">
        <v>1580</v>
      </c>
      <c r="I171" s="126" t="s">
        <v>1252</v>
      </c>
      <c r="J171" s="126" t="s">
        <v>1091</v>
      </c>
      <c r="K171" s="127">
        <v>43441</v>
      </c>
      <c r="L171" s="128">
        <v>1.5</v>
      </c>
      <c r="M171" s="128"/>
      <c r="N171" s="126"/>
      <c r="O171" s="126" t="s">
        <v>950</v>
      </c>
      <c r="P171" s="129" t="s">
        <v>350</v>
      </c>
      <c r="Q171" s="129" t="s">
        <v>276</v>
      </c>
      <c r="R171" s="126" t="s">
        <v>24</v>
      </c>
      <c r="S171" s="126"/>
      <c r="T171" s="130" t="s">
        <v>861</v>
      </c>
      <c r="U171" s="126"/>
      <c r="V171" s="130" t="s">
        <v>861</v>
      </c>
      <c r="W171" s="126"/>
      <c r="X171" s="130" t="s">
        <v>861</v>
      </c>
      <c r="Y171" s="126"/>
      <c r="Z171" s="165" t="s">
        <v>861</v>
      </c>
      <c r="AA171" s="158"/>
      <c r="AB171" s="158"/>
      <c r="AC171" s="170"/>
      <c r="AD171" s="126"/>
      <c r="AE171" s="130" t="s">
        <v>120</v>
      </c>
      <c r="AF171" s="127" t="s">
        <v>1747</v>
      </c>
      <c r="AG171" s="131"/>
      <c r="AH171" s="131"/>
      <c r="AI171" s="126" t="s">
        <v>1511</v>
      </c>
      <c r="AJ171" s="130" t="s">
        <v>861</v>
      </c>
      <c r="AK171" s="126"/>
      <c r="AL171" s="126"/>
      <c r="AM171" s="130"/>
      <c r="AN171" s="126"/>
      <c r="AO171" s="132"/>
      <c r="AP171" s="126"/>
      <c r="AQ171" s="126"/>
      <c r="AR171" s="130"/>
      <c r="AS171" s="126"/>
      <c r="AT171" s="127"/>
      <c r="AU171" s="127">
        <v>43451.370477546297</v>
      </c>
      <c r="AV171" s="127"/>
      <c r="AW171" s="127"/>
      <c r="AX171" s="127"/>
      <c r="AY171" s="127"/>
      <c r="AZ171" s="133">
        <v>43451.4114625</v>
      </c>
      <c r="BA171" s="134">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B171" s="135">
        <f>COUNTIFS(_05preva_view43[Site ID],_05preva_view43[[#This Row],[Site ID]],_05preva_view43[Prevalidation Status],"Under Prevalidation")</f>
        <v>0</v>
      </c>
      <c r="BC171" s="157" t="e">
        <f ca="1">HYPERLINK(CheckPath(_05preva_view43[[#This Row],[File Path]],_05preva_view43[[#This Row],[File Path]],_05preva_view43[[#This Row],[Folder Path3]]),CheckPath(_05preva_view43[[#This Row],[File Path]],"Open File","No File"))</f>
        <v>#VALUE!</v>
      </c>
      <c r="BD171" s="136" t="str">
        <f>CONCATENATE(_05preva_view43[[#This Row],[Site ID]]," (",_05preva_view43[[#This Row],[tenant id]],") Application",IF(_05preva_view43[[#This Row],[Colo Rev]]&gt;0," Rev "&amp;_05preva_view43[[#This Row],[Colo Rev]],""),".xlsx")</f>
        <v>1-03-06008-014 (TNY00361) Application Rev .xlsx</v>
      </c>
      <c r="BE171" s="64" t="e">
        <f t="shared" ca="1" si="4"/>
        <v>#VALUE!</v>
      </c>
      <c r="BF171" s="104" t="e">
        <f ca="1">LEFT(CELL("filename",A156),_05preva_view43[[#This Row],[Find Process &amp; Database]]-1)</f>
        <v>#VALUE!</v>
      </c>
      <c r="BG171" s="104" t="e">
        <f ca="1">_05preva_view43[Folder Path1]&amp;"Process &amp; Database\Documentation\Colo Applications"</f>
        <v>#VALUE!</v>
      </c>
      <c r="BH171" s="104" t="e">
        <f ca="1">_05preva_view43[Folder Path2]&amp;"\Colo App "&amp;_05preva_view43[[#This Row],[Operator]]&amp;"\"</f>
        <v>#VALUE!</v>
      </c>
      <c r="BI171" s="63" t="e">
        <f ca="1">_05preva_view43[[#This Row],[Folder Path3]]&amp;_05preva_view43[[#This Row],[File Name]]</f>
        <v>#VALUE!</v>
      </c>
      <c r="BJ171" s="104"/>
      <c r="BK171" s="3"/>
      <c r="BL171" s="3"/>
      <c r="CJ171" s="5"/>
      <c r="CK171" s="5"/>
      <c r="CL171" s="3"/>
      <c r="CN171" s="5"/>
      <c r="CR171" s="3"/>
      <c r="CS171" s="3"/>
      <c r="CT171" s="5"/>
      <c r="CV171" s="3"/>
      <c r="DR171" s="5"/>
      <c r="DT171" s="3"/>
      <c r="EF171" s="7"/>
      <c r="EG171" s="7"/>
      <c r="EJ171" s="4"/>
      <c r="EK171" s="4"/>
      <c r="EU171" s="2"/>
      <c r="EV171" s="2"/>
    </row>
    <row r="172" spans="1:152">
      <c r="A172" s="125">
        <v>3477</v>
      </c>
      <c r="B172" s="126" t="s">
        <v>356</v>
      </c>
      <c r="C172" s="126" t="s">
        <v>116</v>
      </c>
      <c r="D172" s="126" t="s">
        <v>127</v>
      </c>
      <c r="E172" s="126" t="s">
        <v>1476</v>
      </c>
      <c r="F172" s="126" t="s">
        <v>41</v>
      </c>
      <c r="G172" s="126" t="s">
        <v>1412</v>
      </c>
      <c r="H172" s="126" t="s">
        <v>1319</v>
      </c>
      <c r="I172" s="126" t="s">
        <v>1143</v>
      </c>
      <c r="J172" s="126" t="s">
        <v>940</v>
      </c>
      <c r="K172" s="127">
        <v>43440</v>
      </c>
      <c r="L172" s="128"/>
      <c r="M172" s="128">
        <v>2</v>
      </c>
      <c r="N172" s="126">
        <v>3</v>
      </c>
      <c r="O172" s="126" t="s">
        <v>119</v>
      </c>
      <c r="P172" s="129" t="s">
        <v>339</v>
      </c>
      <c r="Q172" s="129" t="s">
        <v>256</v>
      </c>
      <c r="R172" s="126" t="s">
        <v>24</v>
      </c>
      <c r="S172" s="126"/>
      <c r="T172" s="130" t="s">
        <v>861</v>
      </c>
      <c r="U172" s="126" t="s">
        <v>1748</v>
      </c>
      <c r="V172" s="130" t="s">
        <v>120</v>
      </c>
      <c r="W172" s="126"/>
      <c r="X172" s="130" t="s">
        <v>120</v>
      </c>
      <c r="Y172" s="126" t="s">
        <v>1477</v>
      </c>
      <c r="Z172" s="165" t="s">
        <v>120</v>
      </c>
      <c r="AA172" s="158"/>
      <c r="AB172" s="158"/>
      <c r="AC172" s="170" t="s">
        <v>123</v>
      </c>
      <c r="AD172" s="126" t="s">
        <v>1478</v>
      </c>
      <c r="AE172" s="130" t="s">
        <v>120</v>
      </c>
      <c r="AF172" s="127" t="s">
        <v>1167</v>
      </c>
      <c r="AG172" s="131"/>
      <c r="AH172" s="131"/>
      <c r="AI172" s="126" t="s">
        <v>1417</v>
      </c>
      <c r="AJ172" s="130" t="s">
        <v>120</v>
      </c>
      <c r="AK172" s="126" t="s">
        <v>123</v>
      </c>
      <c r="AL172" s="126" t="s">
        <v>1418</v>
      </c>
      <c r="AM172" s="130"/>
      <c r="AN172" s="126"/>
      <c r="AO172" s="132"/>
      <c r="AP172" s="126"/>
      <c r="AQ172" s="126"/>
      <c r="AR172" s="130"/>
      <c r="AS172" s="126"/>
      <c r="AT172" s="127">
        <v>43440.497927893499</v>
      </c>
      <c r="AU172" s="127">
        <v>43444.680405555599</v>
      </c>
      <c r="AV172" s="127">
        <v>43441.421344907401</v>
      </c>
      <c r="AW172" s="127">
        <v>43440.497927893499</v>
      </c>
      <c r="AX172" s="127"/>
      <c r="AY172" s="127">
        <v>43444.668278240701</v>
      </c>
      <c r="AZ172" s="133">
        <v>43482.756292245402</v>
      </c>
      <c r="BA172" s="134">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B172" s="135">
        <f>COUNTIFS(_05preva_view43[Site ID],_05preva_view43[[#This Row],[Site ID]],_05preva_view43[Prevalidation Status],"Under Prevalidation")</f>
        <v>1</v>
      </c>
      <c r="BC172" s="157" t="e">
        <f ca="1">HYPERLINK(CheckPath(_05preva_view43[[#This Row],[File Path]],_05preva_view43[[#This Row],[File Path]],_05preva_view43[[#This Row],[Folder Path3]]),CheckPath(_05preva_view43[[#This Row],[File Path]],"Open File","No File"))</f>
        <v>#VALUE!</v>
      </c>
      <c r="BD172" s="136" t="str">
        <f>CONCATENATE(_05preva_view43[[#This Row],[Site ID]]," (",_05preva_view43[[#This Row],[tenant id]],") Application",IF(_05preva_view43[[#This Row],[Colo Rev]]&gt;0," Rev "&amp;_05preva_view43[[#This Row],[Colo Rev]],""),".xlsx")</f>
        <v>ANMD_0004 (MDYAMTZ010) Application Rev 0.xlsx</v>
      </c>
      <c r="BE172" s="64" t="e">
        <f t="shared" ca="1" si="4"/>
        <v>#VALUE!</v>
      </c>
      <c r="BF172" s="104" t="e">
        <f ca="1">LEFT(CELL("filename",A157),_05preva_view43[[#This Row],[Find Process &amp; Database]]-1)</f>
        <v>#VALUE!</v>
      </c>
      <c r="BG172" s="104" t="e">
        <f ca="1">_05preva_view43[Folder Path1]&amp;"Process &amp; Database\Documentation\Colo Applications"</f>
        <v>#VALUE!</v>
      </c>
      <c r="BH172" s="104" t="e">
        <f ca="1">_05preva_view43[Folder Path2]&amp;"\Colo App "&amp;_05preva_view43[[#This Row],[Operator]]&amp;"\"</f>
        <v>#VALUE!</v>
      </c>
      <c r="BI172" s="63" t="e">
        <f ca="1">_05preva_view43[[#This Row],[Folder Path3]]&amp;_05preva_view43[[#This Row],[File Name]]</f>
        <v>#VALUE!</v>
      </c>
      <c r="BJ172" s="104"/>
      <c r="BK172" s="3"/>
      <c r="BL172" s="3"/>
      <c r="CJ172" s="5"/>
      <c r="CK172" s="5"/>
      <c r="CL172" s="3"/>
      <c r="CN172" s="5"/>
      <c r="CR172" s="3"/>
      <c r="CS172" s="3"/>
      <c r="CT172" s="5"/>
      <c r="CV172" s="3"/>
      <c r="DR172" s="5"/>
      <c r="DT172" s="3"/>
      <c r="EF172" s="7"/>
      <c r="EG172" s="7"/>
      <c r="EJ172" s="4"/>
      <c r="EK172" s="4"/>
      <c r="EU172" s="2"/>
      <c r="EV172" s="2"/>
    </row>
    <row r="173" spans="1:152">
      <c r="A173" s="125">
        <v>3478</v>
      </c>
      <c r="B173" s="126" t="s">
        <v>1479</v>
      </c>
      <c r="C173" s="126" t="s">
        <v>116</v>
      </c>
      <c r="D173" s="126" t="s">
        <v>127</v>
      </c>
      <c r="E173" s="126" t="s">
        <v>1480</v>
      </c>
      <c r="F173" s="126" t="s">
        <v>41</v>
      </c>
      <c r="G173" s="126" t="s">
        <v>1412</v>
      </c>
      <c r="H173" s="126" t="s">
        <v>1319</v>
      </c>
      <c r="I173" s="126" t="s">
        <v>1143</v>
      </c>
      <c r="J173" s="126" t="s">
        <v>940</v>
      </c>
      <c r="K173" s="127">
        <v>43440</v>
      </c>
      <c r="L173" s="128"/>
      <c r="M173" s="128">
        <v>2</v>
      </c>
      <c r="N173" s="126">
        <v>3</v>
      </c>
      <c r="O173" s="126" t="s">
        <v>119</v>
      </c>
      <c r="P173" s="129" t="s">
        <v>338</v>
      </c>
      <c r="Q173" s="129" t="s">
        <v>339</v>
      </c>
      <c r="R173" s="126" t="s">
        <v>24</v>
      </c>
      <c r="S173" s="126"/>
      <c r="T173" s="130" t="s">
        <v>120</v>
      </c>
      <c r="U173" s="126" t="s">
        <v>1746</v>
      </c>
      <c r="V173" s="130" t="s">
        <v>120</v>
      </c>
      <c r="W173" s="126"/>
      <c r="X173" s="130" t="s">
        <v>120</v>
      </c>
      <c r="Y173" s="126" t="s">
        <v>1481</v>
      </c>
      <c r="Z173" s="165" t="s">
        <v>120</v>
      </c>
      <c r="AA173" s="158"/>
      <c r="AB173" s="158"/>
      <c r="AC173" s="170" t="s">
        <v>123</v>
      </c>
      <c r="AD173" s="126" t="s">
        <v>1482</v>
      </c>
      <c r="AE173" s="130" t="s">
        <v>120</v>
      </c>
      <c r="AF173" s="127" t="s">
        <v>1167</v>
      </c>
      <c r="AG173" s="131"/>
      <c r="AH173" s="131"/>
      <c r="AI173" s="126" t="s">
        <v>1417</v>
      </c>
      <c r="AJ173" s="130" t="s">
        <v>120</v>
      </c>
      <c r="AK173" s="126" t="s">
        <v>123</v>
      </c>
      <c r="AL173" s="126" t="s">
        <v>1418</v>
      </c>
      <c r="AM173" s="130"/>
      <c r="AN173" s="126"/>
      <c r="AO173" s="132"/>
      <c r="AP173" s="126"/>
      <c r="AQ173" s="126"/>
      <c r="AR173" s="130"/>
      <c r="AS173" s="126"/>
      <c r="AT173" s="127">
        <v>43440.4979290509</v>
      </c>
      <c r="AU173" s="127">
        <v>43444.680409375003</v>
      </c>
      <c r="AV173" s="127">
        <v>43441.421349768498</v>
      </c>
      <c r="AW173" s="127">
        <v>43440.4979290509</v>
      </c>
      <c r="AX173" s="127">
        <v>43460.604108217602</v>
      </c>
      <c r="AY173" s="127">
        <v>43444.668279166697</v>
      </c>
      <c r="AZ173" s="133">
        <v>43475.681592013898</v>
      </c>
      <c r="BA173" s="134">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B173" s="135">
        <f>COUNTIFS(_05preva_view43[Site ID],_05preva_view43[[#This Row],[Site ID]],_05preva_view43[Prevalidation Status],"Under Prevalidation")</f>
        <v>0</v>
      </c>
      <c r="BC173" s="157" t="e">
        <f ca="1">HYPERLINK(CheckPath(_05preva_view43[[#This Row],[File Path]],_05preva_view43[[#This Row],[File Path]],_05preva_view43[[#This Row],[Folder Path3]]),CheckPath(_05preva_view43[[#This Row],[File Path]],"Open File","No File"))</f>
        <v>#VALUE!</v>
      </c>
      <c r="BD173" s="136" t="str">
        <f>CONCATENATE(_05preva_view43[[#This Row],[Site ID]]," (",_05preva_view43[[#This Row],[tenant id]],") Application",IF(_05preva_view43[[#This Row],[Colo Rev]]&gt;0," Rev "&amp;_05preva_view43[[#This Row],[Colo Rev]],""),".xlsx")</f>
        <v>ANMD_0173 (MDYPGTG007) Application Rev 0.xlsx</v>
      </c>
      <c r="BE173" s="64" t="e">
        <f t="shared" ca="1" si="4"/>
        <v>#VALUE!</v>
      </c>
      <c r="BF173" s="104" t="e">
        <f ca="1">LEFT(CELL("filename",A158),_05preva_view43[[#This Row],[Find Process &amp; Database]]-1)</f>
        <v>#VALUE!</v>
      </c>
      <c r="BG173" s="104" t="e">
        <f ca="1">_05preva_view43[Folder Path1]&amp;"Process &amp; Database\Documentation\Colo Applications"</f>
        <v>#VALUE!</v>
      </c>
      <c r="BH173" s="104" t="e">
        <f ca="1">_05preva_view43[Folder Path2]&amp;"\Colo App "&amp;_05preva_view43[[#This Row],[Operator]]&amp;"\"</f>
        <v>#VALUE!</v>
      </c>
      <c r="BI173" s="63" t="e">
        <f ca="1">_05preva_view43[[#This Row],[Folder Path3]]&amp;_05preva_view43[[#This Row],[File Name]]</f>
        <v>#VALUE!</v>
      </c>
      <c r="BJ173" s="104"/>
      <c r="BK173" s="3"/>
      <c r="BL173" s="3"/>
      <c r="CJ173" s="5"/>
      <c r="CK173" s="5"/>
      <c r="CL173" s="3"/>
      <c r="CN173" s="5"/>
      <c r="CR173" s="3"/>
      <c r="CS173" s="3"/>
      <c r="CT173" s="5"/>
      <c r="CV173" s="3"/>
      <c r="DR173" s="5"/>
      <c r="DT173" s="3"/>
      <c r="EF173" s="7"/>
      <c r="EG173" s="7"/>
      <c r="EJ173" s="4"/>
      <c r="EK173" s="4"/>
      <c r="EU173" s="2"/>
      <c r="EV173" s="2"/>
    </row>
    <row r="174" spans="1:152">
      <c r="A174" s="125">
        <v>3479</v>
      </c>
      <c r="B174" s="126" t="s">
        <v>653</v>
      </c>
      <c r="C174" s="126" t="s">
        <v>116</v>
      </c>
      <c r="D174" s="126" t="s">
        <v>127</v>
      </c>
      <c r="E174" s="126" t="s">
        <v>1483</v>
      </c>
      <c r="F174" s="126" t="s">
        <v>41</v>
      </c>
      <c r="G174" s="126" t="s">
        <v>1412</v>
      </c>
      <c r="H174" s="126" t="s">
        <v>1319</v>
      </c>
      <c r="I174" s="126" t="s">
        <v>1143</v>
      </c>
      <c r="J174" s="126" t="s">
        <v>940</v>
      </c>
      <c r="K174" s="127">
        <v>43440</v>
      </c>
      <c r="L174" s="128"/>
      <c r="M174" s="128">
        <v>2</v>
      </c>
      <c r="N174" s="126">
        <v>3</v>
      </c>
      <c r="O174" s="126" t="s">
        <v>119</v>
      </c>
      <c r="P174" s="129" t="s">
        <v>270</v>
      </c>
      <c r="Q174" s="129" t="s">
        <v>285</v>
      </c>
      <c r="R174" s="126" t="s">
        <v>24</v>
      </c>
      <c r="S174" s="126"/>
      <c r="T174" s="130" t="s">
        <v>120</v>
      </c>
      <c r="U174" s="126" t="s">
        <v>1707</v>
      </c>
      <c r="V174" s="130" t="s">
        <v>120</v>
      </c>
      <c r="W174" s="126"/>
      <c r="X174" s="130" t="s">
        <v>120</v>
      </c>
      <c r="Y174" s="126" t="s">
        <v>1484</v>
      </c>
      <c r="Z174" s="165" t="s">
        <v>120</v>
      </c>
      <c r="AA174" s="158"/>
      <c r="AB174" s="158"/>
      <c r="AC174" s="170" t="s">
        <v>123</v>
      </c>
      <c r="AD174" s="126" t="s">
        <v>1485</v>
      </c>
      <c r="AE174" s="130" t="s">
        <v>120</v>
      </c>
      <c r="AF174" s="127" t="s">
        <v>1167</v>
      </c>
      <c r="AG174" s="131"/>
      <c r="AH174" s="131"/>
      <c r="AI174" s="126" t="s">
        <v>1417</v>
      </c>
      <c r="AJ174" s="130" t="s">
        <v>120</v>
      </c>
      <c r="AK174" s="126" t="s">
        <v>123</v>
      </c>
      <c r="AL174" s="126" t="s">
        <v>1418</v>
      </c>
      <c r="AM174" s="130"/>
      <c r="AN174" s="126"/>
      <c r="AO174" s="132"/>
      <c r="AP174" s="126"/>
      <c r="AQ174" s="126"/>
      <c r="AR174" s="130"/>
      <c r="AS174" s="126"/>
      <c r="AT174" s="127">
        <v>43440.497929976897</v>
      </c>
      <c r="AU174" s="127">
        <v>43444.680411574103</v>
      </c>
      <c r="AV174" s="127">
        <v>43441.421354861101</v>
      </c>
      <c r="AW174" s="127">
        <v>43440.497929976897</v>
      </c>
      <c r="AX174" s="127">
        <v>43460.604110185202</v>
      </c>
      <c r="AY174" s="127">
        <v>43444.668283796302</v>
      </c>
      <c r="AZ174" s="133">
        <v>43475.681592708301</v>
      </c>
      <c r="BA174" s="134">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B174" s="135">
        <f>COUNTIFS(_05preva_view43[Site ID],_05preva_view43[[#This Row],[Site ID]],_05preva_view43[Prevalidation Status],"Under Prevalidation")</f>
        <v>0</v>
      </c>
      <c r="BC174" s="157" t="e">
        <f ca="1">HYPERLINK(CheckPath(_05preva_view43[[#This Row],[File Path]],_05preva_view43[[#This Row],[File Path]],_05preva_view43[[#This Row],[Folder Path3]]),CheckPath(_05preva_view43[[#This Row],[File Path]],"Open File","No File"))</f>
        <v>#VALUE!</v>
      </c>
      <c r="BD174" s="136" t="str">
        <f>CONCATENATE(_05preva_view43[[#This Row],[Site ID]]," (",_05preva_view43[[#This Row],[tenant id]],") Application",IF(_05preva_view43[[#This Row],[Colo Rev]]&gt;0," Rev "&amp;_05preva_view43[[#This Row],[Colo Rev]],""),".xlsx")</f>
        <v>ANMD_0164 (MDYPGTG010) Application Rev 0.xlsx</v>
      </c>
      <c r="BE174" s="64" t="e">
        <f t="shared" ca="1" si="4"/>
        <v>#VALUE!</v>
      </c>
      <c r="BF174" s="104" t="e">
        <f ca="1">LEFT(CELL("filename",A159),_05preva_view43[[#This Row],[Find Process &amp; Database]]-1)</f>
        <v>#VALUE!</v>
      </c>
      <c r="BG174" s="104" t="e">
        <f ca="1">_05preva_view43[Folder Path1]&amp;"Process &amp; Database\Documentation\Colo Applications"</f>
        <v>#VALUE!</v>
      </c>
      <c r="BH174" s="104" t="e">
        <f ca="1">_05preva_view43[Folder Path2]&amp;"\Colo App "&amp;_05preva_view43[[#This Row],[Operator]]&amp;"\"</f>
        <v>#VALUE!</v>
      </c>
      <c r="BI174" s="63" t="e">
        <f ca="1">_05preva_view43[[#This Row],[Folder Path3]]&amp;_05preva_view43[[#This Row],[File Name]]</f>
        <v>#VALUE!</v>
      </c>
      <c r="BJ174" s="104"/>
      <c r="BK174" s="3"/>
      <c r="BL174" s="3"/>
      <c r="CJ174" s="5"/>
      <c r="CK174" s="5"/>
      <c r="CL174" s="3"/>
      <c r="CN174" s="5"/>
      <c r="CR174" s="3"/>
      <c r="CS174" s="3"/>
      <c r="CT174" s="5"/>
      <c r="CV174" s="3"/>
      <c r="DR174" s="5"/>
      <c r="DT174" s="3"/>
      <c r="EF174" s="7"/>
      <c r="EG174" s="7"/>
      <c r="EJ174" s="4"/>
      <c r="EK174" s="4"/>
      <c r="EU174" s="2"/>
      <c r="EV174" s="2"/>
    </row>
    <row r="175" spans="1:152">
      <c r="A175" s="125">
        <v>3480</v>
      </c>
      <c r="B175" s="126" t="s">
        <v>1486</v>
      </c>
      <c r="C175" s="126" t="s">
        <v>116</v>
      </c>
      <c r="D175" s="126" t="s">
        <v>127</v>
      </c>
      <c r="E175" s="126" t="s">
        <v>1487</v>
      </c>
      <c r="F175" s="126" t="s">
        <v>41</v>
      </c>
      <c r="G175" s="126" t="s">
        <v>1412</v>
      </c>
      <c r="H175" s="126" t="s">
        <v>1319</v>
      </c>
      <c r="I175" s="126" t="s">
        <v>1143</v>
      </c>
      <c r="J175" s="126" t="s">
        <v>940</v>
      </c>
      <c r="K175" s="127">
        <v>43440</v>
      </c>
      <c r="L175" s="128"/>
      <c r="M175" s="128">
        <v>2</v>
      </c>
      <c r="N175" s="126">
        <v>3</v>
      </c>
      <c r="O175" s="126" t="s">
        <v>119</v>
      </c>
      <c r="P175" s="129" t="s">
        <v>858</v>
      </c>
      <c r="Q175" s="129" t="s">
        <v>338</v>
      </c>
      <c r="R175" s="126" t="s">
        <v>27</v>
      </c>
      <c r="S175" s="126"/>
      <c r="T175" s="130" t="s">
        <v>125</v>
      </c>
      <c r="U175" s="126" t="s">
        <v>1749</v>
      </c>
      <c r="V175" s="130" t="s">
        <v>120</v>
      </c>
      <c r="W175" s="126"/>
      <c r="X175" s="130" t="s">
        <v>120</v>
      </c>
      <c r="Y175" s="126" t="s">
        <v>1443</v>
      </c>
      <c r="Z175" s="165"/>
      <c r="AA175" s="158"/>
      <c r="AB175" s="158"/>
      <c r="AC175" s="170"/>
      <c r="AD175" s="126" t="s">
        <v>1488</v>
      </c>
      <c r="AE175" s="130" t="s">
        <v>120</v>
      </c>
      <c r="AF175" s="127" t="s">
        <v>1167</v>
      </c>
      <c r="AG175" s="131"/>
      <c r="AH175" s="131"/>
      <c r="AI175" s="126" t="s">
        <v>1417</v>
      </c>
      <c r="AJ175" s="130" t="s">
        <v>120</v>
      </c>
      <c r="AK175" s="126" t="s">
        <v>123</v>
      </c>
      <c r="AL175" s="126" t="s">
        <v>1418</v>
      </c>
      <c r="AM175" s="130"/>
      <c r="AN175" s="126"/>
      <c r="AO175" s="132"/>
      <c r="AP175" s="126"/>
      <c r="AQ175" s="126"/>
      <c r="AR175" s="130"/>
      <c r="AS175" s="126"/>
      <c r="AT175" s="127">
        <v>43440.49793125</v>
      </c>
      <c r="AU175" s="127">
        <v>43444.680415277799</v>
      </c>
      <c r="AV175" s="127"/>
      <c r="AW175" s="127">
        <v>43440.49793125</v>
      </c>
      <c r="AX175" s="127"/>
      <c r="AY175" s="127">
        <v>43462.484726504597</v>
      </c>
      <c r="AZ175" s="133">
        <v>43475.703753472197</v>
      </c>
      <c r="BA175" s="134">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B175" s="135">
        <f>COUNTIFS(_05preva_view43[Site ID],_05preva_view43[[#This Row],[Site ID]],_05preva_view43[Prevalidation Status],"Under Prevalidation")</f>
        <v>0</v>
      </c>
      <c r="BC175" s="157" t="e">
        <f ca="1">HYPERLINK(CheckPath(_05preva_view43[[#This Row],[File Path]],_05preva_view43[[#This Row],[File Path]],_05preva_view43[[#This Row],[Folder Path3]]),CheckPath(_05preva_view43[[#This Row],[File Path]],"Open File","No File"))</f>
        <v>#VALUE!</v>
      </c>
      <c r="BD175" s="136" t="str">
        <f>CONCATENATE(_05preva_view43[[#This Row],[Site ID]]," (",_05preva_view43[[#This Row],[tenant id]],") Application",IF(_05preva_view43[[#This Row],[Colo Rev]]&gt;0," Rev "&amp;_05preva_view43[[#This Row],[Colo Rev]],""),".xlsx")</f>
        <v>ANMD_0010 (MDYMHAM065) Application Rev 0.xlsx</v>
      </c>
      <c r="BE175" s="64" t="e">
        <f t="shared" ca="1" si="4"/>
        <v>#VALUE!</v>
      </c>
      <c r="BF175" s="104" t="e">
        <f ca="1">LEFT(CELL("filename",A160),_05preva_view43[[#This Row],[Find Process &amp; Database]]-1)</f>
        <v>#VALUE!</v>
      </c>
      <c r="BG175" s="104" t="e">
        <f ca="1">_05preva_view43[Folder Path1]&amp;"Process &amp; Database\Documentation\Colo Applications"</f>
        <v>#VALUE!</v>
      </c>
      <c r="BH175" s="104" t="e">
        <f ca="1">_05preva_view43[Folder Path2]&amp;"\Colo App "&amp;_05preva_view43[[#This Row],[Operator]]&amp;"\"</f>
        <v>#VALUE!</v>
      </c>
      <c r="BI175" s="63" t="e">
        <f ca="1">_05preva_view43[[#This Row],[Folder Path3]]&amp;_05preva_view43[[#This Row],[File Name]]</f>
        <v>#VALUE!</v>
      </c>
      <c r="BJ175" s="104"/>
      <c r="BK175" s="3"/>
      <c r="BL175" s="3"/>
      <c r="CJ175" s="5"/>
      <c r="CK175" s="5"/>
      <c r="CL175" s="3"/>
      <c r="CN175" s="5"/>
      <c r="CR175" s="3"/>
      <c r="CS175" s="3"/>
      <c r="CT175" s="5"/>
      <c r="CV175" s="3"/>
      <c r="DR175" s="5"/>
      <c r="DT175" s="3"/>
      <c r="EF175" s="7"/>
      <c r="EG175" s="7"/>
      <c r="EJ175" s="4"/>
      <c r="EK175" s="4"/>
      <c r="EU175" s="2"/>
      <c r="EV175" s="2"/>
    </row>
    <row r="176" spans="1:152">
      <c r="A176" s="125">
        <v>3481</v>
      </c>
      <c r="B176" s="126" t="s">
        <v>1489</v>
      </c>
      <c r="C176" s="126" t="s">
        <v>331</v>
      </c>
      <c r="D176" s="126" t="s">
        <v>127</v>
      </c>
      <c r="E176" s="126" t="s">
        <v>1490</v>
      </c>
      <c r="F176" s="126" t="s">
        <v>41</v>
      </c>
      <c r="G176" s="126" t="s">
        <v>1412</v>
      </c>
      <c r="H176" s="126" t="s">
        <v>1319</v>
      </c>
      <c r="I176" s="126" t="s">
        <v>1143</v>
      </c>
      <c r="J176" s="126" t="s">
        <v>940</v>
      </c>
      <c r="K176" s="127">
        <v>43440</v>
      </c>
      <c r="L176" s="128"/>
      <c r="M176" s="128">
        <v>2</v>
      </c>
      <c r="N176" s="126">
        <v>3</v>
      </c>
      <c r="O176" s="126" t="s">
        <v>119</v>
      </c>
      <c r="P176" s="129" t="s">
        <v>285</v>
      </c>
      <c r="Q176" s="129" t="s">
        <v>263</v>
      </c>
      <c r="R176" s="126" t="s">
        <v>24</v>
      </c>
      <c r="S176" s="126"/>
      <c r="T176" s="130" t="s">
        <v>120</v>
      </c>
      <c r="U176" s="126"/>
      <c r="V176" s="130" t="s">
        <v>120</v>
      </c>
      <c r="W176" s="126"/>
      <c r="X176" s="130" t="s">
        <v>120</v>
      </c>
      <c r="Y176" s="126" t="s">
        <v>1491</v>
      </c>
      <c r="Z176" s="165" t="s">
        <v>120</v>
      </c>
      <c r="AA176" s="158"/>
      <c r="AB176" s="158"/>
      <c r="AC176" s="170" t="s">
        <v>123</v>
      </c>
      <c r="AD176" s="126" t="s">
        <v>1492</v>
      </c>
      <c r="AE176" s="130" t="s">
        <v>120</v>
      </c>
      <c r="AF176" s="127" t="s">
        <v>1167</v>
      </c>
      <c r="AG176" s="131"/>
      <c r="AH176" s="131"/>
      <c r="AI176" s="126" t="s">
        <v>1417</v>
      </c>
      <c r="AJ176" s="130" t="s">
        <v>120</v>
      </c>
      <c r="AK176" s="126" t="s">
        <v>240</v>
      </c>
      <c r="AL176" s="126" t="s">
        <v>1493</v>
      </c>
      <c r="AM176" s="130"/>
      <c r="AN176" s="126"/>
      <c r="AO176" s="132"/>
      <c r="AP176" s="126"/>
      <c r="AQ176" s="126"/>
      <c r="AR176" s="130"/>
      <c r="AS176" s="126"/>
      <c r="AT176" s="127">
        <v>43441.359249421301</v>
      </c>
      <c r="AU176" s="127">
        <v>43444.680417592601</v>
      </c>
      <c r="AV176" s="127">
        <v>43444.452038194402</v>
      </c>
      <c r="AW176" s="127">
        <v>43441.359249421301</v>
      </c>
      <c r="AX176" s="127">
        <v>43472.656799536999</v>
      </c>
      <c r="AY176" s="127">
        <v>43479.4084925926</v>
      </c>
      <c r="AZ176" s="133">
        <v>43479.610190277803</v>
      </c>
      <c r="BA176" s="134">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B176" s="135">
        <f>COUNTIFS(_05preva_view43[Site ID],_05preva_view43[[#This Row],[Site ID]],_05preva_view43[Prevalidation Status],"Under Prevalidation")</f>
        <v>0</v>
      </c>
      <c r="BC176" s="157" t="e">
        <f ca="1">HYPERLINK(CheckPath(_05preva_view43[[#This Row],[File Path]],_05preva_view43[[#This Row],[File Path]],_05preva_view43[[#This Row],[Folder Path3]]),CheckPath(_05preva_view43[[#This Row],[File Path]],"Open File","No File"))</f>
        <v>#VALUE!</v>
      </c>
      <c r="BD176" s="136" t="str">
        <f>CONCATENATE(_05preva_view43[[#This Row],[Site ID]]," (",_05preva_view43[[#This Row],[tenant id]],") Application",IF(_05preva_view43[[#This Row],[Colo Rev]]&gt;0," Rev "&amp;_05preva_view43[[#This Row],[Colo Rev]],""),".xlsx")</f>
        <v>1-01-10006-004 (MDYAMPR005) Application Rev 0.xlsx</v>
      </c>
      <c r="BE176" s="64" t="e">
        <f t="shared" ca="1" si="4"/>
        <v>#VALUE!</v>
      </c>
      <c r="BF176" s="104" t="e">
        <f ca="1">LEFT(CELL("filename",A161),_05preva_view43[[#This Row],[Find Process &amp; Database]]-1)</f>
        <v>#VALUE!</v>
      </c>
      <c r="BG176" s="104" t="e">
        <f ca="1">_05preva_view43[Folder Path1]&amp;"Process &amp; Database\Documentation\Colo Applications"</f>
        <v>#VALUE!</v>
      </c>
      <c r="BH176" s="104" t="e">
        <f ca="1">_05preva_view43[Folder Path2]&amp;"\Colo App "&amp;_05preva_view43[[#This Row],[Operator]]&amp;"\"</f>
        <v>#VALUE!</v>
      </c>
      <c r="BI176" s="63" t="e">
        <f ca="1">_05preva_view43[[#This Row],[Folder Path3]]&amp;_05preva_view43[[#This Row],[File Name]]</f>
        <v>#VALUE!</v>
      </c>
      <c r="BJ176" s="104"/>
      <c r="BK176" s="3"/>
      <c r="BL176" s="3"/>
      <c r="CJ176" s="5"/>
      <c r="CK176" s="5"/>
      <c r="CL176" s="3"/>
      <c r="CN176" s="5"/>
      <c r="CR176" s="3"/>
      <c r="CS176" s="3"/>
      <c r="CT176" s="5"/>
      <c r="CV176" s="3"/>
      <c r="DR176" s="5"/>
      <c r="DT176" s="3"/>
      <c r="EF176" s="7"/>
      <c r="EG176" s="7"/>
      <c r="EJ176" s="4"/>
      <c r="EK176" s="4"/>
      <c r="EU176" s="2"/>
      <c r="EV176" s="2"/>
    </row>
    <row r="177" spans="1:152">
      <c r="A177" s="125">
        <v>3482</v>
      </c>
      <c r="B177" s="126" t="s">
        <v>1494</v>
      </c>
      <c r="C177" s="126" t="s">
        <v>331</v>
      </c>
      <c r="D177" s="126" t="s">
        <v>127</v>
      </c>
      <c r="E177" s="126" t="s">
        <v>1495</v>
      </c>
      <c r="F177" s="126" t="s">
        <v>41</v>
      </c>
      <c r="G177" s="126" t="s">
        <v>1496</v>
      </c>
      <c r="H177" s="126" t="s">
        <v>1319</v>
      </c>
      <c r="I177" s="126" t="s">
        <v>1143</v>
      </c>
      <c r="J177" s="126" t="s">
        <v>940</v>
      </c>
      <c r="K177" s="127">
        <v>43440</v>
      </c>
      <c r="L177" s="128"/>
      <c r="M177" s="128">
        <v>2</v>
      </c>
      <c r="N177" s="126">
        <v>3</v>
      </c>
      <c r="O177" s="126" t="s">
        <v>119</v>
      </c>
      <c r="P177" s="129" t="s">
        <v>285</v>
      </c>
      <c r="Q177" s="129" t="s">
        <v>263</v>
      </c>
      <c r="R177" s="126" t="s">
        <v>25</v>
      </c>
      <c r="S177" s="126"/>
      <c r="T177" s="130" t="s">
        <v>120</v>
      </c>
      <c r="U177" s="126"/>
      <c r="V177" s="130" t="s">
        <v>120</v>
      </c>
      <c r="W177" s="126"/>
      <c r="X177" s="130" t="s">
        <v>144</v>
      </c>
      <c r="Y177" s="126" t="s">
        <v>1497</v>
      </c>
      <c r="Z177" s="165"/>
      <c r="AA177" s="158"/>
      <c r="AB177" s="158"/>
      <c r="AC177" s="170"/>
      <c r="AD177" s="126"/>
      <c r="AE177" s="130" t="s">
        <v>120</v>
      </c>
      <c r="AF177" s="127" t="s">
        <v>2072</v>
      </c>
      <c r="AG177" s="131"/>
      <c r="AH177" s="131"/>
      <c r="AI177" s="126" t="s">
        <v>1417</v>
      </c>
      <c r="AJ177" s="130" t="s">
        <v>120</v>
      </c>
      <c r="AK177" s="126" t="s">
        <v>240</v>
      </c>
      <c r="AL177" s="126" t="s">
        <v>1493</v>
      </c>
      <c r="AM177" s="130"/>
      <c r="AN177" s="126"/>
      <c r="AO177" s="132"/>
      <c r="AP177" s="126"/>
      <c r="AQ177" s="126"/>
      <c r="AR177" s="130"/>
      <c r="AS177" s="126"/>
      <c r="AT177" s="127"/>
      <c r="AU177" s="127">
        <v>43444.680421527803</v>
      </c>
      <c r="AV177" s="127"/>
      <c r="AW177" s="127">
        <v>43440.731959027798</v>
      </c>
      <c r="AX177" s="127">
        <v>43472.656800810197</v>
      </c>
      <c r="AY177" s="127">
        <v>43479.408493171301</v>
      </c>
      <c r="AZ177" s="133"/>
      <c r="BA177" s="134">
        <f ca="1">IF(_05preva_view43[[#This Row],[Prevalidation Status]]="Under Prevalidation",NOW()-_05preva_view43[[#This Row],[Request Date]],IF(_05preva_view43[[#This Row],[Close Date]]&gt;_05preva_view43[[#This Row],[Request Date]],_05preva_view43[[#This Row],[Close Date]]-_05preva_view43[[#This Row],[Request Date]],"Not  Calculated"))</f>
        <v>48.70510648148047</v>
      </c>
      <c r="BB177" s="135">
        <f>COUNTIFS(_05preva_view43[Site ID],_05preva_view43[[#This Row],[Site ID]],_05preva_view43[Prevalidation Status],"Under Prevalidation")</f>
        <v>1</v>
      </c>
      <c r="BC177" s="157" t="e">
        <f ca="1">HYPERLINK(CheckPath(_05preva_view43[[#This Row],[File Path]],_05preva_view43[[#This Row],[File Path]],_05preva_view43[[#This Row],[Folder Path3]]),CheckPath(_05preva_view43[[#This Row],[File Path]],"Open File","No File"))</f>
        <v>#VALUE!</v>
      </c>
      <c r="BD177" s="136" t="str">
        <f>CONCATENATE(_05preva_view43[[#This Row],[Site ID]]," (",_05preva_view43[[#This Row],[tenant id]],") Application",IF(_05preva_view43[[#This Row],[Colo Rev]]&gt;0," Rev "&amp;_05preva_view43[[#This Row],[Colo Rev]],""),".xlsx")</f>
        <v>1-01-10006-001 (MDYAMPR007) Application Rev 0.xlsx</v>
      </c>
      <c r="BE177" s="64" t="e">
        <f t="shared" ca="1" si="4"/>
        <v>#VALUE!</v>
      </c>
      <c r="BF177" s="104" t="e">
        <f ca="1">LEFT(CELL("filename",A162),_05preva_view43[[#This Row],[Find Process &amp; Database]]-1)</f>
        <v>#VALUE!</v>
      </c>
      <c r="BG177" s="104" t="e">
        <f ca="1">_05preva_view43[Folder Path1]&amp;"Process &amp; Database\Documentation\Colo Applications"</f>
        <v>#VALUE!</v>
      </c>
      <c r="BH177" s="104" t="e">
        <f ca="1">_05preva_view43[Folder Path2]&amp;"\Colo App "&amp;_05preva_view43[[#This Row],[Operator]]&amp;"\"</f>
        <v>#VALUE!</v>
      </c>
      <c r="BI177" s="63" t="e">
        <f ca="1">_05preva_view43[[#This Row],[Folder Path3]]&amp;_05preva_view43[[#This Row],[File Name]]</f>
        <v>#VALUE!</v>
      </c>
      <c r="BJ177" s="104"/>
      <c r="BK177" s="3"/>
      <c r="BL177" s="3"/>
      <c r="CJ177" s="5"/>
      <c r="CK177" s="5"/>
      <c r="CL177" s="3"/>
      <c r="CN177" s="5"/>
      <c r="CR177" s="3"/>
      <c r="CS177" s="3"/>
      <c r="CT177" s="5"/>
      <c r="CV177" s="3"/>
      <c r="DR177" s="5"/>
      <c r="DT177" s="3"/>
      <c r="EF177" s="7"/>
      <c r="EG177" s="7"/>
      <c r="EJ177" s="4"/>
      <c r="EK177" s="4"/>
      <c r="EU177" s="2"/>
      <c r="EV177" s="2"/>
    </row>
    <row r="178" spans="1:152">
      <c r="A178" s="125">
        <v>3462</v>
      </c>
      <c r="B178" s="126" t="s">
        <v>1410</v>
      </c>
      <c r="C178" s="126" t="s">
        <v>116</v>
      </c>
      <c r="D178" s="126" t="s">
        <v>127</v>
      </c>
      <c r="E178" s="126" t="s">
        <v>1411</v>
      </c>
      <c r="F178" s="126" t="s">
        <v>41</v>
      </c>
      <c r="G178" s="126" t="s">
        <v>1412</v>
      </c>
      <c r="H178" s="126" t="s">
        <v>1319</v>
      </c>
      <c r="I178" s="126" t="s">
        <v>1143</v>
      </c>
      <c r="J178" s="126" t="s">
        <v>940</v>
      </c>
      <c r="K178" s="127">
        <v>43437</v>
      </c>
      <c r="L178" s="128"/>
      <c r="M178" s="128">
        <v>2</v>
      </c>
      <c r="N178" s="126">
        <v>3</v>
      </c>
      <c r="O178" s="126" t="s">
        <v>119</v>
      </c>
      <c r="P178" s="129" t="s">
        <v>264</v>
      </c>
      <c r="Q178" s="129" t="s">
        <v>350</v>
      </c>
      <c r="R178" s="126" t="s">
        <v>24</v>
      </c>
      <c r="S178" s="126"/>
      <c r="T178" s="130" t="s">
        <v>120</v>
      </c>
      <c r="U178" s="126" t="s">
        <v>1413</v>
      </c>
      <c r="V178" s="130" t="s">
        <v>120</v>
      </c>
      <c r="W178" s="126"/>
      <c r="X178" s="130" t="s">
        <v>120</v>
      </c>
      <c r="Y178" s="126" t="s">
        <v>1414</v>
      </c>
      <c r="Z178" s="165" t="s">
        <v>120</v>
      </c>
      <c r="AA178" s="158"/>
      <c r="AB178" s="158"/>
      <c r="AC178" s="170" t="s">
        <v>123</v>
      </c>
      <c r="AD178" s="126" t="s">
        <v>1415</v>
      </c>
      <c r="AE178" s="130" t="s">
        <v>120</v>
      </c>
      <c r="AF178" s="127" t="s">
        <v>1416</v>
      </c>
      <c r="AG178" s="131"/>
      <c r="AH178" s="131"/>
      <c r="AI178" s="126" t="s">
        <v>1417</v>
      </c>
      <c r="AJ178" s="130" t="s">
        <v>120</v>
      </c>
      <c r="AK178" s="126" t="s">
        <v>123</v>
      </c>
      <c r="AL178" s="126" t="s">
        <v>1418</v>
      </c>
      <c r="AM178" s="130"/>
      <c r="AN178" s="126"/>
      <c r="AO178" s="132"/>
      <c r="AP178" s="126"/>
      <c r="AQ178" s="126"/>
      <c r="AR178" s="130"/>
      <c r="AS178" s="126"/>
      <c r="AT178" s="127">
        <v>43437.721829861097</v>
      </c>
      <c r="AU178" s="127">
        <v>43439.507182986097</v>
      </c>
      <c r="AV178" s="127">
        <v>43438.692452314797</v>
      </c>
      <c r="AW178" s="127">
        <v>43438.482049189799</v>
      </c>
      <c r="AX178" s="127">
        <v>43438.738735648098</v>
      </c>
      <c r="AY178" s="127">
        <v>43437.702622222198</v>
      </c>
      <c r="AZ178" s="133">
        <v>43441.389728009301</v>
      </c>
      <c r="BA178" s="134">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B178" s="135">
        <f>COUNTIFS(_05preva_view43[Site ID],_05preva_view43[[#This Row],[Site ID]],_05preva_view43[Prevalidation Status],"Under Prevalidation")</f>
        <v>0</v>
      </c>
      <c r="BC178" s="157" t="e">
        <f ca="1">HYPERLINK(CheckPath(_05preva_view43[[#This Row],[File Path]],_05preva_view43[[#This Row],[File Path]],_05preva_view43[[#This Row],[Folder Path3]]),CheckPath(_05preva_view43[[#This Row],[File Path]],"Open File","No File"))</f>
        <v>#VALUE!</v>
      </c>
      <c r="BD178" s="136" t="str">
        <f>CONCATENATE(_05preva_view43[[#This Row],[Site ID]]," (",_05preva_view43[[#This Row],[tenant id]],") Application",IF(_05preva_view43[[#This Row],[Colo Rev]]&gt;0," Rev "&amp;_05preva_view43[[#This Row],[Colo Rev]],""),".xlsx")</f>
        <v>ANMD_0069 (MDYAMPR004) Application Rev 0.xlsx</v>
      </c>
      <c r="BE178" s="64" t="e">
        <f t="shared" ca="1" si="4"/>
        <v>#VALUE!</v>
      </c>
      <c r="BF178" s="104" t="e">
        <f ca="1">LEFT(CELL("filename",A163),_05preva_view43[[#This Row],[Find Process &amp; Database]]-1)</f>
        <v>#VALUE!</v>
      </c>
      <c r="BG178" s="104" t="e">
        <f ca="1">_05preva_view43[Folder Path1]&amp;"Process &amp; Database\Documentation\Colo Applications"</f>
        <v>#VALUE!</v>
      </c>
      <c r="BH178" s="104" t="e">
        <f ca="1">_05preva_view43[Folder Path2]&amp;"\Colo App "&amp;_05preva_view43[[#This Row],[Operator]]&amp;"\"</f>
        <v>#VALUE!</v>
      </c>
      <c r="BI178" s="63" t="e">
        <f ca="1">_05preva_view43[[#This Row],[Folder Path3]]&amp;_05preva_view43[[#This Row],[File Name]]</f>
        <v>#VALUE!</v>
      </c>
      <c r="BJ178" s="104"/>
      <c r="BK178" s="3"/>
      <c r="BL178" s="3"/>
      <c r="CJ178" s="5"/>
      <c r="CK178" s="5"/>
      <c r="CL178" s="3"/>
      <c r="CN178" s="5"/>
      <c r="CR178" s="3"/>
      <c r="CS178" s="3"/>
      <c r="CT178" s="5"/>
      <c r="CV178" s="3"/>
      <c r="DR178" s="5"/>
      <c r="DT178" s="3"/>
      <c r="EF178" s="7"/>
      <c r="EG178" s="7"/>
      <c r="EJ178" s="4"/>
      <c r="EK178" s="4"/>
      <c r="EU178" s="2"/>
      <c r="EV178" s="2"/>
    </row>
    <row r="179" spans="1:152">
      <c r="A179" s="125">
        <v>3463</v>
      </c>
      <c r="B179" s="126" t="s">
        <v>1419</v>
      </c>
      <c r="C179" s="126" t="s">
        <v>116</v>
      </c>
      <c r="D179" s="126" t="s">
        <v>127</v>
      </c>
      <c r="E179" s="126" t="s">
        <v>1420</v>
      </c>
      <c r="F179" s="126" t="s">
        <v>41</v>
      </c>
      <c r="G179" s="126" t="s">
        <v>1412</v>
      </c>
      <c r="H179" s="126" t="s">
        <v>1319</v>
      </c>
      <c r="I179" s="126" t="s">
        <v>1143</v>
      </c>
      <c r="J179" s="126" t="s">
        <v>940</v>
      </c>
      <c r="K179" s="127">
        <v>43437</v>
      </c>
      <c r="L179" s="128"/>
      <c r="M179" s="128">
        <v>1.9</v>
      </c>
      <c r="N179" s="126">
        <v>3</v>
      </c>
      <c r="O179" s="126" t="s">
        <v>119</v>
      </c>
      <c r="P179" s="129" t="s">
        <v>284</v>
      </c>
      <c r="Q179" s="129" t="s">
        <v>285</v>
      </c>
      <c r="R179" s="126" t="s">
        <v>24</v>
      </c>
      <c r="S179" s="126"/>
      <c r="T179" s="130" t="s">
        <v>120</v>
      </c>
      <c r="U179" s="126" t="s">
        <v>1413</v>
      </c>
      <c r="V179" s="130" t="s">
        <v>120</v>
      </c>
      <c r="W179" s="126"/>
      <c r="X179" s="130" t="s">
        <v>120</v>
      </c>
      <c r="Y179" s="126" t="s">
        <v>1421</v>
      </c>
      <c r="Z179" s="165" t="s">
        <v>120</v>
      </c>
      <c r="AA179" s="158"/>
      <c r="AB179" s="158"/>
      <c r="AC179" s="170" t="s">
        <v>123</v>
      </c>
      <c r="AD179" s="126" t="s">
        <v>1422</v>
      </c>
      <c r="AE179" s="130" t="s">
        <v>120</v>
      </c>
      <c r="AF179" s="127" t="s">
        <v>1416</v>
      </c>
      <c r="AG179" s="131"/>
      <c r="AH179" s="131"/>
      <c r="AI179" s="126" t="s">
        <v>1417</v>
      </c>
      <c r="AJ179" s="130" t="s">
        <v>120</v>
      </c>
      <c r="AK179" s="126" t="s">
        <v>123</v>
      </c>
      <c r="AL179" s="126" t="s">
        <v>1418</v>
      </c>
      <c r="AM179" s="130"/>
      <c r="AN179" s="126"/>
      <c r="AO179" s="132"/>
      <c r="AP179" s="126"/>
      <c r="AQ179" s="126"/>
      <c r="AR179" s="130"/>
      <c r="AS179" s="126"/>
      <c r="AT179" s="127">
        <v>43437.721831481504</v>
      </c>
      <c r="AU179" s="127">
        <v>43439.507184027803</v>
      </c>
      <c r="AV179" s="127">
        <v>43438.692453124997</v>
      </c>
      <c r="AW179" s="127">
        <v>43438.482050694402</v>
      </c>
      <c r="AX179" s="127">
        <v>43438.738740046298</v>
      </c>
      <c r="AY179" s="127">
        <v>43437.702622569399</v>
      </c>
      <c r="AZ179" s="133">
        <v>43441.389728472197</v>
      </c>
      <c r="BA179" s="134">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B179" s="135">
        <f>COUNTIFS(_05preva_view43[Site ID],_05preva_view43[[#This Row],[Site ID]],_05preva_view43[Prevalidation Status],"Under Prevalidation")</f>
        <v>0</v>
      </c>
      <c r="BC179" s="157" t="e">
        <f ca="1">HYPERLINK(CheckPath(_05preva_view43[[#This Row],[File Path]],_05preva_view43[[#This Row],[File Path]],_05preva_view43[[#This Row],[Folder Path3]]),CheckPath(_05preva_view43[[#This Row],[File Path]],"Open File","No File"))</f>
        <v>#VALUE!</v>
      </c>
      <c r="BD179" s="136" t="str">
        <f>CONCATENATE(_05preva_view43[[#This Row],[Site ID]]," (",_05preva_view43[[#This Row],[tenant id]],") Application",IF(_05preva_view43[[#This Row],[Colo Rev]]&gt;0," Rev "&amp;_05preva_view43[[#This Row],[Colo Rev]],""),".xlsx")</f>
        <v>ANMD_0066 (MDYAMPR011) Application Rev 0.xlsx</v>
      </c>
      <c r="BE179" s="64" t="e">
        <f t="shared" ca="1" si="4"/>
        <v>#VALUE!</v>
      </c>
      <c r="BF179" s="104" t="e">
        <f ca="1">LEFT(CELL("filename",A164),_05preva_view43[[#This Row],[Find Process &amp; Database]]-1)</f>
        <v>#VALUE!</v>
      </c>
      <c r="BG179" s="104" t="e">
        <f ca="1">_05preva_view43[Folder Path1]&amp;"Process &amp; Database\Documentation\Colo Applications"</f>
        <v>#VALUE!</v>
      </c>
      <c r="BH179" s="104" t="e">
        <f ca="1">_05preva_view43[Folder Path2]&amp;"\Colo App "&amp;_05preva_view43[[#This Row],[Operator]]&amp;"\"</f>
        <v>#VALUE!</v>
      </c>
      <c r="BI179" s="63" t="e">
        <f ca="1">_05preva_view43[[#This Row],[Folder Path3]]&amp;_05preva_view43[[#This Row],[File Name]]</f>
        <v>#VALUE!</v>
      </c>
      <c r="BJ179" s="104"/>
      <c r="BK179" s="3"/>
      <c r="BL179" s="3"/>
      <c r="CJ179" s="5"/>
      <c r="CK179" s="5"/>
      <c r="CL179" s="3"/>
      <c r="CN179" s="5"/>
      <c r="CR179" s="3"/>
      <c r="CS179" s="3"/>
      <c r="CT179" s="5"/>
      <c r="CV179" s="3"/>
      <c r="DR179" s="5"/>
      <c r="DT179" s="3"/>
      <c r="EF179" s="7"/>
      <c r="EG179" s="7"/>
      <c r="EJ179" s="4"/>
      <c r="EK179" s="4"/>
      <c r="EU179" s="2"/>
      <c r="EV179" s="2"/>
    </row>
    <row r="180" spans="1:152">
      <c r="A180" s="125">
        <v>3464</v>
      </c>
      <c r="B180" s="126" t="s">
        <v>1423</v>
      </c>
      <c r="C180" s="126" t="s">
        <v>116</v>
      </c>
      <c r="D180" s="126" t="s">
        <v>127</v>
      </c>
      <c r="E180" s="126" t="s">
        <v>1424</v>
      </c>
      <c r="F180" s="126" t="s">
        <v>41</v>
      </c>
      <c r="G180" s="126" t="s">
        <v>1412</v>
      </c>
      <c r="H180" s="126" t="s">
        <v>1319</v>
      </c>
      <c r="I180" s="126" t="s">
        <v>1143</v>
      </c>
      <c r="J180" s="126" t="s">
        <v>940</v>
      </c>
      <c r="K180" s="127">
        <v>43437</v>
      </c>
      <c r="L180" s="128"/>
      <c r="M180" s="128">
        <v>2.5</v>
      </c>
      <c r="N180" s="126">
        <v>3</v>
      </c>
      <c r="O180" s="126" t="s">
        <v>119</v>
      </c>
      <c r="P180" s="129" t="s">
        <v>284</v>
      </c>
      <c r="Q180" s="129" t="s">
        <v>285</v>
      </c>
      <c r="R180" s="126" t="s">
        <v>24</v>
      </c>
      <c r="S180" s="126"/>
      <c r="T180" s="130" t="s">
        <v>120</v>
      </c>
      <c r="U180" s="126" t="s">
        <v>1413</v>
      </c>
      <c r="V180" s="130" t="s">
        <v>120</v>
      </c>
      <c r="W180" s="126"/>
      <c r="X180" s="130" t="s">
        <v>120</v>
      </c>
      <c r="Y180" s="126" t="s">
        <v>1425</v>
      </c>
      <c r="Z180" s="165" t="s">
        <v>120</v>
      </c>
      <c r="AA180" s="158"/>
      <c r="AB180" s="158"/>
      <c r="AC180" s="170" t="s">
        <v>123</v>
      </c>
      <c r="AD180" s="126" t="s">
        <v>1426</v>
      </c>
      <c r="AE180" s="130" t="s">
        <v>120</v>
      </c>
      <c r="AF180" s="127" t="s">
        <v>1416</v>
      </c>
      <c r="AG180" s="131"/>
      <c r="AH180" s="131"/>
      <c r="AI180" s="126" t="s">
        <v>1427</v>
      </c>
      <c r="AJ180" s="130" t="s">
        <v>120</v>
      </c>
      <c r="AK180" s="126" t="s">
        <v>123</v>
      </c>
      <c r="AL180" s="126" t="s">
        <v>1418</v>
      </c>
      <c r="AM180" s="130"/>
      <c r="AN180" s="126"/>
      <c r="AO180" s="132"/>
      <c r="AP180" s="126"/>
      <c r="AQ180" s="126"/>
      <c r="AR180" s="130"/>
      <c r="AS180" s="126"/>
      <c r="AT180" s="127">
        <v>43437.721833217598</v>
      </c>
      <c r="AU180" s="127">
        <v>43439.507185532399</v>
      </c>
      <c r="AV180" s="127">
        <v>43438.692454861099</v>
      </c>
      <c r="AW180" s="127">
        <v>43438.482052314801</v>
      </c>
      <c r="AX180" s="127">
        <v>43438.738743634298</v>
      </c>
      <c r="AY180" s="127">
        <v>43437.702624189798</v>
      </c>
      <c r="AZ180" s="133">
        <v>43441.389729976901</v>
      </c>
      <c r="BA180" s="134">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B180" s="135">
        <f>COUNTIFS(_05preva_view43[Site ID],_05preva_view43[[#This Row],[Site ID]],_05preva_view43[Prevalidation Status],"Under Prevalidation")</f>
        <v>0</v>
      </c>
      <c r="BC180" s="157" t="e">
        <f ca="1">HYPERLINK(CheckPath(_05preva_view43[[#This Row],[File Path]],_05preva_view43[[#This Row],[File Path]],_05preva_view43[[#This Row],[Folder Path3]]),CheckPath(_05preva_view43[[#This Row],[File Path]],"Open File","No File"))</f>
        <v>#VALUE!</v>
      </c>
      <c r="BD180" s="136" t="str">
        <f>CONCATENATE(_05preva_view43[[#This Row],[Site ID]]," (",_05preva_view43[[#This Row],[tenant id]],") Application",IF(_05preva_view43[[#This Row],[Colo Rev]]&gt;0," Rev "&amp;_05preva_view43[[#This Row],[Colo Rev]],""),".xlsx")</f>
        <v>ANMD_0067 (MDYAMPR012) Application Rev 0.xlsx</v>
      </c>
      <c r="BE180" s="64" t="e">
        <f t="shared" ca="1" si="4"/>
        <v>#VALUE!</v>
      </c>
      <c r="BF180" s="104" t="e">
        <f ca="1">LEFT(CELL("filename",A165),_05preva_view43[[#This Row],[Find Process &amp; Database]]-1)</f>
        <v>#VALUE!</v>
      </c>
      <c r="BG180" s="104" t="e">
        <f ca="1">_05preva_view43[Folder Path1]&amp;"Process &amp; Database\Documentation\Colo Applications"</f>
        <v>#VALUE!</v>
      </c>
      <c r="BH180" s="104" t="e">
        <f ca="1">_05preva_view43[Folder Path2]&amp;"\Colo App "&amp;_05preva_view43[[#This Row],[Operator]]&amp;"\"</f>
        <v>#VALUE!</v>
      </c>
      <c r="BI180" s="63" t="e">
        <f ca="1">_05preva_view43[[#This Row],[Folder Path3]]&amp;_05preva_view43[[#This Row],[File Name]]</f>
        <v>#VALUE!</v>
      </c>
      <c r="BJ180" s="104"/>
      <c r="BK180" s="3"/>
      <c r="BL180" s="3"/>
      <c r="CJ180" s="5"/>
      <c r="CK180" s="5"/>
      <c r="CL180" s="3"/>
      <c r="CN180" s="5"/>
      <c r="CR180" s="3"/>
      <c r="CS180" s="3"/>
      <c r="CT180" s="5"/>
      <c r="CV180" s="3"/>
      <c r="DR180" s="5"/>
      <c r="DT180" s="3"/>
      <c r="EF180" s="7"/>
      <c r="EG180" s="7"/>
      <c r="EJ180" s="4"/>
      <c r="EK180" s="4"/>
      <c r="EU180" s="2"/>
      <c r="EV180" s="2"/>
    </row>
    <row r="181" spans="1:152">
      <c r="A181" s="125">
        <v>3465</v>
      </c>
      <c r="B181" s="126" t="s">
        <v>1428</v>
      </c>
      <c r="C181" s="126" t="s">
        <v>116</v>
      </c>
      <c r="D181" s="126" t="s">
        <v>127</v>
      </c>
      <c r="E181" s="126" t="s">
        <v>1429</v>
      </c>
      <c r="F181" s="126" t="s">
        <v>41</v>
      </c>
      <c r="G181" s="126" t="s">
        <v>1412</v>
      </c>
      <c r="H181" s="126" t="s">
        <v>1319</v>
      </c>
      <c r="I181" s="126" t="s">
        <v>1143</v>
      </c>
      <c r="J181" s="126" t="s">
        <v>940</v>
      </c>
      <c r="K181" s="127">
        <v>43437</v>
      </c>
      <c r="L181" s="128"/>
      <c r="M181" s="128">
        <v>2.5</v>
      </c>
      <c r="N181" s="126">
        <v>3</v>
      </c>
      <c r="O181" s="126" t="s">
        <v>119</v>
      </c>
      <c r="P181" s="129" t="s">
        <v>285</v>
      </c>
      <c r="Q181" s="129" t="s">
        <v>263</v>
      </c>
      <c r="R181" s="126" t="s">
        <v>24</v>
      </c>
      <c r="S181" s="126"/>
      <c r="T181" s="130" t="s">
        <v>120</v>
      </c>
      <c r="U181" s="126" t="s">
        <v>1430</v>
      </c>
      <c r="V181" s="130" t="s">
        <v>120</v>
      </c>
      <c r="W181" s="126"/>
      <c r="X181" s="130" t="s">
        <v>120</v>
      </c>
      <c r="Y181" s="126" t="s">
        <v>1431</v>
      </c>
      <c r="Z181" s="165" t="s">
        <v>120</v>
      </c>
      <c r="AA181" s="158"/>
      <c r="AB181" s="158"/>
      <c r="AC181" s="170" t="s">
        <v>123</v>
      </c>
      <c r="AD181" s="126" t="s">
        <v>1432</v>
      </c>
      <c r="AE181" s="130" t="s">
        <v>120</v>
      </c>
      <c r="AF181" s="127" t="s">
        <v>1416</v>
      </c>
      <c r="AG181" s="131"/>
      <c r="AH181" s="131"/>
      <c r="AI181" s="126" t="s">
        <v>1417</v>
      </c>
      <c r="AJ181" s="130" t="s">
        <v>120</v>
      </c>
      <c r="AK181" s="126" t="s">
        <v>123</v>
      </c>
      <c r="AL181" s="126" t="s">
        <v>1418</v>
      </c>
      <c r="AM181" s="130"/>
      <c r="AN181" s="126"/>
      <c r="AO181" s="132"/>
      <c r="AP181" s="126"/>
      <c r="AQ181" s="126"/>
      <c r="AR181" s="130"/>
      <c r="AS181" s="126"/>
      <c r="AT181" s="127">
        <v>43438.4820539352</v>
      </c>
      <c r="AU181" s="127">
        <v>43439.507186574097</v>
      </c>
      <c r="AV181" s="127">
        <v>43438.692456481498</v>
      </c>
      <c r="AW181" s="127">
        <v>43438.4820539352</v>
      </c>
      <c r="AX181" s="127">
        <v>43438.738747685202</v>
      </c>
      <c r="AY181" s="127">
        <v>43437.702625694401</v>
      </c>
      <c r="AZ181" s="133">
        <v>43441.389730902803</v>
      </c>
      <c r="BA181" s="134">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B181" s="135">
        <f>COUNTIFS(_05preva_view43[Site ID],_05preva_view43[[#This Row],[Site ID]],_05preva_view43[Prevalidation Status],"Under Prevalidation")</f>
        <v>0</v>
      </c>
      <c r="BC181" s="157" t="e">
        <f ca="1">HYPERLINK(CheckPath(_05preva_view43[[#This Row],[File Path]],_05preva_view43[[#This Row],[File Path]],_05preva_view43[[#This Row],[Folder Path3]]),CheckPath(_05preva_view43[[#This Row],[File Path]],"Open File","No File"))</f>
        <v>#VALUE!</v>
      </c>
      <c r="BD181" s="136" t="str">
        <f>CONCATENATE(_05preva_view43[[#This Row],[Site ID]]," (",_05preva_view43[[#This Row],[tenant id]],") Application",IF(_05preva_view43[[#This Row],[Colo Rev]]&gt;0," Rev "&amp;_05preva_view43[[#This Row],[Colo Rev]],""),".xlsx")</f>
        <v>ANMD_0070 (MDYAMPR013) Application Rev 0.xlsx</v>
      </c>
      <c r="BE181" s="64" t="e">
        <f t="shared" ca="1" si="4"/>
        <v>#VALUE!</v>
      </c>
      <c r="BF181" s="104" t="e">
        <f ca="1">LEFT(CELL("filename",A166),_05preva_view43[[#This Row],[Find Process &amp; Database]]-1)</f>
        <v>#VALUE!</v>
      </c>
      <c r="BG181" s="104" t="e">
        <f ca="1">_05preva_view43[Folder Path1]&amp;"Process &amp; Database\Documentation\Colo Applications"</f>
        <v>#VALUE!</v>
      </c>
      <c r="BH181" s="104" t="e">
        <f ca="1">_05preva_view43[Folder Path2]&amp;"\Colo App "&amp;_05preva_view43[[#This Row],[Operator]]&amp;"\"</f>
        <v>#VALUE!</v>
      </c>
      <c r="BI181" s="63" t="e">
        <f ca="1">_05preva_view43[[#This Row],[Folder Path3]]&amp;_05preva_view43[[#This Row],[File Name]]</f>
        <v>#VALUE!</v>
      </c>
      <c r="BJ181" s="104"/>
      <c r="BK181" s="3"/>
      <c r="BL181" s="3"/>
      <c r="CJ181" s="5"/>
      <c r="CK181" s="5"/>
      <c r="CL181" s="3"/>
      <c r="CN181" s="5"/>
      <c r="CR181" s="3"/>
      <c r="CS181" s="3"/>
      <c r="CT181" s="5"/>
      <c r="CV181" s="3"/>
      <c r="DR181" s="5"/>
      <c r="DT181" s="3"/>
      <c r="EF181" s="7"/>
      <c r="EG181" s="7"/>
      <c r="EJ181" s="4"/>
      <c r="EK181" s="4"/>
      <c r="EU181" s="2"/>
      <c r="EV181" s="2"/>
    </row>
    <row r="182" spans="1:152">
      <c r="A182" s="125">
        <v>3466</v>
      </c>
      <c r="B182" s="126" t="s">
        <v>1433</v>
      </c>
      <c r="C182" s="126" t="s">
        <v>116</v>
      </c>
      <c r="D182" s="126" t="s">
        <v>127</v>
      </c>
      <c r="E182" s="126" t="s">
        <v>1434</v>
      </c>
      <c r="F182" s="126" t="s">
        <v>41</v>
      </c>
      <c r="G182" s="126" t="s">
        <v>1412</v>
      </c>
      <c r="H182" s="126" t="s">
        <v>1319</v>
      </c>
      <c r="I182" s="126" t="s">
        <v>1143</v>
      </c>
      <c r="J182" s="126" t="s">
        <v>940</v>
      </c>
      <c r="K182" s="127">
        <v>43437</v>
      </c>
      <c r="L182" s="128"/>
      <c r="M182" s="128">
        <v>2</v>
      </c>
      <c r="N182" s="126">
        <v>3</v>
      </c>
      <c r="O182" s="126" t="s">
        <v>119</v>
      </c>
      <c r="P182" s="129" t="s">
        <v>263</v>
      </c>
      <c r="Q182" s="129" t="s">
        <v>264</v>
      </c>
      <c r="R182" s="126" t="s">
        <v>24</v>
      </c>
      <c r="S182" s="126"/>
      <c r="T182" s="130" t="s">
        <v>120</v>
      </c>
      <c r="U182" s="126" t="s">
        <v>1430</v>
      </c>
      <c r="V182" s="130" t="s">
        <v>120</v>
      </c>
      <c r="W182" s="126"/>
      <c r="X182" s="130" t="s">
        <v>120</v>
      </c>
      <c r="Y182" s="126" t="s">
        <v>1435</v>
      </c>
      <c r="Z182" s="165" t="s">
        <v>120</v>
      </c>
      <c r="AA182" s="158"/>
      <c r="AB182" s="158"/>
      <c r="AC182" s="170" t="s">
        <v>123</v>
      </c>
      <c r="AD182" s="126" t="s">
        <v>1436</v>
      </c>
      <c r="AE182" s="130" t="s">
        <v>120</v>
      </c>
      <c r="AF182" s="127" t="s">
        <v>1416</v>
      </c>
      <c r="AG182" s="131"/>
      <c r="AH182" s="131"/>
      <c r="AI182" s="126" t="s">
        <v>1427</v>
      </c>
      <c r="AJ182" s="130" t="s">
        <v>120</v>
      </c>
      <c r="AK182" s="126" t="s">
        <v>123</v>
      </c>
      <c r="AL182" s="126" t="s">
        <v>1418</v>
      </c>
      <c r="AM182" s="130"/>
      <c r="AN182" s="126"/>
      <c r="AO182" s="132"/>
      <c r="AP182" s="126"/>
      <c r="AQ182" s="126"/>
      <c r="AR182" s="130"/>
      <c r="AS182" s="126"/>
      <c r="AT182" s="127">
        <v>43438.482055208297</v>
      </c>
      <c r="AU182" s="127">
        <v>43439.507187962998</v>
      </c>
      <c r="AV182" s="127">
        <v>43438.692457060199</v>
      </c>
      <c r="AW182" s="127">
        <v>43438.482055208297</v>
      </c>
      <c r="AX182" s="127">
        <v>43438.738751504599</v>
      </c>
      <c r="AY182" s="127">
        <v>43437.702626157399</v>
      </c>
      <c r="AZ182" s="133">
        <v>43441.389732523101</v>
      </c>
      <c r="BA182" s="134">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B182" s="135">
        <f>COUNTIFS(_05preva_view43[Site ID],_05preva_view43[[#This Row],[Site ID]],_05preva_view43[Prevalidation Status],"Under Prevalidation")</f>
        <v>0</v>
      </c>
      <c r="BC182" s="157" t="e">
        <f ca="1">HYPERLINK(CheckPath(_05preva_view43[[#This Row],[File Path]],_05preva_view43[[#This Row],[File Path]],_05preva_view43[[#This Row],[Folder Path3]]),CheckPath(_05preva_view43[[#This Row],[File Path]],"Open File","No File"))</f>
        <v>#VALUE!</v>
      </c>
      <c r="BD182" s="136" t="str">
        <f>CONCATENATE(_05preva_view43[[#This Row],[Site ID]]," (",_05preva_view43[[#This Row],[tenant id]],") Application",IF(_05preva_view43[[#This Row],[Colo Rev]]&gt;0," Rev "&amp;_05preva_view43[[#This Row],[Colo Rev]],""),".xlsx")</f>
        <v>ANMD_0071 (MDYAMPR014) Application Rev 0.xlsx</v>
      </c>
      <c r="BE182" s="64" t="e">
        <f t="shared" ca="1" si="4"/>
        <v>#VALUE!</v>
      </c>
      <c r="BF182" s="104" t="e">
        <f ca="1">LEFT(CELL("filename",A167),_05preva_view43[[#This Row],[Find Process &amp; Database]]-1)</f>
        <v>#VALUE!</v>
      </c>
      <c r="BG182" s="104" t="e">
        <f ca="1">_05preva_view43[Folder Path1]&amp;"Process &amp; Database\Documentation\Colo Applications"</f>
        <v>#VALUE!</v>
      </c>
      <c r="BH182" s="104" t="e">
        <f ca="1">_05preva_view43[Folder Path2]&amp;"\Colo App "&amp;_05preva_view43[[#This Row],[Operator]]&amp;"\"</f>
        <v>#VALUE!</v>
      </c>
      <c r="BI182" s="63" t="e">
        <f ca="1">_05preva_view43[[#This Row],[Folder Path3]]&amp;_05preva_view43[[#This Row],[File Name]]</f>
        <v>#VALUE!</v>
      </c>
      <c r="BJ182" s="104"/>
      <c r="BK182" s="3"/>
      <c r="BL182" s="3"/>
      <c r="CJ182" s="5"/>
      <c r="CK182" s="5"/>
      <c r="CL182" s="3"/>
      <c r="CN182" s="5"/>
      <c r="CR182" s="3"/>
      <c r="CS182" s="3"/>
      <c r="CT182" s="5"/>
      <c r="CV182" s="3"/>
      <c r="DR182" s="5"/>
      <c r="DT182" s="3"/>
      <c r="EF182" s="7"/>
      <c r="EG182" s="7"/>
      <c r="EJ182" s="4"/>
      <c r="EK182" s="4"/>
      <c r="EU182" s="2"/>
      <c r="EV182" s="2"/>
    </row>
    <row r="183" spans="1:152">
      <c r="A183" s="125">
        <v>3467</v>
      </c>
      <c r="B183" s="126" t="s">
        <v>1437</v>
      </c>
      <c r="C183" s="126" t="s">
        <v>116</v>
      </c>
      <c r="D183" s="126" t="s">
        <v>127</v>
      </c>
      <c r="E183" s="126" t="s">
        <v>1438</v>
      </c>
      <c r="F183" s="126" t="s">
        <v>41</v>
      </c>
      <c r="G183" s="126" t="s">
        <v>1412</v>
      </c>
      <c r="H183" s="126" t="s">
        <v>1319</v>
      </c>
      <c r="I183" s="126" t="s">
        <v>1143</v>
      </c>
      <c r="J183" s="126" t="s">
        <v>940</v>
      </c>
      <c r="K183" s="127">
        <v>43437</v>
      </c>
      <c r="L183" s="128"/>
      <c r="M183" s="128">
        <v>2.5</v>
      </c>
      <c r="N183" s="126">
        <v>3</v>
      </c>
      <c r="O183" s="126" t="s">
        <v>119</v>
      </c>
      <c r="P183" s="129" t="s">
        <v>1043</v>
      </c>
      <c r="Q183" s="129" t="s">
        <v>257</v>
      </c>
      <c r="R183" s="126" t="s">
        <v>24</v>
      </c>
      <c r="S183" s="126"/>
      <c r="T183" s="130" t="s">
        <v>120</v>
      </c>
      <c r="U183" s="126" t="s">
        <v>1430</v>
      </c>
      <c r="V183" s="130" t="s">
        <v>120</v>
      </c>
      <c r="W183" s="126"/>
      <c r="X183" s="130" t="s">
        <v>120</v>
      </c>
      <c r="Y183" s="126" t="s">
        <v>1439</v>
      </c>
      <c r="Z183" s="165" t="s">
        <v>120</v>
      </c>
      <c r="AA183" s="158"/>
      <c r="AB183" s="158"/>
      <c r="AC183" s="170" t="s">
        <v>123</v>
      </c>
      <c r="AD183" s="126" t="s">
        <v>1440</v>
      </c>
      <c r="AE183" s="130" t="s">
        <v>120</v>
      </c>
      <c r="AF183" s="127" t="s">
        <v>1416</v>
      </c>
      <c r="AG183" s="131"/>
      <c r="AH183" s="131"/>
      <c r="AI183" s="126" t="s">
        <v>1417</v>
      </c>
      <c r="AJ183" s="130" t="s">
        <v>120</v>
      </c>
      <c r="AK183" s="126" t="s">
        <v>123</v>
      </c>
      <c r="AL183" s="126" t="s">
        <v>1418</v>
      </c>
      <c r="AM183" s="130"/>
      <c r="AN183" s="126"/>
      <c r="AO183" s="132"/>
      <c r="AP183" s="126"/>
      <c r="AQ183" s="126"/>
      <c r="AR183" s="130"/>
      <c r="AS183" s="126"/>
      <c r="AT183" s="127">
        <v>43438.482056713001</v>
      </c>
      <c r="AU183" s="127">
        <v>43439.507189120399</v>
      </c>
      <c r="AV183" s="127">
        <v>43438.692457986101</v>
      </c>
      <c r="AW183" s="127">
        <v>43438.482056713001</v>
      </c>
      <c r="AX183" s="127">
        <v>43438.738754629601</v>
      </c>
      <c r="AY183" s="127">
        <v>43437.702628009298</v>
      </c>
      <c r="AZ183" s="133">
        <v>43441.389733217598</v>
      </c>
      <c r="BA183" s="134">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B183" s="135">
        <f>COUNTIFS(_05preva_view43[Site ID],_05preva_view43[[#This Row],[Site ID]],_05preva_view43[Prevalidation Status],"Under Prevalidation")</f>
        <v>0</v>
      </c>
      <c r="BC183" s="157" t="e">
        <f ca="1">HYPERLINK(CheckPath(_05preva_view43[[#This Row],[File Path]],_05preva_view43[[#This Row],[File Path]],_05preva_view43[[#This Row],[Folder Path3]]),CheckPath(_05preva_view43[[#This Row],[File Path]],"Open File","No File"))</f>
        <v>#VALUE!</v>
      </c>
      <c r="BD183" s="136" t="str">
        <f>CONCATENATE(_05preva_view43[[#This Row],[Site ID]]," (",_05preva_view43[[#This Row],[tenant id]],") Application",IF(_05preva_view43[[#This Row],[Colo Rev]]&gt;0," Rev "&amp;_05preva_view43[[#This Row],[Colo Rev]],""),".xlsx")</f>
        <v>ANMD_0077 (MDYAMPR015) Application Rev 0.xlsx</v>
      </c>
      <c r="BE183" s="64" t="e">
        <f t="shared" ca="1" si="4"/>
        <v>#VALUE!</v>
      </c>
      <c r="BF183" s="104" t="e">
        <f ca="1">LEFT(CELL("filename",A168),_05preva_view43[[#This Row],[Find Process &amp; Database]]-1)</f>
        <v>#VALUE!</v>
      </c>
      <c r="BG183" s="104" t="e">
        <f ca="1">_05preva_view43[Folder Path1]&amp;"Process &amp; Database\Documentation\Colo Applications"</f>
        <v>#VALUE!</v>
      </c>
      <c r="BH183" s="104" t="e">
        <f ca="1">_05preva_view43[Folder Path2]&amp;"\Colo App "&amp;_05preva_view43[[#This Row],[Operator]]&amp;"\"</f>
        <v>#VALUE!</v>
      </c>
      <c r="BI183" s="63" t="e">
        <f ca="1">_05preva_view43[[#This Row],[Folder Path3]]&amp;_05preva_view43[[#This Row],[File Name]]</f>
        <v>#VALUE!</v>
      </c>
      <c r="BJ183" s="104"/>
      <c r="BK183" s="3"/>
      <c r="BL183" s="3"/>
      <c r="CJ183" s="5"/>
      <c r="CK183" s="5"/>
      <c r="CL183" s="3"/>
      <c r="CN183" s="5"/>
      <c r="CR183" s="3"/>
      <c r="CS183" s="3"/>
      <c r="CT183" s="5"/>
      <c r="CV183" s="3"/>
      <c r="DR183" s="5"/>
      <c r="DT183" s="3"/>
      <c r="EF183" s="7"/>
      <c r="EG183" s="7"/>
      <c r="EJ183" s="4"/>
      <c r="EK183" s="4"/>
      <c r="EU183" s="2"/>
      <c r="EV183" s="2"/>
    </row>
    <row r="184" spans="1:152">
      <c r="A184" s="125">
        <v>3468</v>
      </c>
      <c r="B184" s="126" t="s">
        <v>622</v>
      </c>
      <c r="C184" s="126" t="s">
        <v>116</v>
      </c>
      <c r="D184" s="126" t="s">
        <v>127</v>
      </c>
      <c r="E184" s="126" t="s">
        <v>1441</v>
      </c>
      <c r="F184" s="126" t="s">
        <v>41</v>
      </c>
      <c r="G184" s="126" t="s">
        <v>1412</v>
      </c>
      <c r="H184" s="126" t="s">
        <v>1319</v>
      </c>
      <c r="I184" s="126" t="s">
        <v>1143</v>
      </c>
      <c r="J184" s="126" t="s">
        <v>940</v>
      </c>
      <c r="K184" s="127">
        <v>43437</v>
      </c>
      <c r="L184" s="128"/>
      <c r="M184" s="128">
        <v>2</v>
      </c>
      <c r="N184" s="126">
        <v>3</v>
      </c>
      <c r="O184" s="126" t="s">
        <v>119</v>
      </c>
      <c r="P184" s="129" t="s">
        <v>1043</v>
      </c>
      <c r="Q184" s="129" t="s">
        <v>1442</v>
      </c>
      <c r="R184" s="126" t="s">
        <v>24</v>
      </c>
      <c r="S184" s="126"/>
      <c r="T184" s="130" t="s">
        <v>120</v>
      </c>
      <c r="U184" s="126" t="s">
        <v>1413</v>
      </c>
      <c r="V184" s="130" t="s">
        <v>120</v>
      </c>
      <c r="W184" s="126"/>
      <c r="X184" s="130" t="s">
        <v>120</v>
      </c>
      <c r="Y184" s="126" t="s">
        <v>1443</v>
      </c>
      <c r="Z184" s="165" t="s">
        <v>120</v>
      </c>
      <c r="AA184" s="158"/>
      <c r="AB184" s="158"/>
      <c r="AC184" s="170" t="s">
        <v>123</v>
      </c>
      <c r="AD184" s="126" t="s">
        <v>1444</v>
      </c>
      <c r="AE184" s="130" t="s">
        <v>120</v>
      </c>
      <c r="AF184" s="127" t="s">
        <v>1416</v>
      </c>
      <c r="AG184" s="131"/>
      <c r="AH184" s="131"/>
      <c r="AI184" s="126" t="s">
        <v>1427</v>
      </c>
      <c r="AJ184" s="130" t="s">
        <v>120</v>
      </c>
      <c r="AK184" s="126" t="s">
        <v>123</v>
      </c>
      <c r="AL184" s="126" t="s">
        <v>1418</v>
      </c>
      <c r="AM184" s="130"/>
      <c r="AN184" s="126"/>
      <c r="AO184" s="132"/>
      <c r="AP184" s="126"/>
      <c r="AQ184" s="126"/>
      <c r="AR184" s="130"/>
      <c r="AS184" s="126"/>
      <c r="AT184" s="127">
        <v>43438.482057986097</v>
      </c>
      <c r="AU184" s="127">
        <v>43439.507190625001</v>
      </c>
      <c r="AV184" s="127">
        <v>43438.692459953701</v>
      </c>
      <c r="AW184" s="127">
        <v>43438.482057986097</v>
      </c>
      <c r="AX184" s="127">
        <v>43438.738757407402</v>
      </c>
      <c r="AY184" s="127">
        <v>43437.702629976899</v>
      </c>
      <c r="AZ184" s="133">
        <v>43441.389734722201</v>
      </c>
      <c r="BA184" s="134">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B184" s="135">
        <f>COUNTIFS(_05preva_view43[Site ID],_05preva_view43[[#This Row],[Site ID]],_05preva_view43[Prevalidation Status],"Under Prevalidation")</f>
        <v>0</v>
      </c>
      <c r="BC184" s="157" t="e">
        <f ca="1">HYPERLINK(CheckPath(_05preva_view43[[#This Row],[File Path]],_05preva_view43[[#This Row],[File Path]],_05preva_view43[[#This Row],[Folder Path3]]),CheckPath(_05preva_view43[[#This Row],[File Path]],"Open File","No File"))</f>
        <v>#VALUE!</v>
      </c>
      <c r="BD184" s="136" t="str">
        <f>CONCATENATE(_05preva_view43[[#This Row],[Site ID]]," (",_05preva_view43[[#This Row],[tenant id]],") Application",IF(_05preva_view43[[#This Row],[Colo Rev]]&gt;0," Rev "&amp;_05preva_view43[[#This Row],[Colo Rev]],""),".xlsx")</f>
        <v>ANMD_0266 (MDYPGTG020) Application Rev 0.xlsx</v>
      </c>
      <c r="BE184" s="64" t="e">
        <f t="shared" ca="1" si="4"/>
        <v>#VALUE!</v>
      </c>
      <c r="BF184" s="104" t="e">
        <f ca="1">LEFT(CELL("filename",A169),_05preva_view43[[#This Row],[Find Process &amp; Database]]-1)</f>
        <v>#VALUE!</v>
      </c>
      <c r="BG184" s="104" t="e">
        <f ca="1">_05preva_view43[Folder Path1]&amp;"Process &amp; Database\Documentation\Colo Applications"</f>
        <v>#VALUE!</v>
      </c>
      <c r="BH184" s="104" t="e">
        <f ca="1">_05preva_view43[Folder Path2]&amp;"\Colo App "&amp;_05preva_view43[[#This Row],[Operator]]&amp;"\"</f>
        <v>#VALUE!</v>
      </c>
      <c r="BI184" s="63" t="e">
        <f ca="1">_05preva_view43[[#This Row],[Folder Path3]]&amp;_05preva_view43[[#This Row],[File Name]]</f>
        <v>#VALUE!</v>
      </c>
      <c r="BJ184" s="104"/>
      <c r="BK184" s="3"/>
      <c r="BL184" s="3"/>
      <c r="CJ184" s="5"/>
      <c r="CK184" s="5"/>
      <c r="CL184" s="3"/>
      <c r="CN184" s="5"/>
      <c r="CR184" s="3"/>
      <c r="CS184" s="3"/>
      <c r="CT184" s="5"/>
      <c r="CV184" s="3"/>
      <c r="DR184" s="5"/>
      <c r="DT184" s="3"/>
      <c r="EF184" s="7"/>
      <c r="EG184" s="7"/>
      <c r="EJ184" s="4"/>
      <c r="EK184" s="4"/>
      <c r="EU184" s="2"/>
      <c r="EV184" s="2"/>
    </row>
    <row r="185" spans="1:152">
      <c r="A185" s="125">
        <v>3469</v>
      </c>
      <c r="B185" s="126" t="s">
        <v>1445</v>
      </c>
      <c r="C185" s="126" t="s">
        <v>116</v>
      </c>
      <c r="D185" s="126" t="s">
        <v>127</v>
      </c>
      <c r="E185" s="126" t="s">
        <v>1446</v>
      </c>
      <c r="F185" s="126" t="s">
        <v>41</v>
      </c>
      <c r="G185" s="126" t="s">
        <v>1412</v>
      </c>
      <c r="H185" s="126" t="s">
        <v>1319</v>
      </c>
      <c r="I185" s="126" t="s">
        <v>1143</v>
      </c>
      <c r="J185" s="126" t="s">
        <v>940</v>
      </c>
      <c r="K185" s="127">
        <v>43437</v>
      </c>
      <c r="L185" s="128"/>
      <c r="M185" s="128">
        <v>2</v>
      </c>
      <c r="N185" s="126">
        <v>3</v>
      </c>
      <c r="O185" s="126" t="s">
        <v>119</v>
      </c>
      <c r="P185" s="129" t="s">
        <v>1447</v>
      </c>
      <c r="Q185" s="129" t="s">
        <v>747</v>
      </c>
      <c r="R185" s="126" t="s">
        <v>24</v>
      </c>
      <c r="S185" s="126"/>
      <c r="T185" s="130" t="s">
        <v>120</v>
      </c>
      <c r="U185" s="126" t="s">
        <v>1413</v>
      </c>
      <c r="V185" s="130" t="s">
        <v>120</v>
      </c>
      <c r="W185" s="126"/>
      <c r="X185" s="130" t="s">
        <v>120</v>
      </c>
      <c r="Y185" s="126" t="s">
        <v>1448</v>
      </c>
      <c r="Z185" s="165" t="s">
        <v>120</v>
      </c>
      <c r="AA185" s="158"/>
      <c r="AB185" s="158"/>
      <c r="AC185" s="170" t="s">
        <v>123</v>
      </c>
      <c r="AD185" s="126" t="s">
        <v>1449</v>
      </c>
      <c r="AE185" s="130" t="s">
        <v>120</v>
      </c>
      <c r="AF185" s="127" t="s">
        <v>1416</v>
      </c>
      <c r="AG185" s="131"/>
      <c r="AH185" s="131"/>
      <c r="AI185" s="126" t="s">
        <v>1427</v>
      </c>
      <c r="AJ185" s="130" t="s">
        <v>120</v>
      </c>
      <c r="AK185" s="126" t="s">
        <v>123</v>
      </c>
      <c r="AL185" s="126" t="s">
        <v>1418</v>
      </c>
      <c r="AM185" s="130"/>
      <c r="AN185" s="126"/>
      <c r="AO185" s="132"/>
      <c r="AP185" s="126"/>
      <c r="AQ185" s="126"/>
      <c r="AR185" s="130"/>
      <c r="AS185" s="126"/>
      <c r="AT185" s="127">
        <v>43438.482059259302</v>
      </c>
      <c r="AU185" s="127">
        <v>43439.507191782403</v>
      </c>
      <c r="AV185" s="127">
        <v>43438.692460763901</v>
      </c>
      <c r="AW185" s="127">
        <v>43438.482059259302</v>
      </c>
      <c r="AX185" s="127">
        <v>43438.738761342604</v>
      </c>
      <c r="AY185" s="127">
        <v>43437.702630439802</v>
      </c>
      <c r="AZ185" s="133">
        <v>43441.3897363426</v>
      </c>
      <c r="BA185" s="134">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B185" s="135">
        <f>COUNTIFS(_05preva_view43[Site ID],_05preva_view43[[#This Row],[Site ID]],_05preva_view43[Prevalidation Status],"Under Prevalidation")</f>
        <v>0</v>
      </c>
      <c r="BC185" s="157" t="e">
        <f ca="1">HYPERLINK(CheckPath(_05preva_view43[[#This Row],[File Path]],_05preva_view43[[#This Row],[File Path]],_05preva_view43[[#This Row],[Folder Path3]]),CheckPath(_05preva_view43[[#This Row],[File Path]],"Open File","No File"))</f>
        <v>#VALUE!</v>
      </c>
      <c r="BD185" s="136" t="str">
        <f>CONCATENATE(_05preva_view43[[#This Row],[Site ID]]," (",_05preva_view43[[#This Row],[tenant id]],") Application",IF(_05preva_view43[[#This Row],[Colo Rev]]&gt;0," Rev "&amp;_05preva_view43[[#This Row],[Colo Rev]],""),".xlsx")</f>
        <v>ANMD_0165 (MDYPGTG033) Application Rev 0.xlsx</v>
      </c>
      <c r="BE185" s="64" t="e">
        <f t="shared" ca="1" si="4"/>
        <v>#VALUE!</v>
      </c>
      <c r="BF185" s="104" t="e">
        <f ca="1">LEFT(CELL("filename",A170),_05preva_view43[[#This Row],[Find Process &amp; Database]]-1)</f>
        <v>#VALUE!</v>
      </c>
      <c r="BG185" s="104" t="e">
        <f ca="1">_05preva_view43[Folder Path1]&amp;"Process &amp; Database\Documentation\Colo Applications"</f>
        <v>#VALUE!</v>
      </c>
      <c r="BH185" s="104" t="e">
        <f ca="1">_05preva_view43[Folder Path2]&amp;"\Colo App "&amp;_05preva_view43[[#This Row],[Operator]]&amp;"\"</f>
        <v>#VALUE!</v>
      </c>
      <c r="BI185" s="63" t="e">
        <f ca="1">_05preva_view43[[#This Row],[Folder Path3]]&amp;_05preva_view43[[#This Row],[File Name]]</f>
        <v>#VALUE!</v>
      </c>
      <c r="BJ185" s="104"/>
      <c r="BK185" s="3"/>
      <c r="BL185" s="3"/>
      <c r="CJ185" s="5"/>
      <c r="CK185" s="5"/>
      <c r="CL185" s="3"/>
      <c r="CN185" s="5"/>
      <c r="CR185" s="3"/>
      <c r="CS185" s="3"/>
      <c r="CT185" s="5"/>
      <c r="CV185" s="3"/>
      <c r="DR185" s="5"/>
      <c r="DT185" s="3"/>
      <c r="EF185" s="7"/>
      <c r="EG185" s="7"/>
      <c r="EJ185" s="4"/>
      <c r="EK185" s="4"/>
      <c r="EU185" s="2"/>
      <c r="EV185" s="2"/>
    </row>
    <row r="186" spans="1:152">
      <c r="A186" s="125">
        <v>3470</v>
      </c>
      <c r="B186" s="126" t="s">
        <v>624</v>
      </c>
      <c r="C186" s="126" t="s">
        <v>116</v>
      </c>
      <c r="D186" s="126" t="s">
        <v>127</v>
      </c>
      <c r="E186" s="126" t="s">
        <v>1450</v>
      </c>
      <c r="F186" s="126" t="s">
        <v>41</v>
      </c>
      <c r="G186" s="126" t="s">
        <v>1412</v>
      </c>
      <c r="H186" s="126" t="s">
        <v>1319</v>
      </c>
      <c r="I186" s="126" t="s">
        <v>1143</v>
      </c>
      <c r="J186" s="126" t="s">
        <v>940</v>
      </c>
      <c r="K186" s="127">
        <v>43437</v>
      </c>
      <c r="L186" s="128"/>
      <c r="M186" s="128">
        <v>2</v>
      </c>
      <c r="N186" s="126">
        <v>3</v>
      </c>
      <c r="O186" s="126" t="s">
        <v>119</v>
      </c>
      <c r="P186" s="129" t="s">
        <v>1447</v>
      </c>
      <c r="Q186" s="129" t="s">
        <v>747</v>
      </c>
      <c r="R186" s="126" t="s">
        <v>24</v>
      </c>
      <c r="S186" s="126"/>
      <c r="T186" s="130" t="s">
        <v>120</v>
      </c>
      <c r="U186" s="126" t="s">
        <v>1413</v>
      </c>
      <c r="V186" s="130" t="s">
        <v>120</v>
      </c>
      <c r="W186" s="126"/>
      <c r="X186" s="130" t="s">
        <v>120</v>
      </c>
      <c r="Y186" s="126" t="s">
        <v>1451</v>
      </c>
      <c r="Z186" s="165" t="s">
        <v>120</v>
      </c>
      <c r="AA186" s="158"/>
      <c r="AB186" s="158"/>
      <c r="AC186" s="170" t="s">
        <v>123</v>
      </c>
      <c r="AD186" s="126" t="s">
        <v>1452</v>
      </c>
      <c r="AE186" s="130" t="s">
        <v>120</v>
      </c>
      <c r="AF186" s="127" t="s">
        <v>1416</v>
      </c>
      <c r="AG186" s="131"/>
      <c r="AH186" s="131"/>
      <c r="AI186" s="126" t="s">
        <v>1427</v>
      </c>
      <c r="AJ186" s="130" t="s">
        <v>120</v>
      </c>
      <c r="AK186" s="126" t="s">
        <v>123</v>
      </c>
      <c r="AL186" s="126" t="s">
        <v>1418</v>
      </c>
      <c r="AM186" s="130"/>
      <c r="AN186" s="126"/>
      <c r="AO186" s="132"/>
      <c r="AP186" s="126"/>
      <c r="AQ186" s="126"/>
      <c r="AR186" s="130"/>
      <c r="AS186" s="126"/>
      <c r="AT186" s="127">
        <v>43438.482060416703</v>
      </c>
      <c r="AU186" s="127">
        <v>43439.507193402802</v>
      </c>
      <c r="AV186" s="127">
        <v>43438.692462384301</v>
      </c>
      <c r="AW186" s="127">
        <v>43438.482060416703</v>
      </c>
      <c r="AX186" s="127">
        <v>43438.7387640046</v>
      </c>
      <c r="AY186" s="127">
        <v>43437.702632060202</v>
      </c>
      <c r="AZ186" s="133">
        <v>43441.389737037003</v>
      </c>
      <c r="BA186" s="134">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B186" s="135">
        <f>COUNTIFS(_05preva_view43[Site ID],_05preva_view43[[#This Row],[Site ID]],_05preva_view43[Prevalidation Status],"Under Prevalidation")</f>
        <v>0</v>
      </c>
      <c r="BC186" s="157" t="e">
        <f ca="1">HYPERLINK(CheckPath(_05preva_view43[[#This Row],[File Path]],_05preva_view43[[#This Row],[File Path]],_05preva_view43[[#This Row],[Folder Path3]]),CheckPath(_05preva_view43[[#This Row],[File Path]],"Open File","No File"))</f>
        <v>#VALUE!</v>
      </c>
      <c r="BD186" s="136" t="str">
        <f>CONCATENATE(_05preva_view43[[#This Row],[Site ID]]," (",_05preva_view43[[#This Row],[tenant id]],") Application",IF(_05preva_view43[[#This Row],[Colo Rev]]&gt;0," Rev "&amp;_05preva_view43[[#This Row],[Colo Rev]],""),".xlsx")</f>
        <v>ANMD_0167 (MDYPGTG036) Application Rev 0.xlsx</v>
      </c>
      <c r="BE186" s="64" t="e">
        <f t="shared" ca="1" si="4"/>
        <v>#VALUE!</v>
      </c>
      <c r="BF186" s="104" t="e">
        <f ca="1">LEFT(CELL("filename",A171),_05preva_view43[[#This Row],[Find Process &amp; Database]]-1)</f>
        <v>#VALUE!</v>
      </c>
      <c r="BG186" s="104" t="e">
        <f ca="1">_05preva_view43[Folder Path1]&amp;"Process &amp; Database\Documentation\Colo Applications"</f>
        <v>#VALUE!</v>
      </c>
      <c r="BH186" s="104" t="e">
        <f ca="1">_05preva_view43[Folder Path2]&amp;"\Colo App "&amp;_05preva_view43[[#This Row],[Operator]]&amp;"\"</f>
        <v>#VALUE!</v>
      </c>
      <c r="BI186" s="63" t="e">
        <f ca="1">_05preva_view43[[#This Row],[Folder Path3]]&amp;_05preva_view43[[#This Row],[File Name]]</f>
        <v>#VALUE!</v>
      </c>
      <c r="BJ186" s="104"/>
      <c r="BK186" s="3"/>
      <c r="BL186" s="3"/>
      <c r="CJ186" s="5"/>
      <c r="CK186" s="5"/>
      <c r="CL186" s="3"/>
      <c r="CN186" s="5"/>
      <c r="CR186" s="3"/>
      <c r="CS186" s="3"/>
      <c r="CT186" s="5"/>
      <c r="CV186" s="3"/>
      <c r="DR186" s="5"/>
      <c r="DT186" s="3"/>
      <c r="EF186" s="7"/>
      <c r="EG186" s="7"/>
      <c r="EJ186" s="4"/>
      <c r="EK186" s="4"/>
      <c r="EU186" s="2"/>
      <c r="EV186" s="2"/>
    </row>
    <row r="187" spans="1:152">
      <c r="A187" s="125">
        <v>3471</v>
      </c>
      <c r="B187" s="126" t="s">
        <v>1453</v>
      </c>
      <c r="C187" s="126" t="s">
        <v>116</v>
      </c>
      <c r="D187" s="126" t="s">
        <v>127</v>
      </c>
      <c r="E187" s="126" t="s">
        <v>1454</v>
      </c>
      <c r="F187" s="126" t="s">
        <v>41</v>
      </c>
      <c r="G187" s="126" t="s">
        <v>1412</v>
      </c>
      <c r="H187" s="126" t="s">
        <v>1319</v>
      </c>
      <c r="I187" s="126" t="s">
        <v>1143</v>
      </c>
      <c r="J187" s="126" t="s">
        <v>940</v>
      </c>
      <c r="K187" s="127">
        <v>43437</v>
      </c>
      <c r="L187" s="128"/>
      <c r="M187" s="128">
        <v>2.5</v>
      </c>
      <c r="N187" s="126">
        <v>5</v>
      </c>
      <c r="O187" s="126" t="s">
        <v>119</v>
      </c>
      <c r="P187" s="129" t="s">
        <v>1455</v>
      </c>
      <c r="Q187" s="129" t="s">
        <v>363</v>
      </c>
      <c r="R187" s="126" t="s">
        <v>24</v>
      </c>
      <c r="S187" s="126"/>
      <c r="T187" s="130" t="s">
        <v>120</v>
      </c>
      <c r="U187" s="126" t="s">
        <v>1413</v>
      </c>
      <c r="V187" s="130" t="s">
        <v>120</v>
      </c>
      <c r="W187" s="126"/>
      <c r="X187" s="130" t="s">
        <v>120</v>
      </c>
      <c r="Y187" s="126" t="s">
        <v>1456</v>
      </c>
      <c r="Z187" s="165" t="s">
        <v>120</v>
      </c>
      <c r="AA187" s="158"/>
      <c r="AB187" s="158"/>
      <c r="AC187" s="170" t="s">
        <v>123</v>
      </c>
      <c r="AD187" s="126" t="s">
        <v>1457</v>
      </c>
      <c r="AE187" s="130" t="s">
        <v>120</v>
      </c>
      <c r="AF187" s="127" t="s">
        <v>1416</v>
      </c>
      <c r="AG187" s="131"/>
      <c r="AH187" s="131"/>
      <c r="AI187" s="126" t="s">
        <v>1427</v>
      </c>
      <c r="AJ187" s="130" t="s">
        <v>120</v>
      </c>
      <c r="AK187" s="126" t="s">
        <v>123</v>
      </c>
      <c r="AL187" s="126" t="s">
        <v>1418</v>
      </c>
      <c r="AM187" s="130"/>
      <c r="AN187" s="126"/>
      <c r="AO187" s="132"/>
      <c r="AP187" s="126"/>
      <c r="AQ187" s="126"/>
      <c r="AR187" s="130"/>
      <c r="AS187" s="126"/>
      <c r="AT187" s="127">
        <v>43438.482061921299</v>
      </c>
      <c r="AU187" s="127">
        <v>43439.507194560203</v>
      </c>
      <c r="AV187" s="127">
        <v>43438.692463310203</v>
      </c>
      <c r="AW187" s="127">
        <v>43438.482061921299</v>
      </c>
      <c r="AX187" s="127">
        <v>43438.738765856499</v>
      </c>
      <c r="AY187" s="127">
        <v>43437.702632407403</v>
      </c>
      <c r="AZ187" s="133">
        <v>43441.389737731501</v>
      </c>
      <c r="BA187" s="134">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B187" s="135">
        <f>COUNTIFS(_05preva_view43[Site ID],_05preva_view43[[#This Row],[Site ID]],_05preva_view43[Prevalidation Status],"Under Prevalidation")</f>
        <v>0</v>
      </c>
      <c r="BC187" s="157" t="e">
        <f ca="1">HYPERLINK(CheckPath(_05preva_view43[[#This Row],[File Path]],_05preva_view43[[#This Row],[File Path]],_05preva_view43[[#This Row],[Folder Path3]]),CheckPath(_05preva_view43[[#This Row],[File Path]],"Open File","No File"))</f>
        <v>#VALUE!</v>
      </c>
      <c r="BD187" s="136" t="str">
        <f>CONCATENATE(_05preva_view43[[#This Row],[Site ID]]," (",_05preva_view43[[#This Row],[tenant id]],") Application",IF(_05preva_view43[[#This Row],[Colo Rev]]&gt;0," Rev "&amp;_05preva_view43[[#This Row],[Colo Rev]],""),".xlsx")</f>
        <v>ANMD_0172 (MDYPGTG039) Application Rev 0.xlsx</v>
      </c>
      <c r="BE187" s="64" t="e">
        <f t="shared" ca="1" si="4"/>
        <v>#VALUE!</v>
      </c>
      <c r="BF187" s="104" t="e">
        <f ca="1">LEFT(CELL("filename",A172),_05preva_view43[[#This Row],[Find Process &amp; Database]]-1)</f>
        <v>#VALUE!</v>
      </c>
      <c r="BG187" s="104" t="e">
        <f ca="1">_05preva_view43[Folder Path1]&amp;"Process &amp; Database\Documentation\Colo Applications"</f>
        <v>#VALUE!</v>
      </c>
      <c r="BH187" s="104" t="e">
        <f ca="1">_05preva_view43[Folder Path2]&amp;"\Colo App "&amp;_05preva_view43[[#This Row],[Operator]]&amp;"\"</f>
        <v>#VALUE!</v>
      </c>
      <c r="BI187" s="63" t="e">
        <f ca="1">_05preva_view43[[#This Row],[Folder Path3]]&amp;_05preva_view43[[#This Row],[File Name]]</f>
        <v>#VALUE!</v>
      </c>
      <c r="BJ187" s="104"/>
      <c r="BK187" s="3"/>
      <c r="BL187" s="3"/>
      <c r="CJ187" s="5"/>
      <c r="CK187" s="5"/>
      <c r="CL187" s="3"/>
      <c r="CN187" s="5"/>
      <c r="CR187" s="3"/>
      <c r="CS187" s="3"/>
      <c r="CT187" s="5"/>
      <c r="CV187" s="3"/>
      <c r="DR187" s="5"/>
      <c r="DT187" s="3"/>
      <c r="EF187" s="7"/>
      <c r="EG187" s="7"/>
      <c r="EJ187" s="4"/>
      <c r="EK187" s="4"/>
      <c r="EU187" s="2"/>
      <c r="EV187" s="2"/>
    </row>
    <row r="188" spans="1:152">
      <c r="A188" s="125">
        <v>3472</v>
      </c>
      <c r="B188" s="126" t="s">
        <v>1458</v>
      </c>
      <c r="C188" s="126" t="s">
        <v>116</v>
      </c>
      <c r="D188" s="126" t="s">
        <v>163</v>
      </c>
      <c r="E188" s="126" t="s">
        <v>1459</v>
      </c>
      <c r="F188" s="126" t="s">
        <v>35</v>
      </c>
      <c r="G188" s="126" t="s">
        <v>1577</v>
      </c>
      <c r="H188" s="126" t="s">
        <v>1575</v>
      </c>
      <c r="I188" s="126" t="s">
        <v>1191</v>
      </c>
      <c r="J188" s="126" t="s">
        <v>949</v>
      </c>
      <c r="K188" s="127">
        <v>43437</v>
      </c>
      <c r="L188" s="128">
        <v>1.44</v>
      </c>
      <c r="M188" s="128">
        <v>1.8</v>
      </c>
      <c r="N188" s="126"/>
      <c r="O188" s="126" t="s">
        <v>119</v>
      </c>
      <c r="P188" s="129" t="s">
        <v>263</v>
      </c>
      <c r="Q188" s="129" t="s">
        <v>264</v>
      </c>
      <c r="R188" s="126" t="s">
        <v>24</v>
      </c>
      <c r="S188" s="126"/>
      <c r="T188" s="130" t="s">
        <v>120</v>
      </c>
      <c r="U188" s="126" t="s">
        <v>1460</v>
      </c>
      <c r="V188" s="130" t="s">
        <v>120</v>
      </c>
      <c r="W188" s="126"/>
      <c r="X188" s="130" t="s">
        <v>120</v>
      </c>
      <c r="Y188" s="126" t="s">
        <v>1461</v>
      </c>
      <c r="Z188" s="165" t="s">
        <v>120</v>
      </c>
      <c r="AA188" s="158"/>
      <c r="AB188" s="158"/>
      <c r="AC188" s="170" t="s">
        <v>123</v>
      </c>
      <c r="AD188" s="126" t="s">
        <v>1750</v>
      </c>
      <c r="AE188" s="130" t="s">
        <v>120</v>
      </c>
      <c r="AF188" s="127" t="s">
        <v>1416</v>
      </c>
      <c r="AG188" s="131"/>
      <c r="AH188" s="131"/>
      <c r="AI188" s="126" t="s">
        <v>1417</v>
      </c>
      <c r="AJ188" s="130" t="s">
        <v>120</v>
      </c>
      <c r="AK188" s="126" t="s">
        <v>123</v>
      </c>
      <c r="AL188" s="126" t="s">
        <v>1198</v>
      </c>
      <c r="AM188" s="130"/>
      <c r="AN188" s="126"/>
      <c r="AO188" s="132"/>
      <c r="AP188" s="126"/>
      <c r="AQ188" s="126"/>
      <c r="AR188" s="130"/>
      <c r="AS188" s="126"/>
      <c r="AT188" s="127">
        <v>43438.482062962998</v>
      </c>
      <c r="AU188" s="127">
        <v>43440.687472800899</v>
      </c>
      <c r="AV188" s="127">
        <v>43451.650541319403</v>
      </c>
      <c r="AW188" s="127">
        <v>43438.482062962998</v>
      </c>
      <c r="AX188" s="127">
        <v>43444.484554976902</v>
      </c>
      <c r="AY188" s="127">
        <v>43437.702634027803</v>
      </c>
      <c r="AZ188" s="133">
        <v>43451.712499189802</v>
      </c>
      <c r="BA188" s="134">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B188" s="135">
        <f>COUNTIFS(_05preva_view43[Site ID],_05preva_view43[[#This Row],[Site ID]],_05preva_view43[Prevalidation Status],"Under Prevalidation")</f>
        <v>0</v>
      </c>
      <c r="BC188" s="157" t="e">
        <f ca="1">HYPERLINK(CheckPath(_05preva_view43[[#This Row],[File Path]],_05preva_view43[[#This Row],[File Path]],_05preva_view43[[#This Row],[Folder Path3]]),CheckPath(_05preva_view43[[#This Row],[File Path]],"Open File","No File"))</f>
        <v>#VALUE!</v>
      </c>
      <c r="BD188" s="136" t="str">
        <f>CONCATENATE(_05preva_view43[[#This Row],[Site ID]]," (",_05preva_view43[[#This Row],[tenant id]],") Application",IF(_05preva_view43[[#This Row],[Colo Rev]]&gt;0," Rev "&amp;_05preva_view43[[#This Row],[Colo Rev]],""),".xlsx")</f>
        <v>ACAY_0122 (AWD00530) Application Rev 2.xlsx</v>
      </c>
      <c r="BE188" s="64" t="e">
        <f t="shared" ca="1" si="4"/>
        <v>#VALUE!</v>
      </c>
      <c r="BF188" s="104" t="e">
        <f ca="1">LEFT(CELL("filename",A173),_05preva_view43[[#This Row],[Find Process &amp; Database]]-1)</f>
        <v>#VALUE!</v>
      </c>
      <c r="BG188" s="104" t="e">
        <f ca="1">_05preva_view43[Folder Path1]&amp;"Process &amp; Database\Documentation\Colo Applications"</f>
        <v>#VALUE!</v>
      </c>
      <c r="BH188" s="104" t="e">
        <f ca="1">_05preva_view43[Folder Path2]&amp;"\Colo App "&amp;_05preva_view43[[#This Row],[Operator]]&amp;"\"</f>
        <v>#VALUE!</v>
      </c>
      <c r="BI188" s="63" t="e">
        <f ca="1">_05preva_view43[[#This Row],[Folder Path3]]&amp;_05preva_view43[[#This Row],[File Name]]</f>
        <v>#VALUE!</v>
      </c>
      <c r="BJ188" s="104"/>
      <c r="BK188" s="3"/>
      <c r="BL188" s="3"/>
      <c r="CJ188" s="5"/>
      <c r="CK188" s="5"/>
      <c r="CL188" s="3"/>
      <c r="CN188" s="5"/>
      <c r="CR188" s="3"/>
      <c r="CS188" s="3"/>
      <c r="CT188" s="5"/>
      <c r="CV188" s="3"/>
      <c r="DR188" s="5"/>
      <c r="DT188" s="3"/>
      <c r="EF188" s="7"/>
      <c r="EG188" s="7"/>
      <c r="EJ188" s="4"/>
      <c r="EK188" s="4"/>
      <c r="EU188" s="2"/>
      <c r="EV188" s="2"/>
    </row>
    <row r="189" spans="1:152">
      <c r="A189" s="125">
        <v>3473</v>
      </c>
      <c r="B189" s="126" t="s">
        <v>1462</v>
      </c>
      <c r="C189" s="126" t="s">
        <v>116</v>
      </c>
      <c r="D189" s="126" t="s">
        <v>127</v>
      </c>
      <c r="E189" s="126" t="s">
        <v>1463</v>
      </c>
      <c r="F189" s="126" t="s">
        <v>41</v>
      </c>
      <c r="G189" s="126" t="s">
        <v>1412</v>
      </c>
      <c r="H189" s="126" t="s">
        <v>1319</v>
      </c>
      <c r="I189" s="126" t="s">
        <v>1143</v>
      </c>
      <c r="J189" s="126" t="s">
        <v>940</v>
      </c>
      <c r="K189" s="127">
        <v>43437</v>
      </c>
      <c r="L189" s="128"/>
      <c r="M189" s="128">
        <v>2.5</v>
      </c>
      <c r="N189" s="126">
        <v>3</v>
      </c>
      <c r="O189" s="126" t="s">
        <v>119</v>
      </c>
      <c r="P189" s="129" t="s">
        <v>858</v>
      </c>
      <c r="Q189" s="129" t="s">
        <v>284</v>
      </c>
      <c r="R189" s="126" t="s">
        <v>24</v>
      </c>
      <c r="S189" s="126"/>
      <c r="T189" s="130" t="s">
        <v>861</v>
      </c>
      <c r="U189" s="126" t="s">
        <v>1464</v>
      </c>
      <c r="V189" s="130" t="s">
        <v>120</v>
      </c>
      <c r="W189" s="126"/>
      <c r="X189" s="130" t="s">
        <v>120</v>
      </c>
      <c r="Y189" s="126" t="s">
        <v>1465</v>
      </c>
      <c r="Z189" s="165" t="s">
        <v>120</v>
      </c>
      <c r="AA189" s="158"/>
      <c r="AB189" s="158"/>
      <c r="AC189" s="170" t="s">
        <v>123</v>
      </c>
      <c r="AD189" s="126" t="s">
        <v>1466</v>
      </c>
      <c r="AE189" s="130" t="s">
        <v>120</v>
      </c>
      <c r="AF189" s="127" t="s">
        <v>1416</v>
      </c>
      <c r="AG189" s="131"/>
      <c r="AH189" s="131"/>
      <c r="AI189" s="126" t="s">
        <v>1417</v>
      </c>
      <c r="AJ189" s="130" t="s">
        <v>120</v>
      </c>
      <c r="AK189" s="126" t="s">
        <v>123</v>
      </c>
      <c r="AL189" s="126" t="s">
        <v>1418</v>
      </c>
      <c r="AM189" s="130"/>
      <c r="AN189" s="126"/>
      <c r="AO189" s="132"/>
      <c r="AP189" s="126"/>
      <c r="AQ189" s="126"/>
      <c r="AR189" s="130"/>
      <c r="AS189" s="126"/>
      <c r="AT189" s="127">
        <v>43438.482064120399</v>
      </c>
      <c r="AU189" s="127">
        <v>43440.687473611099</v>
      </c>
      <c r="AV189" s="127">
        <v>43438.692468055597</v>
      </c>
      <c r="AW189" s="127">
        <v>43438.482064120399</v>
      </c>
      <c r="AX189" s="127"/>
      <c r="AY189" s="127">
        <v>43437.702634490699</v>
      </c>
      <c r="AZ189" s="133">
        <v>43482.756289814803</v>
      </c>
      <c r="BA189" s="134">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B189" s="135">
        <f>COUNTIFS(_05preva_view43[Site ID],_05preva_view43[[#This Row],[Site ID]],_05preva_view43[Prevalidation Status],"Under Prevalidation")</f>
        <v>0</v>
      </c>
      <c r="BC189" s="157" t="e">
        <f ca="1">HYPERLINK(CheckPath(_05preva_view43[[#This Row],[File Path]],_05preva_view43[[#This Row],[File Path]],_05preva_view43[[#This Row],[Folder Path3]]),CheckPath(_05preva_view43[[#This Row],[File Path]],"Open File","No File"))</f>
        <v>#VALUE!</v>
      </c>
      <c r="BD189" s="136" t="str">
        <f>CONCATENATE(_05preva_view43[[#This Row],[Site ID]]," (",_05preva_view43[[#This Row],[tenant id]],") Application",IF(_05preva_view43[[#This Row],[Colo Rev]]&gt;0," Rev "&amp;_05preva_view43[[#This Row],[Colo Rev]],""),".xlsx")</f>
        <v>ANMD_0153 (MDYPTGI008) Application Rev 0.xlsx</v>
      </c>
      <c r="BE189" s="64" t="e">
        <f t="shared" ca="1" si="4"/>
        <v>#VALUE!</v>
      </c>
      <c r="BF189" s="104" t="e">
        <f ca="1">LEFT(CELL("filename",A174),_05preva_view43[[#This Row],[Find Process &amp; Database]]-1)</f>
        <v>#VALUE!</v>
      </c>
      <c r="BG189" s="104" t="e">
        <f ca="1">_05preva_view43[Folder Path1]&amp;"Process &amp; Database\Documentation\Colo Applications"</f>
        <v>#VALUE!</v>
      </c>
      <c r="BH189" s="104" t="e">
        <f ca="1">_05preva_view43[Folder Path2]&amp;"\Colo App "&amp;_05preva_view43[[#This Row],[Operator]]&amp;"\"</f>
        <v>#VALUE!</v>
      </c>
      <c r="BI189" s="63" t="e">
        <f ca="1">_05preva_view43[[#This Row],[Folder Path3]]&amp;_05preva_view43[[#This Row],[File Name]]</f>
        <v>#VALUE!</v>
      </c>
      <c r="BJ189" s="104"/>
      <c r="BK189" s="3"/>
      <c r="BL189" s="3"/>
      <c r="CJ189" s="5"/>
      <c r="CK189" s="5"/>
      <c r="CL189" s="3"/>
      <c r="CN189" s="5"/>
      <c r="CR189" s="3"/>
      <c r="CS189" s="3"/>
      <c r="CT189" s="5"/>
      <c r="CV189" s="3"/>
      <c r="DR189" s="5"/>
      <c r="DT189" s="3"/>
      <c r="EF189" s="7"/>
      <c r="EG189" s="7"/>
      <c r="EJ189" s="4"/>
      <c r="EK189" s="4"/>
      <c r="EU189" s="2"/>
      <c r="EV189" s="2"/>
    </row>
    <row r="190" spans="1:152">
      <c r="A190" s="125">
        <v>3474</v>
      </c>
      <c r="B190" s="126" t="s">
        <v>1467</v>
      </c>
      <c r="C190" s="126" t="s">
        <v>331</v>
      </c>
      <c r="D190" s="126" t="s">
        <v>127</v>
      </c>
      <c r="E190" s="126" t="s">
        <v>1468</v>
      </c>
      <c r="F190" s="126" t="s">
        <v>35</v>
      </c>
      <c r="G190" s="126" t="s">
        <v>1583</v>
      </c>
      <c r="H190" s="126" t="s">
        <v>1575</v>
      </c>
      <c r="I190" s="126" t="s">
        <v>1288</v>
      </c>
      <c r="J190" s="126" t="s">
        <v>990</v>
      </c>
      <c r="K190" s="127">
        <v>43437</v>
      </c>
      <c r="L190" s="128">
        <v>1.329</v>
      </c>
      <c r="M190" s="128">
        <v>2.1989999999999998</v>
      </c>
      <c r="N190" s="126"/>
      <c r="O190" s="126" t="s">
        <v>950</v>
      </c>
      <c r="P190" s="129" t="s">
        <v>1469</v>
      </c>
      <c r="Q190" s="129" t="s">
        <v>1470</v>
      </c>
      <c r="R190" s="126" t="s">
        <v>24</v>
      </c>
      <c r="S190" s="126"/>
      <c r="T190" s="130" t="s">
        <v>120</v>
      </c>
      <c r="U190" s="126" t="s">
        <v>1264</v>
      </c>
      <c r="V190" s="130" t="s">
        <v>120</v>
      </c>
      <c r="W190" s="126"/>
      <c r="X190" s="130" t="s">
        <v>120</v>
      </c>
      <c r="Y190" s="126" t="s">
        <v>1471</v>
      </c>
      <c r="Z190" s="165" t="s">
        <v>120</v>
      </c>
      <c r="AA190" s="158"/>
      <c r="AB190" s="158"/>
      <c r="AC190" s="170" t="s">
        <v>123</v>
      </c>
      <c r="AD190" s="126" t="s">
        <v>1472</v>
      </c>
      <c r="AE190" s="130" t="s">
        <v>120</v>
      </c>
      <c r="AF190" s="127" t="s">
        <v>1751</v>
      </c>
      <c r="AG190" s="131"/>
      <c r="AH190" s="131"/>
      <c r="AI190" s="126" t="s">
        <v>1405</v>
      </c>
      <c r="AJ190" s="130" t="s">
        <v>120</v>
      </c>
      <c r="AK190" s="126" t="s">
        <v>123</v>
      </c>
      <c r="AL190" s="126" t="s">
        <v>1198</v>
      </c>
      <c r="AM190" s="130"/>
      <c r="AN190" s="126"/>
      <c r="AO190" s="132"/>
      <c r="AP190" s="126"/>
      <c r="AQ190" s="126"/>
      <c r="AR190" s="130"/>
      <c r="AS190" s="126"/>
      <c r="AT190" s="127">
        <v>43438.482065046301</v>
      </c>
      <c r="AU190" s="127">
        <v>43451.370473379597</v>
      </c>
      <c r="AV190" s="127">
        <v>43441.577858912002</v>
      </c>
      <c r="AW190" s="127">
        <v>43438.482065046301</v>
      </c>
      <c r="AX190" s="127">
        <v>43438.644208564801</v>
      </c>
      <c r="AY190" s="127">
        <v>43437.694959027802</v>
      </c>
      <c r="AZ190" s="133">
        <v>43451.411460879601</v>
      </c>
      <c r="BA190" s="134">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B190" s="135">
        <f>COUNTIFS(_05preva_view43[Site ID],_05preva_view43[[#This Row],[Site ID]],_05preva_view43[Prevalidation Status],"Under Prevalidation")</f>
        <v>0</v>
      </c>
      <c r="BC190" s="157" t="e">
        <f ca="1">HYPERLINK(CheckPath(_05preva_view43[[#This Row],[File Path]],_05preva_view43[[#This Row],[File Path]],_05preva_view43[[#This Row],[Folder Path3]]),CheckPath(_05preva_view43[[#This Row],[File Path]],"Open File","No File"))</f>
        <v>#VALUE!</v>
      </c>
      <c r="BD190" s="136" t="str">
        <f>CONCATENATE(_05preva_view43[[#This Row],[Site ID]]," (",_05preva_view43[[#This Row],[tenant id]],") Application",IF(_05preva_view43[[#This Row],[Colo Rev]]&gt;0," Rev "&amp;_05preva_view43[[#This Row],[Colo Rev]],""),".xlsx")</f>
        <v>1-01-05012-001 (SGG00200) Application Rev 3.xlsx</v>
      </c>
      <c r="BE190" s="64" t="e">
        <f t="shared" ca="1" si="4"/>
        <v>#VALUE!</v>
      </c>
      <c r="BF190" s="104" t="e">
        <f ca="1">LEFT(CELL("filename",A175),_05preva_view43[[#This Row],[Find Process &amp; Database]]-1)</f>
        <v>#VALUE!</v>
      </c>
      <c r="BG190" s="104" t="e">
        <f ca="1">_05preva_view43[Folder Path1]&amp;"Process &amp; Database\Documentation\Colo Applications"</f>
        <v>#VALUE!</v>
      </c>
      <c r="BH190" s="104" t="e">
        <f ca="1">_05preva_view43[Folder Path2]&amp;"\Colo App "&amp;_05preva_view43[[#This Row],[Operator]]&amp;"\"</f>
        <v>#VALUE!</v>
      </c>
      <c r="BI190" s="63" t="e">
        <f ca="1">_05preva_view43[[#This Row],[Folder Path3]]&amp;_05preva_view43[[#This Row],[File Name]]</f>
        <v>#VALUE!</v>
      </c>
      <c r="BJ190" s="104"/>
      <c r="BK190" s="3"/>
      <c r="BL190" s="3"/>
      <c r="CJ190" s="5"/>
      <c r="CK190" s="5"/>
      <c r="CL190" s="3"/>
      <c r="CN190" s="5"/>
      <c r="CR190" s="3"/>
      <c r="CS190" s="3"/>
      <c r="CT190" s="5"/>
      <c r="CV190" s="3"/>
      <c r="DR190" s="5"/>
      <c r="DT190" s="3"/>
      <c r="EF190" s="7"/>
      <c r="EG190" s="7"/>
      <c r="EJ190" s="4"/>
      <c r="EK190" s="4"/>
      <c r="EU190" s="2"/>
      <c r="EV190" s="2"/>
    </row>
    <row r="191" spans="1:152">
      <c r="A191" s="125">
        <v>3475</v>
      </c>
      <c r="B191" s="126" t="s">
        <v>1273</v>
      </c>
      <c r="C191" s="126" t="s">
        <v>331</v>
      </c>
      <c r="D191" s="126" t="s">
        <v>127</v>
      </c>
      <c r="E191" s="126" t="s">
        <v>1274</v>
      </c>
      <c r="F191" s="126" t="s">
        <v>35</v>
      </c>
      <c r="G191" s="126" t="s">
        <v>1583</v>
      </c>
      <c r="H191" s="126" t="s">
        <v>1575</v>
      </c>
      <c r="I191" s="126" t="s">
        <v>1053</v>
      </c>
      <c r="J191" s="126" t="s">
        <v>990</v>
      </c>
      <c r="K191" s="127">
        <v>43437</v>
      </c>
      <c r="L191" s="128">
        <v>2.673</v>
      </c>
      <c r="M191" s="128">
        <v>4.556</v>
      </c>
      <c r="N191" s="126"/>
      <c r="O191" s="126" t="s">
        <v>950</v>
      </c>
      <c r="P191" s="129" t="s">
        <v>1275</v>
      </c>
      <c r="Q191" s="129" t="s">
        <v>1276</v>
      </c>
      <c r="R191" s="126" t="s">
        <v>24</v>
      </c>
      <c r="S191" s="126"/>
      <c r="T191" s="130" t="s">
        <v>120</v>
      </c>
      <c r="U191" s="126" t="s">
        <v>1264</v>
      </c>
      <c r="V191" s="130" t="s">
        <v>120</v>
      </c>
      <c r="W191" s="126"/>
      <c r="X191" s="130" t="s">
        <v>120</v>
      </c>
      <c r="Y191" s="126" t="s">
        <v>1473</v>
      </c>
      <c r="Z191" s="165" t="s">
        <v>120</v>
      </c>
      <c r="AA191" s="158"/>
      <c r="AB191" s="158"/>
      <c r="AC191" s="170" t="s">
        <v>123</v>
      </c>
      <c r="AD191" s="126" t="s">
        <v>1474</v>
      </c>
      <c r="AE191" s="130" t="s">
        <v>120</v>
      </c>
      <c r="AF191" s="127" t="s">
        <v>1752</v>
      </c>
      <c r="AG191" s="131"/>
      <c r="AH191" s="131"/>
      <c r="AI191" s="126" t="s">
        <v>1475</v>
      </c>
      <c r="AJ191" s="130" t="s">
        <v>120</v>
      </c>
      <c r="AK191" s="126" t="s">
        <v>123</v>
      </c>
      <c r="AL191" s="126" t="s">
        <v>1198</v>
      </c>
      <c r="AM191" s="130"/>
      <c r="AN191" s="126"/>
      <c r="AO191" s="132"/>
      <c r="AP191" s="126"/>
      <c r="AQ191" s="126"/>
      <c r="AR191" s="130"/>
      <c r="AS191" s="126"/>
      <c r="AT191" s="127">
        <v>43438.482066550903</v>
      </c>
      <c r="AU191" s="127">
        <v>43451.370473958297</v>
      </c>
      <c r="AV191" s="127">
        <v>43441.577859837998</v>
      </c>
      <c r="AW191" s="127">
        <v>43438.482066550903</v>
      </c>
      <c r="AX191" s="127">
        <v>43438.6442104167</v>
      </c>
      <c r="AY191" s="127">
        <v>43437.694959606502</v>
      </c>
      <c r="AZ191" s="133">
        <v>43451.4114616898</v>
      </c>
      <c r="BA191" s="134">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B191" s="135">
        <f>COUNTIFS(_05preva_view43[Site ID],_05preva_view43[[#This Row],[Site ID]],_05preva_view43[Prevalidation Status],"Under Prevalidation")</f>
        <v>0</v>
      </c>
      <c r="BC191" s="157" t="e">
        <f ca="1">HYPERLINK(CheckPath(_05preva_view43[[#This Row],[File Path]],_05preva_view43[[#This Row],[File Path]],_05preva_view43[[#This Row],[Folder Path3]]),CheckPath(_05preva_view43[[#This Row],[File Path]],"Open File","No File"))</f>
        <v>#VALUE!</v>
      </c>
      <c r="BD191" s="136" t="str">
        <f>CONCATENATE(_05preva_view43[[#This Row],[Site ID]]," (",_05preva_view43[[#This Row],[tenant id]],") Application",IF(_05preva_view43[[#This Row],[Colo Rev]]&gt;0," Rev "&amp;_05preva_view43[[#This Row],[Colo Rev]],""),".xlsx")</f>
        <v>1-01-05009-003 (SGG00236) Application Rev 3.xlsx</v>
      </c>
      <c r="BE191" s="64" t="e">
        <f t="shared" ca="1" si="4"/>
        <v>#VALUE!</v>
      </c>
      <c r="BF191" s="104" t="e">
        <f ca="1">LEFT(CELL("filename",A176),_05preva_view43[[#This Row],[Find Process &amp; Database]]-1)</f>
        <v>#VALUE!</v>
      </c>
      <c r="BG191" s="104" t="e">
        <f ca="1">_05preva_view43[Folder Path1]&amp;"Process &amp; Database\Documentation\Colo Applications"</f>
        <v>#VALUE!</v>
      </c>
      <c r="BH191" s="104" t="e">
        <f ca="1">_05preva_view43[Folder Path2]&amp;"\Colo App "&amp;_05preva_view43[[#This Row],[Operator]]&amp;"\"</f>
        <v>#VALUE!</v>
      </c>
      <c r="BI191" s="63" t="e">
        <f ca="1">_05preva_view43[[#This Row],[Folder Path3]]&amp;_05preva_view43[[#This Row],[File Name]]</f>
        <v>#VALUE!</v>
      </c>
      <c r="BJ191" s="104"/>
      <c r="BK191" s="3"/>
      <c r="BL191" s="3"/>
      <c r="CJ191" s="5"/>
      <c r="CK191" s="5"/>
      <c r="CL191" s="3"/>
      <c r="CN191" s="5"/>
      <c r="CR191" s="3"/>
      <c r="CS191" s="3"/>
      <c r="CT191" s="5"/>
      <c r="CV191" s="3"/>
      <c r="DR191" s="5"/>
      <c r="DT191" s="3"/>
      <c r="EF191" s="7"/>
      <c r="EG191" s="7"/>
      <c r="EJ191" s="4"/>
      <c r="EK191" s="4"/>
      <c r="EU191" s="2"/>
      <c r="EV191" s="2"/>
    </row>
    <row r="192" spans="1:152">
      <c r="A192" s="125">
        <v>3453</v>
      </c>
      <c r="B192" s="126" t="s">
        <v>1371</v>
      </c>
      <c r="C192" s="126" t="s">
        <v>331</v>
      </c>
      <c r="D192" s="126" t="s">
        <v>117</v>
      </c>
      <c r="E192" s="126" t="s">
        <v>1372</v>
      </c>
      <c r="F192" s="126" t="s">
        <v>35</v>
      </c>
      <c r="G192" s="126" t="s">
        <v>1583</v>
      </c>
      <c r="H192" s="126" t="s">
        <v>1575</v>
      </c>
      <c r="I192" s="126" t="s">
        <v>1373</v>
      </c>
      <c r="J192" s="126" t="s">
        <v>931</v>
      </c>
      <c r="K192" s="127">
        <v>43434</v>
      </c>
      <c r="L192" s="128">
        <v>1</v>
      </c>
      <c r="M192" s="128">
        <v>1.44</v>
      </c>
      <c r="N192" s="126">
        <v>2.82</v>
      </c>
      <c r="O192" s="126" t="s">
        <v>950</v>
      </c>
      <c r="P192" s="129" t="s">
        <v>958</v>
      </c>
      <c r="Q192" s="129" t="s">
        <v>959</v>
      </c>
      <c r="R192" s="126" t="s">
        <v>24</v>
      </c>
      <c r="S192" s="126"/>
      <c r="T192" s="130" t="s">
        <v>120</v>
      </c>
      <c r="U192" s="126" t="s">
        <v>1264</v>
      </c>
      <c r="V192" s="130" t="s">
        <v>120</v>
      </c>
      <c r="W192" s="126"/>
      <c r="X192" s="130" t="s">
        <v>120</v>
      </c>
      <c r="Y192" s="126" t="s">
        <v>1374</v>
      </c>
      <c r="Z192" s="165" t="s">
        <v>120</v>
      </c>
      <c r="AA192" s="158"/>
      <c r="AB192" s="158"/>
      <c r="AC192" s="170" t="s">
        <v>123</v>
      </c>
      <c r="AD192" s="126" t="s">
        <v>1375</v>
      </c>
      <c r="AE192" s="130" t="s">
        <v>120</v>
      </c>
      <c r="AF192" s="127"/>
      <c r="AG192" s="131"/>
      <c r="AH192" s="131"/>
      <c r="AI192" s="126"/>
      <c r="AJ192" s="130" t="s">
        <v>120</v>
      </c>
      <c r="AK192" s="126" t="s">
        <v>123</v>
      </c>
      <c r="AL192" s="126" t="s">
        <v>1198</v>
      </c>
      <c r="AM192" s="130"/>
      <c r="AN192" s="126"/>
      <c r="AO192" s="132"/>
      <c r="AP192" s="126"/>
      <c r="AQ192" s="126"/>
      <c r="AR192" s="130"/>
      <c r="AS192" s="126"/>
      <c r="AT192" s="127">
        <v>43437.615585879597</v>
      </c>
      <c r="AU192" s="127">
        <v>43439.638374421302</v>
      </c>
      <c r="AV192" s="127">
        <v>43440.7054907407</v>
      </c>
      <c r="AW192" s="127">
        <v>43437.615585879597</v>
      </c>
      <c r="AX192" s="127">
        <v>43438.644190161998</v>
      </c>
      <c r="AY192" s="127">
        <v>43434.674923611099</v>
      </c>
      <c r="AZ192" s="133">
        <v>43441.4197810185</v>
      </c>
      <c r="BA192" s="134">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B192" s="135">
        <f>COUNTIFS(_05preva_view43[Site ID],_05preva_view43[[#This Row],[Site ID]],_05preva_view43[Prevalidation Status],"Under Prevalidation")</f>
        <v>0</v>
      </c>
      <c r="BC192" s="157" t="e">
        <f ca="1">HYPERLINK(CheckPath(_05preva_view43[[#This Row],[File Path]],_05preva_view43[[#This Row],[File Path]],_05preva_view43[[#This Row],[Folder Path3]]),CheckPath(_05preva_view43[[#This Row],[File Path]],"Open File","No File"))</f>
        <v>#VALUE!</v>
      </c>
      <c r="BD192" s="136" t="str">
        <f>CONCATENATE(_05preva_view43[[#This Row],[Site ID]]," (",_05preva_view43[[#This Row],[tenant id]],") Application",IF(_05preva_view43[[#This Row],[Colo Rev]]&gt;0," Rev "&amp;_05preva_view43[[#This Row],[Colo Rev]],""),".xlsx")</f>
        <v>1-01-04002-004 (CHN00147) Application Rev 1.xlsx</v>
      </c>
      <c r="BE192" s="64" t="e">
        <f t="shared" ca="1" si="4"/>
        <v>#VALUE!</v>
      </c>
      <c r="BF192" s="104" t="e">
        <f ca="1">LEFT(CELL("filename",A177),_05preva_view43[[#This Row],[Find Process &amp; Database]]-1)</f>
        <v>#VALUE!</v>
      </c>
      <c r="BG192" s="104" t="e">
        <f ca="1">_05preva_view43[Folder Path1]&amp;"Process &amp; Database\Documentation\Colo Applications"</f>
        <v>#VALUE!</v>
      </c>
      <c r="BH192" s="104" t="e">
        <f ca="1">_05preva_view43[Folder Path2]&amp;"\Colo App "&amp;_05preva_view43[[#This Row],[Operator]]&amp;"\"</f>
        <v>#VALUE!</v>
      </c>
      <c r="BI192" s="63" t="e">
        <f ca="1">_05preva_view43[[#This Row],[Folder Path3]]&amp;_05preva_view43[[#This Row],[File Name]]</f>
        <v>#VALUE!</v>
      </c>
      <c r="BJ192" s="104"/>
      <c r="BK192" s="3"/>
      <c r="BL192" s="3"/>
      <c r="CJ192" s="5"/>
      <c r="CK192" s="5"/>
      <c r="CL192" s="3"/>
      <c r="CN192" s="5"/>
      <c r="CR192" s="3"/>
      <c r="CS192" s="3"/>
      <c r="CT192" s="5"/>
      <c r="CV192" s="3"/>
      <c r="DR192" s="5"/>
      <c r="DT192" s="3"/>
      <c r="EF192" s="7"/>
      <c r="EG192" s="7"/>
      <c r="EJ192" s="4"/>
      <c r="EK192" s="4"/>
      <c r="EU192" s="2"/>
      <c r="EV192" s="2"/>
    </row>
    <row r="193" spans="1:152">
      <c r="A193" s="125">
        <v>3454</v>
      </c>
      <c r="B193" s="126" t="s">
        <v>1376</v>
      </c>
      <c r="C193" s="126" t="s">
        <v>331</v>
      </c>
      <c r="D193" s="126" t="s">
        <v>117</v>
      </c>
      <c r="E193" s="126" t="s">
        <v>1377</v>
      </c>
      <c r="F193" s="126" t="s">
        <v>35</v>
      </c>
      <c r="G193" s="126" t="s">
        <v>1583</v>
      </c>
      <c r="H193" s="126" t="s">
        <v>1575</v>
      </c>
      <c r="I193" s="126" t="s">
        <v>1263</v>
      </c>
      <c r="J193" s="126" t="s">
        <v>949</v>
      </c>
      <c r="K193" s="127">
        <v>43434</v>
      </c>
      <c r="L193" s="128">
        <v>1</v>
      </c>
      <c r="M193" s="128">
        <v>1.4</v>
      </c>
      <c r="N193" s="126">
        <v>3.59</v>
      </c>
      <c r="O193" s="126" t="s">
        <v>950</v>
      </c>
      <c r="P193" s="129" t="s">
        <v>1378</v>
      </c>
      <c r="Q193" s="129" t="s">
        <v>1121</v>
      </c>
      <c r="R193" s="126" t="s">
        <v>24</v>
      </c>
      <c r="S193" s="126"/>
      <c r="T193" s="130" t="s">
        <v>120</v>
      </c>
      <c r="U193" s="126" t="s">
        <v>1264</v>
      </c>
      <c r="V193" s="130" t="s">
        <v>120</v>
      </c>
      <c r="W193" s="126"/>
      <c r="X193" s="130" t="s">
        <v>120</v>
      </c>
      <c r="Y193" s="126" t="s">
        <v>1379</v>
      </c>
      <c r="Z193" s="165" t="s">
        <v>120</v>
      </c>
      <c r="AA193" s="158"/>
      <c r="AB193" s="158"/>
      <c r="AC193" s="170" t="s">
        <v>123</v>
      </c>
      <c r="AD193" s="126" t="s">
        <v>1380</v>
      </c>
      <c r="AE193" s="130" t="s">
        <v>120</v>
      </c>
      <c r="AF193" s="127" t="s">
        <v>1753</v>
      </c>
      <c r="AG193" s="131"/>
      <c r="AH193" s="131"/>
      <c r="AI193" s="126" t="s">
        <v>1381</v>
      </c>
      <c r="AJ193" s="130" t="s">
        <v>120</v>
      </c>
      <c r="AK193" s="126" t="s">
        <v>123</v>
      </c>
      <c r="AL193" s="126" t="s">
        <v>1198</v>
      </c>
      <c r="AM193" s="130"/>
      <c r="AN193" s="126"/>
      <c r="AO193" s="132"/>
      <c r="AP193" s="126"/>
      <c r="AQ193" s="126"/>
      <c r="AR193" s="130"/>
      <c r="AS193" s="126"/>
      <c r="AT193" s="127">
        <v>43437.615589120403</v>
      </c>
      <c r="AU193" s="127">
        <v>43451.370469444402</v>
      </c>
      <c r="AV193" s="127">
        <v>43440.494380439799</v>
      </c>
      <c r="AW193" s="127">
        <v>43437.615589120403</v>
      </c>
      <c r="AX193" s="127">
        <v>43438.644191782398</v>
      </c>
      <c r="AY193" s="127">
        <v>43434.674924305597</v>
      </c>
      <c r="AZ193" s="133">
        <v>43451.411458449104</v>
      </c>
      <c r="BA193" s="134">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B193" s="135">
        <f>COUNTIFS(_05preva_view43[Site ID],_05preva_view43[[#This Row],[Site ID]],_05preva_view43[Prevalidation Status],"Under Prevalidation")</f>
        <v>0</v>
      </c>
      <c r="BC193" s="157" t="e">
        <f ca="1">HYPERLINK(CheckPath(_05preva_view43[[#This Row],[File Path]],_05preva_view43[[#This Row],[File Path]],_05preva_view43[[#This Row],[Folder Path3]]),CheckPath(_05preva_view43[[#This Row],[File Path]],"Open File","No File"))</f>
        <v>#VALUE!</v>
      </c>
      <c r="BD193" s="136" t="str">
        <f>CONCATENATE(_05preva_view43[[#This Row],[Site ID]]," (",_05preva_view43[[#This Row],[tenant id]],") Application",IF(_05preva_view43[[#This Row],[Colo Rev]]&gt;0," Rev "&amp;_05preva_view43[[#This Row],[Colo Rev]],""),".xlsx")</f>
        <v>1-01-08009-002 (MGW00400) Application Rev 2.xlsx</v>
      </c>
      <c r="BE193" s="64" t="e">
        <f t="shared" ca="1" si="4"/>
        <v>#VALUE!</v>
      </c>
      <c r="BF193" s="104" t="e">
        <f ca="1">LEFT(CELL("filename",A178),_05preva_view43[[#This Row],[Find Process &amp; Database]]-1)</f>
        <v>#VALUE!</v>
      </c>
      <c r="BG193" s="104" t="e">
        <f ca="1">_05preva_view43[Folder Path1]&amp;"Process &amp; Database\Documentation\Colo Applications"</f>
        <v>#VALUE!</v>
      </c>
      <c r="BH193" s="104" t="e">
        <f ca="1">_05preva_view43[Folder Path2]&amp;"\Colo App "&amp;_05preva_view43[[#This Row],[Operator]]&amp;"\"</f>
        <v>#VALUE!</v>
      </c>
      <c r="BI193" s="63" t="e">
        <f ca="1">_05preva_view43[[#This Row],[Folder Path3]]&amp;_05preva_view43[[#This Row],[File Name]]</f>
        <v>#VALUE!</v>
      </c>
      <c r="BJ193" s="104"/>
      <c r="BK193" s="3"/>
      <c r="BL193" s="3"/>
      <c r="CJ193" s="5"/>
      <c r="CK193" s="5"/>
      <c r="CL193" s="3"/>
      <c r="CN193" s="5"/>
      <c r="CR193" s="3"/>
      <c r="CS193" s="3"/>
      <c r="CT193" s="5"/>
      <c r="CV193" s="3"/>
      <c r="DR193" s="5"/>
      <c r="DT193" s="3"/>
      <c r="EF193" s="7"/>
      <c r="EG193" s="7"/>
      <c r="EJ193" s="4"/>
      <c r="EK193" s="4"/>
      <c r="EU193" s="2"/>
      <c r="EV193" s="2"/>
    </row>
    <row r="194" spans="1:152">
      <c r="A194" s="125">
        <v>3455</v>
      </c>
      <c r="B194" s="126" t="s">
        <v>1382</v>
      </c>
      <c r="C194" s="126" t="s">
        <v>331</v>
      </c>
      <c r="D194" s="126" t="s">
        <v>117</v>
      </c>
      <c r="E194" s="126" t="s">
        <v>1383</v>
      </c>
      <c r="F194" s="126" t="s">
        <v>35</v>
      </c>
      <c r="G194" s="126" t="s">
        <v>1583</v>
      </c>
      <c r="H194" s="126" t="s">
        <v>1575</v>
      </c>
      <c r="I194" s="126" t="s">
        <v>1263</v>
      </c>
      <c r="J194" s="126" t="s">
        <v>931</v>
      </c>
      <c r="K194" s="127">
        <v>43434</v>
      </c>
      <c r="L194" s="128">
        <v>1</v>
      </c>
      <c r="M194" s="128">
        <v>1.4</v>
      </c>
      <c r="N194" s="126">
        <v>4.29</v>
      </c>
      <c r="O194" s="126" t="s">
        <v>950</v>
      </c>
      <c r="P194" s="129" t="s">
        <v>1062</v>
      </c>
      <c r="Q194" s="129" t="s">
        <v>958</v>
      </c>
      <c r="R194" s="126" t="s">
        <v>24</v>
      </c>
      <c r="S194" s="126"/>
      <c r="T194" s="130" t="s">
        <v>120</v>
      </c>
      <c r="U194" s="126" t="s">
        <v>1264</v>
      </c>
      <c r="V194" s="130" t="s">
        <v>120</v>
      </c>
      <c r="W194" s="126"/>
      <c r="X194" s="130" t="s">
        <v>120</v>
      </c>
      <c r="Y194" s="126" t="s">
        <v>1384</v>
      </c>
      <c r="Z194" s="165" t="s">
        <v>120</v>
      </c>
      <c r="AA194" s="158"/>
      <c r="AB194" s="158"/>
      <c r="AC194" s="170" t="s">
        <v>123</v>
      </c>
      <c r="AD194" s="126" t="s">
        <v>1385</v>
      </c>
      <c r="AE194" s="130" t="s">
        <v>120</v>
      </c>
      <c r="AF194" s="127"/>
      <c r="AG194" s="131"/>
      <c r="AH194" s="131"/>
      <c r="AI194" s="126"/>
      <c r="AJ194" s="130" t="s">
        <v>120</v>
      </c>
      <c r="AK194" s="126" t="s">
        <v>123</v>
      </c>
      <c r="AL194" s="126" t="s">
        <v>1198</v>
      </c>
      <c r="AM194" s="130"/>
      <c r="AN194" s="126"/>
      <c r="AO194" s="132"/>
      <c r="AP194" s="126"/>
      <c r="AQ194" s="126"/>
      <c r="AR194" s="130"/>
      <c r="AS194" s="126"/>
      <c r="AT194" s="127">
        <v>43437.615591898102</v>
      </c>
      <c r="AU194" s="127">
        <v>43440.428031249998</v>
      </c>
      <c r="AV194" s="127">
        <v>43440.494381365701</v>
      </c>
      <c r="AW194" s="127">
        <v>43437.615591898102</v>
      </c>
      <c r="AX194" s="127">
        <v>43438.644192939799</v>
      </c>
      <c r="AY194" s="127">
        <v>43434.6749247685</v>
      </c>
      <c r="AZ194" s="133">
        <v>43441.419782291698</v>
      </c>
      <c r="BA194" s="134">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B194" s="135">
        <f>COUNTIFS(_05preva_view43[Site ID],_05preva_view43[[#This Row],[Site ID]],_05preva_view43[Prevalidation Status],"Under Prevalidation")</f>
        <v>0</v>
      </c>
      <c r="BC194" s="157" t="e">
        <f ca="1">HYPERLINK(CheckPath(_05preva_view43[[#This Row],[File Path]],_05preva_view43[[#This Row],[File Path]],_05preva_view43[[#This Row],[Folder Path3]]),CheckPath(_05preva_view43[[#This Row],[File Path]],"Open File","No File"))</f>
        <v>#VALUE!</v>
      </c>
      <c r="BD194" s="136" t="str">
        <f>CONCATENATE(_05preva_view43[[#This Row],[Site ID]]," (",_05preva_view43[[#This Row],[tenant id]],") Application",IF(_05preva_view43[[#This Row],[Colo Rev]]&gt;0," Rev "&amp;_05preva_view43[[#This Row],[Colo Rev]],""),".xlsx")</f>
        <v>1-01-09017-004 (MGW00413) Application Rev 1.xlsx</v>
      </c>
      <c r="BE194" s="64" t="e">
        <f t="shared" ca="1" si="4"/>
        <v>#VALUE!</v>
      </c>
      <c r="BF194" s="104" t="e">
        <f ca="1">LEFT(CELL("filename",A179),_05preva_view43[[#This Row],[Find Process &amp; Database]]-1)</f>
        <v>#VALUE!</v>
      </c>
      <c r="BG194" s="104" t="e">
        <f ca="1">_05preva_view43[Folder Path1]&amp;"Process &amp; Database\Documentation\Colo Applications"</f>
        <v>#VALUE!</v>
      </c>
      <c r="BH194" s="104" t="e">
        <f ca="1">_05preva_view43[Folder Path2]&amp;"\Colo App "&amp;_05preva_view43[[#This Row],[Operator]]&amp;"\"</f>
        <v>#VALUE!</v>
      </c>
      <c r="BI194" s="63" t="e">
        <f ca="1">_05preva_view43[[#This Row],[Folder Path3]]&amp;_05preva_view43[[#This Row],[File Name]]</f>
        <v>#VALUE!</v>
      </c>
      <c r="BJ194" s="104"/>
      <c r="BK194" s="3"/>
      <c r="BL194" s="3"/>
      <c r="CJ194" s="5"/>
      <c r="CK194" s="5"/>
      <c r="CL194" s="3"/>
      <c r="CN194" s="5"/>
      <c r="CR194" s="3"/>
      <c r="CS194" s="3"/>
      <c r="CT194" s="5"/>
      <c r="CV194" s="3"/>
      <c r="DR194" s="5"/>
      <c r="DT194" s="3"/>
      <c r="EF194" s="7"/>
      <c r="EG194" s="7"/>
      <c r="EJ194" s="4"/>
      <c r="EK194" s="4"/>
      <c r="EU194" s="2"/>
      <c r="EV194" s="2"/>
    </row>
    <row r="195" spans="1:152">
      <c r="A195" s="125">
        <v>3456</v>
      </c>
      <c r="B195" s="126" t="s">
        <v>1261</v>
      </c>
      <c r="C195" s="126" t="s">
        <v>331</v>
      </c>
      <c r="D195" s="126" t="s">
        <v>127</v>
      </c>
      <c r="E195" s="126" t="s">
        <v>1262</v>
      </c>
      <c r="F195" s="126" t="s">
        <v>35</v>
      </c>
      <c r="G195" s="126" t="s">
        <v>1583</v>
      </c>
      <c r="H195" s="126" t="s">
        <v>1575</v>
      </c>
      <c r="I195" s="126" t="s">
        <v>1053</v>
      </c>
      <c r="J195" s="126" t="s">
        <v>949</v>
      </c>
      <c r="K195" s="127">
        <v>43434</v>
      </c>
      <c r="L195" s="128">
        <v>2.0590000000000002</v>
      </c>
      <c r="M195" s="128">
        <v>3.5489999999999999</v>
      </c>
      <c r="N195" s="126">
        <v>5.56</v>
      </c>
      <c r="O195" s="126" t="s">
        <v>950</v>
      </c>
      <c r="P195" s="129" t="s">
        <v>958</v>
      </c>
      <c r="Q195" s="129" t="s">
        <v>959</v>
      </c>
      <c r="R195" s="126" t="s">
        <v>24</v>
      </c>
      <c r="S195" s="126"/>
      <c r="T195" s="130" t="s">
        <v>120</v>
      </c>
      <c r="U195" s="126" t="s">
        <v>1264</v>
      </c>
      <c r="V195" s="130" t="s">
        <v>120</v>
      </c>
      <c r="W195" s="126"/>
      <c r="X195" s="130" t="s">
        <v>120</v>
      </c>
      <c r="Y195" s="126" t="s">
        <v>1386</v>
      </c>
      <c r="Z195" s="165" t="s">
        <v>120</v>
      </c>
      <c r="AA195" s="158"/>
      <c r="AB195" s="158"/>
      <c r="AC195" s="170" t="s">
        <v>123</v>
      </c>
      <c r="AD195" s="126" t="s">
        <v>1387</v>
      </c>
      <c r="AE195" s="130" t="s">
        <v>120</v>
      </c>
      <c r="AF195" s="127" t="s">
        <v>1388</v>
      </c>
      <c r="AG195" s="131"/>
      <c r="AH195" s="131"/>
      <c r="AI195" s="126" t="s">
        <v>1389</v>
      </c>
      <c r="AJ195" s="130" t="s">
        <v>120</v>
      </c>
      <c r="AK195" s="126" t="s">
        <v>123</v>
      </c>
      <c r="AL195" s="126" t="s">
        <v>1198</v>
      </c>
      <c r="AM195" s="130"/>
      <c r="AN195" s="126"/>
      <c r="AO195" s="132"/>
      <c r="AP195" s="126"/>
      <c r="AQ195" s="126"/>
      <c r="AR195" s="130"/>
      <c r="AS195" s="126"/>
      <c r="AT195" s="127">
        <v>43437.615594328701</v>
      </c>
      <c r="AU195" s="127">
        <v>43440.428033449098</v>
      </c>
      <c r="AV195" s="127">
        <v>43440.7054929398</v>
      </c>
      <c r="AW195" s="127">
        <v>43437.615594328701</v>
      </c>
      <c r="AX195" s="127">
        <v>43438.644194675901</v>
      </c>
      <c r="AY195" s="127">
        <v>43434.674926041698</v>
      </c>
      <c r="AZ195" s="133">
        <v>43441.4197829861</v>
      </c>
      <c r="BA195" s="134">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B195" s="135">
        <f>COUNTIFS(_05preva_view43[Site ID],_05preva_view43[[#This Row],[Site ID]],_05preva_view43[Prevalidation Status],"Under Prevalidation")</f>
        <v>0</v>
      </c>
      <c r="BC195" s="157" t="e">
        <f ca="1">HYPERLINK(CheckPath(_05preva_view43[[#This Row],[File Path]],_05preva_view43[[#This Row],[File Path]],_05preva_view43[[#This Row],[Folder Path3]]),CheckPath(_05preva_view43[[#This Row],[File Path]],"Open File","No File"))</f>
        <v>#VALUE!</v>
      </c>
      <c r="BD195" s="136" t="str">
        <f>CONCATENATE(_05preva_view43[[#This Row],[Site ID]]," (",_05preva_view43[[#This Row],[tenant id]],") Application",IF(_05preva_view43[[#This Row],[Colo Rev]]&gt;0," Rev "&amp;_05preva_view43[[#This Row],[Colo Rev]],""),".xlsx")</f>
        <v>1-01-05010-002 (SGG00209) Application Rev 2.xlsx</v>
      </c>
      <c r="BE195" s="64" t="e">
        <f t="shared" ca="1" si="4"/>
        <v>#VALUE!</v>
      </c>
      <c r="BF195" s="104" t="e">
        <f ca="1">LEFT(CELL("filename",A180),_05preva_view43[[#This Row],[Find Process &amp; Database]]-1)</f>
        <v>#VALUE!</v>
      </c>
      <c r="BG195" s="104" t="e">
        <f ca="1">_05preva_view43[Folder Path1]&amp;"Process &amp; Database\Documentation\Colo Applications"</f>
        <v>#VALUE!</v>
      </c>
      <c r="BH195" s="104" t="e">
        <f ca="1">_05preva_view43[Folder Path2]&amp;"\Colo App "&amp;_05preva_view43[[#This Row],[Operator]]&amp;"\"</f>
        <v>#VALUE!</v>
      </c>
      <c r="BI195" s="63" t="e">
        <f ca="1">_05preva_view43[[#This Row],[Folder Path3]]&amp;_05preva_view43[[#This Row],[File Name]]</f>
        <v>#VALUE!</v>
      </c>
      <c r="BJ195" s="104"/>
      <c r="BK195" s="3"/>
      <c r="BL195" s="3"/>
      <c r="CJ195" s="5"/>
      <c r="CK195" s="5"/>
      <c r="CL195" s="3"/>
      <c r="CN195" s="5"/>
      <c r="CR195" s="3"/>
      <c r="CS195" s="3"/>
      <c r="CT195" s="5"/>
      <c r="CV195" s="3"/>
      <c r="DR195" s="5"/>
      <c r="DT195" s="3"/>
      <c r="EF195" s="7"/>
      <c r="EG195" s="7"/>
      <c r="EJ195" s="4"/>
      <c r="EK195" s="4"/>
      <c r="EU195" s="2"/>
      <c r="EV195" s="2"/>
    </row>
    <row r="196" spans="1:152">
      <c r="A196" s="125">
        <v>3457</v>
      </c>
      <c r="B196" s="126" t="s">
        <v>1390</v>
      </c>
      <c r="C196" s="126" t="s">
        <v>331</v>
      </c>
      <c r="D196" s="126" t="s">
        <v>127</v>
      </c>
      <c r="E196" s="126" t="s">
        <v>1391</v>
      </c>
      <c r="F196" s="126" t="s">
        <v>35</v>
      </c>
      <c r="G196" s="126" t="s">
        <v>1583</v>
      </c>
      <c r="H196" s="126" t="s">
        <v>1575</v>
      </c>
      <c r="I196" s="126" t="s">
        <v>1263</v>
      </c>
      <c r="J196" s="126" t="s">
        <v>949</v>
      </c>
      <c r="K196" s="127">
        <v>43434</v>
      </c>
      <c r="L196" s="128">
        <v>1</v>
      </c>
      <c r="M196" s="128">
        <v>1.462</v>
      </c>
      <c r="N196" s="126">
        <v>4.24</v>
      </c>
      <c r="O196" s="126" t="s">
        <v>950</v>
      </c>
      <c r="P196" s="129" t="s">
        <v>958</v>
      </c>
      <c r="Q196" s="129" t="s">
        <v>959</v>
      </c>
      <c r="R196" s="126" t="s">
        <v>24</v>
      </c>
      <c r="S196" s="126"/>
      <c r="T196" s="130" t="s">
        <v>120</v>
      </c>
      <c r="U196" s="126" t="s">
        <v>1264</v>
      </c>
      <c r="V196" s="130" t="s">
        <v>120</v>
      </c>
      <c r="W196" s="126"/>
      <c r="X196" s="130" t="s">
        <v>120</v>
      </c>
      <c r="Y196" s="126" t="s">
        <v>1392</v>
      </c>
      <c r="Z196" s="165" t="s">
        <v>120</v>
      </c>
      <c r="AA196" s="158"/>
      <c r="AB196" s="158"/>
      <c r="AC196" s="170" t="s">
        <v>123</v>
      </c>
      <c r="AD196" s="126" t="s">
        <v>1393</v>
      </c>
      <c r="AE196" s="130" t="s">
        <v>120</v>
      </c>
      <c r="AF196" s="127"/>
      <c r="AG196" s="131"/>
      <c r="AH196" s="131"/>
      <c r="AI196" s="126"/>
      <c r="AJ196" s="130" t="s">
        <v>120</v>
      </c>
      <c r="AK196" s="126" t="s">
        <v>123</v>
      </c>
      <c r="AL196" s="126" t="s">
        <v>1198</v>
      </c>
      <c r="AM196" s="130"/>
      <c r="AN196" s="126"/>
      <c r="AO196" s="132"/>
      <c r="AP196" s="126"/>
      <c r="AQ196" s="126"/>
      <c r="AR196" s="130"/>
      <c r="AS196" s="126"/>
      <c r="AT196" s="127">
        <v>43437.615600231497</v>
      </c>
      <c r="AU196" s="127">
        <v>43440.687456481501</v>
      </c>
      <c r="AV196" s="127">
        <v>43440.705493865702</v>
      </c>
      <c r="AW196" s="127">
        <v>43437.615600231497</v>
      </c>
      <c r="AX196" s="127">
        <v>43438.644195254601</v>
      </c>
      <c r="AY196" s="127">
        <v>43434.674927083302</v>
      </c>
      <c r="AZ196" s="133">
        <v>43441.419783912002</v>
      </c>
      <c r="BA196" s="134">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B196" s="135">
        <f>COUNTIFS(_05preva_view43[Site ID],_05preva_view43[[#This Row],[Site ID]],_05preva_view43[Prevalidation Status],"Under Prevalidation")</f>
        <v>0</v>
      </c>
      <c r="BC196" s="157" t="e">
        <f ca="1">HYPERLINK(CheckPath(_05preva_view43[[#This Row],[File Path]],_05preva_view43[[#This Row],[File Path]],_05preva_view43[[#This Row],[Folder Path3]]),CheckPath(_05preva_view43[[#This Row],[File Path]],"Open File","No File"))</f>
        <v>#VALUE!</v>
      </c>
      <c r="BD196" s="136" t="str">
        <f>CONCATENATE(_05preva_view43[[#This Row],[Site ID]]," (",_05preva_view43[[#This Row],[tenant id]],") Application",IF(_05preva_view43[[#This Row],[Colo Rev]]&gt;0," Rev "&amp;_05preva_view43[[#This Row],[Colo Rev]],""),".xlsx")</f>
        <v>1-01-05005-002 (SGG00219) Application Rev 2.xlsx</v>
      </c>
      <c r="BE196" s="64" t="e">
        <f t="shared" ca="1" si="4"/>
        <v>#VALUE!</v>
      </c>
      <c r="BF196" s="104" t="e">
        <f ca="1">LEFT(CELL("filename",A181),_05preva_view43[[#This Row],[Find Process &amp; Database]]-1)</f>
        <v>#VALUE!</v>
      </c>
      <c r="BG196" s="104" t="e">
        <f ca="1">_05preva_view43[Folder Path1]&amp;"Process &amp; Database\Documentation\Colo Applications"</f>
        <v>#VALUE!</v>
      </c>
      <c r="BH196" s="104" t="e">
        <f ca="1">_05preva_view43[Folder Path2]&amp;"\Colo App "&amp;_05preva_view43[[#This Row],[Operator]]&amp;"\"</f>
        <v>#VALUE!</v>
      </c>
      <c r="BI196" s="63" t="e">
        <f ca="1">_05preva_view43[[#This Row],[Folder Path3]]&amp;_05preva_view43[[#This Row],[File Name]]</f>
        <v>#VALUE!</v>
      </c>
      <c r="BJ196" s="104"/>
      <c r="BK196" s="3"/>
      <c r="BL196" s="3"/>
      <c r="CJ196" s="5"/>
      <c r="CK196" s="5"/>
      <c r="CL196" s="3"/>
      <c r="CN196" s="5"/>
      <c r="CR196" s="3"/>
      <c r="CS196" s="3"/>
      <c r="CT196" s="5"/>
      <c r="CV196" s="3"/>
      <c r="DR196" s="5"/>
      <c r="DT196" s="3"/>
      <c r="EF196" s="7"/>
      <c r="EG196" s="7"/>
      <c r="EJ196" s="4"/>
      <c r="EK196" s="4"/>
      <c r="EU196" s="2"/>
      <c r="EV196" s="2"/>
    </row>
    <row r="197" spans="1:152">
      <c r="A197" s="125">
        <v>3458</v>
      </c>
      <c r="B197" s="126" t="s">
        <v>1268</v>
      </c>
      <c r="C197" s="126" t="s">
        <v>331</v>
      </c>
      <c r="D197" s="126" t="s">
        <v>127</v>
      </c>
      <c r="E197" s="126" t="s">
        <v>1269</v>
      </c>
      <c r="F197" s="126" t="s">
        <v>35</v>
      </c>
      <c r="G197" s="126" t="s">
        <v>1583</v>
      </c>
      <c r="H197" s="126" t="s">
        <v>1575</v>
      </c>
      <c r="I197" s="126" t="s">
        <v>1053</v>
      </c>
      <c r="J197" s="126" t="s">
        <v>990</v>
      </c>
      <c r="K197" s="127">
        <v>43434</v>
      </c>
      <c r="L197" s="128">
        <v>2.0590000000000002</v>
      </c>
      <c r="M197" s="128">
        <v>3.649</v>
      </c>
      <c r="N197" s="126">
        <v>11.26</v>
      </c>
      <c r="O197" s="126" t="s">
        <v>950</v>
      </c>
      <c r="P197" s="129" t="s">
        <v>1270</v>
      </c>
      <c r="Q197" s="129" t="s">
        <v>1271</v>
      </c>
      <c r="R197" s="126" t="s">
        <v>24</v>
      </c>
      <c r="S197" s="126"/>
      <c r="T197" s="130" t="s">
        <v>120</v>
      </c>
      <c r="U197" s="126" t="s">
        <v>1264</v>
      </c>
      <c r="V197" s="130" t="s">
        <v>120</v>
      </c>
      <c r="W197" s="126"/>
      <c r="X197" s="130" t="s">
        <v>120</v>
      </c>
      <c r="Y197" s="126" t="s">
        <v>1394</v>
      </c>
      <c r="Z197" s="165" t="s">
        <v>120</v>
      </c>
      <c r="AA197" s="158"/>
      <c r="AB197" s="158"/>
      <c r="AC197" s="170" t="s">
        <v>123</v>
      </c>
      <c r="AD197" s="126" t="s">
        <v>1395</v>
      </c>
      <c r="AE197" s="130" t="s">
        <v>120</v>
      </c>
      <c r="AF197" s="127" t="s">
        <v>1388</v>
      </c>
      <c r="AG197" s="131">
        <v>2.5</v>
      </c>
      <c r="AH197" s="131"/>
      <c r="AI197" s="126" t="s">
        <v>1396</v>
      </c>
      <c r="AJ197" s="130" t="s">
        <v>120</v>
      </c>
      <c r="AK197" s="126" t="s">
        <v>123</v>
      </c>
      <c r="AL197" s="126" t="s">
        <v>1198</v>
      </c>
      <c r="AM197" s="130"/>
      <c r="AN197" s="126"/>
      <c r="AO197" s="132"/>
      <c r="AP197" s="126"/>
      <c r="AQ197" s="126"/>
      <c r="AR197" s="130"/>
      <c r="AS197" s="126"/>
      <c r="AT197" s="127">
        <v>43437.615603009297</v>
      </c>
      <c r="AU197" s="127">
        <v>43440.687457523098</v>
      </c>
      <c r="AV197" s="127">
        <v>43439.707483680599</v>
      </c>
      <c r="AW197" s="127">
        <v>43437.615603009297</v>
      </c>
      <c r="AX197" s="127">
        <v>43438.644195949099</v>
      </c>
      <c r="AY197" s="127">
        <v>43434.6749283565</v>
      </c>
      <c r="AZ197" s="133">
        <v>43441.4197846065</v>
      </c>
      <c r="BA197" s="134">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B197" s="135">
        <f>COUNTIFS(_05preva_view43[Site ID],_05preva_view43[[#This Row],[Site ID]],_05preva_view43[Prevalidation Status],"Under Prevalidation")</f>
        <v>0</v>
      </c>
      <c r="BC197" s="157" t="e">
        <f ca="1">HYPERLINK(CheckPath(_05preva_view43[[#This Row],[File Path]],_05preva_view43[[#This Row],[File Path]],_05preva_view43[[#This Row],[Folder Path3]]),CheckPath(_05preva_view43[[#This Row],[File Path]],"Open File","No File"))</f>
        <v>#VALUE!</v>
      </c>
      <c r="BD197" s="136" t="str">
        <f>CONCATENATE(_05preva_view43[[#This Row],[Site ID]]," (",_05preva_view43[[#This Row],[tenant id]],") Application",IF(_05preva_view43[[#This Row],[Colo Rev]]&gt;0," Rev "&amp;_05preva_view43[[#This Row],[Colo Rev]],""),".xlsx")</f>
        <v>1-01-05010-006 (SGG00232) Application Rev 3.xlsx</v>
      </c>
      <c r="BE197" s="64" t="e">
        <f t="shared" ca="1" si="4"/>
        <v>#VALUE!</v>
      </c>
      <c r="BF197" s="104" t="e">
        <f ca="1">LEFT(CELL("filename",A182),_05preva_view43[[#This Row],[Find Process &amp; Database]]-1)</f>
        <v>#VALUE!</v>
      </c>
      <c r="BG197" s="104" t="e">
        <f ca="1">_05preva_view43[Folder Path1]&amp;"Process &amp; Database\Documentation\Colo Applications"</f>
        <v>#VALUE!</v>
      </c>
      <c r="BH197" s="104" t="e">
        <f ca="1">_05preva_view43[Folder Path2]&amp;"\Colo App "&amp;_05preva_view43[[#This Row],[Operator]]&amp;"\"</f>
        <v>#VALUE!</v>
      </c>
      <c r="BI197" s="63" t="e">
        <f ca="1">_05preva_view43[[#This Row],[Folder Path3]]&amp;_05preva_view43[[#This Row],[File Name]]</f>
        <v>#VALUE!</v>
      </c>
      <c r="BJ197" s="104"/>
      <c r="BK197" s="3"/>
      <c r="BL197" s="3"/>
      <c r="CJ197" s="5"/>
      <c r="CK197" s="5"/>
      <c r="CL197" s="3"/>
      <c r="CN197" s="5"/>
      <c r="CR197" s="3"/>
      <c r="CS197" s="3"/>
      <c r="CT197" s="5"/>
      <c r="CV197" s="3"/>
      <c r="DR197" s="5"/>
      <c r="DT197" s="3"/>
      <c r="EF197" s="7"/>
      <c r="EG197" s="7"/>
      <c r="EJ197" s="4"/>
      <c r="EK197" s="4"/>
      <c r="EU197" s="2"/>
      <c r="EV197" s="2"/>
    </row>
    <row r="198" spans="1:152">
      <c r="A198" s="125">
        <v>3459</v>
      </c>
      <c r="B198" s="126" t="s">
        <v>1397</v>
      </c>
      <c r="C198" s="126" t="s">
        <v>331</v>
      </c>
      <c r="D198" s="126" t="s">
        <v>127</v>
      </c>
      <c r="E198" s="126" t="s">
        <v>1398</v>
      </c>
      <c r="F198" s="126" t="s">
        <v>35</v>
      </c>
      <c r="G198" s="126" t="s">
        <v>1583</v>
      </c>
      <c r="H198" s="126" t="s">
        <v>1575</v>
      </c>
      <c r="I198" s="126" t="s">
        <v>1263</v>
      </c>
      <c r="J198" s="126" t="s">
        <v>949</v>
      </c>
      <c r="K198" s="127">
        <v>43434</v>
      </c>
      <c r="L198" s="128">
        <v>1</v>
      </c>
      <c r="M198" s="128">
        <v>1.4</v>
      </c>
      <c r="N198" s="126">
        <v>3.56</v>
      </c>
      <c r="O198" s="126" t="s">
        <v>950</v>
      </c>
      <c r="P198" s="129" t="s">
        <v>958</v>
      </c>
      <c r="Q198" s="129" t="s">
        <v>959</v>
      </c>
      <c r="R198" s="126" t="s">
        <v>24</v>
      </c>
      <c r="S198" s="126"/>
      <c r="T198" s="130" t="s">
        <v>120</v>
      </c>
      <c r="U198" s="126" t="s">
        <v>1264</v>
      </c>
      <c r="V198" s="130" t="s">
        <v>120</v>
      </c>
      <c r="W198" s="126"/>
      <c r="X198" s="130" t="s">
        <v>120</v>
      </c>
      <c r="Y198" s="126" t="s">
        <v>1399</v>
      </c>
      <c r="Z198" s="165" t="s">
        <v>120</v>
      </c>
      <c r="AA198" s="158"/>
      <c r="AB198" s="158"/>
      <c r="AC198" s="170" t="s">
        <v>123</v>
      </c>
      <c r="AD198" s="126" t="s">
        <v>1400</v>
      </c>
      <c r="AE198" s="130" t="s">
        <v>120</v>
      </c>
      <c r="AF198" s="127"/>
      <c r="AG198" s="131"/>
      <c r="AH198" s="131"/>
      <c r="AI198" s="126"/>
      <c r="AJ198" s="130" t="s">
        <v>120</v>
      </c>
      <c r="AK198" s="126" t="s">
        <v>123</v>
      </c>
      <c r="AL198" s="126" t="s">
        <v>1198</v>
      </c>
      <c r="AM198" s="130"/>
      <c r="AN198" s="126"/>
      <c r="AO198" s="132"/>
      <c r="AP198" s="126"/>
      <c r="AQ198" s="126"/>
      <c r="AR198" s="130"/>
      <c r="AS198" s="126"/>
      <c r="AT198" s="127">
        <v>43437.615606250001</v>
      </c>
      <c r="AU198" s="127">
        <v>43440.687459606503</v>
      </c>
      <c r="AV198" s="127">
        <v>43439.707484722203</v>
      </c>
      <c r="AW198" s="127">
        <v>43437.615606250001</v>
      </c>
      <c r="AX198" s="127">
        <v>43438.644197222202</v>
      </c>
      <c r="AY198" s="127">
        <v>43434.674929398097</v>
      </c>
      <c r="AZ198" s="133">
        <v>43441.419785532402</v>
      </c>
      <c r="BA198" s="134">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B198" s="135">
        <f>COUNTIFS(_05preva_view43[Site ID],_05preva_view43[[#This Row],[Site ID]],_05preva_view43[Prevalidation Status],"Under Prevalidation")</f>
        <v>0</v>
      </c>
      <c r="BC198" s="157" t="e">
        <f ca="1">HYPERLINK(CheckPath(_05preva_view43[[#This Row],[File Path]],_05preva_view43[[#This Row],[File Path]],_05preva_view43[[#This Row],[Folder Path3]]),CheckPath(_05preva_view43[[#This Row],[File Path]],"Open File","No File"))</f>
        <v>#VALUE!</v>
      </c>
      <c r="BD198" s="136" t="str">
        <f>CONCATENATE(_05preva_view43[[#This Row],[Site ID]]," (",_05preva_view43[[#This Row],[tenant id]],") Application",IF(_05preva_view43[[#This Row],[Colo Rev]]&gt;0," Rev "&amp;_05preva_view43[[#This Row],[Colo Rev]],""),".xlsx")</f>
        <v>1-01-05007-006 (SGG00780) Application Rev 2.xlsx</v>
      </c>
      <c r="BE198" s="64" t="e">
        <f t="shared" ca="1" si="4"/>
        <v>#VALUE!</v>
      </c>
      <c r="BF198" s="104" t="e">
        <f ca="1">LEFT(CELL("filename",A183),_05preva_view43[[#This Row],[Find Process &amp; Database]]-1)</f>
        <v>#VALUE!</v>
      </c>
      <c r="BG198" s="104" t="e">
        <f ca="1">_05preva_view43[Folder Path1]&amp;"Process &amp; Database\Documentation\Colo Applications"</f>
        <v>#VALUE!</v>
      </c>
      <c r="BH198" s="104" t="e">
        <f ca="1">_05preva_view43[Folder Path2]&amp;"\Colo App "&amp;_05preva_view43[[#This Row],[Operator]]&amp;"\"</f>
        <v>#VALUE!</v>
      </c>
      <c r="BI198" s="63" t="e">
        <f ca="1">_05preva_view43[[#This Row],[Folder Path3]]&amp;_05preva_view43[[#This Row],[File Name]]</f>
        <v>#VALUE!</v>
      </c>
      <c r="BJ198" s="104"/>
      <c r="BK198" s="3"/>
      <c r="BL198" s="3"/>
      <c r="CJ198" s="5"/>
      <c r="CK198" s="5"/>
      <c r="CL198" s="3"/>
      <c r="CN198" s="5"/>
      <c r="CR198" s="3"/>
      <c r="CS198" s="3"/>
      <c r="CT198" s="5"/>
      <c r="CV198" s="3"/>
      <c r="DR198" s="5"/>
      <c r="DT198" s="3"/>
      <c r="EF198" s="7"/>
      <c r="EG198" s="7"/>
      <c r="EJ198" s="4"/>
      <c r="EK198" s="4"/>
      <c r="EU198" s="2"/>
      <c r="EV198" s="2"/>
    </row>
    <row r="199" spans="1:152">
      <c r="A199" s="125">
        <v>3460</v>
      </c>
      <c r="B199" s="126" t="s">
        <v>1401</v>
      </c>
      <c r="C199" s="126" t="s">
        <v>331</v>
      </c>
      <c r="D199" s="126" t="s">
        <v>127</v>
      </c>
      <c r="E199" s="126" t="s">
        <v>1402</v>
      </c>
      <c r="F199" s="126" t="s">
        <v>35</v>
      </c>
      <c r="G199" s="126" t="s">
        <v>1583</v>
      </c>
      <c r="H199" s="126" t="s">
        <v>1575</v>
      </c>
      <c r="I199" s="126" t="s">
        <v>1263</v>
      </c>
      <c r="J199" s="126" t="s">
        <v>990</v>
      </c>
      <c r="K199" s="127">
        <v>43434</v>
      </c>
      <c r="L199" s="128">
        <v>1</v>
      </c>
      <c r="M199" s="128">
        <v>1.462</v>
      </c>
      <c r="N199" s="126">
        <v>3.56</v>
      </c>
      <c r="O199" s="126" t="s">
        <v>950</v>
      </c>
      <c r="P199" s="129" t="s">
        <v>1275</v>
      </c>
      <c r="Q199" s="129" t="s">
        <v>1276</v>
      </c>
      <c r="R199" s="126" t="s">
        <v>24</v>
      </c>
      <c r="S199" s="126"/>
      <c r="T199" s="130" t="s">
        <v>120</v>
      </c>
      <c r="U199" s="126" t="s">
        <v>1264</v>
      </c>
      <c r="V199" s="130" t="s">
        <v>120</v>
      </c>
      <c r="W199" s="126"/>
      <c r="X199" s="130" t="s">
        <v>120</v>
      </c>
      <c r="Y199" s="126" t="s">
        <v>1403</v>
      </c>
      <c r="Z199" s="165" t="s">
        <v>120</v>
      </c>
      <c r="AA199" s="158"/>
      <c r="AB199" s="158"/>
      <c r="AC199" s="170" t="s">
        <v>123</v>
      </c>
      <c r="AD199" s="126" t="s">
        <v>1404</v>
      </c>
      <c r="AE199" s="130" t="s">
        <v>120</v>
      </c>
      <c r="AF199" s="127" t="s">
        <v>1731</v>
      </c>
      <c r="AG199" s="131"/>
      <c r="AH199" s="131"/>
      <c r="AI199" s="126" t="s">
        <v>1405</v>
      </c>
      <c r="AJ199" s="130" t="s">
        <v>120</v>
      </c>
      <c r="AK199" s="126" t="s">
        <v>123</v>
      </c>
      <c r="AL199" s="126" t="s">
        <v>1198</v>
      </c>
      <c r="AM199" s="130"/>
      <c r="AN199" s="126"/>
      <c r="AO199" s="132"/>
      <c r="AP199" s="126"/>
      <c r="AQ199" s="126"/>
      <c r="AR199" s="130"/>
      <c r="AS199" s="126"/>
      <c r="AT199" s="127">
        <v>43437.615609375003</v>
      </c>
      <c r="AU199" s="127">
        <v>43451.370470833303</v>
      </c>
      <c r="AV199" s="127">
        <v>43439.707486226798</v>
      </c>
      <c r="AW199" s="127">
        <v>43437.615609375003</v>
      </c>
      <c r="AX199" s="127">
        <v>43438.644197916699</v>
      </c>
      <c r="AY199" s="127">
        <v>43434.6749305556</v>
      </c>
      <c r="AZ199" s="133">
        <v>43451.411459259303</v>
      </c>
      <c r="BA199" s="134">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B199" s="135">
        <f>COUNTIFS(_05preva_view43[Site ID],_05preva_view43[[#This Row],[Site ID]],_05preva_view43[Prevalidation Status],"Under Prevalidation")</f>
        <v>0</v>
      </c>
      <c r="BC199" s="157" t="e">
        <f ca="1">HYPERLINK(CheckPath(_05preva_view43[[#This Row],[File Path]],_05preva_view43[[#This Row],[File Path]],_05preva_view43[[#This Row],[Folder Path3]]),CheckPath(_05preva_view43[[#This Row],[File Path]],"Open File","No File"))</f>
        <v>#VALUE!</v>
      </c>
      <c r="BD199" s="136" t="str">
        <f>CONCATENATE(_05preva_view43[[#This Row],[Site ID]]," (",_05preva_view43[[#This Row],[tenant id]],") Application",IF(_05preva_view43[[#This Row],[Colo Rev]]&gt;0," Rev "&amp;_05preva_view43[[#This Row],[Colo Rev]],""),".xlsx")</f>
        <v>1-01-15009-006 (SHN00051) Application Rev 3.xlsx</v>
      </c>
      <c r="BE199" s="64" t="e">
        <f t="shared" ca="1" si="4"/>
        <v>#VALUE!</v>
      </c>
      <c r="BF199" s="104" t="e">
        <f ca="1">LEFT(CELL("filename",A184),_05preva_view43[[#This Row],[Find Process &amp; Database]]-1)</f>
        <v>#VALUE!</v>
      </c>
      <c r="BG199" s="104" t="e">
        <f ca="1">_05preva_view43[Folder Path1]&amp;"Process &amp; Database\Documentation\Colo Applications"</f>
        <v>#VALUE!</v>
      </c>
      <c r="BH199" s="104" t="e">
        <f ca="1">_05preva_view43[Folder Path2]&amp;"\Colo App "&amp;_05preva_view43[[#This Row],[Operator]]&amp;"\"</f>
        <v>#VALUE!</v>
      </c>
      <c r="BI199" s="63" t="e">
        <f ca="1">_05preva_view43[[#This Row],[Folder Path3]]&amp;_05preva_view43[[#This Row],[File Name]]</f>
        <v>#VALUE!</v>
      </c>
      <c r="BJ199" s="104"/>
      <c r="BK199" s="3"/>
      <c r="BL199" s="3"/>
      <c r="CJ199" s="5"/>
      <c r="CK199" s="5"/>
      <c r="CL199" s="3"/>
      <c r="CN199" s="5"/>
      <c r="CR199" s="3"/>
      <c r="CS199" s="3"/>
      <c r="CT199" s="5"/>
      <c r="CV199" s="3"/>
      <c r="DR199" s="5"/>
      <c r="DT199" s="3"/>
      <c r="EF199" s="7"/>
      <c r="EG199" s="7"/>
      <c r="EJ199" s="4"/>
      <c r="EK199" s="4"/>
      <c r="EU199" s="2"/>
      <c r="EV199" s="2"/>
    </row>
    <row r="200" spans="1:152">
      <c r="A200" s="125">
        <v>3461</v>
      </c>
      <c r="B200" s="126" t="s">
        <v>1406</v>
      </c>
      <c r="C200" s="126" t="s">
        <v>331</v>
      </c>
      <c r="D200" s="126" t="s">
        <v>127</v>
      </c>
      <c r="E200" s="126" t="s">
        <v>1407</v>
      </c>
      <c r="F200" s="126" t="s">
        <v>35</v>
      </c>
      <c r="G200" s="126" t="s">
        <v>1583</v>
      </c>
      <c r="H200" s="126" t="s">
        <v>1575</v>
      </c>
      <c r="I200" s="126" t="s">
        <v>1263</v>
      </c>
      <c r="J200" s="126" t="s">
        <v>990</v>
      </c>
      <c r="K200" s="127">
        <v>43434</v>
      </c>
      <c r="L200" s="128">
        <v>1</v>
      </c>
      <c r="M200" s="128">
        <v>1.462</v>
      </c>
      <c r="N200" s="126">
        <v>4.1900000000000004</v>
      </c>
      <c r="O200" s="126" t="s">
        <v>950</v>
      </c>
      <c r="P200" s="129" t="s">
        <v>1071</v>
      </c>
      <c r="Q200" s="129" t="s">
        <v>1072</v>
      </c>
      <c r="R200" s="126" t="s">
        <v>24</v>
      </c>
      <c r="S200" s="126"/>
      <c r="T200" s="130" t="s">
        <v>120</v>
      </c>
      <c r="U200" s="126" t="s">
        <v>1264</v>
      </c>
      <c r="V200" s="130" t="s">
        <v>120</v>
      </c>
      <c r="W200" s="126"/>
      <c r="X200" s="130" t="s">
        <v>120</v>
      </c>
      <c r="Y200" s="126" t="s">
        <v>1408</v>
      </c>
      <c r="Z200" s="165" t="s">
        <v>120</v>
      </c>
      <c r="AA200" s="158"/>
      <c r="AB200" s="158"/>
      <c r="AC200" s="170" t="s">
        <v>123</v>
      </c>
      <c r="AD200" s="126" t="s">
        <v>1409</v>
      </c>
      <c r="AE200" s="130" t="s">
        <v>120</v>
      </c>
      <c r="AF200" s="127" t="s">
        <v>1388</v>
      </c>
      <c r="AG200" s="131"/>
      <c r="AH200" s="131"/>
      <c r="AI200" s="126"/>
      <c r="AJ200" s="130" t="s">
        <v>120</v>
      </c>
      <c r="AK200" s="126" t="s">
        <v>123</v>
      </c>
      <c r="AL200" s="126" t="s">
        <v>1198</v>
      </c>
      <c r="AM200" s="130"/>
      <c r="AN200" s="126"/>
      <c r="AO200" s="132"/>
      <c r="AP200" s="126"/>
      <c r="AQ200" s="126"/>
      <c r="AR200" s="130"/>
      <c r="AS200" s="126"/>
      <c r="AT200" s="127">
        <v>43437.615612152797</v>
      </c>
      <c r="AU200" s="127">
        <v>43440.6874626157</v>
      </c>
      <c r="AV200" s="127">
        <v>43440.494384375001</v>
      </c>
      <c r="AW200" s="127">
        <v>43437.615612152797</v>
      </c>
      <c r="AX200" s="127">
        <v>43438.6441984954</v>
      </c>
      <c r="AY200" s="127">
        <v>43434.674931713002</v>
      </c>
      <c r="AZ200" s="133">
        <v>43441.419787268504</v>
      </c>
      <c r="BA200" s="134">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B200" s="135">
        <f>COUNTIFS(_05preva_view43[Site ID],_05preva_view43[[#This Row],[Site ID]],_05preva_view43[Prevalidation Status],"Under Prevalidation")</f>
        <v>0</v>
      </c>
      <c r="BC200" s="157" t="e">
        <f ca="1">HYPERLINK(CheckPath(_05preva_view43[[#This Row],[File Path]],_05preva_view43[[#This Row],[File Path]],_05preva_view43[[#This Row],[Folder Path3]]),CheckPath(_05preva_view43[[#This Row],[File Path]],"Open File","No File"))</f>
        <v>#VALUE!</v>
      </c>
      <c r="BD200" s="136" t="str">
        <f>CONCATENATE(_05preva_view43[[#This Row],[Site ID]]," (",_05preva_view43[[#This Row],[tenant id]],") Application",IF(_05preva_view43[[#This Row],[Colo Rev]]&gt;0," Rev "&amp;_05preva_view43[[#This Row],[Colo Rev]],""),".xlsx")</f>
        <v>1-01-15012-004 (SHN00053) Application Rev 3.xlsx</v>
      </c>
      <c r="BE200" s="64" t="e">
        <f t="shared" ca="1" si="4"/>
        <v>#VALUE!</v>
      </c>
      <c r="BF200" s="104" t="e">
        <f ca="1">LEFT(CELL("filename",A185),_05preva_view43[[#This Row],[Find Process &amp; Database]]-1)</f>
        <v>#VALUE!</v>
      </c>
      <c r="BG200" s="104" t="e">
        <f ca="1">_05preva_view43[Folder Path1]&amp;"Process &amp; Database\Documentation\Colo Applications"</f>
        <v>#VALUE!</v>
      </c>
      <c r="BH200" s="104" t="e">
        <f ca="1">_05preva_view43[Folder Path2]&amp;"\Colo App "&amp;_05preva_view43[[#This Row],[Operator]]&amp;"\"</f>
        <v>#VALUE!</v>
      </c>
      <c r="BI200" s="63" t="e">
        <f ca="1">_05preva_view43[[#This Row],[Folder Path3]]&amp;_05preva_view43[[#This Row],[File Name]]</f>
        <v>#VALUE!</v>
      </c>
      <c r="BJ200" s="104"/>
      <c r="BK200" s="3"/>
      <c r="BL200" s="3"/>
      <c r="CJ200" s="5"/>
      <c r="CK200" s="5"/>
      <c r="CL200" s="3"/>
      <c r="CN200" s="5"/>
      <c r="CR200" s="3"/>
      <c r="CS200" s="3"/>
      <c r="CT200" s="5"/>
      <c r="CV200" s="3"/>
      <c r="DR200" s="5"/>
      <c r="DT200" s="3"/>
      <c r="EF200" s="7"/>
      <c r="EG200" s="7"/>
      <c r="EJ200" s="4"/>
      <c r="EK200" s="4"/>
      <c r="EU200" s="2"/>
      <c r="EV200" s="2"/>
    </row>
    <row r="201" spans="1:152">
      <c r="A201" s="125">
        <v>3446</v>
      </c>
      <c r="B201" s="126" t="s">
        <v>1344</v>
      </c>
      <c r="C201" s="126" t="s">
        <v>331</v>
      </c>
      <c r="D201" s="126" t="s">
        <v>127</v>
      </c>
      <c r="E201" s="126" t="s">
        <v>1345</v>
      </c>
      <c r="F201" s="126" t="s">
        <v>35</v>
      </c>
      <c r="G201" s="126" t="s">
        <v>1583</v>
      </c>
      <c r="H201" s="126" t="s">
        <v>1575</v>
      </c>
      <c r="I201" s="126" t="s">
        <v>1263</v>
      </c>
      <c r="J201" s="126" t="s">
        <v>949</v>
      </c>
      <c r="K201" s="127">
        <v>43432</v>
      </c>
      <c r="L201" s="128">
        <v>1</v>
      </c>
      <c r="M201" s="128">
        <v>1.4</v>
      </c>
      <c r="N201" s="126">
        <v>3.56</v>
      </c>
      <c r="O201" s="126" t="s">
        <v>950</v>
      </c>
      <c r="P201" s="129" t="s">
        <v>1275</v>
      </c>
      <c r="Q201" s="129" t="s">
        <v>1276</v>
      </c>
      <c r="R201" s="126" t="s">
        <v>24</v>
      </c>
      <c r="S201" s="126"/>
      <c r="T201" s="130" t="s">
        <v>120</v>
      </c>
      <c r="U201" s="126" t="s">
        <v>1264</v>
      </c>
      <c r="V201" s="130" t="s">
        <v>120</v>
      </c>
      <c r="W201" s="126"/>
      <c r="X201" s="130" t="s">
        <v>120</v>
      </c>
      <c r="Y201" s="126" t="s">
        <v>1346</v>
      </c>
      <c r="Z201" s="165" t="s">
        <v>120</v>
      </c>
      <c r="AA201" s="158"/>
      <c r="AB201" s="158"/>
      <c r="AC201" s="170" t="s">
        <v>123</v>
      </c>
      <c r="AD201" s="126" t="s">
        <v>1347</v>
      </c>
      <c r="AE201" s="130" t="s">
        <v>120</v>
      </c>
      <c r="AF201" s="127"/>
      <c r="AG201" s="131"/>
      <c r="AH201" s="131"/>
      <c r="AI201" s="126" t="s">
        <v>1348</v>
      </c>
      <c r="AJ201" s="130" t="s">
        <v>120</v>
      </c>
      <c r="AK201" s="126" t="s">
        <v>123</v>
      </c>
      <c r="AL201" s="126" t="s">
        <v>1198</v>
      </c>
      <c r="AM201" s="130"/>
      <c r="AN201" s="126"/>
      <c r="AO201" s="132"/>
      <c r="AP201" s="126"/>
      <c r="AQ201" s="126"/>
      <c r="AR201" s="130"/>
      <c r="AS201" s="126"/>
      <c r="AT201" s="127">
        <v>43433.679719791697</v>
      </c>
      <c r="AU201" s="127">
        <v>43433.627221296301</v>
      </c>
      <c r="AV201" s="127">
        <v>43434.722880208297</v>
      </c>
      <c r="AW201" s="127">
        <v>43433.679719791697</v>
      </c>
      <c r="AX201" s="127">
        <v>43438.644180671297</v>
      </c>
      <c r="AY201" s="127">
        <v>43433.472604050898</v>
      </c>
      <c r="AZ201" s="133">
        <v>43439.634170138903</v>
      </c>
      <c r="BA201" s="134">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B201" s="135">
        <f>COUNTIFS(_05preva_view43[Site ID],_05preva_view43[[#This Row],[Site ID]],_05preva_view43[Prevalidation Status],"Under Prevalidation")</f>
        <v>0</v>
      </c>
      <c r="BC201" s="157" t="e">
        <f ca="1">HYPERLINK(CheckPath(_05preva_view43[[#This Row],[File Path]],_05preva_view43[[#This Row],[File Path]],_05preva_view43[[#This Row],[Folder Path3]]),CheckPath(_05preva_view43[[#This Row],[File Path]],"Open File","No File"))</f>
        <v>#VALUE!</v>
      </c>
      <c r="BD201" s="136" t="str">
        <f>CONCATENATE(_05preva_view43[[#This Row],[Site ID]]," (",_05preva_view43[[#This Row],[tenant id]],") Application",IF(_05preva_view43[[#This Row],[Colo Rev]]&gt;0," Rev "&amp;_05preva_view43[[#This Row],[Colo Rev]],""),".xlsx")</f>
        <v>1-01-15013-004 (SHN00327) Application Rev 2.xlsx</v>
      </c>
      <c r="BE201" s="64" t="e">
        <f t="shared" ca="1" si="4"/>
        <v>#VALUE!</v>
      </c>
      <c r="BF201" s="104" t="e">
        <f ca="1">LEFT(CELL("filename",A186),_05preva_view43[[#This Row],[Find Process &amp; Database]]-1)</f>
        <v>#VALUE!</v>
      </c>
      <c r="BG201" s="104" t="e">
        <f ca="1">_05preva_view43[Folder Path1]&amp;"Process &amp; Database\Documentation\Colo Applications"</f>
        <v>#VALUE!</v>
      </c>
      <c r="BH201" s="104" t="e">
        <f ca="1">_05preva_view43[Folder Path2]&amp;"\Colo App "&amp;_05preva_view43[[#This Row],[Operator]]&amp;"\"</f>
        <v>#VALUE!</v>
      </c>
      <c r="BI201" s="63" t="e">
        <f ca="1">_05preva_view43[[#This Row],[Folder Path3]]&amp;_05preva_view43[[#This Row],[File Name]]</f>
        <v>#VALUE!</v>
      </c>
      <c r="BJ201" s="104"/>
      <c r="BK201" s="3"/>
      <c r="BL201" s="3"/>
      <c r="CJ201" s="5"/>
      <c r="CK201" s="5"/>
      <c r="CL201" s="3"/>
      <c r="CN201" s="5"/>
      <c r="CR201" s="3"/>
      <c r="CS201" s="3"/>
      <c r="CT201" s="5"/>
      <c r="CV201" s="3"/>
      <c r="DR201" s="5"/>
      <c r="DT201" s="3"/>
      <c r="EF201" s="7"/>
      <c r="EG201" s="7"/>
      <c r="EJ201" s="4"/>
      <c r="EK201" s="4"/>
      <c r="EU201" s="2"/>
      <c r="EV201" s="2"/>
    </row>
    <row r="202" spans="1:152">
      <c r="A202" s="125">
        <v>3447</v>
      </c>
      <c r="B202" s="126" t="s">
        <v>1349</v>
      </c>
      <c r="C202" s="126" t="s">
        <v>331</v>
      </c>
      <c r="D202" s="126" t="s">
        <v>163</v>
      </c>
      <c r="E202" s="126" t="s">
        <v>1350</v>
      </c>
      <c r="F202" s="126" t="s">
        <v>35</v>
      </c>
      <c r="G202" s="126" t="s">
        <v>1583</v>
      </c>
      <c r="H202" s="126" t="s">
        <v>1575</v>
      </c>
      <c r="I202" s="126" t="s">
        <v>1351</v>
      </c>
      <c r="J202" s="126" t="s">
        <v>931</v>
      </c>
      <c r="K202" s="127">
        <v>43432</v>
      </c>
      <c r="L202" s="128">
        <v>3.36</v>
      </c>
      <c r="M202" s="128">
        <v>4.2</v>
      </c>
      <c r="N202" s="126">
        <v>3.98</v>
      </c>
      <c r="O202" s="126" t="s">
        <v>950</v>
      </c>
      <c r="P202" s="129" t="s">
        <v>957</v>
      </c>
      <c r="Q202" s="129" t="s">
        <v>1352</v>
      </c>
      <c r="R202" s="126" t="s">
        <v>24</v>
      </c>
      <c r="S202" s="126"/>
      <c r="T202" s="130" t="s">
        <v>120</v>
      </c>
      <c r="U202" s="126" t="s">
        <v>1264</v>
      </c>
      <c r="V202" s="130" t="s">
        <v>120</v>
      </c>
      <c r="W202" s="126"/>
      <c r="X202" s="130" t="s">
        <v>120</v>
      </c>
      <c r="Y202" s="126" t="s">
        <v>1353</v>
      </c>
      <c r="Z202" s="165" t="s">
        <v>120</v>
      </c>
      <c r="AA202" s="158"/>
      <c r="AB202" s="158"/>
      <c r="AC202" s="170" t="s">
        <v>123</v>
      </c>
      <c r="AD202" s="126" t="s">
        <v>1354</v>
      </c>
      <c r="AE202" s="130" t="s">
        <v>120</v>
      </c>
      <c r="AF202" s="127" t="s">
        <v>1754</v>
      </c>
      <c r="AG202" s="131"/>
      <c r="AH202" s="131"/>
      <c r="AI202" s="126" t="s">
        <v>1596</v>
      </c>
      <c r="AJ202" s="130" t="s">
        <v>120</v>
      </c>
      <c r="AK202" s="126" t="s">
        <v>123</v>
      </c>
      <c r="AL202" s="126" t="s">
        <v>1198</v>
      </c>
      <c r="AM202" s="130"/>
      <c r="AN202" s="126"/>
      <c r="AO202" s="132"/>
      <c r="AP202" s="126"/>
      <c r="AQ202" s="126"/>
      <c r="AR202" s="130"/>
      <c r="AS202" s="126"/>
      <c r="AT202" s="127">
        <v>43433.679725578702</v>
      </c>
      <c r="AU202" s="127">
        <v>43451.370464583299</v>
      </c>
      <c r="AV202" s="127">
        <v>43434.722880786998</v>
      </c>
      <c r="AW202" s="127">
        <v>43433.679725578702</v>
      </c>
      <c r="AX202" s="127">
        <v>43438.644181597199</v>
      </c>
      <c r="AY202" s="127">
        <v>43433.472604513903</v>
      </c>
      <c r="AZ202" s="133">
        <v>43451.411454282403</v>
      </c>
      <c r="BA202" s="134">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B202" s="135">
        <f>COUNTIFS(_05preva_view43[Site ID],_05preva_view43[[#This Row],[Site ID]],_05preva_view43[Prevalidation Status],"Under Prevalidation")</f>
        <v>0</v>
      </c>
      <c r="BC202" s="157" t="e">
        <f ca="1">HYPERLINK(CheckPath(_05preva_view43[[#This Row],[File Path]],_05preva_view43[[#This Row],[File Path]],_05preva_view43[[#This Row],[Folder Path3]]),CheckPath(_05preva_view43[[#This Row],[File Path]],"Open File","No File"))</f>
        <v>#VALUE!</v>
      </c>
      <c r="BD202" s="136" t="str">
        <f>CONCATENATE(_05preva_view43[[#This Row],[Site ID]]," (",_05preva_view43[[#This Row],[tenant id]],") Application",IF(_05preva_view43[[#This Row],[Colo Rev]]&gt;0," Rev "&amp;_05preva_view43[[#This Row],[Colo Rev]],""),".xlsx")</f>
        <v>1-01-11009-002 (MON00311) Application Rev 1.xlsx</v>
      </c>
      <c r="BE202" s="64" t="e">
        <f t="shared" ca="1" si="4"/>
        <v>#VALUE!</v>
      </c>
      <c r="BF202" s="104" t="e">
        <f ca="1">LEFT(CELL("filename",A187),_05preva_view43[[#This Row],[Find Process &amp; Database]]-1)</f>
        <v>#VALUE!</v>
      </c>
      <c r="BG202" s="104" t="e">
        <f ca="1">_05preva_view43[Folder Path1]&amp;"Process &amp; Database\Documentation\Colo Applications"</f>
        <v>#VALUE!</v>
      </c>
      <c r="BH202" s="104" t="e">
        <f ca="1">_05preva_view43[Folder Path2]&amp;"\Colo App "&amp;_05preva_view43[[#This Row],[Operator]]&amp;"\"</f>
        <v>#VALUE!</v>
      </c>
      <c r="BI202" s="63" t="e">
        <f ca="1">_05preva_view43[[#This Row],[Folder Path3]]&amp;_05preva_view43[[#This Row],[File Name]]</f>
        <v>#VALUE!</v>
      </c>
      <c r="BJ202" s="104"/>
      <c r="BK202" s="3"/>
      <c r="BL202" s="3"/>
      <c r="CJ202" s="5"/>
      <c r="CK202" s="5"/>
      <c r="CL202" s="3"/>
      <c r="CN202" s="5"/>
      <c r="CR202" s="3"/>
      <c r="CS202" s="3"/>
      <c r="CT202" s="5"/>
      <c r="CV202" s="3"/>
      <c r="DR202" s="5"/>
      <c r="DT202" s="3"/>
      <c r="EF202" s="7"/>
      <c r="EG202" s="7"/>
      <c r="EJ202" s="4"/>
      <c r="EK202" s="4"/>
      <c r="EU202" s="2"/>
      <c r="EV202" s="2"/>
    </row>
    <row r="203" spans="1:152">
      <c r="A203" s="125">
        <v>3448</v>
      </c>
      <c r="B203" s="126" t="s">
        <v>1065</v>
      </c>
      <c r="C203" s="126" t="s">
        <v>331</v>
      </c>
      <c r="D203" s="126" t="s">
        <v>117</v>
      </c>
      <c r="E203" s="126" t="s">
        <v>1066</v>
      </c>
      <c r="F203" s="126" t="s">
        <v>35</v>
      </c>
      <c r="G203" s="126" t="s">
        <v>1583</v>
      </c>
      <c r="H203" s="126" t="s">
        <v>1575</v>
      </c>
      <c r="I203" s="126" t="s">
        <v>1351</v>
      </c>
      <c r="J203" s="126" t="s">
        <v>1304</v>
      </c>
      <c r="K203" s="127">
        <v>43432</v>
      </c>
      <c r="L203" s="128">
        <v>3.12</v>
      </c>
      <c r="M203" s="128">
        <v>3.9</v>
      </c>
      <c r="N203" s="126">
        <v>4.21</v>
      </c>
      <c r="O203" s="126" t="s">
        <v>950</v>
      </c>
      <c r="P203" s="129" t="s">
        <v>704</v>
      </c>
      <c r="Q203" s="129" t="s">
        <v>705</v>
      </c>
      <c r="R203" s="126" t="s">
        <v>24</v>
      </c>
      <c r="S203" s="126"/>
      <c r="T203" s="130" t="s">
        <v>120</v>
      </c>
      <c r="U203" s="126" t="s">
        <v>1264</v>
      </c>
      <c r="V203" s="130" t="s">
        <v>120</v>
      </c>
      <c r="W203" s="126"/>
      <c r="X203" s="130" t="s">
        <v>120</v>
      </c>
      <c r="Y203" s="126" t="s">
        <v>1356</v>
      </c>
      <c r="Z203" s="165" t="s">
        <v>120</v>
      </c>
      <c r="AA203" s="158"/>
      <c r="AB203" s="158"/>
      <c r="AC203" s="170" t="s">
        <v>123</v>
      </c>
      <c r="AD203" s="126" t="s">
        <v>1357</v>
      </c>
      <c r="AE203" s="130" t="s">
        <v>120</v>
      </c>
      <c r="AF203" s="127" t="s">
        <v>1755</v>
      </c>
      <c r="AG203" s="131"/>
      <c r="AH203" s="131"/>
      <c r="AI203" s="126" t="s">
        <v>1597</v>
      </c>
      <c r="AJ203" s="130" t="s">
        <v>120</v>
      </c>
      <c r="AK203" s="126" t="s">
        <v>123</v>
      </c>
      <c r="AL203" s="126" t="s">
        <v>1198</v>
      </c>
      <c r="AM203" s="130"/>
      <c r="AN203" s="126"/>
      <c r="AO203" s="132"/>
      <c r="AP203" s="126"/>
      <c r="AQ203" s="126"/>
      <c r="AR203" s="130"/>
      <c r="AS203" s="126"/>
      <c r="AT203" s="127">
        <v>43433.679731944401</v>
      </c>
      <c r="AU203" s="127">
        <v>43451.370466088003</v>
      </c>
      <c r="AV203" s="127">
        <v>43434.722881713002</v>
      </c>
      <c r="AW203" s="127">
        <v>43433.679731944401</v>
      </c>
      <c r="AX203" s="127">
        <v>43438.644183449098</v>
      </c>
      <c r="AY203" s="127">
        <v>43433.472604976901</v>
      </c>
      <c r="AZ203" s="133">
        <v>43451.411455208297</v>
      </c>
      <c r="BA203" s="134">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B203" s="135">
        <f>COUNTIFS(_05preva_view43[Site ID],_05preva_view43[[#This Row],[Site ID]],_05preva_view43[Prevalidation Status],"Under Prevalidation")</f>
        <v>0</v>
      </c>
      <c r="BC203" s="157" t="e">
        <f ca="1">HYPERLINK(CheckPath(_05preva_view43[[#This Row],[File Path]],_05preva_view43[[#This Row],[File Path]],_05preva_view43[[#This Row],[Folder Path3]]),CheckPath(_05preva_view43[[#This Row],[File Path]],"Open File","No File"))</f>
        <v>#VALUE!</v>
      </c>
      <c r="BD203" s="136" t="str">
        <f>CONCATENATE(_05preva_view43[[#This Row],[Site ID]]," (",_05preva_view43[[#This Row],[tenant id]],") Application",IF(_05preva_view43[[#This Row],[Colo Rev]]&gt;0," Rev "&amp;_05preva_view43[[#This Row],[Colo Rev]],""),".xlsx")</f>
        <v>1-01-14001-015 (SHS00057) Application Rev 5.xlsx</v>
      </c>
      <c r="BE203" s="64" t="e">
        <f t="shared" ca="1" si="4"/>
        <v>#VALUE!</v>
      </c>
      <c r="BF203" s="104" t="e">
        <f ca="1">LEFT(CELL("filename",A188),_05preva_view43[[#This Row],[Find Process &amp; Database]]-1)</f>
        <v>#VALUE!</v>
      </c>
      <c r="BG203" s="104" t="e">
        <f ca="1">_05preva_view43[Folder Path1]&amp;"Process &amp; Database\Documentation\Colo Applications"</f>
        <v>#VALUE!</v>
      </c>
      <c r="BH203" s="104" t="e">
        <f ca="1">_05preva_view43[Folder Path2]&amp;"\Colo App "&amp;_05preva_view43[[#This Row],[Operator]]&amp;"\"</f>
        <v>#VALUE!</v>
      </c>
      <c r="BI203" s="63" t="e">
        <f ca="1">_05preva_view43[[#This Row],[Folder Path3]]&amp;_05preva_view43[[#This Row],[File Name]]</f>
        <v>#VALUE!</v>
      </c>
      <c r="BJ203" s="104"/>
      <c r="BK203" s="3"/>
      <c r="BL203" s="3"/>
      <c r="CJ203" s="5"/>
      <c r="CK203" s="5"/>
      <c r="CL203" s="3"/>
      <c r="CN203" s="5"/>
      <c r="CR203" s="3"/>
      <c r="CS203" s="3"/>
      <c r="CT203" s="5"/>
      <c r="CV203" s="3"/>
      <c r="DR203" s="5"/>
      <c r="DT203" s="3"/>
      <c r="EF203" s="7"/>
      <c r="EG203" s="7"/>
      <c r="EJ203" s="4"/>
      <c r="EK203" s="4"/>
      <c r="EU203" s="2"/>
      <c r="EV203" s="2"/>
    </row>
    <row r="204" spans="1:152">
      <c r="A204" s="125">
        <v>3449</v>
      </c>
      <c r="B204" s="126" t="s">
        <v>1136</v>
      </c>
      <c r="C204" s="126" t="s">
        <v>331</v>
      </c>
      <c r="D204" s="126" t="s">
        <v>117</v>
      </c>
      <c r="E204" s="126" t="s">
        <v>1137</v>
      </c>
      <c r="F204" s="126" t="s">
        <v>35</v>
      </c>
      <c r="G204" s="126" t="s">
        <v>1583</v>
      </c>
      <c r="H204" s="126" t="s">
        <v>1575</v>
      </c>
      <c r="I204" s="126" t="s">
        <v>1151</v>
      </c>
      <c r="J204" s="126" t="s">
        <v>957</v>
      </c>
      <c r="K204" s="127">
        <v>43432</v>
      </c>
      <c r="L204" s="128">
        <v>2.3199999999999998</v>
      </c>
      <c r="M204" s="128">
        <v>2.9</v>
      </c>
      <c r="N204" s="126">
        <v>2.88</v>
      </c>
      <c r="O204" s="126" t="s">
        <v>950</v>
      </c>
      <c r="P204" s="129" t="s">
        <v>958</v>
      </c>
      <c r="Q204" s="129" t="s">
        <v>959</v>
      </c>
      <c r="R204" s="126" t="s">
        <v>24</v>
      </c>
      <c r="S204" s="126"/>
      <c r="T204" s="130" t="s">
        <v>120</v>
      </c>
      <c r="U204" s="126" t="s">
        <v>1264</v>
      </c>
      <c r="V204" s="130" t="s">
        <v>120</v>
      </c>
      <c r="W204" s="126"/>
      <c r="X204" s="130" t="s">
        <v>120</v>
      </c>
      <c r="Y204" s="126" t="s">
        <v>1358</v>
      </c>
      <c r="Z204" s="165" t="s">
        <v>120</v>
      </c>
      <c r="AA204" s="158"/>
      <c r="AB204" s="158"/>
      <c r="AC204" s="170" t="s">
        <v>123</v>
      </c>
      <c r="AD204" s="126" t="s">
        <v>1359</v>
      </c>
      <c r="AE204" s="130" t="s">
        <v>120</v>
      </c>
      <c r="AF204" s="127"/>
      <c r="AG204" s="131"/>
      <c r="AH204" s="131"/>
      <c r="AI204" s="126" t="s">
        <v>1360</v>
      </c>
      <c r="AJ204" s="130" t="s">
        <v>120</v>
      </c>
      <c r="AK204" s="126" t="s">
        <v>123</v>
      </c>
      <c r="AL204" s="126" t="s">
        <v>1198</v>
      </c>
      <c r="AM204" s="130"/>
      <c r="AN204" s="126"/>
      <c r="AO204" s="132"/>
      <c r="AP204" s="126"/>
      <c r="AQ204" s="126"/>
      <c r="AR204" s="130"/>
      <c r="AS204" s="126"/>
      <c r="AT204" s="127">
        <v>43433.679737963001</v>
      </c>
      <c r="AU204" s="127">
        <v>43433.627222916701</v>
      </c>
      <c r="AV204" s="127">
        <v>43434.445667592598</v>
      </c>
      <c r="AW204" s="127">
        <v>43433.679737963001</v>
      </c>
      <c r="AX204" s="127">
        <v>43438.644185416699</v>
      </c>
      <c r="AY204" s="127">
        <v>43433.472606481497</v>
      </c>
      <c r="AZ204" s="133">
        <v>43439.634174305596</v>
      </c>
      <c r="BA204" s="134">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B204" s="135">
        <f>COUNTIFS(_05preva_view43[Site ID],_05preva_view43[[#This Row],[Site ID]],_05preva_view43[Prevalidation Status],"Under Prevalidation")</f>
        <v>0</v>
      </c>
      <c r="BC204" s="157" t="e">
        <f ca="1">HYPERLINK(CheckPath(_05preva_view43[[#This Row],[File Path]],_05preva_view43[[#This Row],[File Path]],_05preva_view43[[#This Row],[Folder Path3]]),CheckPath(_05preva_view43[[#This Row],[File Path]],"Open File","No File"))</f>
        <v>#VALUE!</v>
      </c>
      <c r="BD204" s="136" t="str">
        <f>CONCATENATE(_05preva_view43[[#This Row],[Site ID]]," (",_05preva_view43[[#This Row],[tenant id]],") Application",IF(_05preva_view43[[#This Row],[Colo Rev]]&gt;0," Rev "&amp;_05preva_view43[[#This Row],[Colo Rev]],""),".xlsx")</f>
        <v>1-01-14001-026 (SHS00070) Application Rev 4.xlsx</v>
      </c>
      <c r="BE204" s="64" t="e">
        <f t="shared" ca="1" si="4"/>
        <v>#VALUE!</v>
      </c>
      <c r="BF204" s="104" t="e">
        <f ca="1">LEFT(CELL("filename",A189),_05preva_view43[[#This Row],[Find Process &amp; Database]]-1)</f>
        <v>#VALUE!</v>
      </c>
      <c r="BG204" s="104" t="e">
        <f ca="1">_05preva_view43[Folder Path1]&amp;"Process &amp; Database\Documentation\Colo Applications"</f>
        <v>#VALUE!</v>
      </c>
      <c r="BH204" s="104" t="e">
        <f ca="1">_05preva_view43[Folder Path2]&amp;"\Colo App "&amp;_05preva_view43[[#This Row],[Operator]]&amp;"\"</f>
        <v>#VALUE!</v>
      </c>
      <c r="BI204" s="63" t="e">
        <f ca="1">_05preva_view43[[#This Row],[Folder Path3]]&amp;_05preva_view43[[#This Row],[File Name]]</f>
        <v>#VALUE!</v>
      </c>
      <c r="BJ204" s="104"/>
      <c r="BK204" s="3"/>
      <c r="BL204" s="3"/>
      <c r="CJ204" s="5"/>
      <c r="CK204" s="5"/>
      <c r="CL204" s="3"/>
      <c r="CN204" s="5"/>
      <c r="CR204" s="3"/>
      <c r="CS204" s="3"/>
      <c r="CT204" s="5"/>
      <c r="CV204" s="3"/>
      <c r="DR204" s="5"/>
      <c r="DT204" s="3"/>
      <c r="EF204" s="7"/>
      <c r="EG204" s="7"/>
      <c r="EJ204" s="4"/>
      <c r="EK204" s="4"/>
      <c r="EU204" s="2"/>
      <c r="EV204" s="2"/>
    </row>
    <row r="205" spans="1:152">
      <c r="A205" s="125">
        <v>3450</v>
      </c>
      <c r="B205" s="126" t="s">
        <v>1069</v>
      </c>
      <c r="C205" s="126" t="s">
        <v>331</v>
      </c>
      <c r="D205" s="126" t="s">
        <v>163</v>
      </c>
      <c r="E205" s="126" t="s">
        <v>1070</v>
      </c>
      <c r="F205" s="126" t="s">
        <v>35</v>
      </c>
      <c r="G205" s="126" t="s">
        <v>1583</v>
      </c>
      <c r="H205" s="126" t="s">
        <v>1575</v>
      </c>
      <c r="I205" s="126" t="s">
        <v>1351</v>
      </c>
      <c r="J205" s="126" t="s">
        <v>957</v>
      </c>
      <c r="K205" s="127">
        <v>43432</v>
      </c>
      <c r="L205" s="128">
        <v>3.28</v>
      </c>
      <c r="M205" s="128">
        <v>4.0999999999999996</v>
      </c>
      <c r="N205" s="126">
        <v>4.42</v>
      </c>
      <c r="O205" s="126" t="s">
        <v>950</v>
      </c>
      <c r="P205" s="129" t="s">
        <v>1071</v>
      </c>
      <c r="Q205" s="129" t="s">
        <v>1072</v>
      </c>
      <c r="R205" s="126" t="s">
        <v>24</v>
      </c>
      <c r="S205" s="126"/>
      <c r="T205" s="130" t="s">
        <v>120</v>
      </c>
      <c r="U205" s="126" t="s">
        <v>1264</v>
      </c>
      <c r="V205" s="130" t="s">
        <v>120</v>
      </c>
      <c r="W205" s="126"/>
      <c r="X205" s="130" t="s">
        <v>120</v>
      </c>
      <c r="Y205" s="126" t="s">
        <v>1361</v>
      </c>
      <c r="Z205" s="165" t="s">
        <v>120</v>
      </c>
      <c r="AA205" s="158"/>
      <c r="AB205" s="158"/>
      <c r="AC205" s="170" t="s">
        <v>123</v>
      </c>
      <c r="AD205" s="126" t="s">
        <v>1362</v>
      </c>
      <c r="AE205" s="130" t="s">
        <v>120</v>
      </c>
      <c r="AF205" s="127" t="s">
        <v>1756</v>
      </c>
      <c r="AG205" s="131"/>
      <c r="AH205" s="131"/>
      <c r="AI205" s="126" t="s">
        <v>1597</v>
      </c>
      <c r="AJ205" s="130" t="s">
        <v>120</v>
      </c>
      <c r="AK205" s="126" t="s">
        <v>123</v>
      </c>
      <c r="AL205" s="126" t="s">
        <v>1198</v>
      </c>
      <c r="AM205" s="130"/>
      <c r="AN205" s="126"/>
      <c r="AO205" s="132"/>
      <c r="AP205" s="126"/>
      <c r="AQ205" s="126"/>
      <c r="AR205" s="130"/>
      <c r="AS205" s="126"/>
      <c r="AT205" s="127">
        <v>43433.6797443287</v>
      </c>
      <c r="AU205" s="127">
        <v>43451.370467361099</v>
      </c>
      <c r="AV205" s="127">
        <v>43434.578054398102</v>
      </c>
      <c r="AW205" s="127">
        <v>43433.6797443287</v>
      </c>
      <c r="AX205" s="127">
        <v>43438.644186689802</v>
      </c>
      <c r="AY205" s="127">
        <v>43433.4726077546</v>
      </c>
      <c r="AZ205" s="133">
        <v>43451.411456481503</v>
      </c>
      <c r="BA205" s="134">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B205" s="135">
        <f>COUNTIFS(_05preva_view43[Site ID],_05preva_view43[[#This Row],[Site ID]],_05preva_view43[Prevalidation Status],"Under Prevalidation")</f>
        <v>0</v>
      </c>
      <c r="BC205" s="157" t="e">
        <f ca="1">HYPERLINK(CheckPath(_05preva_view43[[#This Row],[File Path]],_05preva_view43[[#This Row],[File Path]],_05preva_view43[[#This Row],[Folder Path3]]),CheckPath(_05preva_view43[[#This Row],[File Path]],"Open File","No File"))</f>
        <v>#VALUE!</v>
      </c>
      <c r="BD205" s="136" t="str">
        <f>CONCATENATE(_05preva_view43[[#This Row],[Site ID]]," (",_05preva_view43[[#This Row],[tenant id]],") Application",IF(_05preva_view43[[#This Row],[Colo Rev]]&gt;0," Rev "&amp;_05preva_view43[[#This Row],[Colo Rev]],""),".xlsx")</f>
        <v>1-01-06002-003 (TNY00206) Application Rev 4.xlsx</v>
      </c>
      <c r="BE205" s="64" t="e">
        <f t="shared" ca="1" si="4"/>
        <v>#VALUE!</v>
      </c>
      <c r="BF205" s="104" t="e">
        <f ca="1">LEFT(CELL("filename",A190),_05preva_view43[[#This Row],[Find Process &amp; Database]]-1)</f>
        <v>#VALUE!</v>
      </c>
      <c r="BG205" s="104" t="e">
        <f ca="1">_05preva_view43[Folder Path1]&amp;"Process &amp; Database\Documentation\Colo Applications"</f>
        <v>#VALUE!</v>
      </c>
      <c r="BH205" s="104" t="e">
        <f ca="1">_05preva_view43[Folder Path2]&amp;"\Colo App "&amp;_05preva_view43[[#This Row],[Operator]]&amp;"\"</f>
        <v>#VALUE!</v>
      </c>
      <c r="BI205" s="63" t="e">
        <f ca="1">_05preva_view43[[#This Row],[Folder Path3]]&amp;_05preva_view43[[#This Row],[File Name]]</f>
        <v>#VALUE!</v>
      </c>
      <c r="BJ205" s="104"/>
      <c r="BK205" s="3"/>
      <c r="BL205" s="3"/>
      <c r="CJ205" s="5"/>
      <c r="CK205" s="5"/>
      <c r="CL205" s="3"/>
      <c r="CN205" s="5"/>
      <c r="CR205" s="3"/>
      <c r="CS205" s="3"/>
      <c r="CT205" s="5"/>
      <c r="CV205" s="3"/>
      <c r="DR205" s="5"/>
      <c r="DT205" s="3"/>
      <c r="EF205" s="7"/>
      <c r="EG205" s="7"/>
      <c r="EJ205" s="4"/>
      <c r="EK205" s="4"/>
      <c r="EU205" s="2"/>
      <c r="EV205" s="2"/>
    </row>
    <row r="206" spans="1:152">
      <c r="A206" s="125">
        <v>3451</v>
      </c>
      <c r="B206" s="126" t="s">
        <v>1363</v>
      </c>
      <c r="C206" s="126" t="s">
        <v>331</v>
      </c>
      <c r="D206" s="126" t="s">
        <v>163</v>
      </c>
      <c r="E206" s="126" t="s">
        <v>1364</v>
      </c>
      <c r="F206" s="126" t="s">
        <v>35</v>
      </c>
      <c r="G206" s="126" t="s">
        <v>1583</v>
      </c>
      <c r="H206" s="126" t="s">
        <v>1575</v>
      </c>
      <c r="I206" s="126" t="s">
        <v>1151</v>
      </c>
      <c r="J206" s="126" t="s">
        <v>957</v>
      </c>
      <c r="K206" s="127">
        <v>43432</v>
      </c>
      <c r="L206" s="128">
        <v>1.92</v>
      </c>
      <c r="M206" s="128">
        <v>2.4</v>
      </c>
      <c r="N206" s="126">
        <v>3.72</v>
      </c>
      <c r="O206" s="126" t="s">
        <v>950</v>
      </c>
      <c r="P206" s="129" t="s">
        <v>736</v>
      </c>
      <c r="Q206" s="129" t="s">
        <v>880</v>
      </c>
      <c r="R206" s="126" t="s">
        <v>24</v>
      </c>
      <c r="S206" s="126"/>
      <c r="T206" s="130" t="s">
        <v>120</v>
      </c>
      <c r="U206" s="126" t="s">
        <v>1264</v>
      </c>
      <c r="V206" s="130" t="s">
        <v>120</v>
      </c>
      <c r="W206" s="126"/>
      <c r="X206" s="130" t="s">
        <v>120</v>
      </c>
      <c r="Y206" s="126" t="s">
        <v>1365</v>
      </c>
      <c r="Z206" s="165" t="s">
        <v>120</v>
      </c>
      <c r="AA206" s="158"/>
      <c r="AB206" s="158"/>
      <c r="AC206" s="170" t="s">
        <v>123</v>
      </c>
      <c r="AD206" s="126" t="s">
        <v>1366</v>
      </c>
      <c r="AE206" s="130" t="s">
        <v>120</v>
      </c>
      <c r="AF206" s="127" t="s">
        <v>1757</v>
      </c>
      <c r="AG206" s="131"/>
      <c r="AH206" s="131"/>
      <c r="AI206" s="126" t="s">
        <v>1355</v>
      </c>
      <c r="AJ206" s="130" t="s">
        <v>120</v>
      </c>
      <c r="AK206" s="126" t="s">
        <v>123</v>
      </c>
      <c r="AL206" s="126" t="s">
        <v>1198</v>
      </c>
      <c r="AM206" s="130"/>
      <c r="AN206" s="126"/>
      <c r="AO206" s="132"/>
      <c r="AP206" s="126"/>
      <c r="AQ206" s="126"/>
      <c r="AR206" s="130"/>
      <c r="AS206" s="126"/>
      <c r="AT206" s="127">
        <v>43433.679749884301</v>
      </c>
      <c r="AU206" s="127">
        <v>43451.370468055597</v>
      </c>
      <c r="AV206" s="127">
        <v>43434.629329166703</v>
      </c>
      <c r="AW206" s="127">
        <v>43433.679749884301</v>
      </c>
      <c r="AX206" s="127">
        <v>43438.644188310202</v>
      </c>
      <c r="AY206" s="127">
        <v>43433.472608217598</v>
      </c>
      <c r="AZ206" s="133">
        <v>43451.411457754599</v>
      </c>
      <c r="BA206" s="134">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B206" s="135">
        <f>COUNTIFS(_05preva_view43[Site ID],_05preva_view43[[#This Row],[Site ID]],_05preva_view43[Prevalidation Status],"Under Prevalidation")</f>
        <v>1</v>
      </c>
      <c r="BC206" s="157" t="e">
        <f ca="1">HYPERLINK(CheckPath(_05preva_view43[[#This Row],[File Path]],_05preva_view43[[#This Row],[File Path]],_05preva_view43[[#This Row],[Folder Path3]]),CheckPath(_05preva_view43[[#This Row],[File Path]],"Open File","No File"))</f>
        <v>#VALUE!</v>
      </c>
      <c r="BD206" s="136" t="str">
        <f>CONCATENATE(_05preva_view43[[#This Row],[Site ID]]," (",_05preva_view43[[#This Row],[tenant id]],") Application",IF(_05preva_view43[[#This Row],[Colo Rev]]&gt;0," Rev "&amp;_05preva_view43[[#This Row],[Colo Rev]],""),".xlsx")</f>
        <v>1-01-06001-002 (TNY00288) Application Rev 4.xlsx</v>
      </c>
      <c r="BE206" s="64" t="e">
        <f t="shared" ca="1" si="4"/>
        <v>#VALUE!</v>
      </c>
      <c r="BF206" s="104" t="e">
        <f ca="1">LEFT(CELL("filename",A191),_05preva_view43[[#This Row],[Find Process &amp; Database]]-1)</f>
        <v>#VALUE!</v>
      </c>
      <c r="BG206" s="104" t="e">
        <f ca="1">_05preva_view43[Folder Path1]&amp;"Process &amp; Database\Documentation\Colo Applications"</f>
        <v>#VALUE!</v>
      </c>
      <c r="BH206" s="104" t="e">
        <f ca="1">_05preva_view43[Folder Path2]&amp;"\Colo App "&amp;_05preva_view43[[#This Row],[Operator]]&amp;"\"</f>
        <v>#VALUE!</v>
      </c>
      <c r="BI206" s="63" t="e">
        <f ca="1">_05preva_view43[[#This Row],[Folder Path3]]&amp;_05preva_view43[[#This Row],[File Name]]</f>
        <v>#VALUE!</v>
      </c>
      <c r="BJ206" s="104"/>
      <c r="BK206" s="3"/>
      <c r="BL206" s="3"/>
      <c r="CJ206" s="5"/>
      <c r="CK206" s="5"/>
      <c r="CL206" s="3"/>
      <c r="CN206" s="5"/>
      <c r="CR206" s="3"/>
      <c r="CS206" s="3"/>
      <c r="CT206" s="5"/>
      <c r="CV206" s="3"/>
      <c r="DR206" s="5"/>
      <c r="DT206" s="3"/>
      <c r="EF206" s="7"/>
      <c r="EG206" s="7"/>
      <c r="EJ206" s="4"/>
      <c r="EK206" s="4"/>
      <c r="EU206" s="2"/>
      <c r="EV206" s="2"/>
    </row>
    <row r="207" spans="1:152">
      <c r="A207" s="125">
        <v>3452</v>
      </c>
      <c r="B207" s="126" t="s">
        <v>1367</v>
      </c>
      <c r="C207" s="126" t="s">
        <v>331</v>
      </c>
      <c r="D207" s="126" t="s">
        <v>163</v>
      </c>
      <c r="E207" s="126" t="s">
        <v>1368</v>
      </c>
      <c r="F207" s="126" t="s">
        <v>35</v>
      </c>
      <c r="G207" s="126" t="s">
        <v>1583</v>
      </c>
      <c r="H207" s="126" t="s">
        <v>1575</v>
      </c>
      <c r="I207" s="126" t="s">
        <v>1151</v>
      </c>
      <c r="J207" s="126" t="s">
        <v>949</v>
      </c>
      <c r="K207" s="127">
        <v>43432</v>
      </c>
      <c r="L207" s="128">
        <v>2.16</v>
      </c>
      <c r="M207" s="128">
        <v>2.7</v>
      </c>
      <c r="N207" s="126">
        <v>3.47</v>
      </c>
      <c r="O207" s="126" t="s">
        <v>950</v>
      </c>
      <c r="P207" s="129" t="s">
        <v>704</v>
      </c>
      <c r="Q207" s="129" t="s">
        <v>705</v>
      </c>
      <c r="R207" s="126" t="s">
        <v>24</v>
      </c>
      <c r="S207" s="126"/>
      <c r="T207" s="130" t="s">
        <v>120</v>
      </c>
      <c r="U207" s="126" t="s">
        <v>1264</v>
      </c>
      <c r="V207" s="130" t="s">
        <v>120</v>
      </c>
      <c r="W207" s="126"/>
      <c r="X207" s="130" t="s">
        <v>120</v>
      </c>
      <c r="Y207" s="126" t="s">
        <v>1369</v>
      </c>
      <c r="Z207" s="165" t="s">
        <v>120</v>
      </c>
      <c r="AA207" s="158"/>
      <c r="AB207" s="158"/>
      <c r="AC207" s="170" t="s">
        <v>123</v>
      </c>
      <c r="AD207" s="126" t="s">
        <v>1370</v>
      </c>
      <c r="AE207" s="130" t="s">
        <v>120</v>
      </c>
      <c r="AF207" s="127"/>
      <c r="AG207" s="131"/>
      <c r="AH207" s="131"/>
      <c r="AI207" s="126" t="s">
        <v>1348</v>
      </c>
      <c r="AJ207" s="130" t="s">
        <v>120</v>
      </c>
      <c r="AK207" s="126" t="s">
        <v>123</v>
      </c>
      <c r="AL207" s="126" t="s">
        <v>1198</v>
      </c>
      <c r="AM207" s="130"/>
      <c r="AN207" s="126"/>
      <c r="AO207" s="132"/>
      <c r="AP207" s="126"/>
      <c r="AQ207" s="126"/>
      <c r="AR207" s="130"/>
      <c r="AS207" s="126"/>
      <c r="AT207" s="127">
        <v>43433.679755555597</v>
      </c>
      <c r="AU207" s="127">
        <v>43433.627225347198</v>
      </c>
      <c r="AV207" s="127">
        <v>43434.717072337997</v>
      </c>
      <c r="AW207" s="127">
        <v>43433.679755555597</v>
      </c>
      <c r="AX207" s="127">
        <v>43438.644189583298</v>
      </c>
      <c r="AY207" s="127">
        <v>43433.4726099537</v>
      </c>
      <c r="AZ207" s="133">
        <v>43439.634178819397</v>
      </c>
      <c r="BA207" s="134">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B207" s="135">
        <f>COUNTIFS(_05preva_view43[Site ID],_05preva_view43[[#This Row],[Site ID]],_05preva_view43[Prevalidation Status],"Under Prevalidation")</f>
        <v>0</v>
      </c>
      <c r="BC207" s="157" t="e">
        <f ca="1">HYPERLINK(CheckPath(_05preva_view43[[#This Row],[File Path]],_05preva_view43[[#This Row],[File Path]],_05preva_view43[[#This Row],[Folder Path3]]),CheckPath(_05preva_view43[[#This Row],[File Path]],"Open File","No File"))</f>
        <v>#VALUE!</v>
      </c>
      <c r="BD207" s="136" t="str">
        <f>CONCATENATE(_05preva_view43[[#This Row],[Site ID]]," (",_05preva_view43[[#This Row],[tenant id]],") Application",IF(_05preva_view43[[#This Row],[Colo Rev]]&gt;0," Rev "&amp;_05preva_view43[[#This Row],[Colo Rev]],""),".xlsx")</f>
        <v>1-01-13004-006 (YGN00927) Application Rev 2.xlsx</v>
      </c>
      <c r="BE207" s="64" t="e">
        <f t="shared" ca="1" si="4"/>
        <v>#VALUE!</v>
      </c>
      <c r="BF207" s="104" t="e">
        <f ca="1">LEFT(CELL("filename",A192),_05preva_view43[[#This Row],[Find Process &amp; Database]]-1)</f>
        <v>#VALUE!</v>
      </c>
      <c r="BG207" s="104" t="e">
        <f ca="1">_05preva_view43[Folder Path1]&amp;"Process &amp; Database\Documentation\Colo Applications"</f>
        <v>#VALUE!</v>
      </c>
      <c r="BH207" s="104" t="e">
        <f ca="1">_05preva_view43[Folder Path2]&amp;"\Colo App "&amp;_05preva_view43[[#This Row],[Operator]]&amp;"\"</f>
        <v>#VALUE!</v>
      </c>
      <c r="BI207" s="63" t="e">
        <f ca="1">_05preva_view43[[#This Row],[Folder Path3]]&amp;_05preva_view43[[#This Row],[File Name]]</f>
        <v>#VALUE!</v>
      </c>
      <c r="BJ207" s="104"/>
      <c r="BK207" s="3"/>
      <c r="BL207" s="3"/>
      <c r="CJ207" s="5"/>
      <c r="CK207" s="5"/>
      <c r="CL207" s="3"/>
      <c r="CN207" s="5"/>
      <c r="CR207" s="3"/>
      <c r="CS207" s="3"/>
      <c r="CT207" s="5"/>
      <c r="CV207" s="3"/>
      <c r="DR207" s="5"/>
      <c r="DT207" s="3"/>
      <c r="EF207" s="7"/>
      <c r="EG207" s="7"/>
      <c r="EJ207" s="4"/>
      <c r="EK207" s="4"/>
      <c r="EU207" s="2"/>
      <c r="EV207" s="2"/>
    </row>
    <row r="208" spans="1:152">
      <c r="A208" s="125">
        <v>3445</v>
      </c>
      <c r="B208" s="126" t="s">
        <v>1339</v>
      </c>
      <c r="C208" s="126" t="s">
        <v>331</v>
      </c>
      <c r="D208" s="126" t="s">
        <v>127</v>
      </c>
      <c r="E208" s="126" t="s">
        <v>1340</v>
      </c>
      <c r="F208" s="126" t="s">
        <v>38</v>
      </c>
      <c r="G208" s="126" t="s">
        <v>1586</v>
      </c>
      <c r="H208" s="126" t="s">
        <v>1575</v>
      </c>
      <c r="I208" s="126" t="s">
        <v>1341</v>
      </c>
      <c r="J208" s="126" t="s">
        <v>931</v>
      </c>
      <c r="K208" s="127">
        <v>43431</v>
      </c>
      <c r="L208" s="128"/>
      <c r="M208" s="128"/>
      <c r="N208" s="126">
        <v>4.8</v>
      </c>
      <c r="O208" s="126" t="s">
        <v>950</v>
      </c>
      <c r="P208" s="129" t="s">
        <v>1028</v>
      </c>
      <c r="Q208" s="129" t="s">
        <v>1029</v>
      </c>
      <c r="R208" s="126" t="s">
        <v>24</v>
      </c>
      <c r="S208" s="126"/>
      <c r="T208" s="130" t="s">
        <v>861</v>
      </c>
      <c r="U208" s="126"/>
      <c r="V208" s="130" t="s">
        <v>120</v>
      </c>
      <c r="W208" s="126" t="s">
        <v>120</v>
      </c>
      <c r="X208" s="130" t="s">
        <v>120</v>
      </c>
      <c r="Y208" s="126" t="s">
        <v>1342</v>
      </c>
      <c r="Z208" s="165" t="s">
        <v>120</v>
      </c>
      <c r="AA208" s="158"/>
      <c r="AB208" s="158"/>
      <c r="AC208" s="170" t="s">
        <v>123</v>
      </c>
      <c r="AD208" s="126" t="s">
        <v>1343</v>
      </c>
      <c r="AE208" s="130" t="s">
        <v>861</v>
      </c>
      <c r="AF208" s="127"/>
      <c r="AG208" s="131"/>
      <c r="AH208" s="131"/>
      <c r="AI208" s="126"/>
      <c r="AJ208" s="130" t="s">
        <v>120</v>
      </c>
      <c r="AK208" s="126" t="s">
        <v>123</v>
      </c>
      <c r="AL208" s="126" t="s">
        <v>1198</v>
      </c>
      <c r="AM208" s="130"/>
      <c r="AN208" s="126"/>
      <c r="AO208" s="132"/>
      <c r="AP208" s="126"/>
      <c r="AQ208" s="126"/>
      <c r="AR208" s="130"/>
      <c r="AS208" s="126"/>
      <c r="AT208" s="127">
        <v>43431.631301273097</v>
      </c>
      <c r="AU208" s="127"/>
      <c r="AV208" s="127">
        <v>43434.4300329861</v>
      </c>
      <c r="AW208" s="127">
        <v>43431.631301273097</v>
      </c>
      <c r="AX208" s="127"/>
      <c r="AY208" s="127">
        <v>43431.6475726852</v>
      </c>
      <c r="AZ208" s="133">
        <v>43434.4300329861</v>
      </c>
      <c r="BA208" s="134">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B208" s="135">
        <f>COUNTIFS(_05preva_view43[Site ID],_05preva_view43[[#This Row],[Site ID]],_05preva_view43[Prevalidation Status],"Under Prevalidation")</f>
        <v>0</v>
      </c>
      <c r="BC208" s="157" t="e">
        <f ca="1">HYPERLINK(CheckPath(_05preva_view43[[#This Row],[File Path]],_05preva_view43[[#This Row],[File Path]],_05preva_view43[[#This Row],[Folder Path3]]),CheckPath(_05preva_view43[[#This Row],[File Path]],"Open File","No File"))</f>
        <v>#VALUE!</v>
      </c>
      <c r="BD208" s="136" t="str">
        <f>CONCATENATE(_05preva_view43[[#This Row],[Site ID]]," (",_05preva_view43[[#This Row],[tenant id]],") Application",IF(_05preva_view43[[#This Row],[Colo Rev]]&gt;0," Rev "&amp;_05preva_view43[[#This Row],[Colo Rev]],""),".xlsx")</f>
        <v>1-01-05007-011 (SG1093) Application Rev 1.xlsx</v>
      </c>
      <c r="BE208" s="64" t="e">
        <f t="shared" ref="BE208:BE271" ca="1" si="5">FIND("Process &amp; Database\",CELL("filename",$A$1))</f>
        <v>#VALUE!</v>
      </c>
      <c r="BF208" s="104" t="e">
        <f ca="1">LEFT(CELL("filename",A193),_05preva_view43[[#This Row],[Find Process &amp; Database]]-1)</f>
        <v>#VALUE!</v>
      </c>
      <c r="BG208" s="104" t="e">
        <f ca="1">_05preva_view43[Folder Path1]&amp;"Process &amp; Database\Documentation\Colo Applications"</f>
        <v>#VALUE!</v>
      </c>
      <c r="BH208" s="104" t="e">
        <f ca="1">_05preva_view43[Folder Path2]&amp;"\Colo App "&amp;_05preva_view43[[#This Row],[Operator]]&amp;"\"</f>
        <v>#VALUE!</v>
      </c>
      <c r="BI208" s="63" t="e">
        <f ca="1">_05preva_view43[[#This Row],[Folder Path3]]&amp;_05preva_view43[[#This Row],[File Name]]</f>
        <v>#VALUE!</v>
      </c>
      <c r="BJ208" s="104"/>
      <c r="BK208" s="3"/>
      <c r="BL208" s="3"/>
      <c r="CJ208" s="5"/>
      <c r="CK208" s="5"/>
      <c r="CL208" s="3"/>
      <c r="CN208" s="5"/>
      <c r="CR208" s="3"/>
      <c r="CS208" s="3"/>
      <c r="CT208" s="5"/>
      <c r="CV208" s="3"/>
      <c r="DR208" s="5"/>
      <c r="DT208" s="3"/>
      <c r="EF208" s="7"/>
      <c r="EG208" s="7"/>
      <c r="EJ208" s="4"/>
      <c r="EK208" s="4"/>
      <c r="EU208" s="2"/>
      <c r="EV208" s="2"/>
    </row>
    <row r="209" spans="1:152">
      <c r="A209" s="125">
        <v>3435</v>
      </c>
      <c r="B209" s="126" t="s">
        <v>1291</v>
      </c>
      <c r="C209" s="126" t="s">
        <v>331</v>
      </c>
      <c r="D209" s="126" t="s">
        <v>127</v>
      </c>
      <c r="E209" s="126" t="s">
        <v>1292</v>
      </c>
      <c r="F209" s="126" t="s">
        <v>35</v>
      </c>
      <c r="G209" s="126" t="s">
        <v>1583</v>
      </c>
      <c r="H209" s="126" t="s">
        <v>1575</v>
      </c>
      <c r="I209" s="126" t="s">
        <v>1053</v>
      </c>
      <c r="J209" s="126" t="s">
        <v>931</v>
      </c>
      <c r="K209" s="127">
        <v>43430</v>
      </c>
      <c r="L209" s="128">
        <v>2.0179999999999998</v>
      </c>
      <c r="M209" s="128">
        <v>3.22</v>
      </c>
      <c r="N209" s="126">
        <v>6.0659999999999998</v>
      </c>
      <c r="O209" s="126" t="s">
        <v>950</v>
      </c>
      <c r="P209" s="129" t="s">
        <v>958</v>
      </c>
      <c r="Q209" s="129" t="s">
        <v>959</v>
      </c>
      <c r="R209" s="126" t="s">
        <v>24</v>
      </c>
      <c r="S209" s="126"/>
      <c r="T209" s="130" t="s">
        <v>120</v>
      </c>
      <c r="U209" s="126" t="s">
        <v>1293</v>
      </c>
      <c r="V209" s="130" t="s">
        <v>120</v>
      </c>
      <c r="W209" s="126"/>
      <c r="X209" s="130" t="s">
        <v>120</v>
      </c>
      <c r="Y209" s="126" t="s">
        <v>1294</v>
      </c>
      <c r="Z209" s="165" t="s">
        <v>120</v>
      </c>
      <c r="AA209" s="158"/>
      <c r="AB209" s="158"/>
      <c r="AC209" s="170" t="s">
        <v>123</v>
      </c>
      <c r="AD209" s="126" t="s">
        <v>1328</v>
      </c>
      <c r="AE209" s="130" t="s">
        <v>120</v>
      </c>
      <c r="AF209" s="127" t="s">
        <v>1758</v>
      </c>
      <c r="AG209" s="131"/>
      <c r="AH209" s="131"/>
      <c r="AI209" s="126" t="s">
        <v>1285</v>
      </c>
      <c r="AJ209" s="130" t="s">
        <v>120</v>
      </c>
      <c r="AK209" s="126" t="s">
        <v>123</v>
      </c>
      <c r="AL209" s="126" t="s">
        <v>1198</v>
      </c>
      <c r="AM209" s="130"/>
      <c r="AN209" s="126"/>
      <c r="AO209" s="132"/>
      <c r="AP209" s="126"/>
      <c r="AQ209" s="126"/>
      <c r="AR209" s="130"/>
      <c r="AS209" s="126"/>
      <c r="AT209" s="127">
        <v>43430.729991550899</v>
      </c>
      <c r="AU209" s="127">
        <v>43451.370457638899</v>
      </c>
      <c r="AV209" s="127">
        <v>43433.611970601902</v>
      </c>
      <c r="AW209" s="127">
        <v>43430.729991550899</v>
      </c>
      <c r="AX209" s="127">
        <v>43430.496678472198</v>
      </c>
      <c r="AY209" s="127">
        <v>43430.8437508102</v>
      </c>
      <c r="AZ209" s="133">
        <v>43451.389660300898</v>
      </c>
      <c r="BA209" s="134">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B209" s="135">
        <f>COUNTIFS(_05preva_view43[Site ID],_05preva_view43[[#This Row],[Site ID]],_05preva_view43[Prevalidation Status],"Under Prevalidation")</f>
        <v>0</v>
      </c>
      <c r="BC209" s="157" t="e">
        <f ca="1">HYPERLINK(CheckPath(_05preva_view43[[#This Row],[File Path]],_05preva_view43[[#This Row],[File Path]],_05preva_view43[[#This Row],[Folder Path3]]),CheckPath(_05preva_view43[[#This Row],[File Path]],"Open File","No File"))</f>
        <v>#VALUE!</v>
      </c>
      <c r="BD209" s="136" t="str">
        <f>CONCATENATE(_05preva_view43[[#This Row],[Site ID]]," (",_05preva_view43[[#This Row],[tenant id]],") Application",IF(_05preva_view43[[#This Row],[Colo Rev]]&gt;0," Rev "&amp;_05preva_view43[[#This Row],[Colo Rev]],""),".xlsx")</f>
        <v>1-01-05011-004 (SGG00215) Application Rev 1.xlsx</v>
      </c>
      <c r="BE209" s="64" t="e">
        <f t="shared" ca="1" si="5"/>
        <v>#VALUE!</v>
      </c>
      <c r="BF209" s="104" t="e">
        <f ca="1">LEFT(CELL("filename",A194),_05preva_view43[[#This Row],[Find Process &amp; Database]]-1)</f>
        <v>#VALUE!</v>
      </c>
      <c r="BG209" s="104" t="e">
        <f ca="1">_05preva_view43[Folder Path1]&amp;"Process &amp; Database\Documentation\Colo Applications"</f>
        <v>#VALUE!</v>
      </c>
      <c r="BH209" s="104" t="e">
        <f ca="1">_05preva_view43[Folder Path2]&amp;"\Colo App "&amp;_05preva_view43[[#This Row],[Operator]]&amp;"\"</f>
        <v>#VALUE!</v>
      </c>
      <c r="BI209" s="63" t="e">
        <f ca="1">_05preva_view43[[#This Row],[Folder Path3]]&amp;_05preva_view43[[#This Row],[File Name]]</f>
        <v>#VALUE!</v>
      </c>
      <c r="BJ209" s="104"/>
      <c r="BK209" s="3"/>
      <c r="BL209" s="3"/>
      <c r="CJ209" s="5"/>
      <c r="CK209" s="5"/>
      <c r="CL209" s="3"/>
      <c r="CN209" s="5"/>
      <c r="CR209" s="3"/>
      <c r="CS209" s="3"/>
      <c r="CT209" s="5"/>
      <c r="CV209" s="3"/>
      <c r="DR209" s="5"/>
      <c r="DT209" s="3"/>
      <c r="EF209" s="7"/>
      <c r="EG209" s="7"/>
      <c r="EJ209" s="4"/>
      <c r="EK209" s="4"/>
      <c r="EU209" s="2"/>
      <c r="EV209" s="2"/>
    </row>
    <row r="210" spans="1:152">
      <c r="A210" s="125">
        <v>3436</v>
      </c>
      <c r="B210" s="126" t="s">
        <v>1295</v>
      </c>
      <c r="C210" s="126" t="s">
        <v>331</v>
      </c>
      <c r="D210" s="126" t="s">
        <v>127</v>
      </c>
      <c r="E210" s="126" t="s">
        <v>1296</v>
      </c>
      <c r="F210" s="126" t="s">
        <v>35</v>
      </c>
      <c r="G210" s="126" t="s">
        <v>1583</v>
      </c>
      <c r="H210" s="126" t="s">
        <v>1575</v>
      </c>
      <c r="I210" s="126" t="s">
        <v>1288</v>
      </c>
      <c r="J210" s="126" t="s">
        <v>990</v>
      </c>
      <c r="K210" s="127">
        <v>43430</v>
      </c>
      <c r="L210" s="128">
        <v>1.399</v>
      </c>
      <c r="M210" s="128">
        <v>2.2610000000000001</v>
      </c>
      <c r="N210" s="126">
        <v>2.87</v>
      </c>
      <c r="O210" s="126" t="s">
        <v>950</v>
      </c>
      <c r="P210" s="129" t="s">
        <v>958</v>
      </c>
      <c r="Q210" s="129" t="s">
        <v>959</v>
      </c>
      <c r="R210" s="126" t="s">
        <v>24</v>
      </c>
      <c r="S210" s="126"/>
      <c r="T210" s="130" t="s">
        <v>120</v>
      </c>
      <c r="U210" s="126" t="s">
        <v>1264</v>
      </c>
      <c r="V210" s="130" t="s">
        <v>120</v>
      </c>
      <c r="W210" s="126"/>
      <c r="X210" s="130" t="s">
        <v>120</v>
      </c>
      <c r="Y210" s="126" t="s">
        <v>1297</v>
      </c>
      <c r="Z210" s="165" t="s">
        <v>120</v>
      </c>
      <c r="AA210" s="158"/>
      <c r="AB210" s="158"/>
      <c r="AC210" s="170" t="s">
        <v>123</v>
      </c>
      <c r="AD210" s="126" t="s">
        <v>1329</v>
      </c>
      <c r="AE210" s="130" t="s">
        <v>120</v>
      </c>
      <c r="AF210" s="127" t="s">
        <v>1759</v>
      </c>
      <c r="AG210" s="131"/>
      <c r="AH210" s="131"/>
      <c r="AI210" s="126" t="s">
        <v>1285</v>
      </c>
      <c r="AJ210" s="130" t="s">
        <v>120</v>
      </c>
      <c r="AK210" s="126" t="s">
        <v>123</v>
      </c>
      <c r="AL210" s="126" t="s">
        <v>1198</v>
      </c>
      <c r="AM210" s="130"/>
      <c r="AN210" s="126"/>
      <c r="AO210" s="132"/>
      <c r="AP210" s="126"/>
      <c r="AQ210" s="126"/>
      <c r="AR210" s="130"/>
      <c r="AS210" s="126"/>
      <c r="AT210" s="127">
        <v>43430.729993634297</v>
      </c>
      <c r="AU210" s="127">
        <v>43451.370458449099</v>
      </c>
      <c r="AV210" s="127">
        <v>43433.416367939797</v>
      </c>
      <c r="AW210" s="127">
        <v>43430.729993634297</v>
      </c>
      <c r="AX210" s="127">
        <v>43430.4966824074</v>
      </c>
      <c r="AY210" s="127">
        <v>43430.843755671303</v>
      </c>
      <c r="AZ210" s="133">
        <v>43451.389661458299</v>
      </c>
      <c r="BA210" s="134">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B210" s="135">
        <f>COUNTIFS(_05preva_view43[Site ID],_05preva_view43[[#This Row],[Site ID]],_05preva_view43[Prevalidation Status],"Under Prevalidation")</f>
        <v>0</v>
      </c>
      <c r="BC210" s="157" t="e">
        <f ca="1">HYPERLINK(CheckPath(_05preva_view43[[#This Row],[File Path]],_05preva_view43[[#This Row],[File Path]],_05preva_view43[[#This Row],[Folder Path3]]),CheckPath(_05preva_view43[[#This Row],[File Path]],"Open File","No File"))</f>
        <v>#VALUE!</v>
      </c>
      <c r="BD210" s="136" t="str">
        <f>CONCATENATE(_05preva_view43[[#This Row],[Site ID]]," (",_05preva_view43[[#This Row],[tenant id]],") Application",IF(_05preva_view43[[#This Row],[Colo Rev]]&gt;0," Rev "&amp;_05preva_view43[[#This Row],[Colo Rev]],""),".xlsx")</f>
        <v>1-01-05010-004 (SGG00233) Application Rev 3.xlsx</v>
      </c>
      <c r="BE210" s="64" t="e">
        <f t="shared" ca="1" si="5"/>
        <v>#VALUE!</v>
      </c>
      <c r="BF210" s="104" t="e">
        <f ca="1">LEFT(CELL("filename",A195),_05preva_view43[[#This Row],[Find Process &amp; Database]]-1)</f>
        <v>#VALUE!</v>
      </c>
      <c r="BG210" s="104" t="e">
        <f ca="1">_05preva_view43[Folder Path1]&amp;"Process &amp; Database\Documentation\Colo Applications"</f>
        <v>#VALUE!</v>
      </c>
      <c r="BH210" s="104" t="e">
        <f ca="1">_05preva_view43[Folder Path2]&amp;"\Colo App "&amp;_05preva_view43[[#This Row],[Operator]]&amp;"\"</f>
        <v>#VALUE!</v>
      </c>
      <c r="BI210" s="63" t="e">
        <f ca="1">_05preva_view43[[#This Row],[Folder Path3]]&amp;_05preva_view43[[#This Row],[File Name]]</f>
        <v>#VALUE!</v>
      </c>
      <c r="BJ210" s="104"/>
      <c r="BK210" s="3"/>
      <c r="BL210" s="3"/>
      <c r="CJ210" s="5"/>
      <c r="CK210" s="5"/>
      <c r="CL210" s="3"/>
      <c r="CN210" s="5"/>
      <c r="CR210" s="3"/>
      <c r="CS210" s="3"/>
      <c r="CT210" s="5"/>
      <c r="CV210" s="3"/>
      <c r="DR210" s="5"/>
      <c r="DT210" s="3"/>
      <c r="EF210" s="7"/>
      <c r="EG210" s="7"/>
      <c r="EJ210" s="4"/>
      <c r="EK210" s="4"/>
      <c r="EU210" s="2"/>
      <c r="EV210" s="2"/>
    </row>
    <row r="211" spans="1:152">
      <c r="A211" s="125">
        <v>3437</v>
      </c>
      <c r="B211" s="126" t="s">
        <v>1194</v>
      </c>
      <c r="C211" s="126" t="s">
        <v>331</v>
      </c>
      <c r="D211" s="126" t="s">
        <v>127</v>
      </c>
      <c r="E211" s="126" t="s">
        <v>1195</v>
      </c>
      <c r="F211" s="126" t="s">
        <v>35</v>
      </c>
      <c r="G211" s="126" t="s">
        <v>1583</v>
      </c>
      <c r="H211" s="126" t="s">
        <v>1575</v>
      </c>
      <c r="I211" s="126" t="s">
        <v>1053</v>
      </c>
      <c r="J211" s="126" t="s">
        <v>990</v>
      </c>
      <c r="K211" s="127">
        <v>43430</v>
      </c>
      <c r="L211" s="128">
        <v>1.9890000000000001</v>
      </c>
      <c r="M211" s="128">
        <v>3.5489999999999999</v>
      </c>
      <c r="N211" s="126">
        <v>4.54</v>
      </c>
      <c r="O211" s="126" t="s">
        <v>950</v>
      </c>
      <c r="P211" s="129" t="s">
        <v>276</v>
      </c>
      <c r="Q211" s="129" t="s">
        <v>277</v>
      </c>
      <c r="R211" s="126" t="s">
        <v>24</v>
      </c>
      <c r="S211" s="126"/>
      <c r="T211" s="130" t="s">
        <v>120</v>
      </c>
      <c r="U211" s="126" t="s">
        <v>1264</v>
      </c>
      <c r="V211" s="130" t="s">
        <v>120</v>
      </c>
      <c r="W211" s="126"/>
      <c r="X211" s="130" t="s">
        <v>120</v>
      </c>
      <c r="Y211" s="126" t="s">
        <v>1298</v>
      </c>
      <c r="Z211" s="165" t="s">
        <v>120</v>
      </c>
      <c r="AA211" s="158"/>
      <c r="AB211" s="158"/>
      <c r="AC211" s="170" t="s">
        <v>123</v>
      </c>
      <c r="AD211" s="126" t="s">
        <v>1330</v>
      </c>
      <c r="AE211" s="130" t="s">
        <v>120</v>
      </c>
      <c r="AF211" s="127" t="s">
        <v>1760</v>
      </c>
      <c r="AG211" s="131"/>
      <c r="AH211" s="131"/>
      <c r="AI211" s="126" t="s">
        <v>1285</v>
      </c>
      <c r="AJ211" s="130" t="s">
        <v>120</v>
      </c>
      <c r="AK211" s="126" t="s">
        <v>123</v>
      </c>
      <c r="AL211" s="126" t="s">
        <v>1198</v>
      </c>
      <c r="AM211" s="130"/>
      <c r="AN211" s="126"/>
      <c r="AO211" s="132"/>
      <c r="AP211" s="126"/>
      <c r="AQ211" s="126"/>
      <c r="AR211" s="130"/>
      <c r="AS211" s="126"/>
      <c r="AT211" s="127">
        <v>43431.352911342598</v>
      </c>
      <c r="AU211" s="127">
        <v>43451.370459027799</v>
      </c>
      <c r="AV211" s="127">
        <v>43433.416368634302</v>
      </c>
      <c r="AW211" s="127">
        <v>43431.352911342598</v>
      </c>
      <c r="AX211" s="127">
        <v>43431.683977893503</v>
      </c>
      <c r="AY211" s="127">
        <v>43430.843760995398</v>
      </c>
      <c r="AZ211" s="133">
        <v>43451.389662268499</v>
      </c>
      <c r="BA211" s="134">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B211" s="135">
        <f>COUNTIFS(_05preva_view43[Site ID],_05preva_view43[[#This Row],[Site ID]],_05preva_view43[Prevalidation Status],"Under Prevalidation")</f>
        <v>0</v>
      </c>
      <c r="BC211" s="157" t="e">
        <f ca="1">HYPERLINK(CheckPath(_05preva_view43[[#This Row],[File Path]],_05preva_view43[[#This Row],[File Path]],_05preva_view43[[#This Row],[Folder Path3]]),CheckPath(_05preva_view43[[#This Row],[File Path]],"Open File","No File"))</f>
        <v>#VALUE!</v>
      </c>
      <c r="BD211" s="136" t="str">
        <f>CONCATENATE(_05preva_view43[[#This Row],[Site ID]]," (",_05preva_view43[[#This Row],[tenant id]],") Application",IF(_05preva_view43[[#This Row],[Colo Rev]]&gt;0," Rev "&amp;_05preva_view43[[#This Row],[Colo Rev]],""),".xlsx")</f>
        <v>1-01-01002-008 (KCN00372) Application Rev 3.xlsx</v>
      </c>
      <c r="BE211" s="64" t="e">
        <f t="shared" ca="1" si="5"/>
        <v>#VALUE!</v>
      </c>
      <c r="BF211" s="104" t="e">
        <f ca="1">LEFT(CELL("filename",A196),_05preva_view43[[#This Row],[Find Process &amp; Database]]-1)</f>
        <v>#VALUE!</v>
      </c>
      <c r="BG211" s="104" t="e">
        <f ca="1">_05preva_view43[Folder Path1]&amp;"Process &amp; Database\Documentation\Colo Applications"</f>
        <v>#VALUE!</v>
      </c>
      <c r="BH211" s="104" t="e">
        <f ca="1">_05preva_view43[Folder Path2]&amp;"\Colo App "&amp;_05preva_view43[[#This Row],[Operator]]&amp;"\"</f>
        <v>#VALUE!</v>
      </c>
      <c r="BI211" s="63" t="e">
        <f ca="1">_05preva_view43[[#This Row],[Folder Path3]]&amp;_05preva_view43[[#This Row],[File Name]]</f>
        <v>#VALUE!</v>
      </c>
      <c r="BJ211" s="104"/>
      <c r="BK211" s="3"/>
      <c r="BL211" s="3"/>
      <c r="CJ211" s="5"/>
      <c r="CK211" s="5"/>
      <c r="CL211" s="3"/>
      <c r="CN211" s="5"/>
      <c r="CR211" s="3"/>
      <c r="CS211" s="3"/>
      <c r="CT211" s="5"/>
      <c r="CV211" s="3"/>
      <c r="DR211" s="5"/>
      <c r="DT211" s="3"/>
      <c r="EF211" s="7"/>
      <c r="EG211" s="7"/>
      <c r="EJ211" s="4"/>
      <c r="EK211" s="4"/>
      <c r="EU211" s="2"/>
      <c r="EV211" s="2"/>
    </row>
    <row r="212" spans="1:152">
      <c r="A212" s="125">
        <v>3439</v>
      </c>
      <c r="B212" s="126" t="s">
        <v>1299</v>
      </c>
      <c r="C212" s="126" t="s">
        <v>331</v>
      </c>
      <c r="D212" s="126" t="s">
        <v>163</v>
      </c>
      <c r="E212" s="126" t="s">
        <v>1300</v>
      </c>
      <c r="F212" s="126" t="s">
        <v>35</v>
      </c>
      <c r="G212" s="126" t="s">
        <v>1583</v>
      </c>
      <c r="H212" s="126" t="s">
        <v>1575</v>
      </c>
      <c r="I212" s="126" t="s">
        <v>1061</v>
      </c>
      <c r="J212" s="126" t="s">
        <v>990</v>
      </c>
      <c r="K212" s="127">
        <v>43430</v>
      </c>
      <c r="L212" s="128">
        <v>1.68</v>
      </c>
      <c r="M212" s="128">
        <v>2.1</v>
      </c>
      <c r="N212" s="126">
        <v>4.59</v>
      </c>
      <c r="O212" s="126" t="s">
        <v>950</v>
      </c>
      <c r="P212" s="129" t="s">
        <v>1275</v>
      </c>
      <c r="Q212" s="129" t="s">
        <v>1276</v>
      </c>
      <c r="R212" s="126" t="s">
        <v>24</v>
      </c>
      <c r="S212" s="126"/>
      <c r="T212" s="130" t="s">
        <v>120</v>
      </c>
      <c r="U212" s="126" t="s">
        <v>1264</v>
      </c>
      <c r="V212" s="130" t="s">
        <v>120</v>
      </c>
      <c r="W212" s="126"/>
      <c r="X212" s="130" t="s">
        <v>120</v>
      </c>
      <c r="Y212" s="126" t="s">
        <v>1301</v>
      </c>
      <c r="Z212" s="165" t="s">
        <v>120</v>
      </c>
      <c r="AA212" s="158"/>
      <c r="AB212" s="158"/>
      <c r="AC212" s="170" t="s">
        <v>123</v>
      </c>
      <c r="AD212" s="126" t="s">
        <v>1331</v>
      </c>
      <c r="AE212" s="130" t="s">
        <v>120</v>
      </c>
      <c r="AF212" s="127" t="s">
        <v>1760</v>
      </c>
      <c r="AG212" s="131"/>
      <c r="AH212" s="131"/>
      <c r="AI212" s="126" t="s">
        <v>1285</v>
      </c>
      <c r="AJ212" s="130" t="s">
        <v>120</v>
      </c>
      <c r="AK212" s="126" t="s">
        <v>123</v>
      </c>
      <c r="AL212" s="126" t="s">
        <v>1198</v>
      </c>
      <c r="AM212" s="130"/>
      <c r="AN212" s="126"/>
      <c r="AO212" s="132"/>
      <c r="AP212" s="126"/>
      <c r="AQ212" s="126"/>
      <c r="AR212" s="130"/>
      <c r="AS212" s="126"/>
      <c r="AT212" s="127">
        <v>43431.352913310198</v>
      </c>
      <c r="AU212" s="127">
        <v>43451.370459722202</v>
      </c>
      <c r="AV212" s="127">
        <v>43433.416369791703</v>
      </c>
      <c r="AW212" s="127">
        <v>43431.352913310198</v>
      </c>
      <c r="AX212" s="127">
        <v>43431.683978472203</v>
      </c>
      <c r="AY212" s="127">
        <v>43430.843765625003</v>
      </c>
      <c r="AZ212" s="133">
        <v>43451.3896634259</v>
      </c>
      <c r="BA212" s="134">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B212" s="135">
        <f>COUNTIFS(_05preva_view43[Site ID],_05preva_view43[[#This Row],[Site ID]],_05preva_view43[Prevalidation Status],"Under Prevalidation")</f>
        <v>0</v>
      </c>
      <c r="BC212" s="157" t="e">
        <f ca="1">HYPERLINK(CheckPath(_05preva_view43[[#This Row],[File Path]],_05preva_view43[[#This Row],[File Path]],_05preva_view43[[#This Row],[Folder Path3]]),CheckPath(_05preva_view43[[#This Row],[File Path]],"Open File","No File"))</f>
        <v>#VALUE!</v>
      </c>
      <c r="BD212" s="136" t="str">
        <f>CONCATENATE(_05preva_view43[[#This Row],[Site ID]]," (",_05preva_view43[[#This Row],[tenant id]],") Application",IF(_05preva_view43[[#This Row],[Colo Rev]]&gt;0," Rev "&amp;_05preva_view43[[#This Row],[Colo Rev]],""),".xlsx")</f>
        <v>1-01-11007-003 (MON00275) Application Rev 3.xlsx</v>
      </c>
      <c r="BE212" s="64" t="e">
        <f t="shared" ca="1" si="5"/>
        <v>#VALUE!</v>
      </c>
      <c r="BF212" s="104" t="e">
        <f ca="1">LEFT(CELL("filename",A197),_05preva_view43[[#This Row],[Find Process &amp; Database]]-1)</f>
        <v>#VALUE!</v>
      </c>
      <c r="BG212" s="104" t="e">
        <f ca="1">_05preva_view43[Folder Path1]&amp;"Process &amp; Database\Documentation\Colo Applications"</f>
        <v>#VALUE!</v>
      </c>
      <c r="BH212" s="104" t="e">
        <f ca="1">_05preva_view43[Folder Path2]&amp;"\Colo App "&amp;_05preva_view43[[#This Row],[Operator]]&amp;"\"</f>
        <v>#VALUE!</v>
      </c>
      <c r="BI212" s="63" t="e">
        <f ca="1">_05preva_view43[[#This Row],[Folder Path3]]&amp;_05preva_view43[[#This Row],[File Name]]</f>
        <v>#VALUE!</v>
      </c>
      <c r="BJ212" s="104"/>
      <c r="BK212" s="3"/>
      <c r="BL212" s="3"/>
      <c r="CJ212" s="5"/>
      <c r="CK212" s="5"/>
      <c r="CL212" s="3"/>
      <c r="CN212" s="5"/>
      <c r="CR212" s="3"/>
      <c r="CS212" s="3"/>
      <c r="CT212" s="5"/>
      <c r="CV212" s="3"/>
      <c r="DR212" s="5"/>
      <c r="DT212" s="3"/>
      <c r="EF212" s="7"/>
      <c r="EG212" s="7"/>
      <c r="EJ212" s="4"/>
      <c r="EK212" s="4"/>
      <c r="EU212" s="2"/>
      <c r="EV212" s="2"/>
    </row>
    <row r="213" spans="1:152">
      <c r="A213" s="125">
        <v>3440</v>
      </c>
      <c r="B213" s="126" t="s">
        <v>997</v>
      </c>
      <c r="C213" s="126" t="s">
        <v>331</v>
      </c>
      <c r="D213" s="126" t="s">
        <v>117</v>
      </c>
      <c r="E213" s="126" t="s">
        <v>998</v>
      </c>
      <c r="F213" s="126" t="s">
        <v>35</v>
      </c>
      <c r="G213" s="126" t="s">
        <v>1583</v>
      </c>
      <c r="H213" s="126" t="s">
        <v>1575</v>
      </c>
      <c r="I213" s="126" t="s">
        <v>1053</v>
      </c>
      <c r="J213" s="126" t="s">
        <v>990</v>
      </c>
      <c r="K213" s="127">
        <v>43430</v>
      </c>
      <c r="L213" s="128">
        <v>3.44</v>
      </c>
      <c r="M213" s="128">
        <v>4.3</v>
      </c>
      <c r="N213" s="126">
        <v>4.55</v>
      </c>
      <c r="O213" s="126" t="s">
        <v>950</v>
      </c>
      <c r="P213" s="129" t="s">
        <v>704</v>
      </c>
      <c r="Q213" s="129" t="s">
        <v>705</v>
      </c>
      <c r="R213" s="126" t="s">
        <v>24</v>
      </c>
      <c r="S213" s="126"/>
      <c r="T213" s="130" t="s">
        <v>120</v>
      </c>
      <c r="U213" s="126" t="s">
        <v>1264</v>
      </c>
      <c r="V213" s="130" t="s">
        <v>120</v>
      </c>
      <c r="W213" s="126"/>
      <c r="X213" s="130" t="s">
        <v>120</v>
      </c>
      <c r="Y213" s="126" t="s">
        <v>1302</v>
      </c>
      <c r="Z213" s="165" t="s">
        <v>120</v>
      </c>
      <c r="AA213" s="158"/>
      <c r="AB213" s="158"/>
      <c r="AC213" s="170" t="s">
        <v>123</v>
      </c>
      <c r="AD213" s="126" t="s">
        <v>1332</v>
      </c>
      <c r="AE213" s="130" t="s">
        <v>120</v>
      </c>
      <c r="AF213" s="127" t="s">
        <v>1761</v>
      </c>
      <c r="AG213" s="131"/>
      <c r="AH213" s="131"/>
      <c r="AI213" s="126" t="s">
        <v>1333</v>
      </c>
      <c r="AJ213" s="130" t="s">
        <v>120</v>
      </c>
      <c r="AK213" s="126" t="s">
        <v>123</v>
      </c>
      <c r="AL213" s="126" t="s">
        <v>1198</v>
      </c>
      <c r="AM213" s="130"/>
      <c r="AN213" s="126"/>
      <c r="AO213" s="132"/>
      <c r="AP213" s="126"/>
      <c r="AQ213" s="126"/>
      <c r="AR213" s="130"/>
      <c r="AS213" s="126"/>
      <c r="AT213" s="127">
        <v>43431.390415624999</v>
      </c>
      <c r="AU213" s="127">
        <v>43451.370461226797</v>
      </c>
      <c r="AV213" s="127">
        <v>43433.611973495397</v>
      </c>
      <c r="AW213" s="127">
        <v>43431.390415624999</v>
      </c>
      <c r="AX213" s="127">
        <v>43431.683979745401</v>
      </c>
      <c r="AY213" s="127">
        <v>43430.8437694444</v>
      </c>
      <c r="AZ213" s="133">
        <v>43451.389664467599</v>
      </c>
      <c r="BA213" s="134">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B213" s="135">
        <f>COUNTIFS(_05preva_view43[Site ID],_05preva_view43[[#This Row],[Site ID]],_05preva_view43[Prevalidation Status],"Under Prevalidation")</f>
        <v>0</v>
      </c>
      <c r="BC213" s="157" t="e">
        <f ca="1">HYPERLINK(CheckPath(_05preva_view43[[#This Row],[File Path]],_05preva_view43[[#This Row],[File Path]],_05preva_view43[[#This Row],[Folder Path3]]),CheckPath(_05preva_view43[[#This Row],[File Path]],"Open File","No File"))</f>
        <v>#VALUE!</v>
      </c>
      <c r="BD213" s="136" t="str">
        <f>CONCATENATE(_05preva_view43[[#This Row],[Site ID]]," (",_05preva_view43[[#This Row],[tenant id]],") Application",IF(_05preva_view43[[#This Row],[Colo Rev]]&gt;0," Rev "&amp;_05preva_view43[[#This Row],[Colo Rev]],""),".xlsx")</f>
        <v>1-01-16001-003 (SHE00021) Application Rev 3.xlsx</v>
      </c>
      <c r="BE213" s="64" t="e">
        <f t="shared" ca="1" si="5"/>
        <v>#VALUE!</v>
      </c>
      <c r="BF213" s="104" t="e">
        <f ca="1">LEFT(CELL("filename",A198),_05preva_view43[[#This Row],[Find Process &amp; Database]]-1)</f>
        <v>#VALUE!</v>
      </c>
      <c r="BG213" s="104" t="e">
        <f ca="1">_05preva_view43[Folder Path1]&amp;"Process &amp; Database\Documentation\Colo Applications"</f>
        <v>#VALUE!</v>
      </c>
      <c r="BH213" s="104" t="e">
        <f ca="1">_05preva_view43[Folder Path2]&amp;"\Colo App "&amp;_05preva_view43[[#This Row],[Operator]]&amp;"\"</f>
        <v>#VALUE!</v>
      </c>
      <c r="BI213" s="63" t="e">
        <f ca="1">_05preva_view43[[#This Row],[Folder Path3]]&amp;_05preva_view43[[#This Row],[File Name]]</f>
        <v>#VALUE!</v>
      </c>
      <c r="BJ213" s="104"/>
      <c r="BK213" s="3"/>
      <c r="BL213" s="3"/>
      <c r="CJ213" s="5"/>
      <c r="CK213" s="5"/>
      <c r="CL213" s="3"/>
      <c r="CN213" s="5"/>
      <c r="CR213" s="3"/>
      <c r="CS213" s="3"/>
      <c r="CT213" s="5"/>
      <c r="CV213" s="3"/>
      <c r="DR213" s="5"/>
      <c r="DT213" s="3"/>
      <c r="EF213" s="7"/>
      <c r="EG213" s="7"/>
      <c r="EJ213" s="4"/>
      <c r="EK213" s="4"/>
      <c r="EU213" s="2"/>
      <c r="EV213" s="2"/>
    </row>
    <row r="214" spans="1:152">
      <c r="A214" s="125">
        <v>3441</v>
      </c>
      <c r="B214" s="126" t="s">
        <v>1201</v>
      </c>
      <c r="C214" s="126" t="s">
        <v>331</v>
      </c>
      <c r="D214" s="126" t="s">
        <v>127</v>
      </c>
      <c r="E214" s="126" t="s">
        <v>1202</v>
      </c>
      <c r="F214" s="126" t="s">
        <v>35</v>
      </c>
      <c r="G214" s="126" t="s">
        <v>1583</v>
      </c>
      <c r="H214" s="126" t="s">
        <v>1575</v>
      </c>
      <c r="I214" s="126" t="s">
        <v>1053</v>
      </c>
      <c r="J214" s="126" t="s">
        <v>949</v>
      </c>
      <c r="K214" s="127">
        <v>43430</v>
      </c>
      <c r="L214" s="128">
        <v>1.9890000000000001</v>
      </c>
      <c r="M214" s="128">
        <v>3.6110000000000002</v>
      </c>
      <c r="N214" s="126">
        <v>4.45</v>
      </c>
      <c r="O214" s="126" t="s">
        <v>950</v>
      </c>
      <c r="P214" s="129" t="s">
        <v>958</v>
      </c>
      <c r="Q214" s="129" t="s">
        <v>959</v>
      </c>
      <c r="R214" s="126" t="s">
        <v>24</v>
      </c>
      <c r="S214" s="126"/>
      <c r="T214" s="130" t="s">
        <v>861</v>
      </c>
      <c r="U214" s="126" t="s">
        <v>1203</v>
      </c>
      <c r="V214" s="130" t="s">
        <v>120</v>
      </c>
      <c r="W214" s="126"/>
      <c r="X214" s="130" t="s">
        <v>120</v>
      </c>
      <c r="Y214" s="126" t="s">
        <v>1303</v>
      </c>
      <c r="Z214" s="165" t="s">
        <v>120</v>
      </c>
      <c r="AA214" s="158"/>
      <c r="AB214" s="158"/>
      <c r="AC214" s="170" t="s">
        <v>123</v>
      </c>
      <c r="AD214" s="126" t="s">
        <v>1334</v>
      </c>
      <c r="AE214" s="130" t="s">
        <v>120</v>
      </c>
      <c r="AF214" s="127" t="s">
        <v>1751</v>
      </c>
      <c r="AG214" s="131"/>
      <c r="AH214" s="131"/>
      <c r="AI214" s="126" t="s">
        <v>1595</v>
      </c>
      <c r="AJ214" s="130" t="s">
        <v>120</v>
      </c>
      <c r="AK214" s="126" t="s">
        <v>123</v>
      </c>
      <c r="AL214" s="126" t="s">
        <v>1198</v>
      </c>
      <c r="AM214" s="130"/>
      <c r="AN214" s="126"/>
      <c r="AO214" s="132"/>
      <c r="AP214" s="126"/>
      <c r="AQ214" s="126"/>
      <c r="AR214" s="130"/>
      <c r="AS214" s="126"/>
      <c r="AT214" s="127">
        <v>43431.3904167824</v>
      </c>
      <c r="AU214" s="127">
        <v>43451.370462615698</v>
      </c>
      <c r="AV214" s="127">
        <v>43432.492968634302</v>
      </c>
      <c r="AW214" s="127">
        <v>43431.3904167824</v>
      </c>
      <c r="AX214" s="127"/>
      <c r="AY214" s="127">
        <v>43452.676278472201</v>
      </c>
      <c r="AZ214" s="133">
        <v>43452.704516782404</v>
      </c>
      <c r="BA214" s="134">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B214" s="135">
        <f>COUNTIFS(_05preva_view43[Site ID],_05preva_view43[[#This Row],[Site ID]],_05preva_view43[Prevalidation Status],"Under Prevalidation")</f>
        <v>0</v>
      </c>
      <c r="BC214" s="157" t="e">
        <f ca="1">HYPERLINK(CheckPath(_05preva_view43[[#This Row],[File Path]],_05preva_view43[[#This Row],[File Path]],_05preva_view43[[#This Row],[Folder Path3]]),CheckPath(_05preva_view43[[#This Row],[File Path]],"Open File","No File"))</f>
        <v>#VALUE!</v>
      </c>
      <c r="BD214" s="136" t="str">
        <f>CONCATENATE(_05preva_view43[[#This Row],[Site ID]]," (",_05preva_view43[[#This Row],[tenant id]],") Application",IF(_05preva_view43[[#This Row],[Colo Rev]]&gt;0," Rev "&amp;_05preva_view43[[#This Row],[Colo Rev]],""),".xlsx")</f>
        <v>1-01-15012-002 (SHN00218) Application Rev 2.xlsx</v>
      </c>
      <c r="BE214" s="64" t="e">
        <f t="shared" ca="1" si="5"/>
        <v>#VALUE!</v>
      </c>
      <c r="BF214" s="104" t="e">
        <f ca="1">LEFT(CELL("filename",A199),_05preva_view43[[#This Row],[Find Process &amp; Database]]-1)</f>
        <v>#VALUE!</v>
      </c>
      <c r="BG214" s="104" t="e">
        <f ca="1">_05preva_view43[Folder Path1]&amp;"Process &amp; Database\Documentation\Colo Applications"</f>
        <v>#VALUE!</v>
      </c>
      <c r="BH214" s="104" t="e">
        <f ca="1">_05preva_view43[Folder Path2]&amp;"\Colo App "&amp;_05preva_view43[[#This Row],[Operator]]&amp;"\"</f>
        <v>#VALUE!</v>
      </c>
      <c r="BI214" s="63" t="e">
        <f ca="1">_05preva_view43[[#This Row],[Folder Path3]]&amp;_05preva_view43[[#This Row],[File Name]]</f>
        <v>#VALUE!</v>
      </c>
      <c r="BJ214" s="104"/>
      <c r="BK214" s="3"/>
      <c r="BL214" s="3"/>
      <c r="CJ214" s="5"/>
      <c r="CK214" s="5"/>
      <c r="CL214" s="3"/>
      <c r="CN214" s="5"/>
      <c r="CR214" s="3"/>
      <c r="CS214" s="3"/>
      <c r="CT214" s="5"/>
      <c r="CV214" s="3"/>
      <c r="DR214" s="5"/>
      <c r="DT214" s="3"/>
      <c r="EF214" s="7"/>
      <c r="EG214" s="7"/>
      <c r="EJ214" s="4"/>
      <c r="EK214" s="4"/>
      <c r="EU214" s="2"/>
      <c r="EV214" s="2"/>
    </row>
    <row r="215" spans="1:152">
      <c r="A215" s="125">
        <v>3442</v>
      </c>
      <c r="B215" s="126" t="s">
        <v>972</v>
      </c>
      <c r="C215" s="126" t="s">
        <v>331</v>
      </c>
      <c r="D215" s="126" t="s">
        <v>163</v>
      </c>
      <c r="E215" s="126" t="s">
        <v>973</v>
      </c>
      <c r="F215" s="126" t="s">
        <v>35</v>
      </c>
      <c r="G215" s="126" t="s">
        <v>1583</v>
      </c>
      <c r="H215" s="126" t="s">
        <v>1575</v>
      </c>
      <c r="I215" s="126" t="s">
        <v>1048</v>
      </c>
      <c r="J215" s="126" t="s">
        <v>1304</v>
      </c>
      <c r="K215" s="127">
        <v>43430</v>
      </c>
      <c r="L215" s="128">
        <v>2.64</v>
      </c>
      <c r="M215" s="128">
        <v>3.3</v>
      </c>
      <c r="N215" s="126">
        <v>4.4400000000000004</v>
      </c>
      <c r="O215" s="126" t="s">
        <v>950</v>
      </c>
      <c r="P215" s="129" t="s">
        <v>958</v>
      </c>
      <c r="Q215" s="129" t="s">
        <v>959</v>
      </c>
      <c r="R215" s="126" t="s">
        <v>24</v>
      </c>
      <c r="S215" s="126"/>
      <c r="T215" s="130" t="s">
        <v>120</v>
      </c>
      <c r="U215" s="126" t="s">
        <v>1264</v>
      </c>
      <c r="V215" s="130" t="s">
        <v>120</v>
      </c>
      <c r="W215" s="126"/>
      <c r="X215" s="130" t="s">
        <v>120</v>
      </c>
      <c r="Y215" s="126" t="s">
        <v>1305</v>
      </c>
      <c r="Z215" s="165" t="s">
        <v>120</v>
      </c>
      <c r="AA215" s="158"/>
      <c r="AB215" s="158"/>
      <c r="AC215" s="170" t="s">
        <v>123</v>
      </c>
      <c r="AD215" s="126" t="s">
        <v>1335</v>
      </c>
      <c r="AE215" s="130" t="s">
        <v>120</v>
      </c>
      <c r="AF215" s="127" t="s">
        <v>1762</v>
      </c>
      <c r="AG215" s="131"/>
      <c r="AH215" s="131"/>
      <c r="AI215" s="126" t="s">
        <v>1596</v>
      </c>
      <c r="AJ215" s="130" t="s">
        <v>120</v>
      </c>
      <c r="AK215" s="126" t="s">
        <v>123</v>
      </c>
      <c r="AL215" s="126" t="s">
        <v>1198</v>
      </c>
      <c r="AM215" s="130"/>
      <c r="AN215" s="126"/>
      <c r="AO215" s="132"/>
      <c r="AP215" s="126"/>
      <c r="AQ215" s="126"/>
      <c r="AR215" s="130"/>
      <c r="AS215" s="126"/>
      <c r="AT215" s="127">
        <v>43431.390417245399</v>
      </c>
      <c r="AU215" s="127">
        <v>43451.370463194398</v>
      </c>
      <c r="AV215" s="127">
        <v>43432.688025347197</v>
      </c>
      <c r="AW215" s="127">
        <v>43431.390417245399</v>
      </c>
      <c r="AX215" s="127">
        <v>43431.683982407398</v>
      </c>
      <c r="AY215" s="127">
        <v>43430.843780092597</v>
      </c>
      <c r="AZ215" s="133">
        <v>43451.389666319403</v>
      </c>
      <c r="BA215" s="134">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B215" s="135">
        <f>COUNTIFS(_05preva_view43[Site ID],_05preva_view43[[#This Row],[Site ID]],_05preva_view43[Prevalidation Status],"Under Prevalidation")</f>
        <v>0</v>
      </c>
      <c r="BC215" s="157" t="e">
        <f ca="1">HYPERLINK(CheckPath(_05preva_view43[[#This Row],[File Path]],_05preva_view43[[#This Row],[File Path]],_05preva_view43[[#This Row],[Folder Path3]]),CheckPath(_05preva_view43[[#This Row],[File Path]],"Open File","No File"))</f>
        <v>#VALUE!</v>
      </c>
      <c r="BD215" s="136" t="str">
        <f>CONCATENATE(_05preva_view43[[#This Row],[Site ID]]," (",_05preva_view43[[#This Row],[tenant id]],") Application",IF(_05preva_view43[[#This Row],[Colo Rev]]&gt;0," Rev "&amp;_05preva_view43[[#This Row],[Colo Rev]],""),".xlsx")</f>
        <v>1-01-06008-002 (TNY00033) Application Rev 5.xlsx</v>
      </c>
      <c r="BE215" s="64" t="e">
        <f t="shared" ca="1" si="5"/>
        <v>#VALUE!</v>
      </c>
      <c r="BF215" s="104" t="e">
        <f ca="1">LEFT(CELL("filename",A200),_05preva_view43[[#This Row],[Find Process &amp; Database]]-1)</f>
        <v>#VALUE!</v>
      </c>
      <c r="BG215" s="104" t="e">
        <f ca="1">_05preva_view43[Folder Path1]&amp;"Process &amp; Database\Documentation\Colo Applications"</f>
        <v>#VALUE!</v>
      </c>
      <c r="BH215" s="104" t="e">
        <f ca="1">_05preva_view43[Folder Path2]&amp;"\Colo App "&amp;_05preva_view43[[#This Row],[Operator]]&amp;"\"</f>
        <v>#VALUE!</v>
      </c>
      <c r="BI215" s="63" t="e">
        <f ca="1">_05preva_view43[[#This Row],[Folder Path3]]&amp;_05preva_view43[[#This Row],[File Name]]</f>
        <v>#VALUE!</v>
      </c>
      <c r="BJ215" s="104"/>
      <c r="BK215" s="3"/>
      <c r="BL215" s="3"/>
      <c r="CJ215" s="5"/>
      <c r="CK215" s="5"/>
      <c r="CL215" s="3"/>
      <c r="CN215" s="5"/>
      <c r="CR215" s="3"/>
      <c r="CS215" s="3"/>
      <c r="CT215" s="5"/>
      <c r="CV215" s="3"/>
      <c r="DR215" s="5"/>
      <c r="DT215" s="3"/>
      <c r="EF215" s="7"/>
      <c r="EG215" s="7"/>
      <c r="EJ215" s="4"/>
      <c r="EK215" s="4"/>
      <c r="EU215" s="2"/>
      <c r="EV215" s="2"/>
    </row>
    <row r="216" spans="1:152">
      <c r="A216" s="125">
        <v>3443</v>
      </c>
      <c r="B216" s="126" t="s">
        <v>1306</v>
      </c>
      <c r="C216" s="126" t="s">
        <v>116</v>
      </c>
      <c r="D216" s="126" t="s">
        <v>127</v>
      </c>
      <c r="E216" s="126" t="s">
        <v>1307</v>
      </c>
      <c r="F216" s="126" t="s">
        <v>35</v>
      </c>
      <c r="G216" s="126" t="s">
        <v>1577</v>
      </c>
      <c r="H216" s="126" t="s">
        <v>1575</v>
      </c>
      <c r="I216" s="126" t="s">
        <v>1053</v>
      </c>
      <c r="J216" s="126" t="s">
        <v>949</v>
      </c>
      <c r="K216" s="127">
        <v>43430</v>
      </c>
      <c r="L216" s="128">
        <v>2.097</v>
      </c>
      <c r="M216" s="128">
        <v>3.669</v>
      </c>
      <c r="N216" s="126">
        <v>9.01</v>
      </c>
      <c r="O216" s="126" t="s">
        <v>119</v>
      </c>
      <c r="P216" s="129" t="s">
        <v>263</v>
      </c>
      <c r="Q216" s="129" t="s">
        <v>264</v>
      </c>
      <c r="R216" s="126" t="s">
        <v>24</v>
      </c>
      <c r="S216" s="126"/>
      <c r="T216" s="130" t="s">
        <v>120</v>
      </c>
      <c r="U216" s="126" t="s">
        <v>1336</v>
      </c>
      <c r="V216" s="130" t="s">
        <v>120</v>
      </c>
      <c r="W216" s="126" t="s">
        <v>120</v>
      </c>
      <c r="X216" s="130" t="s">
        <v>120</v>
      </c>
      <c r="Y216" s="126" t="s">
        <v>1308</v>
      </c>
      <c r="Z216" s="165" t="s">
        <v>120</v>
      </c>
      <c r="AA216" s="158"/>
      <c r="AB216" s="158"/>
      <c r="AC216" s="170" t="s">
        <v>123</v>
      </c>
      <c r="AD216" s="126" t="s">
        <v>1337</v>
      </c>
      <c r="AE216" s="130" t="s">
        <v>120</v>
      </c>
      <c r="AF216" s="127"/>
      <c r="AG216" s="131"/>
      <c r="AH216" s="131"/>
      <c r="AI216" s="126"/>
      <c r="AJ216" s="130" t="s">
        <v>120</v>
      </c>
      <c r="AK216" s="126" t="s">
        <v>123</v>
      </c>
      <c r="AL216" s="126" t="s">
        <v>1198</v>
      </c>
      <c r="AM216" s="130"/>
      <c r="AN216" s="126"/>
      <c r="AO216" s="132"/>
      <c r="AP216" s="126"/>
      <c r="AQ216" s="126"/>
      <c r="AR216" s="130"/>
      <c r="AS216" s="126"/>
      <c r="AT216" s="127">
        <v>43431.390418171301</v>
      </c>
      <c r="AU216" s="127">
        <v>43431.743153124997</v>
      </c>
      <c r="AV216" s="127">
        <v>43433.558900347198</v>
      </c>
      <c r="AW216" s="127">
        <v>43431.631299305598</v>
      </c>
      <c r="AX216" s="127">
        <v>43431.683982986098</v>
      </c>
      <c r="AY216" s="127">
        <v>43431.647567361098</v>
      </c>
      <c r="AZ216" s="133">
        <v>43433.558900347198</v>
      </c>
      <c r="BA216" s="134">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B216" s="135">
        <f>COUNTIFS(_05preva_view43[Site ID],_05preva_view43[[#This Row],[Site ID]],_05preva_view43[Prevalidation Status],"Under Prevalidation")</f>
        <v>0</v>
      </c>
      <c r="BC216" s="157" t="e">
        <f ca="1">HYPERLINK(CheckPath(_05preva_view43[[#This Row],[File Path]],_05preva_view43[[#This Row],[File Path]],_05preva_view43[[#This Row],[Folder Path3]]),CheckPath(_05preva_view43[[#This Row],[File Path]],"Open File","No File"))</f>
        <v>#VALUE!</v>
      </c>
      <c r="BD216" s="136" t="str">
        <f>CONCATENATE(_05preva_view43[[#This Row],[Site ID]]," (",_05preva_view43[[#This Row],[tenant id]],") Application",IF(_05preva_view43[[#This Row],[Colo Rev]]&gt;0," Rev "&amp;_05preva_view43[[#This Row],[Colo Rev]],""),".xlsx")</f>
        <v>ANSG_0393 (SGG00203) Application Rev 2.xlsx</v>
      </c>
      <c r="BE216" s="64" t="e">
        <f t="shared" ca="1" si="5"/>
        <v>#VALUE!</v>
      </c>
      <c r="BF216" s="104" t="e">
        <f ca="1">LEFT(CELL("filename",A201),_05preva_view43[[#This Row],[Find Process &amp; Database]]-1)</f>
        <v>#VALUE!</v>
      </c>
      <c r="BG216" s="104" t="e">
        <f ca="1">_05preva_view43[Folder Path1]&amp;"Process &amp; Database\Documentation\Colo Applications"</f>
        <v>#VALUE!</v>
      </c>
      <c r="BH216" s="104" t="e">
        <f ca="1">_05preva_view43[Folder Path2]&amp;"\Colo App "&amp;_05preva_view43[[#This Row],[Operator]]&amp;"\"</f>
        <v>#VALUE!</v>
      </c>
      <c r="BI216" s="63" t="e">
        <f ca="1">_05preva_view43[[#This Row],[Folder Path3]]&amp;_05preva_view43[[#This Row],[File Name]]</f>
        <v>#VALUE!</v>
      </c>
      <c r="BJ216" s="104"/>
      <c r="BK216" s="3"/>
      <c r="BL216" s="3"/>
      <c r="CJ216" s="5"/>
      <c r="CK216" s="5"/>
      <c r="CL216" s="3"/>
      <c r="CN216" s="5"/>
      <c r="CR216" s="3"/>
      <c r="CS216" s="3"/>
      <c r="CT216" s="5"/>
      <c r="CV216" s="3"/>
      <c r="DR216" s="5"/>
      <c r="DT216" s="3"/>
      <c r="EF216" s="7"/>
      <c r="EG216" s="7"/>
      <c r="EJ216" s="4"/>
      <c r="EK216" s="4"/>
      <c r="EU216" s="2"/>
      <c r="EV216" s="2"/>
    </row>
    <row r="217" spans="1:152">
      <c r="A217" s="125">
        <v>3444</v>
      </c>
      <c r="B217" s="126" t="s">
        <v>1309</v>
      </c>
      <c r="C217" s="126" t="s">
        <v>116</v>
      </c>
      <c r="D217" s="126" t="s">
        <v>127</v>
      </c>
      <c r="E217" s="126" t="s">
        <v>1310</v>
      </c>
      <c r="F217" s="126" t="s">
        <v>35</v>
      </c>
      <c r="G217" s="126" t="s">
        <v>1585</v>
      </c>
      <c r="H217" s="126" t="s">
        <v>1580</v>
      </c>
      <c r="I217" s="126" t="s">
        <v>1311</v>
      </c>
      <c r="J217" s="126" t="s">
        <v>940</v>
      </c>
      <c r="K217" s="127">
        <v>43430</v>
      </c>
      <c r="L217" s="128">
        <v>0.98299999999999998</v>
      </c>
      <c r="M217" s="128">
        <v>1.6779999999999999</v>
      </c>
      <c r="N217" s="126">
        <v>3.91</v>
      </c>
      <c r="O217" s="126" t="s">
        <v>119</v>
      </c>
      <c r="P217" s="129" t="s">
        <v>276</v>
      </c>
      <c r="Q217" s="129" t="s">
        <v>277</v>
      </c>
      <c r="R217" s="126" t="s">
        <v>24</v>
      </c>
      <c r="S217" s="126"/>
      <c r="T217" s="130" t="s">
        <v>120</v>
      </c>
      <c r="U217" s="126" t="s">
        <v>1336</v>
      </c>
      <c r="V217" s="130" t="s">
        <v>120</v>
      </c>
      <c r="W217" s="126"/>
      <c r="X217" s="130" t="s">
        <v>120</v>
      </c>
      <c r="Y217" s="126" t="s">
        <v>1312</v>
      </c>
      <c r="Z217" s="165" t="s">
        <v>120</v>
      </c>
      <c r="AA217" s="158"/>
      <c r="AB217" s="158"/>
      <c r="AC217" s="170" t="s">
        <v>123</v>
      </c>
      <c r="AD217" s="126" t="s">
        <v>1338</v>
      </c>
      <c r="AE217" s="130" t="s">
        <v>120</v>
      </c>
      <c r="AF217" s="127"/>
      <c r="AG217" s="131"/>
      <c r="AH217" s="131"/>
      <c r="AI217" s="126"/>
      <c r="AJ217" s="130" t="s">
        <v>120</v>
      </c>
      <c r="AK217" s="126" t="s">
        <v>240</v>
      </c>
      <c r="AL217" s="126" t="s">
        <v>1313</v>
      </c>
      <c r="AM217" s="130"/>
      <c r="AN217" s="126"/>
      <c r="AO217" s="132"/>
      <c r="AP217" s="126"/>
      <c r="AQ217" s="126"/>
      <c r="AR217" s="130"/>
      <c r="AS217" s="126"/>
      <c r="AT217" s="127">
        <v>43431.390419097203</v>
      </c>
      <c r="AU217" s="127">
        <v>43431.743155902797</v>
      </c>
      <c r="AV217" s="127">
        <v>43433.685579282399</v>
      </c>
      <c r="AW217" s="127">
        <v>43431.390419097203</v>
      </c>
      <c r="AX217" s="127">
        <v>43431.683984259304</v>
      </c>
      <c r="AY217" s="127">
        <v>43430.830383564797</v>
      </c>
      <c r="AZ217" s="133">
        <v>43433.685579282399</v>
      </c>
      <c r="BA217" s="134">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B217" s="135">
        <f>COUNTIFS(_05preva_view43[Site ID],_05preva_view43[[#This Row],[Site ID]],_05preva_view43[Prevalidation Status],"Under Prevalidation")</f>
        <v>0</v>
      </c>
      <c r="BC217" s="157" t="e">
        <f ca="1">HYPERLINK(CheckPath(_05preva_view43[[#This Row],[File Path]],_05preva_view43[[#This Row],[File Path]],_05preva_view43[[#This Row],[Folder Path3]]),CheckPath(_05preva_view43[[#This Row],[File Path]],"Open File","No File"))</f>
        <v>#VALUE!</v>
      </c>
      <c r="BD217" s="136" t="str">
        <f>CONCATENATE(_05preva_view43[[#This Row],[Site ID]]," (",_05preva_view43[[#This Row],[tenant id]],") Application",IF(_05preva_view43[[#This Row],[Colo Rev]]&gt;0," Rev "&amp;_05preva_view43[[#This Row],[Colo Rev]],""),".xlsx")</f>
        <v>ANMD_3001 (MDY01695) Application Rev 0.xlsx</v>
      </c>
      <c r="BE217" s="64" t="e">
        <f t="shared" ca="1" si="5"/>
        <v>#VALUE!</v>
      </c>
      <c r="BF217" s="104" t="e">
        <f ca="1">LEFT(CELL("filename",A202),_05preva_view43[[#This Row],[Find Process &amp; Database]]-1)</f>
        <v>#VALUE!</v>
      </c>
      <c r="BG217" s="104" t="e">
        <f ca="1">_05preva_view43[Folder Path1]&amp;"Process &amp; Database\Documentation\Colo Applications"</f>
        <v>#VALUE!</v>
      </c>
      <c r="BH217" s="104" t="e">
        <f ca="1">_05preva_view43[Folder Path2]&amp;"\Colo App "&amp;_05preva_view43[[#This Row],[Operator]]&amp;"\"</f>
        <v>#VALUE!</v>
      </c>
      <c r="BI217" s="63" t="e">
        <f ca="1">_05preva_view43[[#This Row],[Folder Path3]]&amp;_05preva_view43[[#This Row],[File Name]]</f>
        <v>#VALUE!</v>
      </c>
      <c r="BJ217" s="104"/>
      <c r="BK217" s="3"/>
      <c r="BL217" s="3"/>
      <c r="CJ217" s="5"/>
      <c r="CK217" s="5"/>
      <c r="CL217" s="3"/>
      <c r="CN217" s="5"/>
      <c r="CR217" s="3"/>
      <c r="CS217" s="3"/>
      <c r="CT217" s="5"/>
      <c r="CV217" s="3"/>
      <c r="DR217" s="5"/>
      <c r="DT217" s="3"/>
      <c r="EF217" s="7"/>
      <c r="EG217" s="7"/>
      <c r="EJ217" s="4"/>
      <c r="EK217" s="4"/>
      <c r="EU217" s="2"/>
      <c r="EV217" s="2"/>
    </row>
    <row r="218" spans="1:152">
      <c r="A218" s="125">
        <v>3429</v>
      </c>
      <c r="B218" s="126" t="s">
        <v>1261</v>
      </c>
      <c r="C218" s="126" t="s">
        <v>331</v>
      </c>
      <c r="D218" s="126" t="s">
        <v>127</v>
      </c>
      <c r="E218" s="126" t="s">
        <v>1262</v>
      </c>
      <c r="F218" s="126" t="s">
        <v>35</v>
      </c>
      <c r="G218" s="126" t="s">
        <v>1583</v>
      </c>
      <c r="H218" s="126" t="s">
        <v>1575</v>
      </c>
      <c r="I218" s="126" t="s">
        <v>1263</v>
      </c>
      <c r="J218" s="126" t="s">
        <v>931</v>
      </c>
      <c r="K218" s="127">
        <v>43424</v>
      </c>
      <c r="L218" s="128">
        <v>1</v>
      </c>
      <c r="M218" s="128">
        <v>1.4</v>
      </c>
      <c r="N218" s="126">
        <v>3.7429999999999999</v>
      </c>
      <c r="O218" s="126" t="s">
        <v>950</v>
      </c>
      <c r="P218" s="129" t="s">
        <v>958</v>
      </c>
      <c r="Q218" s="129" t="s">
        <v>959</v>
      </c>
      <c r="R218" s="126" t="s">
        <v>24</v>
      </c>
      <c r="S218" s="126"/>
      <c r="T218" s="130" t="s">
        <v>120</v>
      </c>
      <c r="U218" s="126" t="s">
        <v>1264</v>
      </c>
      <c r="V218" s="130" t="s">
        <v>120</v>
      </c>
      <c r="W218" s="126"/>
      <c r="X218" s="130" t="s">
        <v>120</v>
      </c>
      <c r="Y218" s="126" t="s">
        <v>1265</v>
      </c>
      <c r="Z218" s="165" t="s">
        <v>120</v>
      </c>
      <c r="AA218" s="158"/>
      <c r="AB218" s="158"/>
      <c r="AC218" s="170" t="s">
        <v>123</v>
      </c>
      <c r="AD218" s="126" t="s">
        <v>1266</v>
      </c>
      <c r="AE218" s="130" t="s">
        <v>120</v>
      </c>
      <c r="AF218" s="127"/>
      <c r="AG218" s="131"/>
      <c r="AH218" s="131"/>
      <c r="AI218" s="126" t="s">
        <v>1267</v>
      </c>
      <c r="AJ218" s="130" t="s">
        <v>120</v>
      </c>
      <c r="AK218" s="126" t="s">
        <v>123</v>
      </c>
      <c r="AL218" s="126" t="s">
        <v>1198</v>
      </c>
      <c r="AM218" s="130"/>
      <c r="AN218" s="126"/>
      <c r="AO218" s="132"/>
      <c r="AP218" s="126"/>
      <c r="AQ218" s="126"/>
      <c r="AR218" s="130"/>
      <c r="AS218" s="126"/>
      <c r="AT218" s="127">
        <v>43424.694659953697</v>
      </c>
      <c r="AU218" s="127">
        <v>43424.698242824103</v>
      </c>
      <c r="AV218" s="127">
        <v>43430.680181713004</v>
      </c>
      <c r="AW218" s="127">
        <v>43424.694659953697</v>
      </c>
      <c r="AX218" s="127">
        <v>43430.4966569444</v>
      </c>
      <c r="AY218" s="127">
        <v>43430.843723842598</v>
      </c>
      <c r="AZ218" s="133">
        <v>43430.843723842598</v>
      </c>
      <c r="BA218" s="134">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B218" s="135">
        <f>COUNTIFS(_05preva_view43[Site ID],_05preva_view43[[#This Row],[Site ID]],_05preva_view43[Prevalidation Status],"Under Prevalidation")</f>
        <v>0</v>
      </c>
      <c r="BC218" s="157" t="e">
        <f ca="1">HYPERLINK(CheckPath(_05preva_view43[[#This Row],[File Path]],_05preva_view43[[#This Row],[File Path]],_05preva_view43[[#This Row],[Folder Path3]]),CheckPath(_05preva_view43[[#This Row],[File Path]],"Open File","No File"))</f>
        <v>#VALUE!</v>
      </c>
      <c r="BD218" s="136" t="str">
        <f>CONCATENATE(_05preva_view43[[#This Row],[Site ID]]," (",_05preva_view43[[#This Row],[tenant id]],") Application",IF(_05preva_view43[[#This Row],[Colo Rev]]&gt;0," Rev "&amp;_05preva_view43[[#This Row],[Colo Rev]],""),".xlsx")</f>
        <v>1-01-05010-002 (SGG00209) Application Rev 1.xlsx</v>
      </c>
      <c r="BE218" s="64" t="e">
        <f t="shared" ca="1" si="5"/>
        <v>#VALUE!</v>
      </c>
      <c r="BF218" s="104" t="e">
        <f ca="1">LEFT(CELL("filename",A203),_05preva_view43[[#This Row],[Find Process &amp; Database]]-1)</f>
        <v>#VALUE!</v>
      </c>
      <c r="BG218" s="104" t="e">
        <f ca="1">_05preva_view43[Folder Path1]&amp;"Process &amp; Database\Documentation\Colo Applications"</f>
        <v>#VALUE!</v>
      </c>
      <c r="BH218" s="104" t="e">
        <f ca="1">_05preva_view43[Folder Path2]&amp;"\Colo App "&amp;_05preva_view43[[#This Row],[Operator]]&amp;"\"</f>
        <v>#VALUE!</v>
      </c>
      <c r="BI218" s="63" t="e">
        <f ca="1">_05preva_view43[[#This Row],[Folder Path3]]&amp;_05preva_view43[[#This Row],[File Name]]</f>
        <v>#VALUE!</v>
      </c>
      <c r="BJ218" s="104"/>
      <c r="BK218" s="3"/>
      <c r="BL218" s="3"/>
      <c r="CJ218" s="5"/>
      <c r="CK218" s="5"/>
      <c r="CL218" s="3"/>
      <c r="CN218" s="5"/>
      <c r="CR218" s="3"/>
      <c r="CS218" s="3"/>
      <c r="CT218" s="5"/>
      <c r="CV218" s="3"/>
      <c r="DR218" s="5"/>
      <c r="DT218" s="3"/>
      <c r="EF218" s="7"/>
      <c r="EG218" s="7"/>
      <c r="EJ218" s="4"/>
      <c r="EK218" s="4"/>
      <c r="EU218" s="2"/>
      <c r="EV218" s="2"/>
    </row>
    <row r="219" spans="1:152">
      <c r="A219" s="125">
        <v>3430</v>
      </c>
      <c r="B219" s="126" t="s">
        <v>1268</v>
      </c>
      <c r="C219" s="126" t="s">
        <v>331</v>
      </c>
      <c r="D219" s="126" t="s">
        <v>127</v>
      </c>
      <c r="E219" s="126" t="s">
        <v>1269</v>
      </c>
      <c r="F219" s="126" t="s">
        <v>35</v>
      </c>
      <c r="G219" s="126" t="s">
        <v>1583</v>
      </c>
      <c r="H219" s="126" t="s">
        <v>1575</v>
      </c>
      <c r="I219" s="126" t="s">
        <v>1263</v>
      </c>
      <c r="J219" s="126" t="s">
        <v>949</v>
      </c>
      <c r="K219" s="127">
        <v>43424</v>
      </c>
      <c r="L219" s="128">
        <v>1.1619999999999999</v>
      </c>
      <c r="M219" s="128">
        <v>1.68</v>
      </c>
      <c r="N219" s="126">
        <v>10.129</v>
      </c>
      <c r="O219" s="126" t="s">
        <v>950</v>
      </c>
      <c r="P219" s="129" t="s">
        <v>1270</v>
      </c>
      <c r="Q219" s="129" t="s">
        <v>1271</v>
      </c>
      <c r="R219" s="126" t="s">
        <v>24</v>
      </c>
      <c r="S219" s="126"/>
      <c r="T219" s="130" t="s">
        <v>120</v>
      </c>
      <c r="U219" s="126" t="s">
        <v>1264</v>
      </c>
      <c r="V219" s="130" t="s">
        <v>120</v>
      </c>
      <c r="W219" s="126"/>
      <c r="X219" s="130" t="s">
        <v>120</v>
      </c>
      <c r="Y219" s="126" t="s">
        <v>1272</v>
      </c>
      <c r="Z219" s="165" t="s">
        <v>120</v>
      </c>
      <c r="AA219" s="158"/>
      <c r="AB219" s="158"/>
      <c r="AC219" s="170" t="s">
        <v>123</v>
      </c>
      <c r="AD219" s="126" t="s">
        <v>1323</v>
      </c>
      <c r="AE219" s="130" t="s">
        <v>120</v>
      </c>
      <c r="AF219" s="127"/>
      <c r="AG219" s="131"/>
      <c r="AH219" s="131"/>
      <c r="AI219" s="126" t="s">
        <v>1267</v>
      </c>
      <c r="AJ219" s="130" t="s">
        <v>120</v>
      </c>
      <c r="AK219" s="126" t="s">
        <v>123</v>
      </c>
      <c r="AL219" s="126" t="s">
        <v>1198</v>
      </c>
      <c r="AM219" s="130"/>
      <c r="AN219" s="126"/>
      <c r="AO219" s="132"/>
      <c r="AP219" s="126"/>
      <c r="AQ219" s="126"/>
      <c r="AR219" s="130"/>
      <c r="AS219" s="126"/>
      <c r="AT219" s="127">
        <v>43424.694662268499</v>
      </c>
      <c r="AU219" s="127">
        <v>43424.698243634302</v>
      </c>
      <c r="AV219" s="127">
        <v>43431.481612962998</v>
      </c>
      <c r="AW219" s="127">
        <v>43424.694662268499</v>
      </c>
      <c r="AX219" s="127">
        <v>43430.496660185199</v>
      </c>
      <c r="AY219" s="127">
        <v>43430.843728703701</v>
      </c>
      <c r="AZ219" s="133">
        <v>43431.481612962998</v>
      </c>
      <c r="BA219" s="134">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B219" s="135">
        <f>COUNTIFS(_05preva_view43[Site ID],_05preva_view43[[#This Row],[Site ID]],_05preva_view43[Prevalidation Status],"Under Prevalidation")</f>
        <v>0</v>
      </c>
      <c r="BC219" s="157" t="e">
        <f ca="1">HYPERLINK(CheckPath(_05preva_view43[[#This Row],[File Path]],_05preva_view43[[#This Row],[File Path]],_05preva_view43[[#This Row],[Folder Path3]]),CheckPath(_05preva_view43[[#This Row],[File Path]],"Open File","No File"))</f>
        <v>#VALUE!</v>
      </c>
      <c r="BD219" s="136" t="str">
        <f>CONCATENATE(_05preva_view43[[#This Row],[Site ID]]," (",_05preva_view43[[#This Row],[tenant id]],") Application",IF(_05preva_view43[[#This Row],[Colo Rev]]&gt;0," Rev "&amp;_05preva_view43[[#This Row],[Colo Rev]],""),".xlsx")</f>
        <v>1-01-05010-006 (SGG00232) Application Rev 2.xlsx</v>
      </c>
      <c r="BE219" s="64" t="e">
        <f t="shared" ca="1" si="5"/>
        <v>#VALUE!</v>
      </c>
      <c r="BF219" s="104" t="e">
        <f ca="1">LEFT(CELL("filename",A204),_05preva_view43[[#This Row],[Find Process &amp; Database]]-1)</f>
        <v>#VALUE!</v>
      </c>
      <c r="BG219" s="104" t="e">
        <f ca="1">_05preva_view43[Folder Path1]&amp;"Process &amp; Database\Documentation\Colo Applications"</f>
        <v>#VALUE!</v>
      </c>
      <c r="BH219" s="104" t="e">
        <f ca="1">_05preva_view43[Folder Path2]&amp;"\Colo App "&amp;_05preva_view43[[#This Row],[Operator]]&amp;"\"</f>
        <v>#VALUE!</v>
      </c>
      <c r="BI219" s="63" t="e">
        <f ca="1">_05preva_view43[[#This Row],[Folder Path3]]&amp;_05preva_view43[[#This Row],[File Name]]</f>
        <v>#VALUE!</v>
      </c>
      <c r="BJ219" s="104"/>
      <c r="BK219" s="3"/>
      <c r="BL219" s="3"/>
      <c r="CJ219" s="5"/>
      <c r="CK219" s="5"/>
      <c r="CL219" s="3"/>
      <c r="CN219" s="5"/>
      <c r="CR219" s="3"/>
      <c r="CS219" s="3"/>
      <c r="CT219" s="5"/>
      <c r="CV219" s="3"/>
      <c r="DR219" s="5"/>
      <c r="DT219" s="3"/>
      <c r="EF219" s="7"/>
      <c r="EG219" s="7"/>
      <c r="EJ219" s="4"/>
      <c r="EK219" s="4"/>
      <c r="EU219" s="2"/>
      <c r="EV219" s="2"/>
    </row>
    <row r="220" spans="1:152">
      <c r="A220" s="125">
        <v>3431</v>
      </c>
      <c r="B220" s="126" t="s">
        <v>1273</v>
      </c>
      <c r="C220" s="126" t="s">
        <v>331</v>
      </c>
      <c r="D220" s="126" t="s">
        <v>127</v>
      </c>
      <c r="E220" s="126" t="s">
        <v>1274</v>
      </c>
      <c r="F220" s="126" t="s">
        <v>35</v>
      </c>
      <c r="G220" s="126" t="s">
        <v>1583</v>
      </c>
      <c r="H220" s="126" t="s">
        <v>1575</v>
      </c>
      <c r="I220" s="126" t="s">
        <v>1263</v>
      </c>
      <c r="J220" s="126" t="s">
        <v>949</v>
      </c>
      <c r="K220" s="127">
        <v>43424</v>
      </c>
      <c r="L220" s="128">
        <v>1</v>
      </c>
      <c r="M220" s="128">
        <v>1.4</v>
      </c>
      <c r="N220" s="126">
        <v>4.6900000000000004</v>
      </c>
      <c r="O220" s="126" t="s">
        <v>950</v>
      </c>
      <c r="P220" s="129" t="s">
        <v>1275</v>
      </c>
      <c r="Q220" s="129" t="s">
        <v>1276</v>
      </c>
      <c r="R220" s="126" t="s">
        <v>24</v>
      </c>
      <c r="S220" s="126"/>
      <c r="T220" s="130" t="s">
        <v>120</v>
      </c>
      <c r="U220" s="126" t="s">
        <v>1277</v>
      </c>
      <c r="V220" s="130" t="s">
        <v>120</v>
      </c>
      <c r="W220" s="126"/>
      <c r="X220" s="130" t="s">
        <v>120</v>
      </c>
      <c r="Y220" s="126" t="s">
        <v>1278</v>
      </c>
      <c r="Z220" s="165" t="s">
        <v>120</v>
      </c>
      <c r="AA220" s="158"/>
      <c r="AB220" s="158"/>
      <c r="AC220" s="170" t="s">
        <v>123</v>
      </c>
      <c r="AD220" s="126" t="s">
        <v>1324</v>
      </c>
      <c r="AE220" s="130" t="s">
        <v>120</v>
      </c>
      <c r="AF220" s="127"/>
      <c r="AG220" s="131"/>
      <c r="AH220" s="131"/>
      <c r="AI220" s="126" t="s">
        <v>1267</v>
      </c>
      <c r="AJ220" s="130" t="s">
        <v>120</v>
      </c>
      <c r="AK220" s="126" t="s">
        <v>123</v>
      </c>
      <c r="AL220" s="126" t="s">
        <v>1198</v>
      </c>
      <c r="AM220" s="130"/>
      <c r="AN220" s="126"/>
      <c r="AO220" s="132"/>
      <c r="AP220" s="126"/>
      <c r="AQ220" s="126"/>
      <c r="AR220" s="130"/>
      <c r="AS220" s="126"/>
      <c r="AT220" s="127">
        <v>43424.6946648148</v>
      </c>
      <c r="AU220" s="127">
        <v>43424.698246874999</v>
      </c>
      <c r="AV220" s="127">
        <v>43431.577387963</v>
      </c>
      <c r="AW220" s="127">
        <v>43424.6946648148</v>
      </c>
      <c r="AX220" s="127">
        <v>43430.496663425904</v>
      </c>
      <c r="AY220" s="127">
        <v>43430.843733449103</v>
      </c>
      <c r="AZ220" s="133">
        <v>43431.577387963</v>
      </c>
      <c r="BA220" s="134">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B220" s="135">
        <f>COUNTIFS(_05preva_view43[Site ID],_05preva_view43[[#This Row],[Site ID]],_05preva_view43[Prevalidation Status],"Under Prevalidation")</f>
        <v>0</v>
      </c>
      <c r="BC220" s="157" t="e">
        <f ca="1">HYPERLINK(CheckPath(_05preva_view43[[#This Row],[File Path]],_05preva_view43[[#This Row],[File Path]],_05preva_view43[[#This Row],[Folder Path3]]),CheckPath(_05preva_view43[[#This Row],[File Path]],"Open File","No File"))</f>
        <v>#VALUE!</v>
      </c>
      <c r="BD220" s="136" t="str">
        <f>CONCATENATE(_05preva_view43[[#This Row],[Site ID]]," (",_05preva_view43[[#This Row],[tenant id]],") Application",IF(_05preva_view43[[#This Row],[Colo Rev]]&gt;0," Rev "&amp;_05preva_view43[[#This Row],[Colo Rev]],""),".xlsx")</f>
        <v>1-01-05009-003 (SGG00236) Application Rev 2.xlsx</v>
      </c>
      <c r="BE220" s="64" t="e">
        <f t="shared" ca="1" si="5"/>
        <v>#VALUE!</v>
      </c>
      <c r="BF220" s="104" t="e">
        <f ca="1">LEFT(CELL("filename",A205),_05preva_view43[[#This Row],[Find Process &amp; Database]]-1)</f>
        <v>#VALUE!</v>
      </c>
      <c r="BG220" s="104" t="e">
        <f ca="1">_05preva_view43[Folder Path1]&amp;"Process &amp; Database\Documentation\Colo Applications"</f>
        <v>#VALUE!</v>
      </c>
      <c r="BH220" s="104" t="e">
        <f ca="1">_05preva_view43[Folder Path2]&amp;"\Colo App "&amp;_05preva_view43[[#This Row],[Operator]]&amp;"\"</f>
        <v>#VALUE!</v>
      </c>
      <c r="BI220" s="63" t="e">
        <f ca="1">_05preva_view43[[#This Row],[Folder Path3]]&amp;_05preva_view43[[#This Row],[File Name]]</f>
        <v>#VALUE!</v>
      </c>
      <c r="BJ220" s="104"/>
      <c r="BK220" s="3"/>
      <c r="BL220" s="3"/>
      <c r="CJ220" s="5"/>
      <c r="CK220" s="5"/>
      <c r="CL220" s="3"/>
      <c r="CN220" s="5"/>
      <c r="CR220" s="3"/>
      <c r="CS220" s="3"/>
      <c r="CT220" s="5"/>
      <c r="CV220" s="3"/>
      <c r="DR220" s="5"/>
      <c r="DT220" s="3"/>
      <c r="EF220" s="7"/>
      <c r="EG220" s="7"/>
      <c r="EJ220" s="4"/>
      <c r="EK220" s="4"/>
      <c r="EU220" s="2"/>
      <c r="EV220" s="2"/>
    </row>
    <row r="221" spans="1:152">
      <c r="A221" s="125">
        <v>3432</v>
      </c>
      <c r="B221" s="126" t="s">
        <v>1279</v>
      </c>
      <c r="C221" s="126" t="s">
        <v>331</v>
      </c>
      <c r="D221" s="126" t="s">
        <v>127</v>
      </c>
      <c r="E221" s="126" t="s">
        <v>1280</v>
      </c>
      <c r="F221" s="126" t="s">
        <v>35</v>
      </c>
      <c r="G221" s="126" t="s">
        <v>1583</v>
      </c>
      <c r="H221" s="126" t="s">
        <v>1575</v>
      </c>
      <c r="I221" s="126" t="s">
        <v>1263</v>
      </c>
      <c r="J221" s="126" t="s">
        <v>949</v>
      </c>
      <c r="K221" s="127">
        <v>43424</v>
      </c>
      <c r="L221" s="128">
        <v>1</v>
      </c>
      <c r="M221" s="128">
        <v>1.462</v>
      </c>
      <c r="N221" s="126">
        <v>3.72</v>
      </c>
      <c r="O221" s="126" t="s">
        <v>950</v>
      </c>
      <c r="P221" s="129" t="s">
        <v>958</v>
      </c>
      <c r="Q221" s="129" t="s">
        <v>959</v>
      </c>
      <c r="R221" s="126" t="s">
        <v>24</v>
      </c>
      <c r="S221" s="126"/>
      <c r="T221" s="130" t="s">
        <v>120</v>
      </c>
      <c r="U221" s="126" t="s">
        <v>1264</v>
      </c>
      <c r="V221" s="130" t="s">
        <v>120</v>
      </c>
      <c r="W221" s="126"/>
      <c r="X221" s="130" t="s">
        <v>120</v>
      </c>
      <c r="Y221" s="126" t="s">
        <v>1281</v>
      </c>
      <c r="Z221" s="165" t="s">
        <v>120</v>
      </c>
      <c r="AA221" s="158"/>
      <c r="AB221" s="158"/>
      <c r="AC221" s="170" t="s">
        <v>123</v>
      </c>
      <c r="AD221" s="126" t="s">
        <v>1325</v>
      </c>
      <c r="AE221" s="130" t="s">
        <v>120</v>
      </c>
      <c r="AF221" s="127"/>
      <c r="AG221" s="131"/>
      <c r="AH221" s="131"/>
      <c r="AI221" s="126" t="s">
        <v>1267</v>
      </c>
      <c r="AJ221" s="130" t="s">
        <v>120</v>
      </c>
      <c r="AK221" s="126" t="s">
        <v>123</v>
      </c>
      <c r="AL221" s="126" t="s">
        <v>1198</v>
      </c>
      <c r="AM221" s="130"/>
      <c r="AN221" s="126"/>
      <c r="AO221" s="132"/>
      <c r="AP221" s="126"/>
      <c r="AQ221" s="126"/>
      <c r="AR221" s="130"/>
      <c r="AS221" s="126"/>
      <c r="AT221" s="127">
        <v>43424.694668171302</v>
      </c>
      <c r="AU221" s="127">
        <v>43424.698250115704</v>
      </c>
      <c r="AV221" s="127">
        <v>43431.6075696759</v>
      </c>
      <c r="AW221" s="127">
        <v>43424.694668171302</v>
      </c>
      <c r="AX221" s="127">
        <v>43430.496666666702</v>
      </c>
      <c r="AY221" s="127">
        <v>43430.843737962998</v>
      </c>
      <c r="AZ221" s="133">
        <v>43431.6075696759</v>
      </c>
      <c r="BA221" s="134">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B221" s="135">
        <f>COUNTIFS(_05preva_view43[Site ID],_05preva_view43[[#This Row],[Site ID]],_05preva_view43[Prevalidation Status],"Under Prevalidation")</f>
        <v>0</v>
      </c>
      <c r="BC221" s="157" t="e">
        <f ca="1">HYPERLINK(CheckPath(_05preva_view43[[#This Row],[File Path]],_05preva_view43[[#This Row],[File Path]],_05preva_view43[[#This Row],[Folder Path3]]),CheckPath(_05preva_view43[[#This Row],[File Path]],"Open File","No File"))</f>
        <v>#VALUE!</v>
      </c>
      <c r="BD221" s="136" t="str">
        <f>CONCATENATE(_05preva_view43[[#This Row],[Site ID]]," (",_05preva_view43[[#This Row],[tenant id]],") Application",IF(_05preva_view43[[#This Row],[Colo Rev]]&gt;0," Rev "&amp;_05preva_view43[[#This Row],[Colo Rev]],""),".xlsx")</f>
        <v>1-01-14007-014 (SHN00080) Application Rev 2.xlsx</v>
      </c>
      <c r="BE221" s="64" t="e">
        <f t="shared" ca="1" si="5"/>
        <v>#VALUE!</v>
      </c>
      <c r="BF221" s="104" t="e">
        <f ca="1">LEFT(CELL("filename",A206),_05preva_view43[[#This Row],[Find Process &amp; Database]]-1)</f>
        <v>#VALUE!</v>
      </c>
      <c r="BG221" s="104" t="e">
        <f ca="1">_05preva_view43[Folder Path1]&amp;"Process &amp; Database\Documentation\Colo Applications"</f>
        <v>#VALUE!</v>
      </c>
      <c r="BH221" s="104" t="e">
        <f ca="1">_05preva_view43[Folder Path2]&amp;"\Colo App "&amp;_05preva_view43[[#This Row],[Operator]]&amp;"\"</f>
        <v>#VALUE!</v>
      </c>
      <c r="BI221" s="63" t="e">
        <f ca="1">_05preva_view43[[#This Row],[Folder Path3]]&amp;_05preva_view43[[#This Row],[File Name]]</f>
        <v>#VALUE!</v>
      </c>
      <c r="BJ221" s="104"/>
      <c r="BK221" s="3"/>
      <c r="BL221" s="3"/>
      <c r="CJ221" s="5"/>
      <c r="CK221" s="5"/>
      <c r="CL221" s="3"/>
      <c r="CN221" s="5"/>
      <c r="CR221" s="3"/>
      <c r="CS221" s="3"/>
      <c r="CT221" s="5"/>
      <c r="CV221" s="3"/>
      <c r="DR221" s="5"/>
      <c r="DT221" s="3"/>
      <c r="EF221" s="7"/>
      <c r="EG221" s="7"/>
      <c r="EJ221" s="4"/>
      <c r="EK221" s="4"/>
      <c r="EU221" s="2"/>
      <c r="EV221" s="2"/>
    </row>
    <row r="222" spans="1:152">
      <c r="A222" s="125">
        <v>3433</v>
      </c>
      <c r="B222" s="126" t="s">
        <v>1282</v>
      </c>
      <c r="C222" s="126" t="s">
        <v>331</v>
      </c>
      <c r="D222" s="126" t="s">
        <v>127</v>
      </c>
      <c r="E222" s="126" t="s">
        <v>1283</v>
      </c>
      <c r="F222" s="126" t="s">
        <v>35</v>
      </c>
      <c r="G222" s="126" t="s">
        <v>1583</v>
      </c>
      <c r="H222" s="126" t="s">
        <v>1575</v>
      </c>
      <c r="I222" s="126" t="s">
        <v>1053</v>
      </c>
      <c r="J222" s="126" t="s">
        <v>949</v>
      </c>
      <c r="K222" s="127">
        <v>43424</v>
      </c>
      <c r="L222" s="128">
        <v>2.0590000000000002</v>
      </c>
      <c r="M222" s="128">
        <v>3.6110000000000002</v>
      </c>
      <c r="N222" s="126">
        <v>4.51</v>
      </c>
      <c r="O222" s="126" t="s">
        <v>950</v>
      </c>
      <c r="P222" s="129" t="s">
        <v>958</v>
      </c>
      <c r="Q222" s="129" t="s">
        <v>959</v>
      </c>
      <c r="R222" s="126" t="s">
        <v>24</v>
      </c>
      <c r="S222" s="126"/>
      <c r="T222" s="130" t="s">
        <v>120</v>
      </c>
      <c r="U222" s="126" t="s">
        <v>1264</v>
      </c>
      <c r="V222" s="130" t="s">
        <v>120</v>
      </c>
      <c r="W222" s="126"/>
      <c r="X222" s="130" t="s">
        <v>120</v>
      </c>
      <c r="Y222" s="126" t="s">
        <v>1284</v>
      </c>
      <c r="Z222" s="165" t="s">
        <v>120</v>
      </c>
      <c r="AA222" s="158"/>
      <c r="AB222" s="158"/>
      <c r="AC222" s="170" t="s">
        <v>123</v>
      </c>
      <c r="AD222" s="126" t="s">
        <v>1326</v>
      </c>
      <c r="AE222" s="130" t="s">
        <v>120</v>
      </c>
      <c r="AF222" s="127" t="s">
        <v>1763</v>
      </c>
      <c r="AG222" s="131"/>
      <c r="AH222" s="131"/>
      <c r="AI222" s="126" t="s">
        <v>1285</v>
      </c>
      <c r="AJ222" s="130" t="s">
        <v>120</v>
      </c>
      <c r="AK222" s="126" t="s">
        <v>123</v>
      </c>
      <c r="AL222" s="126" t="s">
        <v>1198</v>
      </c>
      <c r="AM222" s="130"/>
      <c r="AN222" s="126"/>
      <c r="AO222" s="132"/>
      <c r="AP222" s="126"/>
      <c r="AQ222" s="126"/>
      <c r="AR222" s="130"/>
      <c r="AS222" s="126"/>
      <c r="AT222" s="127">
        <v>43424.694670254597</v>
      </c>
      <c r="AU222" s="127">
        <v>43451.370453356503</v>
      </c>
      <c r="AV222" s="127">
        <v>43431.607571643501</v>
      </c>
      <c r="AW222" s="127">
        <v>43424.694670254597</v>
      </c>
      <c r="AX222" s="127">
        <v>43430.496670717599</v>
      </c>
      <c r="AY222" s="127">
        <v>43430.843742824101</v>
      </c>
      <c r="AZ222" s="133">
        <v>43451.389658333297</v>
      </c>
      <c r="BA222" s="134">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B222" s="135">
        <f>COUNTIFS(_05preva_view43[Site ID],_05preva_view43[[#This Row],[Site ID]],_05preva_view43[Prevalidation Status],"Under Prevalidation")</f>
        <v>0</v>
      </c>
      <c r="BC222" s="157" t="e">
        <f ca="1">HYPERLINK(CheckPath(_05preva_view43[[#This Row],[File Path]],_05preva_view43[[#This Row],[File Path]],_05preva_view43[[#This Row],[Folder Path3]]),CheckPath(_05preva_view43[[#This Row],[File Path]],"Open File","No File"))</f>
        <v>#VALUE!</v>
      </c>
      <c r="BD222" s="136" t="str">
        <f>CONCATENATE(_05preva_view43[[#This Row],[Site ID]]," (",_05preva_view43[[#This Row],[tenant id]],") Application",IF(_05preva_view43[[#This Row],[Colo Rev]]&gt;0," Rev "&amp;_05preva_view43[[#This Row],[Colo Rev]],""),".xlsx")</f>
        <v>1-01-15013-007 (SHN00086) Application Rev 2.xlsx</v>
      </c>
      <c r="BE222" s="64" t="e">
        <f t="shared" ca="1" si="5"/>
        <v>#VALUE!</v>
      </c>
      <c r="BF222" s="104" t="e">
        <f ca="1">LEFT(CELL("filename",A207),_05preva_view43[[#This Row],[Find Process &amp; Database]]-1)</f>
        <v>#VALUE!</v>
      </c>
      <c r="BG222" s="104" t="e">
        <f ca="1">_05preva_view43[Folder Path1]&amp;"Process &amp; Database\Documentation\Colo Applications"</f>
        <v>#VALUE!</v>
      </c>
      <c r="BH222" s="104" t="e">
        <f ca="1">_05preva_view43[Folder Path2]&amp;"\Colo App "&amp;_05preva_view43[[#This Row],[Operator]]&amp;"\"</f>
        <v>#VALUE!</v>
      </c>
      <c r="BI222" s="63" t="e">
        <f ca="1">_05preva_view43[[#This Row],[Folder Path3]]&amp;_05preva_view43[[#This Row],[File Name]]</f>
        <v>#VALUE!</v>
      </c>
      <c r="BJ222" s="104"/>
      <c r="BK222" s="3"/>
      <c r="BL222" s="3"/>
      <c r="CJ222" s="5"/>
      <c r="CK222" s="5"/>
      <c r="CL222" s="3"/>
      <c r="CN222" s="5"/>
      <c r="CR222" s="3"/>
      <c r="CS222" s="3"/>
      <c r="CT222" s="5"/>
      <c r="CV222" s="3"/>
      <c r="DR222" s="5"/>
      <c r="DT222" s="3"/>
      <c r="EF222" s="7"/>
      <c r="EG222" s="7"/>
      <c r="EJ222" s="4"/>
      <c r="EK222" s="4"/>
      <c r="EU222" s="2"/>
      <c r="EV222" s="2"/>
    </row>
    <row r="223" spans="1:152">
      <c r="A223" s="125">
        <v>3434</v>
      </c>
      <c r="B223" s="126" t="s">
        <v>1286</v>
      </c>
      <c r="C223" s="126" t="s">
        <v>331</v>
      </c>
      <c r="D223" s="126" t="s">
        <v>117</v>
      </c>
      <c r="E223" s="126" t="s">
        <v>1287</v>
      </c>
      <c r="F223" s="126" t="s">
        <v>35</v>
      </c>
      <c r="G223" s="126" t="s">
        <v>1583</v>
      </c>
      <c r="H223" s="126" t="s">
        <v>1575</v>
      </c>
      <c r="I223" s="126" t="s">
        <v>1288</v>
      </c>
      <c r="J223" s="126" t="s">
        <v>949</v>
      </c>
      <c r="K223" s="127">
        <v>43424</v>
      </c>
      <c r="L223" s="128">
        <v>2.16</v>
      </c>
      <c r="M223" s="128">
        <v>2.7</v>
      </c>
      <c r="N223" s="126">
        <v>6.82</v>
      </c>
      <c r="O223" s="126" t="s">
        <v>950</v>
      </c>
      <c r="P223" s="129" t="s">
        <v>958</v>
      </c>
      <c r="Q223" s="129" t="s">
        <v>959</v>
      </c>
      <c r="R223" s="126" t="s">
        <v>24</v>
      </c>
      <c r="S223" s="126"/>
      <c r="T223" s="130" t="s">
        <v>120</v>
      </c>
      <c r="U223" s="126" t="s">
        <v>1289</v>
      </c>
      <c r="V223" s="130" t="s">
        <v>120</v>
      </c>
      <c r="W223" s="126"/>
      <c r="X223" s="130" t="s">
        <v>120</v>
      </c>
      <c r="Y223" s="126" t="s">
        <v>1290</v>
      </c>
      <c r="Z223" s="165" t="s">
        <v>120</v>
      </c>
      <c r="AA223" s="158"/>
      <c r="AB223" s="158"/>
      <c r="AC223" s="170" t="s">
        <v>123</v>
      </c>
      <c r="AD223" s="126" t="s">
        <v>1327</v>
      </c>
      <c r="AE223" s="130" t="s">
        <v>120</v>
      </c>
      <c r="AF223" s="127" t="s">
        <v>1758</v>
      </c>
      <c r="AG223" s="131"/>
      <c r="AH223" s="131"/>
      <c r="AI223" s="126" t="s">
        <v>1285</v>
      </c>
      <c r="AJ223" s="130" t="s">
        <v>120</v>
      </c>
      <c r="AK223" s="126" t="s">
        <v>240</v>
      </c>
      <c r="AL223" s="126" t="s">
        <v>1198</v>
      </c>
      <c r="AM223" s="130"/>
      <c r="AN223" s="126"/>
      <c r="AO223" s="132"/>
      <c r="AP223" s="126"/>
      <c r="AQ223" s="126"/>
      <c r="AR223" s="130"/>
      <c r="AS223" s="126"/>
      <c r="AT223" s="127">
        <v>43424.694671990699</v>
      </c>
      <c r="AU223" s="127">
        <v>43451.370454976903</v>
      </c>
      <c r="AV223" s="127">
        <v>43431.6075732639</v>
      </c>
      <c r="AW223" s="127">
        <v>43424.694671990699</v>
      </c>
      <c r="AX223" s="127">
        <v>43430.496674421302</v>
      </c>
      <c r="AY223" s="127">
        <v>43430.8437478009</v>
      </c>
      <c r="AZ223" s="133">
        <v>43451.389659375003</v>
      </c>
      <c r="BA223" s="134">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B223" s="135">
        <f>COUNTIFS(_05preva_view43[Site ID],_05preva_view43[[#This Row],[Site ID]],_05preva_view43[Prevalidation Status],"Under Prevalidation")</f>
        <v>0</v>
      </c>
      <c r="BC223" s="157" t="e">
        <f ca="1">HYPERLINK(CheckPath(_05preva_view43[[#This Row],[File Path]],_05preva_view43[[#This Row],[File Path]],_05preva_view43[[#This Row],[Folder Path3]]),CheckPath(_05preva_view43[[#This Row],[File Path]],"Open File","No File"))</f>
        <v>#VALUE!</v>
      </c>
      <c r="BD223" s="136" t="str">
        <f>CONCATENATE(_05preva_view43[[#This Row],[Site ID]]," (",_05preva_view43[[#This Row],[tenant id]],") Application",IF(_05preva_view43[[#This Row],[Colo Rev]]&gt;0," Rev "&amp;_05preva_view43[[#This Row],[Colo Rev]],""),".xlsx")</f>
        <v>1-01-14007-002 (SHS00093) Application Rev 2.xlsx</v>
      </c>
      <c r="BE223" s="64" t="e">
        <f t="shared" ca="1" si="5"/>
        <v>#VALUE!</v>
      </c>
      <c r="BF223" s="104" t="e">
        <f ca="1">LEFT(CELL("filename",A208),_05preva_view43[[#This Row],[Find Process &amp; Database]]-1)</f>
        <v>#VALUE!</v>
      </c>
      <c r="BG223" s="104" t="e">
        <f ca="1">_05preva_view43[Folder Path1]&amp;"Process &amp; Database\Documentation\Colo Applications"</f>
        <v>#VALUE!</v>
      </c>
      <c r="BH223" s="104" t="e">
        <f ca="1">_05preva_view43[Folder Path2]&amp;"\Colo App "&amp;_05preva_view43[[#This Row],[Operator]]&amp;"\"</f>
        <v>#VALUE!</v>
      </c>
      <c r="BI223" s="63" t="e">
        <f ca="1">_05preva_view43[[#This Row],[Folder Path3]]&amp;_05preva_view43[[#This Row],[File Name]]</f>
        <v>#VALUE!</v>
      </c>
      <c r="BJ223" s="104"/>
      <c r="BK223" s="3"/>
      <c r="BL223" s="3"/>
      <c r="CJ223" s="5"/>
      <c r="CK223" s="5"/>
      <c r="CL223" s="3"/>
      <c r="CN223" s="5"/>
      <c r="CR223" s="3"/>
      <c r="CS223" s="3"/>
      <c r="CT223" s="5"/>
      <c r="CV223" s="3"/>
      <c r="DR223" s="5"/>
      <c r="DT223" s="3"/>
      <c r="EF223" s="7"/>
      <c r="EG223" s="7"/>
      <c r="EJ223" s="4"/>
      <c r="EK223" s="4"/>
      <c r="EU223" s="2"/>
      <c r="EV223" s="2"/>
    </row>
    <row r="224" spans="1:152">
      <c r="A224" s="125">
        <v>3428</v>
      </c>
      <c r="B224" s="126" t="s">
        <v>1075</v>
      </c>
      <c r="C224" s="126" t="s">
        <v>116</v>
      </c>
      <c r="D224" s="126" t="s">
        <v>127</v>
      </c>
      <c r="E224" s="126" t="s">
        <v>1076</v>
      </c>
      <c r="F224" s="126" t="s">
        <v>35</v>
      </c>
      <c r="G224" s="126" t="s">
        <v>1577</v>
      </c>
      <c r="H224" s="126" t="s">
        <v>1575</v>
      </c>
      <c r="I224" s="126" t="s">
        <v>1053</v>
      </c>
      <c r="J224" s="126" t="s">
        <v>931</v>
      </c>
      <c r="K224" s="127">
        <v>43420</v>
      </c>
      <c r="L224" s="128">
        <v>1.66</v>
      </c>
      <c r="M224" s="128">
        <v>2.75</v>
      </c>
      <c r="N224" s="126">
        <v>3.4</v>
      </c>
      <c r="O224" s="126" t="s">
        <v>119</v>
      </c>
      <c r="P224" s="129" t="s">
        <v>363</v>
      </c>
      <c r="Q224" s="129" t="s">
        <v>270</v>
      </c>
      <c r="R224" s="126" t="s">
        <v>24</v>
      </c>
      <c r="S224" s="126"/>
      <c r="T224" s="130" t="s">
        <v>120</v>
      </c>
      <c r="U224" s="126"/>
      <c r="V224" s="130" t="s">
        <v>120</v>
      </c>
      <c r="W224" s="126"/>
      <c r="X224" s="130" t="s">
        <v>120</v>
      </c>
      <c r="Y224" s="126" t="s">
        <v>1257</v>
      </c>
      <c r="Z224" s="165" t="s">
        <v>120</v>
      </c>
      <c r="AA224" s="158"/>
      <c r="AB224" s="158"/>
      <c r="AC224" s="170" t="s">
        <v>123</v>
      </c>
      <c r="AD224" s="126" t="s">
        <v>1258</v>
      </c>
      <c r="AE224" s="130" t="s">
        <v>120</v>
      </c>
      <c r="AF224" s="127" t="s">
        <v>1259</v>
      </c>
      <c r="AG224" s="131"/>
      <c r="AH224" s="131"/>
      <c r="AI224" s="126" t="s">
        <v>1260</v>
      </c>
      <c r="AJ224" s="130" t="s">
        <v>120</v>
      </c>
      <c r="AK224" s="126" t="s">
        <v>123</v>
      </c>
      <c r="AL224" s="126" t="s">
        <v>1198</v>
      </c>
      <c r="AM224" s="130"/>
      <c r="AN224" s="126"/>
      <c r="AO224" s="132"/>
      <c r="AP224" s="126"/>
      <c r="AQ224" s="126"/>
      <c r="AR224" s="130"/>
      <c r="AS224" s="126"/>
      <c r="AT224" s="127">
        <v>43423.505152777798</v>
      </c>
      <c r="AU224" s="127">
        <v>43423.728602546304</v>
      </c>
      <c r="AV224" s="127">
        <v>43430.471621875004</v>
      </c>
      <c r="AW224" s="127">
        <v>43423.505152777798</v>
      </c>
      <c r="AX224" s="127">
        <v>43424.368697222199</v>
      </c>
      <c r="AY224" s="127">
        <v>43423.766301273201</v>
      </c>
      <c r="AZ224" s="133">
        <v>43430.471621875004</v>
      </c>
      <c r="BA224" s="134">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B224" s="135">
        <f>COUNTIFS(_05preva_view43[Site ID],_05preva_view43[[#This Row],[Site ID]],_05preva_view43[Prevalidation Status],"Under Prevalidation")</f>
        <v>0</v>
      </c>
      <c r="BC224" s="157" t="e">
        <f ca="1">HYPERLINK(CheckPath(_05preva_view43[[#This Row],[File Path]],_05preva_view43[[#This Row],[File Path]],_05preva_view43[[#This Row],[Folder Path3]]),CheckPath(_05preva_view43[[#This Row],[File Path]],"Open File","No File"))</f>
        <v>#VALUE!</v>
      </c>
      <c r="BD224" s="136" t="str">
        <f>CONCATENATE(_05preva_view43[[#This Row],[Site ID]]," (",_05preva_view43[[#This Row],[tenant id]],") Application",IF(_05preva_view43[[#This Row],[Colo Rev]]&gt;0," Rev "&amp;_05preva_view43[[#This Row],[Colo Rev]],""),".xlsx")</f>
        <v>ANMD_0132 (MDY00422) Application Rev 1.xlsx</v>
      </c>
      <c r="BE224" s="64" t="e">
        <f t="shared" ca="1" si="5"/>
        <v>#VALUE!</v>
      </c>
      <c r="BF224" s="104" t="e">
        <f ca="1">LEFT(CELL("filename",A209),_05preva_view43[[#This Row],[Find Process &amp; Database]]-1)</f>
        <v>#VALUE!</v>
      </c>
      <c r="BG224" s="104" t="e">
        <f ca="1">_05preva_view43[Folder Path1]&amp;"Process &amp; Database\Documentation\Colo Applications"</f>
        <v>#VALUE!</v>
      </c>
      <c r="BH224" s="104" t="e">
        <f ca="1">_05preva_view43[Folder Path2]&amp;"\Colo App "&amp;_05preva_view43[[#This Row],[Operator]]&amp;"\"</f>
        <v>#VALUE!</v>
      </c>
      <c r="BI224" s="63" t="e">
        <f ca="1">_05preva_view43[[#This Row],[Folder Path3]]&amp;_05preva_view43[[#This Row],[File Name]]</f>
        <v>#VALUE!</v>
      </c>
      <c r="BJ224" s="104"/>
      <c r="BK224" s="3"/>
      <c r="BL224" s="3"/>
      <c r="CJ224" s="5"/>
      <c r="CK224" s="5"/>
      <c r="CL224" s="3"/>
      <c r="CN224" s="5"/>
      <c r="CR224" s="3"/>
      <c r="CS224" s="3"/>
      <c r="CT224" s="5"/>
      <c r="CV224" s="3"/>
      <c r="DR224" s="5"/>
      <c r="DT224" s="3"/>
      <c r="EF224" s="7"/>
      <c r="EG224" s="7"/>
      <c r="EJ224" s="4"/>
      <c r="EK224" s="4"/>
      <c r="EU224" s="2"/>
      <c r="EV224" s="2"/>
    </row>
    <row r="225" spans="1:152">
      <c r="A225" s="125">
        <v>3416</v>
      </c>
      <c r="B225" s="126" t="s">
        <v>1210</v>
      </c>
      <c r="C225" s="126" t="s">
        <v>116</v>
      </c>
      <c r="D225" s="126" t="s">
        <v>163</v>
      </c>
      <c r="E225" s="126" t="s">
        <v>1211</v>
      </c>
      <c r="F225" s="126" t="s">
        <v>41</v>
      </c>
      <c r="G225" s="126" t="s">
        <v>1576</v>
      </c>
      <c r="H225" s="126" t="s">
        <v>1575</v>
      </c>
      <c r="I225" s="126" t="s">
        <v>1212</v>
      </c>
      <c r="J225" s="126" t="s">
        <v>931</v>
      </c>
      <c r="K225" s="127">
        <v>43419</v>
      </c>
      <c r="L225" s="128"/>
      <c r="M225" s="128"/>
      <c r="N225" s="126">
        <v>3</v>
      </c>
      <c r="O225" s="126" t="s">
        <v>950</v>
      </c>
      <c r="P225" s="129" t="s">
        <v>338</v>
      </c>
      <c r="Q225" s="129" t="s">
        <v>339</v>
      </c>
      <c r="R225" s="126" t="s">
        <v>24</v>
      </c>
      <c r="S225" s="126"/>
      <c r="T225" s="130" t="s">
        <v>861</v>
      </c>
      <c r="U225" s="126"/>
      <c r="V225" s="130" t="s">
        <v>861</v>
      </c>
      <c r="W225" s="126"/>
      <c r="X225" s="130" t="s">
        <v>120</v>
      </c>
      <c r="Y225" s="126" t="s">
        <v>1213</v>
      </c>
      <c r="Z225" s="165" t="s">
        <v>861</v>
      </c>
      <c r="AA225" s="158"/>
      <c r="AB225" s="158"/>
      <c r="AC225" s="170" t="s">
        <v>123</v>
      </c>
      <c r="AD225" s="126" t="s">
        <v>1214</v>
      </c>
      <c r="AE225" s="130" t="s">
        <v>861</v>
      </c>
      <c r="AF225" s="127"/>
      <c r="AG225" s="131"/>
      <c r="AH225" s="131"/>
      <c r="AI225" s="126"/>
      <c r="AJ225" s="130" t="s">
        <v>861</v>
      </c>
      <c r="AK225" s="126"/>
      <c r="AL225" s="126"/>
      <c r="AM225" s="130" t="s">
        <v>861</v>
      </c>
      <c r="AN225" s="126"/>
      <c r="AO225" s="132"/>
      <c r="AP225" s="126" t="s">
        <v>861</v>
      </c>
      <c r="AQ225" s="126"/>
      <c r="AR225" s="130" t="s">
        <v>120</v>
      </c>
      <c r="AS225" s="126"/>
      <c r="AT225" s="127">
        <v>43419.7339959491</v>
      </c>
      <c r="AU225" s="127"/>
      <c r="AV225" s="127"/>
      <c r="AW225" s="127"/>
      <c r="AX225" s="127"/>
      <c r="AY225" s="127"/>
      <c r="AZ225" s="133">
        <v>43447.656926504598</v>
      </c>
      <c r="BA225" s="134">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B225" s="135">
        <f>COUNTIFS(_05preva_view43[Site ID],_05preva_view43[[#This Row],[Site ID]],_05preva_view43[Prevalidation Status],"Under Prevalidation")</f>
        <v>0</v>
      </c>
      <c r="BC225" s="157" t="e">
        <f ca="1">HYPERLINK(CheckPath(_05preva_view43[[#This Row],[File Path]],_05preva_view43[[#This Row],[File Path]],_05preva_view43[[#This Row],[Folder Path3]]),CheckPath(_05preva_view43[[#This Row],[File Path]],"Open File","No File"))</f>
        <v>#VALUE!</v>
      </c>
      <c r="BD225" s="136" t="str">
        <f>CONCATENATE(_05preva_view43[[#This Row],[Site ID]]," (",_05preva_view43[[#This Row],[tenant id]],") Application",IF(_05preva_view43[[#This Row],[Colo Rev]]&gt;0," Rev "&amp;_05preva_view43[[#This Row],[Colo Rev]],""),".xlsx")</f>
        <v>AYYN_0264 (YGNINSN003) Application Rev 1.xlsx</v>
      </c>
      <c r="BE225" s="64" t="e">
        <f t="shared" ca="1" si="5"/>
        <v>#VALUE!</v>
      </c>
      <c r="BF225" s="104" t="e">
        <f ca="1">LEFT(CELL("filename",A210),_05preva_view43[[#This Row],[Find Process &amp; Database]]-1)</f>
        <v>#VALUE!</v>
      </c>
      <c r="BG225" s="104" t="e">
        <f ca="1">_05preva_view43[Folder Path1]&amp;"Process &amp; Database\Documentation\Colo Applications"</f>
        <v>#VALUE!</v>
      </c>
      <c r="BH225" s="104" t="e">
        <f ca="1">_05preva_view43[Folder Path2]&amp;"\Colo App "&amp;_05preva_view43[[#This Row],[Operator]]&amp;"\"</f>
        <v>#VALUE!</v>
      </c>
      <c r="BI225" s="63" t="e">
        <f ca="1">_05preva_view43[[#This Row],[Folder Path3]]&amp;_05preva_view43[[#This Row],[File Name]]</f>
        <v>#VALUE!</v>
      </c>
      <c r="BJ225" s="104"/>
      <c r="BK225" s="3"/>
      <c r="BL225" s="3"/>
      <c r="CJ225" s="5"/>
      <c r="CK225" s="5"/>
      <c r="CL225" s="3"/>
      <c r="CN225" s="5"/>
      <c r="CR225" s="3"/>
      <c r="CS225" s="3"/>
      <c r="CT225" s="5"/>
      <c r="CV225" s="3"/>
      <c r="DR225" s="5"/>
      <c r="DT225" s="3"/>
      <c r="EF225" s="7"/>
      <c r="EG225" s="7"/>
      <c r="EJ225" s="4"/>
      <c r="EK225" s="4"/>
      <c r="EU225" s="2"/>
      <c r="EV225" s="2"/>
    </row>
    <row r="226" spans="1:152">
      <c r="A226" s="125">
        <v>3417</v>
      </c>
      <c r="B226" s="126" t="s">
        <v>1215</v>
      </c>
      <c r="C226" s="126" t="s">
        <v>116</v>
      </c>
      <c r="D226" s="126" t="s">
        <v>163</v>
      </c>
      <c r="E226" s="126" t="s">
        <v>1216</v>
      </c>
      <c r="F226" s="126" t="s">
        <v>41</v>
      </c>
      <c r="G226" s="126" t="s">
        <v>1576</v>
      </c>
      <c r="H226" s="126" t="s">
        <v>1575</v>
      </c>
      <c r="I226" s="126" t="s">
        <v>1212</v>
      </c>
      <c r="J226" s="126" t="s">
        <v>931</v>
      </c>
      <c r="K226" s="127">
        <v>43419</v>
      </c>
      <c r="L226" s="128"/>
      <c r="M226" s="128"/>
      <c r="N226" s="126">
        <v>3.1</v>
      </c>
      <c r="O226" s="126" t="s">
        <v>950</v>
      </c>
      <c r="P226" s="129" t="s">
        <v>1217</v>
      </c>
      <c r="Q226" s="129" t="s">
        <v>1218</v>
      </c>
      <c r="R226" s="126" t="s">
        <v>24</v>
      </c>
      <c r="S226" s="126"/>
      <c r="T226" s="130" t="s">
        <v>861</v>
      </c>
      <c r="U226" s="126"/>
      <c r="V226" s="130" t="s">
        <v>861</v>
      </c>
      <c r="W226" s="126"/>
      <c r="X226" s="130" t="s">
        <v>120</v>
      </c>
      <c r="Y226" s="126" t="s">
        <v>1219</v>
      </c>
      <c r="Z226" s="165" t="s">
        <v>861</v>
      </c>
      <c r="AA226" s="158"/>
      <c r="AB226" s="158"/>
      <c r="AC226" s="170"/>
      <c r="AD226" s="126"/>
      <c r="AE226" s="130" t="s">
        <v>861</v>
      </c>
      <c r="AF226" s="127"/>
      <c r="AG226" s="131"/>
      <c r="AH226" s="131"/>
      <c r="AI226" s="126"/>
      <c r="AJ226" s="130" t="s">
        <v>861</v>
      </c>
      <c r="AK226" s="126"/>
      <c r="AL226" s="126"/>
      <c r="AM226" s="130" t="s">
        <v>861</v>
      </c>
      <c r="AN226" s="126"/>
      <c r="AO226" s="132"/>
      <c r="AP226" s="126" t="s">
        <v>861</v>
      </c>
      <c r="AQ226" s="126"/>
      <c r="AR226" s="130" t="s">
        <v>120</v>
      </c>
      <c r="AS226" s="126"/>
      <c r="AT226" s="127">
        <v>43419.733996643503</v>
      </c>
      <c r="AU226" s="127"/>
      <c r="AV226" s="127"/>
      <c r="AW226" s="127"/>
      <c r="AX226" s="127"/>
      <c r="AY226" s="127"/>
      <c r="AZ226" s="133">
        <v>43447.656927777804</v>
      </c>
      <c r="BA226" s="134">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B226" s="135">
        <f>COUNTIFS(_05preva_view43[Site ID],_05preva_view43[[#This Row],[Site ID]],_05preva_view43[Prevalidation Status],"Under Prevalidation")</f>
        <v>0</v>
      </c>
      <c r="BC226" s="157" t="e">
        <f ca="1">HYPERLINK(CheckPath(_05preva_view43[[#This Row],[File Path]],_05preva_view43[[#This Row],[File Path]],_05preva_view43[[#This Row],[Folder Path3]]),CheckPath(_05preva_view43[[#This Row],[File Path]],"Open File","No File"))</f>
        <v>#VALUE!</v>
      </c>
      <c r="BD226" s="136" t="str">
        <f>CONCATENATE(_05preva_view43[[#This Row],[Site ID]]," (",_05preva_view43[[#This Row],[tenant id]],") Application",IF(_05preva_view43[[#This Row],[Colo Rev]]&gt;0," Rev "&amp;_05preva_view43[[#This Row],[Colo Rev]],""),".xlsx")</f>
        <v>AYYN_0334 (YGNMYGE005) Application Rev 1.xlsx</v>
      </c>
      <c r="BE226" s="64" t="e">
        <f t="shared" ca="1" si="5"/>
        <v>#VALUE!</v>
      </c>
      <c r="BF226" s="104" t="e">
        <f ca="1">LEFT(CELL("filename",A211),_05preva_view43[[#This Row],[Find Process &amp; Database]]-1)</f>
        <v>#VALUE!</v>
      </c>
      <c r="BG226" s="104" t="e">
        <f ca="1">_05preva_view43[Folder Path1]&amp;"Process &amp; Database\Documentation\Colo Applications"</f>
        <v>#VALUE!</v>
      </c>
      <c r="BH226" s="104" t="e">
        <f ca="1">_05preva_view43[Folder Path2]&amp;"\Colo App "&amp;_05preva_view43[[#This Row],[Operator]]&amp;"\"</f>
        <v>#VALUE!</v>
      </c>
      <c r="BI226" s="63" t="e">
        <f ca="1">_05preva_view43[[#This Row],[Folder Path3]]&amp;_05preva_view43[[#This Row],[File Name]]</f>
        <v>#VALUE!</v>
      </c>
      <c r="BJ226" s="104"/>
      <c r="BK226" s="3"/>
      <c r="BL226" s="3"/>
      <c r="CJ226" s="5"/>
      <c r="CK226" s="5"/>
      <c r="CL226" s="3"/>
      <c r="CN226" s="5"/>
      <c r="CR226" s="3"/>
      <c r="CS226" s="3"/>
      <c r="CT226" s="5"/>
      <c r="CV226" s="3"/>
      <c r="DR226" s="5"/>
      <c r="DT226" s="3"/>
      <c r="EF226" s="7"/>
      <c r="EG226" s="7"/>
      <c r="EJ226" s="4"/>
      <c r="EK226" s="4"/>
      <c r="EU226" s="2"/>
      <c r="EV226" s="2"/>
    </row>
    <row r="227" spans="1:152">
      <c r="A227" s="125">
        <v>3418</v>
      </c>
      <c r="B227" s="126" t="s">
        <v>1220</v>
      </c>
      <c r="C227" s="126" t="s">
        <v>116</v>
      </c>
      <c r="D227" s="126" t="s">
        <v>163</v>
      </c>
      <c r="E227" s="126" t="s">
        <v>1221</v>
      </c>
      <c r="F227" s="126" t="s">
        <v>41</v>
      </c>
      <c r="G227" s="126" t="s">
        <v>1576</v>
      </c>
      <c r="H227" s="126" t="s">
        <v>1575</v>
      </c>
      <c r="I227" s="126" t="s">
        <v>1212</v>
      </c>
      <c r="J227" s="126" t="s">
        <v>931</v>
      </c>
      <c r="K227" s="127">
        <v>43419</v>
      </c>
      <c r="L227" s="128"/>
      <c r="M227" s="128"/>
      <c r="N227" s="126">
        <v>2.97</v>
      </c>
      <c r="O227" s="126" t="s">
        <v>950</v>
      </c>
      <c r="P227" s="129" t="s">
        <v>910</v>
      </c>
      <c r="Q227" s="129" t="s">
        <v>264</v>
      </c>
      <c r="R227" s="126" t="s">
        <v>24</v>
      </c>
      <c r="S227" s="126"/>
      <c r="T227" s="130" t="s">
        <v>861</v>
      </c>
      <c r="U227" s="126"/>
      <c r="V227" s="130" t="s">
        <v>861</v>
      </c>
      <c r="W227" s="126"/>
      <c r="X227" s="130" t="s">
        <v>120</v>
      </c>
      <c r="Y227" s="126" t="s">
        <v>1222</v>
      </c>
      <c r="Z227" s="165" t="s">
        <v>120</v>
      </c>
      <c r="AA227" s="158"/>
      <c r="AB227" s="158"/>
      <c r="AC227" s="170" t="s">
        <v>240</v>
      </c>
      <c r="AD227" s="126" t="s">
        <v>1321</v>
      </c>
      <c r="AE227" s="130" t="s">
        <v>861</v>
      </c>
      <c r="AF227" s="127"/>
      <c r="AG227" s="131"/>
      <c r="AH227" s="131"/>
      <c r="AI227" s="126"/>
      <c r="AJ227" s="130" t="s">
        <v>861</v>
      </c>
      <c r="AK227" s="126"/>
      <c r="AL227" s="126"/>
      <c r="AM227" s="130" t="s">
        <v>861</v>
      </c>
      <c r="AN227" s="126"/>
      <c r="AO227" s="132"/>
      <c r="AP227" s="126" t="s">
        <v>861</v>
      </c>
      <c r="AQ227" s="126"/>
      <c r="AR227" s="130" t="s">
        <v>120</v>
      </c>
      <c r="AS227" s="126"/>
      <c r="AT227" s="127">
        <v>43419.733997222203</v>
      </c>
      <c r="AU227" s="127"/>
      <c r="AV227" s="127">
        <v>43441.7283320602</v>
      </c>
      <c r="AW227" s="127"/>
      <c r="AX227" s="127"/>
      <c r="AY227" s="127"/>
      <c r="AZ227" s="133">
        <v>43447.656928935197</v>
      </c>
      <c r="BA227" s="134">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B227" s="135">
        <f>COUNTIFS(_05preva_view43[Site ID],_05preva_view43[[#This Row],[Site ID]],_05preva_view43[Prevalidation Status],"Under Prevalidation")</f>
        <v>0</v>
      </c>
      <c r="BC227" s="157" t="e">
        <f ca="1">HYPERLINK(CheckPath(_05preva_view43[[#This Row],[File Path]],_05preva_view43[[#This Row],[File Path]],_05preva_view43[[#This Row],[Folder Path3]]),CheckPath(_05preva_view43[[#This Row],[File Path]],"Open File","No File"))</f>
        <v>#VALUE!</v>
      </c>
      <c r="BD227" s="136" t="str">
        <f>CONCATENATE(_05preva_view43[[#This Row],[Site ID]]," (",_05preva_view43[[#This Row],[tenant id]],") Application",IF(_05preva_view43[[#This Row],[Colo Rev]]&gt;0," Rev "&amp;_05preva_view43[[#This Row],[Colo Rev]],""),".xlsx")</f>
        <v>AYYN_0579 (YGNSPTR024) Application Rev 1.xlsx</v>
      </c>
      <c r="BE227" s="64" t="e">
        <f t="shared" ca="1" si="5"/>
        <v>#VALUE!</v>
      </c>
      <c r="BF227" s="104" t="e">
        <f ca="1">LEFT(CELL("filename",A212),_05preva_view43[[#This Row],[Find Process &amp; Database]]-1)</f>
        <v>#VALUE!</v>
      </c>
      <c r="BG227" s="104" t="e">
        <f ca="1">_05preva_view43[Folder Path1]&amp;"Process &amp; Database\Documentation\Colo Applications"</f>
        <v>#VALUE!</v>
      </c>
      <c r="BH227" s="104" t="e">
        <f ca="1">_05preva_view43[Folder Path2]&amp;"\Colo App "&amp;_05preva_view43[[#This Row],[Operator]]&amp;"\"</f>
        <v>#VALUE!</v>
      </c>
      <c r="BI227" s="63" t="e">
        <f ca="1">_05preva_view43[[#This Row],[Folder Path3]]&amp;_05preva_view43[[#This Row],[File Name]]</f>
        <v>#VALUE!</v>
      </c>
      <c r="BJ227" s="104"/>
      <c r="BK227" s="3"/>
      <c r="BL227" s="3"/>
      <c r="CJ227" s="5"/>
      <c r="CK227" s="5"/>
      <c r="CL227" s="3"/>
      <c r="CN227" s="5"/>
      <c r="CR227" s="3"/>
      <c r="CS227" s="3"/>
      <c r="CT227" s="5"/>
      <c r="CV227" s="3"/>
      <c r="DR227" s="5"/>
      <c r="DT227" s="3"/>
      <c r="EF227" s="7"/>
      <c r="EG227" s="7"/>
      <c r="EJ227" s="4"/>
      <c r="EK227" s="4"/>
      <c r="EU227" s="2"/>
      <c r="EV227" s="2"/>
    </row>
    <row r="228" spans="1:152">
      <c r="A228" s="125">
        <v>3419</v>
      </c>
      <c r="B228" s="126" t="s">
        <v>1223</v>
      </c>
      <c r="C228" s="126" t="s">
        <v>116</v>
      </c>
      <c r="D228" s="126" t="s">
        <v>163</v>
      </c>
      <c r="E228" s="126" t="s">
        <v>1224</v>
      </c>
      <c r="F228" s="126" t="s">
        <v>41</v>
      </c>
      <c r="G228" s="126" t="s">
        <v>1576</v>
      </c>
      <c r="H228" s="126" t="s">
        <v>1575</v>
      </c>
      <c r="I228" s="126" t="s">
        <v>1212</v>
      </c>
      <c r="J228" s="126" t="s">
        <v>931</v>
      </c>
      <c r="K228" s="127">
        <v>43419</v>
      </c>
      <c r="L228" s="128"/>
      <c r="M228" s="128"/>
      <c r="N228" s="126">
        <v>3</v>
      </c>
      <c r="O228" s="126" t="s">
        <v>950</v>
      </c>
      <c r="P228" s="129"/>
      <c r="Q228" s="129" t="s">
        <v>1225</v>
      </c>
      <c r="R228" s="126" t="s">
        <v>24</v>
      </c>
      <c r="S228" s="126"/>
      <c r="T228" s="130" t="s">
        <v>861</v>
      </c>
      <c r="U228" s="126"/>
      <c r="V228" s="130" t="s">
        <v>861</v>
      </c>
      <c r="W228" s="126"/>
      <c r="X228" s="130" t="s">
        <v>120</v>
      </c>
      <c r="Y228" s="126" t="s">
        <v>1226</v>
      </c>
      <c r="Z228" s="165" t="s">
        <v>861</v>
      </c>
      <c r="AA228" s="158"/>
      <c r="AB228" s="158"/>
      <c r="AC228" s="170"/>
      <c r="AD228" s="126"/>
      <c r="AE228" s="130" t="s">
        <v>861</v>
      </c>
      <c r="AF228" s="127"/>
      <c r="AG228" s="131"/>
      <c r="AH228" s="131"/>
      <c r="AI228" s="126"/>
      <c r="AJ228" s="130" t="s">
        <v>861</v>
      </c>
      <c r="AK228" s="126"/>
      <c r="AL228" s="126"/>
      <c r="AM228" s="130" t="s">
        <v>861</v>
      </c>
      <c r="AN228" s="126"/>
      <c r="AO228" s="132"/>
      <c r="AP228" s="126" t="s">
        <v>861</v>
      </c>
      <c r="AQ228" s="126"/>
      <c r="AR228" s="130" t="s">
        <v>120</v>
      </c>
      <c r="AS228" s="126"/>
      <c r="AT228" s="127">
        <v>43419.733998032403</v>
      </c>
      <c r="AU228" s="127"/>
      <c r="AV228" s="127"/>
      <c r="AW228" s="127"/>
      <c r="AX228" s="127"/>
      <c r="AY228" s="127"/>
      <c r="AZ228" s="133">
        <v>43447.656929861099</v>
      </c>
      <c r="BA228" s="134">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B228" s="135">
        <f>COUNTIFS(_05preva_view43[Site ID],_05preva_view43[[#This Row],[Site ID]],_05preva_view43[Prevalidation Status],"Under Prevalidation")</f>
        <v>0</v>
      </c>
      <c r="BC228" s="157" t="e">
        <f ca="1">HYPERLINK(CheckPath(_05preva_view43[[#This Row],[File Path]],_05preva_view43[[#This Row],[File Path]],_05preva_view43[[#This Row],[Folder Path3]]),CheckPath(_05preva_view43[[#This Row],[File Path]],"Open File","No File"))</f>
        <v>#VALUE!</v>
      </c>
      <c r="BD228" s="136" t="str">
        <f>CONCATENATE(_05preva_view43[[#This Row],[Site ID]]," (",_05preva_view43[[#This Row],[tenant id]],") Application",IF(_05preva_view43[[#This Row],[Colo Rev]]&gt;0," Rev "&amp;_05preva_view43[[#This Row],[Colo Rev]],""),".xlsx")</f>
        <v>AYYN_0553 (YGNTKTA010) Application Rev 1.xlsx</v>
      </c>
      <c r="BE228" s="64" t="e">
        <f t="shared" ca="1" si="5"/>
        <v>#VALUE!</v>
      </c>
      <c r="BF228" s="104" t="e">
        <f ca="1">LEFT(CELL("filename",A213),_05preva_view43[[#This Row],[Find Process &amp; Database]]-1)</f>
        <v>#VALUE!</v>
      </c>
      <c r="BG228" s="104" t="e">
        <f ca="1">_05preva_view43[Folder Path1]&amp;"Process &amp; Database\Documentation\Colo Applications"</f>
        <v>#VALUE!</v>
      </c>
      <c r="BH228" s="104" t="e">
        <f ca="1">_05preva_view43[Folder Path2]&amp;"\Colo App "&amp;_05preva_view43[[#This Row],[Operator]]&amp;"\"</f>
        <v>#VALUE!</v>
      </c>
      <c r="BI228" s="63" t="e">
        <f ca="1">_05preva_view43[[#This Row],[Folder Path3]]&amp;_05preva_view43[[#This Row],[File Name]]</f>
        <v>#VALUE!</v>
      </c>
      <c r="BJ228" s="104"/>
      <c r="BK228" s="3"/>
      <c r="BL228" s="3"/>
      <c r="CJ228" s="5"/>
      <c r="CK228" s="5"/>
      <c r="CL228" s="3"/>
      <c r="CN228" s="5"/>
      <c r="CR228" s="3"/>
      <c r="CS228" s="3"/>
      <c r="CT228" s="5"/>
      <c r="CV228" s="3"/>
      <c r="DR228" s="5"/>
      <c r="DT228" s="3"/>
      <c r="EF228" s="7"/>
      <c r="EG228" s="7"/>
      <c r="EJ228" s="4"/>
      <c r="EK228" s="4"/>
      <c r="EU228" s="2"/>
      <c r="EV228" s="2"/>
    </row>
    <row r="229" spans="1:152">
      <c r="A229" s="125">
        <v>3420</v>
      </c>
      <c r="B229" s="126" t="s">
        <v>327</v>
      </c>
      <c r="C229" s="126" t="s">
        <v>116</v>
      </c>
      <c r="D229" s="126" t="s">
        <v>163</v>
      </c>
      <c r="E229" s="126" t="s">
        <v>328</v>
      </c>
      <c r="F229" s="126" t="s">
        <v>40</v>
      </c>
      <c r="G229" s="126" t="s">
        <v>118</v>
      </c>
      <c r="H229" s="126"/>
      <c r="I229" s="126" t="s">
        <v>1143</v>
      </c>
      <c r="J229" s="126" t="s">
        <v>931</v>
      </c>
      <c r="K229" s="127">
        <v>43419</v>
      </c>
      <c r="L229" s="128">
        <v>3</v>
      </c>
      <c r="M229" s="128">
        <v>3.6</v>
      </c>
      <c r="N229" s="126">
        <v>4.5</v>
      </c>
      <c r="O229" s="126" t="s">
        <v>119</v>
      </c>
      <c r="P229" s="129" t="s">
        <v>1072</v>
      </c>
      <c r="Q229" s="129" t="s">
        <v>1227</v>
      </c>
      <c r="R229" s="126" t="s">
        <v>26</v>
      </c>
      <c r="S229" s="126"/>
      <c r="T229" s="130" t="s">
        <v>120</v>
      </c>
      <c r="U229" s="126" t="s">
        <v>1228</v>
      </c>
      <c r="V229" s="130" t="s">
        <v>120</v>
      </c>
      <c r="W229" s="126"/>
      <c r="X229" s="130" t="s">
        <v>120</v>
      </c>
      <c r="Y229" s="126" t="s">
        <v>1229</v>
      </c>
      <c r="Z229" s="165" t="s">
        <v>144</v>
      </c>
      <c r="AA229" s="158"/>
      <c r="AB229" s="158"/>
      <c r="AC229" s="170" t="s">
        <v>123</v>
      </c>
      <c r="AD229" s="126" t="s">
        <v>1230</v>
      </c>
      <c r="AE229" s="130" t="s">
        <v>144</v>
      </c>
      <c r="AF229" s="127" t="s">
        <v>1232</v>
      </c>
      <c r="AG229" s="131"/>
      <c r="AH229" s="131"/>
      <c r="AI229" s="126" t="s">
        <v>1233</v>
      </c>
      <c r="AJ229" s="130" t="s">
        <v>120</v>
      </c>
      <c r="AK229" s="126" t="s">
        <v>123</v>
      </c>
      <c r="AL229" s="126" t="s">
        <v>1231</v>
      </c>
      <c r="AM229" s="130"/>
      <c r="AN229" s="126"/>
      <c r="AO229" s="132"/>
      <c r="AP229" s="126"/>
      <c r="AQ229" s="126"/>
      <c r="AR229" s="130"/>
      <c r="AS229" s="126"/>
      <c r="AT229" s="127">
        <v>43419.733998726901</v>
      </c>
      <c r="AU229" s="127"/>
      <c r="AV229" s="127"/>
      <c r="AW229" s="127">
        <v>43419.733998726901</v>
      </c>
      <c r="AX229" s="127">
        <v>43424.368688078699</v>
      </c>
      <c r="AY229" s="127">
        <v>43419.657818055603</v>
      </c>
      <c r="AZ229" s="133">
        <v>43424.368688078699</v>
      </c>
      <c r="BA229" s="134">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B229" s="135">
        <f>COUNTIFS(_05preva_view43[Site ID],_05preva_view43[[#This Row],[Site ID]],_05preva_view43[Prevalidation Status],"Under Prevalidation")</f>
        <v>0</v>
      </c>
      <c r="BC229" s="157" t="e">
        <f ca="1">HYPERLINK(CheckPath(_05preva_view43[[#This Row],[File Path]],_05preva_view43[[#This Row],[File Path]],_05preva_view43[[#This Row],[Folder Path3]]),CheckPath(_05preva_view43[[#This Row],[File Path]],"Open File","No File"))</f>
        <v>#VALUE!</v>
      </c>
      <c r="BD229" s="136" t="str">
        <f>CONCATENATE(_05preva_view43[[#This Row],[Site ID]]," (",_05preva_view43[[#This Row],[tenant id]],") Application",IF(_05preva_view43[[#This Row],[Colo Rev]]&gt;0," Rev "&amp;_05preva_view43[[#This Row],[Colo Rev]],""),".xlsx")</f>
        <v>ASMO_0202 (MOW6163) Application Rev 1.xlsx</v>
      </c>
      <c r="BE229" s="64" t="e">
        <f t="shared" ca="1" si="5"/>
        <v>#VALUE!</v>
      </c>
      <c r="BF229" s="104" t="e">
        <f ca="1">LEFT(CELL("filename",A214),_05preva_view43[[#This Row],[Find Process &amp; Database]]-1)</f>
        <v>#VALUE!</v>
      </c>
      <c r="BG229" s="104" t="e">
        <f ca="1">_05preva_view43[Folder Path1]&amp;"Process &amp; Database\Documentation\Colo Applications"</f>
        <v>#VALUE!</v>
      </c>
      <c r="BH229" s="104" t="e">
        <f ca="1">_05preva_view43[Folder Path2]&amp;"\Colo App "&amp;_05preva_view43[[#This Row],[Operator]]&amp;"\"</f>
        <v>#VALUE!</v>
      </c>
      <c r="BI229" s="63" t="e">
        <f ca="1">_05preva_view43[[#This Row],[Folder Path3]]&amp;_05preva_view43[[#This Row],[File Name]]</f>
        <v>#VALUE!</v>
      </c>
      <c r="BJ229" s="104"/>
      <c r="BK229" s="3"/>
      <c r="BL229" s="3"/>
      <c r="CJ229" s="5"/>
      <c r="CK229" s="5"/>
      <c r="CL229" s="3"/>
      <c r="CN229" s="5"/>
      <c r="CR229" s="3"/>
      <c r="CS229" s="3"/>
      <c r="CT229" s="5"/>
      <c r="CV229" s="3"/>
      <c r="DR229" s="5"/>
      <c r="DT229" s="3"/>
      <c r="EF229" s="7"/>
      <c r="EG229" s="7"/>
      <c r="EJ229" s="4"/>
      <c r="EK229" s="4"/>
      <c r="EU229" s="2"/>
      <c r="EV229" s="2"/>
    </row>
    <row r="230" spans="1:152">
      <c r="A230" s="125">
        <v>3421</v>
      </c>
      <c r="B230" s="126" t="s">
        <v>483</v>
      </c>
      <c r="C230" s="126" t="s">
        <v>116</v>
      </c>
      <c r="D230" s="126" t="s">
        <v>163</v>
      </c>
      <c r="E230" s="126" t="s">
        <v>484</v>
      </c>
      <c r="F230" s="126" t="s">
        <v>40</v>
      </c>
      <c r="G230" s="126" t="s">
        <v>118</v>
      </c>
      <c r="H230" s="126"/>
      <c r="I230" s="126" t="s">
        <v>1143</v>
      </c>
      <c r="J230" s="126" t="s">
        <v>931</v>
      </c>
      <c r="K230" s="127">
        <v>43419</v>
      </c>
      <c r="L230" s="128">
        <v>3</v>
      </c>
      <c r="M230" s="128">
        <v>3.6</v>
      </c>
      <c r="N230" s="126">
        <v>4.5</v>
      </c>
      <c r="O230" s="126" t="s">
        <v>119</v>
      </c>
      <c r="P230" s="129" t="s">
        <v>736</v>
      </c>
      <c r="Q230" s="129" t="s">
        <v>880</v>
      </c>
      <c r="R230" s="126" t="s">
        <v>26</v>
      </c>
      <c r="S230" s="126"/>
      <c r="T230" s="130" t="s">
        <v>120</v>
      </c>
      <c r="U230" s="126" t="s">
        <v>1234</v>
      </c>
      <c r="V230" s="130" t="s">
        <v>120</v>
      </c>
      <c r="W230" s="126" t="s">
        <v>125</v>
      </c>
      <c r="X230" s="130" t="s">
        <v>120</v>
      </c>
      <c r="Y230" s="126" t="s">
        <v>1235</v>
      </c>
      <c r="Z230" s="165" t="s">
        <v>144</v>
      </c>
      <c r="AA230" s="158"/>
      <c r="AB230" s="158"/>
      <c r="AC230" s="170" t="s">
        <v>240</v>
      </c>
      <c r="AD230" s="126" t="s">
        <v>1236</v>
      </c>
      <c r="AE230" s="130" t="s">
        <v>120</v>
      </c>
      <c r="AF230" s="127" t="s">
        <v>1167</v>
      </c>
      <c r="AG230" s="131"/>
      <c r="AH230" s="131"/>
      <c r="AI230" s="126" t="s">
        <v>1237</v>
      </c>
      <c r="AJ230" s="130" t="s">
        <v>120</v>
      </c>
      <c r="AK230" s="126" t="s">
        <v>123</v>
      </c>
      <c r="AL230" s="126" t="s">
        <v>1231</v>
      </c>
      <c r="AM230" s="130"/>
      <c r="AN230" s="126"/>
      <c r="AO230" s="132"/>
      <c r="AP230" s="126"/>
      <c r="AQ230" s="126"/>
      <c r="AR230" s="130"/>
      <c r="AS230" s="126"/>
      <c r="AT230" s="127">
        <v>43419.733999421303</v>
      </c>
      <c r="AU230" s="127">
        <v>43420.401276041703</v>
      </c>
      <c r="AV230" s="127"/>
      <c r="AW230" s="127">
        <v>43419.733999421303</v>
      </c>
      <c r="AX230" s="127">
        <v>43424.391512499998</v>
      </c>
      <c r="AY230" s="127">
        <v>43419.657820254601</v>
      </c>
      <c r="AZ230" s="133">
        <v>43424.391512499998</v>
      </c>
      <c r="BA230" s="134">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B230" s="135">
        <f>COUNTIFS(_05preva_view43[Site ID],_05preva_view43[[#This Row],[Site ID]],_05preva_view43[Prevalidation Status],"Under Prevalidation")</f>
        <v>0</v>
      </c>
      <c r="BC230" s="157" t="e">
        <f ca="1">HYPERLINK(CheckPath(_05preva_view43[[#This Row],[File Path]],_05preva_view43[[#This Row],[File Path]],_05preva_view43[[#This Row],[Folder Path3]]),CheckPath(_05preva_view43[[#This Row],[File Path]],"Open File","No File"))</f>
        <v>#VALUE!</v>
      </c>
      <c r="BD230" s="136" t="str">
        <f>CONCATENATE(_05preva_view43[[#This Row],[Site ID]]," (",_05preva_view43[[#This Row],[tenant id]],") Application",IF(_05preva_view43[[#This Row],[Colo Rev]]&gt;0," Rev "&amp;_05preva_view43[[#This Row],[Colo Rev]],""),".xlsx")</f>
        <v>AYYN_0508 (YAW7800) Application Rev 1.xlsx</v>
      </c>
      <c r="BE230" s="64" t="e">
        <f t="shared" ca="1" si="5"/>
        <v>#VALUE!</v>
      </c>
      <c r="BF230" s="104" t="e">
        <f ca="1">LEFT(CELL("filename",A215),_05preva_view43[[#This Row],[Find Process &amp; Database]]-1)</f>
        <v>#VALUE!</v>
      </c>
      <c r="BG230" s="104" t="e">
        <f ca="1">_05preva_view43[Folder Path1]&amp;"Process &amp; Database\Documentation\Colo Applications"</f>
        <v>#VALUE!</v>
      </c>
      <c r="BH230" s="104" t="e">
        <f ca="1">_05preva_view43[Folder Path2]&amp;"\Colo App "&amp;_05preva_view43[[#This Row],[Operator]]&amp;"\"</f>
        <v>#VALUE!</v>
      </c>
      <c r="BI230" s="63" t="e">
        <f ca="1">_05preva_view43[[#This Row],[Folder Path3]]&amp;_05preva_view43[[#This Row],[File Name]]</f>
        <v>#VALUE!</v>
      </c>
      <c r="BJ230" s="104"/>
      <c r="BK230" s="3"/>
      <c r="BL230" s="3"/>
      <c r="CJ230" s="5"/>
      <c r="CK230" s="5"/>
      <c r="CL230" s="3"/>
      <c r="CN230" s="5"/>
      <c r="CR230" s="3"/>
      <c r="CS230" s="3"/>
      <c r="CT230" s="5"/>
      <c r="CV230" s="3"/>
      <c r="DR230" s="5"/>
      <c r="DT230" s="3"/>
      <c r="EF230" s="7"/>
      <c r="EG230" s="7"/>
      <c r="EJ230" s="4"/>
      <c r="EK230" s="4"/>
      <c r="EU230" s="2"/>
      <c r="EV230" s="2"/>
    </row>
    <row r="231" spans="1:152">
      <c r="A231" s="125">
        <v>3422</v>
      </c>
      <c r="B231" s="126" t="s">
        <v>431</v>
      </c>
      <c r="C231" s="126" t="s">
        <v>116</v>
      </c>
      <c r="D231" s="126" t="s">
        <v>163</v>
      </c>
      <c r="E231" s="126" t="s">
        <v>432</v>
      </c>
      <c r="F231" s="126" t="s">
        <v>40</v>
      </c>
      <c r="G231" s="126" t="s">
        <v>118</v>
      </c>
      <c r="H231" s="126"/>
      <c r="I231" s="126" t="s">
        <v>1143</v>
      </c>
      <c r="J231" s="126" t="s">
        <v>931</v>
      </c>
      <c r="K231" s="127">
        <v>43419</v>
      </c>
      <c r="L231" s="128">
        <v>3</v>
      </c>
      <c r="M231" s="128">
        <v>3.6</v>
      </c>
      <c r="N231" s="126">
        <v>4.5</v>
      </c>
      <c r="O231" s="126" t="s">
        <v>119</v>
      </c>
      <c r="P231" s="129" t="s">
        <v>270</v>
      </c>
      <c r="Q231" s="129" t="s">
        <v>256</v>
      </c>
      <c r="R231" s="126" t="s">
        <v>25</v>
      </c>
      <c r="S231" s="126"/>
      <c r="T231" s="130" t="s">
        <v>120</v>
      </c>
      <c r="U231" s="126" t="s">
        <v>1238</v>
      </c>
      <c r="V231" s="130" t="s">
        <v>120</v>
      </c>
      <c r="W231" s="126"/>
      <c r="X231" s="130" t="s">
        <v>144</v>
      </c>
      <c r="Y231" s="126" t="s">
        <v>1239</v>
      </c>
      <c r="Z231" s="165"/>
      <c r="AA231" s="158"/>
      <c r="AB231" s="158"/>
      <c r="AC231" s="170"/>
      <c r="AD231" s="126"/>
      <c r="AE231" s="130" t="s">
        <v>120</v>
      </c>
      <c r="AF231" s="127" t="s">
        <v>895</v>
      </c>
      <c r="AG231" s="131"/>
      <c r="AH231" s="131"/>
      <c r="AI231" s="126" t="s">
        <v>1240</v>
      </c>
      <c r="AJ231" s="130" t="s">
        <v>120</v>
      </c>
      <c r="AK231" s="126" t="s">
        <v>123</v>
      </c>
      <c r="AL231" s="126" t="s">
        <v>1231</v>
      </c>
      <c r="AM231" s="130"/>
      <c r="AN231" s="126"/>
      <c r="AO231" s="132"/>
      <c r="AP231" s="126"/>
      <c r="AQ231" s="126"/>
      <c r="AR231" s="130"/>
      <c r="AS231" s="126"/>
      <c r="AT231" s="127"/>
      <c r="AU231" s="127">
        <v>43420.401277314799</v>
      </c>
      <c r="AV231" s="127"/>
      <c r="AW231" s="127">
        <v>43419.734000231503</v>
      </c>
      <c r="AX231" s="127">
        <v>43424.368692592601</v>
      </c>
      <c r="AY231" s="127">
        <v>43419.6578226852</v>
      </c>
      <c r="AZ231" s="133"/>
      <c r="BA231" s="134">
        <f ca="1">IF(_05preva_view43[[#This Row],[Prevalidation Status]]="Under Prevalidation",NOW()-_05preva_view43[[#This Row],[Request Date]],IF(_05preva_view43[[#This Row],[Close Date]]&gt;_05preva_view43[[#This Row],[Request Date]],_05preva_view43[[#This Row],[Close Date]]-_05preva_view43[[#This Row],[Request Date]],"Not  Calculated"))</f>
        <v>69.70510648148047</v>
      </c>
      <c r="BB231" s="135">
        <f>COUNTIFS(_05preva_view43[Site ID],_05preva_view43[[#This Row],[Site ID]],_05preva_view43[Prevalidation Status],"Under Prevalidation")</f>
        <v>1</v>
      </c>
      <c r="BC231" s="157" t="e">
        <f ca="1">HYPERLINK(CheckPath(_05preva_view43[[#This Row],[File Path]],_05preva_view43[[#This Row],[File Path]],_05preva_view43[[#This Row],[Folder Path3]]),CheckPath(_05preva_view43[[#This Row],[File Path]],"Open File","No File"))</f>
        <v>#VALUE!</v>
      </c>
      <c r="BD231" s="136" t="str">
        <f>CONCATENATE(_05preva_view43[[#This Row],[Site ID]]," (",_05preva_view43[[#This Row],[tenant id]],") Application",IF(_05preva_view43[[#This Row],[Colo Rev]]&gt;0," Rev "&amp;_05preva_view43[[#This Row],[Colo Rev]],""),".xlsx")</f>
        <v>AYYN_0534 (YAW7825) Application Rev 1.xlsx</v>
      </c>
      <c r="BE231" s="64" t="e">
        <f t="shared" ca="1" si="5"/>
        <v>#VALUE!</v>
      </c>
      <c r="BF231" s="104" t="e">
        <f ca="1">LEFT(CELL("filename",A216),_05preva_view43[[#This Row],[Find Process &amp; Database]]-1)</f>
        <v>#VALUE!</v>
      </c>
      <c r="BG231" s="104" t="e">
        <f ca="1">_05preva_view43[Folder Path1]&amp;"Process &amp; Database\Documentation\Colo Applications"</f>
        <v>#VALUE!</v>
      </c>
      <c r="BH231" s="104" t="e">
        <f ca="1">_05preva_view43[Folder Path2]&amp;"\Colo App "&amp;_05preva_view43[[#This Row],[Operator]]&amp;"\"</f>
        <v>#VALUE!</v>
      </c>
      <c r="BI231" s="63" t="e">
        <f ca="1">_05preva_view43[[#This Row],[Folder Path3]]&amp;_05preva_view43[[#This Row],[File Name]]</f>
        <v>#VALUE!</v>
      </c>
      <c r="BJ231" s="104"/>
      <c r="BK231" s="3"/>
      <c r="BL231" s="3"/>
      <c r="CJ231" s="5"/>
      <c r="CK231" s="5"/>
      <c r="CL231" s="3"/>
      <c r="CN231" s="5"/>
      <c r="CR231" s="3"/>
      <c r="CS231" s="3"/>
      <c r="CT231" s="5"/>
      <c r="CV231" s="3"/>
      <c r="DR231" s="5"/>
      <c r="DT231" s="3"/>
      <c r="EF231" s="7"/>
      <c r="EG231" s="7"/>
      <c r="EJ231" s="4"/>
      <c r="EK231" s="4"/>
      <c r="EU231" s="2"/>
      <c r="EV231" s="2"/>
    </row>
    <row r="232" spans="1:152">
      <c r="A232" s="125">
        <v>3423</v>
      </c>
      <c r="B232" s="126" t="s">
        <v>243</v>
      </c>
      <c r="C232" s="126" t="s">
        <v>116</v>
      </c>
      <c r="D232" s="126" t="s">
        <v>163</v>
      </c>
      <c r="E232" s="126" t="s">
        <v>244</v>
      </c>
      <c r="F232" s="126" t="s">
        <v>40</v>
      </c>
      <c r="G232" s="126" t="s">
        <v>118</v>
      </c>
      <c r="H232" s="126"/>
      <c r="I232" s="126" t="s">
        <v>1143</v>
      </c>
      <c r="J232" s="126" t="s">
        <v>931</v>
      </c>
      <c r="K232" s="127">
        <v>43419</v>
      </c>
      <c r="L232" s="128">
        <v>3</v>
      </c>
      <c r="M232" s="128">
        <v>3.6</v>
      </c>
      <c r="N232" s="126">
        <v>4.5</v>
      </c>
      <c r="O232" s="126" t="s">
        <v>119</v>
      </c>
      <c r="P232" s="129" t="s">
        <v>858</v>
      </c>
      <c r="Q232" s="129" t="s">
        <v>284</v>
      </c>
      <c r="R232" s="126" t="s">
        <v>26</v>
      </c>
      <c r="S232" s="126"/>
      <c r="T232" s="130" t="s">
        <v>120</v>
      </c>
      <c r="U232" s="126" t="s">
        <v>1241</v>
      </c>
      <c r="V232" s="130" t="s">
        <v>120</v>
      </c>
      <c r="W232" s="126"/>
      <c r="X232" s="130" t="s">
        <v>120</v>
      </c>
      <c r="Y232" s="126" t="s">
        <v>1242</v>
      </c>
      <c r="Z232" s="165" t="s">
        <v>144</v>
      </c>
      <c r="AA232" s="158"/>
      <c r="AB232" s="158"/>
      <c r="AC232" s="170" t="s">
        <v>240</v>
      </c>
      <c r="AD232" s="126" t="s">
        <v>1243</v>
      </c>
      <c r="AE232" s="130" t="s">
        <v>120</v>
      </c>
      <c r="AF232" s="127" t="s">
        <v>895</v>
      </c>
      <c r="AG232" s="131"/>
      <c r="AH232" s="131"/>
      <c r="AI232" s="126" t="s">
        <v>1244</v>
      </c>
      <c r="AJ232" s="130" t="s">
        <v>120</v>
      </c>
      <c r="AK232" s="126" t="s">
        <v>123</v>
      </c>
      <c r="AL232" s="126" t="s">
        <v>1231</v>
      </c>
      <c r="AM232" s="130"/>
      <c r="AN232" s="126"/>
      <c r="AO232" s="132"/>
      <c r="AP232" s="126"/>
      <c r="AQ232" s="126"/>
      <c r="AR232" s="130"/>
      <c r="AS232" s="126"/>
      <c r="AT232" s="127">
        <v>43419.734001388897</v>
      </c>
      <c r="AU232" s="127">
        <v>43420.401278587997</v>
      </c>
      <c r="AV232" s="127"/>
      <c r="AW232" s="127">
        <v>43419.734001388897</v>
      </c>
      <c r="AX232" s="127">
        <v>43424.391513773102</v>
      </c>
      <c r="AY232" s="127">
        <v>43419.657825347203</v>
      </c>
      <c r="AZ232" s="133">
        <v>43424.391513773102</v>
      </c>
      <c r="BA232" s="134">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B232" s="135">
        <f>COUNTIFS(_05preva_view43[Site ID],_05preva_view43[[#This Row],[Site ID]],_05preva_view43[Prevalidation Status],"Under Prevalidation")</f>
        <v>0</v>
      </c>
      <c r="BC232" s="157" t="e">
        <f ca="1">HYPERLINK(CheckPath(_05preva_view43[[#This Row],[File Path]],_05preva_view43[[#This Row],[File Path]],_05preva_view43[[#This Row],[Folder Path3]]),CheckPath(_05preva_view43[[#This Row],[File Path]],"Open File","No File"))</f>
        <v>#VALUE!</v>
      </c>
      <c r="BD232" s="136" t="str">
        <f>CONCATENATE(_05preva_view43[[#This Row],[Site ID]]," (",_05preva_view43[[#This Row],[tenant id]],") Application",IF(_05preva_view43[[#This Row],[Colo Rev]]&gt;0," Rev "&amp;_05preva_view43[[#This Row],[Colo Rev]],""),".xlsx")</f>
        <v>AYYN_0611 (YAW4436) Application Rev 1.xlsx</v>
      </c>
      <c r="BE232" s="64" t="e">
        <f t="shared" ca="1" si="5"/>
        <v>#VALUE!</v>
      </c>
      <c r="BF232" s="104" t="e">
        <f ca="1">LEFT(CELL("filename",A217),_05preva_view43[[#This Row],[Find Process &amp; Database]]-1)</f>
        <v>#VALUE!</v>
      </c>
      <c r="BG232" s="104" t="e">
        <f ca="1">_05preva_view43[Folder Path1]&amp;"Process &amp; Database\Documentation\Colo Applications"</f>
        <v>#VALUE!</v>
      </c>
      <c r="BH232" s="104" t="e">
        <f ca="1">_05preva_view43[Folder Path2]&amp;"\Colo App "&amp;_05preva_view43[[#This Row],[Operator]]&amp;"\"</f>
        <v>#VALUE!</v>
      </c>
      <c r="BI232" s="63" t="e">
        <f ca="1">_05preva_view43[[#This Row],[Folder Path3]]&amp;_05preva_view43[[#This Row],[File Name]]</f>
        <v>#VALUE!</v>
      </c>
      <c r="BJ232" s="104"/>
      <c r="BK232" s="3"/>
      <c r="BL232" s="3"/>
      <c r="CJ232" s="5"/>
      <c r="CK232" s="5"/>
      <c r="CL232" s="3"/>
      <c r="CN232" s="5"/>
      <c r="CR232" s="3"/>
      <c r="CS232" s="3"/>
      <c r="CT232" s="5"/>
      <c r="CV232" s="3"/>
      <c r="DR232" s="5"/>
      <c r="DT232" s="3"/>
      <c r="EF232" s="7"/>
      <c r="EG232" s="7"/>
      <c r="EJ232" s="4"/>
      <c r="EK232" s="4"/>
      <c r="EU232" s="2"/>
      <c r="EV232" s="2"/>
    </row>
    <row r="233" spans="1:152">
      <c r="A233" s="125">
        <v>3424</v>
      </c>
      <c r="B233" s="126" t="s">
        <v>420</v>
      </c>
      <c r="C233" s="126" t="s">
        <v>116</v>
      </c>
      <c r="D233" s="126" t="s">
        <v>163</v>
      </c>
      <c r="E233" s="126" t="s">
        <v>421</v>
      </c>
      <c r="F233" s="126" t="s">
        <v>40</v>
      </c>
      <c r="G233" s="126" t="s">
        <v>118</v>
      </c>
      <c r="H233" s="126"/>
      <c r="I233" s="126" t="s">
        <v>1143</v>
      </c>
      <c r="J233" s="126" t="s">
        <v>931</v>
      </c>
      <c r="K233" s="127">
        <v>43419</v>
      </c>
      <c r="L233" s="128">
        <v>3</v>
      </c>
      <c r="M233" s="128">
        <v>3.6</v>
      </c>
      <c r="N233" s="126">
        <v>4.5</v>
      </c>
      <c r="O233" s="126" t="s">
        <v>119</v>
      </c>
      <c r="P233" s="129" t="s">
        <v>1245</v>
      </c>
      <c r="Q233" s="129" t="s">
        <v>858</v>
      </c>
      <c r="R233" s="126" t="s">
        <v>24</v>
      </c>
      <c r="S233" s="126"/>
      <c r="T233" s="130" t="s">
        <v>120</v>
      </c>
      <c r="U233" s="126" t="s">
        <v>1246</v>
      </c>
      <c r="V233" s="130" t="s">
        <v>120</v>
      </c>
      <c r="W233" s="126"/>
      <c r="X233" s="130" t="s">
        <v>120</v>
      </c>
      <c r="Y233" s="126" t="s">
        <v>1247</v>
      </c>
      <c r="Z233" s="165" t="s">
        <v>120</v>
      </c>
      <c r="AA233" s="158"/>
      <c r="AB233" s="158"/>
      <c r="AC233" s="170" t="s">
        <v>123</v>
      </c>
      <c r="AD233" s="126" t="s">
        <v>1573</v>
      </c>
      <c r="AE233" s="130" t="s">
        <v>120</v>
      </c>
      <c r="AF233" s="127" t="s">
        <v>895</v>
      </c>
      <c r="AG233" s="131"/>
      <c r="AH233" s="131"/>
      <c r="AI233" s="126" t="s">
        <v>1248</v>
      </c>
      <c r="AJ233" s="130" t="s">
        <v>120</v>
      </c>
      <c r="AK233" s="126" t="s">
        <v>123</v>
      </c>
      <c r="AL233" s="126" t="s">
        <v>1231</v>
      </c>
      <c r="AM233" s="130"/>
      <c r="AN233" s="126"/>
      <c r="AO233" s="132"/>
      <c r="AP233" s="126"/>
      <c r="AQ233" s="126"/>
      <c r="AR233" s="130"/>
      <c r="AS233" s="126"/>
      <c r="AT233" s="127">
        <v>43420.419846643497</v>
      </c>
      <c r="AU233" s="127">
        <v>43420.401281712999</v>
      </c>
      <c r="AV233" s="127">
        <v>43447.556885532402</v>
      </c>
      <c r="AW233" s="127">
        <v>43419.734002199097</v>
      </c>
      <c r="AX233" s="127">
        <v>43424.368693518503</v>
      </c>
      <c r="AY233" s="127">
        <v>43419.657826620401</v>
      </c>
      <c r="AZ233" s="133">
        <v>43447.556885532402</v>
      </c>
      <c r="BA233" s="134">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B233" s="135">
        <f>COUNTIFS(_05preva_view43[Site ID],_05preva_view43[[#This Row],[Site ID]],_05preva_view43[Prevalidation Status],"Under Prevalidation")</f>
        <v>0</v>
      </c>
      <c r="BC233" s="157" t="e">
        <f ca="1">HYPERLINK(CheckPath(_05preva_view43[[#This Row],[File Path]],_05preva_view43[[#This Row],[File Path]],_05preva_view43[[#This Row],[Folder Path3]]),CheckPath(_05preva_view43[[#This Row],[File Path]],"Open File","No File"))</f>
        <v>#VALUE!</v>
      </c>
      <c r="BD233" s="136" t="str">
        <f>CONCATENATE(_05preva_view43[[#This Row],[Site ID]]," (",_05preva_view43[[#This Row],[tenant id]],") Application",IF(_05preva_view43[[#This Row],[Colo Rev]]&gt;0," Rev "&amp;_05preva_view43[[#This Row],[Colo Rev]],""),".xlsx")</f>
        <v>AYYN_0306 (YAW7763) Application Rev 1.xlsx</v>
      </c>
      <c r="BE233" s="64" t="e">
        <f t="shared" ca="1" si="5"/>
        <v>#VALUE!</v>
      </c>
      <c r="BF233" s="104" t="e">
        <f ca="1">LEFT(CELL("filename",A218),_05preva_view43[[#This Row],[Find Process &amp; Database]]-1)</f>
        <v>#VALUE!</v>
      </c>
      <c r="BG233" s="104" t="e">
        <f ca="1">_05preva_view43[Folder Path1]&amp;"Process &amp; Database\Documentation\Colo Applications"</f>
        <v>#VALUE!</v>
      </c>
      <c r="BH233" s="104" t="e">
        <f ca="1">_05preva_view43[Folder Path2]&amp;"\Colo App "&amp;_05preva_view43[[#This Row],[Operator]]&amp;"\"</f>
        <v>#VALUE!</v>
      </c>
      <c r="BI233" s="63" t="e">
        <f ca="1">_05preva_view43[[#This Row],[Folder Path3]]&amp;_05preva_view43[[#This Row],[File Name]]</f>
        <v>#VALUE!</v>
      </c>
      <c r="BJ233" s="104"/>
      <c r="BK233" s="3"/>
      <c r="BL233" s="3"/>
      <c r="CJ233" s="5"/>
      <c r="CK233" s="5"/>
      <c r="CL233" s="3"/>
      <c r="CN233" s="5"/>
      <c r="CR233" s="3"/>
      <c r="CS233" s="3"/>
      <c r="CT233" s="5"/>
      <c r="CV233" s="3"/>
      <c r="DR233" s="5"/>
      <c r="DT233" s="3"/>
      <c r="EF233" s="7"/>
      <c r="EG233" s="7"/>
      <c r="EJ233" s="4"/>
      <c r="EK233" s="4"/>
      <c r="EU233" s="2"/>
      <c r="EV233" s="2"/>
    </row>
    <row r="234" spans="1:152">
      <c r="A234" s="125">
        <v>3425</v>
      </c>
      <c r="B234" s="126" t="s">
        <v>247</v>
      </c>
      <c r="C234" s="126" t="s">
        <v>116</v>
      </c>
      <c r="D234" s="126" t="s">
        <v>163</v>
      </c>
      <c r="E234" s="126" t="s">
        <v>248</v>
      </c>
      <c r="F234" s="126" t="s">
        <v>40</v>
      </c>
      <c r="G234" s="126"/>
      <c r="H234" s="126"/>
      <c r="I234" s="126" t="s">
        <v>1143</v>
      </c>
      <c r="J234" s="126" t="s">
        <v>931</v>
      </c>
      <c r="K234" s="127">
        <v>43419</v>
      </c>
      <c r="L234" s="128">
        <v>3</v>
      </c>
      <c r="M234" s="128">
        <v>3.6</v>
      </c>
      <c r="N234" s="126">
        <v>4.5</v>
      </c>
      <c r="O234" s="126" t="s">
        <v>119</v>
      </c>
      <c r="P234" s="129" t="s">
        <v>270</v>
      </c>
      <c r="Q234" s="129" t="s">
        <v>256</v>
      </c>
      <c r="R234" s="126" t="s">
        <v>26</v>
      </c>
      <c r="S234" s="126"/>
      <c r="T234" s="130" t="s">
        <v>144</v>
      </c>
      <c r="U234" s="126" t="s">
        <v>1249</v>
      </c>
      <c r="V234" s="130" t="s">
        <v>120</v>
      </c>
      <c r="W234" s="126"/>
      <c r="X234" s="130" t="s">
        <v>120</v>
      </c>
      <c r="Y234" s="126" t="s">
        <v>1250</v>
      </c>
      <c r="Z234" s="165" t="s">
        <v>120</v>
      </c>
      <c r="AA234" s="158"/>
      <c r="AB234" s="158"/>
      <c r="AC234" s="170" t="s">
        <v>123</v>
      </c>
      <c r="AD234" s="126" t="s">
        <v>1322</v>
      </c>
      <c r="AE234" s="130" t="s">
        <v>120</v>
      </c>
      <c r="AF234" s="127"/>
      <c r="AG234" s="131"/>
      <c r="AH234" s="131"/>
      <c r="AI234" s="126" t="s">
        <v>1251</v>
      </c>
      <c r="AJ234" s="130" t="s">
        <v>120</v>
      </c>
      <c r="AK234" s="126" t="s">
        <v>123</v>
      </c>
      <c r="AL234" s="126" t="s">
        <v>1231</v>
      </c>
      <c r="AM234" s="130"/>
      <c r="AN234" s="126"/>
      <c r="AO234" s="132"/>
      <c r="AP234" s="126"/>
      <c r="AQ234" s="126"/>
      <c r="AR234" s="130"/>
      <c r="AS234" s="126"/>
      <c r="AT234" s="127">
        <v>43419.734003124999</v>
      </c>
      <c r="AU234" s="127">
        <v>43420.401282523097</v>
      </c>
      <c r="AV234" s="127">
        <v>43439.384219560197</v>
      </c>
      <c r="AW234" s="127">
        <v>43419.734003124999</v>
      </c>
      <c r="AX234" s="127"/>
      <c r="AY234" s="127">
        <v>43419.657829282398</v>
      </c>
      <c r="AZ234" s="133">
        <v>43439.384219560197</v>
      </c>
      <c r="BA234" s="134">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B234" s="135">
        <f>COUNTIFS(_05preva_view43[Site ID],_05preva_view43[[#This Row],[Site ID]],_05preva_view43[Prevalidation Status],"Under Prevalidation")</f>
        <v>0</v>
      </c>
      <c r="BC234" s="157" t="e">
        <f ca="1">HYPERLINK(CheckPath(_05preva_view43[[#This Row],[File Path]],_05preva_view43[[#This Row],[File Path]],_05preva_view43[[#This Row],[Folder Path3]]),CheckPath(_05preva_view43[[#This Row],[File Path]],"Open File","No File"))</f>
        <v>#VALUE!</v>
      </c>
      <c r="BD234" s="136" t="str">
        <f>CONCATENATE(_05preva_view43[[#This Row],[Site ID]]," (",_05preva_view43[[#This Row],[tenant id]],") Application",IF(_05preva_view43[[#This Row],[Colo Rev]]&gt;0," Rev "&amp;_05preva_view43[[#This Row],[Colo Rev]],""),".xlsx")</f>
        <v>AYYN_0529 (YAW4447) Application Rev 1.xlsx</v>
      </c>
      <c r="BE234" s="64" t="e">
        <f t="shared" ca="1" si="5"/>
        <v>#VALUE!</v>
      </c>
      <c r="BF234" s="104" t="e">
        <f ca="1">LEFT(CELL("filename",A219),_05preva_view43[[#This Row],[Find Process &amp; Database]]-1)</f>
        <v>#VALUE!</v>
      </c>
      <c r="BG234" s="104" t="e">
        <f ca="1">_05preva_view43[Folder Path1]&amp;"Process &amp; Database\Documentation\Colo Applications"</f>
        <v>#VALUE!</v>
      </c>
      <c r="BH234" s="104" t="e">
        <f ca="1">_05preva_view43[Folder Path2]&amp;"\Colo App "&amp;_05preva_view43[[#This Row],[Operator]]&amp;"\"</f>
        <v>#VALUE!</v>
      </c>
      <c r="BI234" s="63" t="e">
        <f ca="1">_05preva_view43[[#This Row],[Folder Path3]]&amp;_05preva_view43[[#This Row],[File Name]]</f>
        <v>#VALUE!</v>
      </c>
      <c r="BJ234" s="104"/>
      <c r="BK234" s="3"/>
      <c r="BL234" s="3"/>
      <c r="CJ234" s="5"/>
      <c r="CK234" s="5"/>
      <c r="CL234" s="3"/>
      <c r="CN234" s="5"/>
      <c r="CR234" s="3"/>
      <c r="CS234" s="3"/>
      <c r="CT234" s="5"/>
      <c r="CV234" s="3"/>
      <c r="DR234" s="5"/>
      <c r="DT234" s="3"/>
      <c r="EF234" s="7"/>
      <c r="EG234" s="7"/>
      <c r="EJ234" s="4"/>
      <c r="EK234" s="4"/>
      <c r="EU234" s="2"/>
      <c r="EV234" s="2"/>
    </row>
    <row r="235" spans="1:152">
      <c r="A235" s="125">
        <v>3426</v>
      </c>
      <c r="B235" s="126" t="s">
        <v>1046</v>
      </c>
      <c r="C235" s="126" t="s">
        <v>331</v>
      </c>
      <c r="D235" s="126" t="s">
        <v>127</v>
      </c>
      <c r="E235" s="126" t="s">
        <v>1047</v>
      </c>
      <c r="F235" s="126" t="s">
        <v>35</v>
      </c>
      <c r="G235" s="126" t="s">
        <v>1583</v>
      </c>
      <c r="H235" s="126" t="s">
        <v>1575</v>
      </c>
      <c r="I235" s="126" t="s">
        <v>1048</v>
      </c>
      <c r="J235" s="126" t="s">
        <v>990</v>
      </c>
      <c r="K235" s="127">
        <v>43419</v>
      </c>
      <c r="L235" s="128">
        <v>2.1259999999999999</v>
      </c>
      <c r="M235" s="128">
        <v>4.0149999999999997</v>
      </c>
      <c r="N235" s="126">
        <v>3.3250000000000002</v>
      </c>
      <c r="O235" s="126" t="s">
        <v>950</v>
      </c>
      <c r="P235" s="129" t="s">
        <v>704</v>
      </c>
      <c r="Q235" s="129" t="s">
        <v>705</v>
      </c>
      <c r="R235" s="126" t="s">
        <v>24</v>
      </c>
      <c r="S235" s="126"/>
      <c r="T235" s="130" t="s">
        <v>120</v>
      </c>
      <c r="U235" s="126"/>
      <c r="V235" s="130" t="s">
        <v>861</v>
      </c>
      <c r="W235" s="126"/>
      <c r="X235" s="130" t="s">
        <v>120</v>
      </c>
      <c r="Y235" s="126" t="s">
        <v>1253</v>
      </c>
      <c r="Z235" s="165" t="s">
        <v>120</v>
      </c>
      <c r="AA235" s="158"/>
      <c r="AB235" s="158"/>
      <c r="AC235" s="170" t="s">
        <v>123</v>
      </c>
      <c r="AD235" s="126" t="s">
        <v>1254</v>
      </c>
      <c r="AE235" s="130" t="s">
        <v>120</v>
      </c>
      <c r="AF235" s="127" t="s">
        <v>1764</v>
      </c>
      <c r="AG235" s="131"/>
      <c r="AH235" s="131">
        <v>2.2999999999999998</v>
      </c>
      <c r="AI235" s="126" t="s">
        <v>1285</v>
      </c>
      <c r="AJ235" s="130" t="s">
        <v>120</v>
      </c>
      <c r="AK235" s="126" t="s">
        <v>123</v>
      </c>
      <c r="AL235" s="126" t="s">
        <v>1198</v>
      </c>
      <c r="AM235" s="130"/>
      <c r="AN235" s="126"/>
      <c r="AO235" s="132"/>
      <c r="AP235" s="126"/>
      <c r="AQ235" s="126"/>
      <c r="AR235" s="130"/>
      <c r="AS235" s="126"/>
      <c r="AT235" s="127">
        <v>43420.419850462997</v>
      </c>
      <c r="AU235" s="127">
        <v>43451.370452661999</v>
      </c>
      <c r="AV235" s="127">
        <v>43423.465950347199</v>
      </c>
      <c r="AW235" s="127">
        <v>43420.419850462997</v>
      </c>
      <c r="AX235" s="127">
        <v>43424.368695601901</v>
      </c>
      <c r="AY235" s="127"/>
      <c r="AZ235" s="133">
        <v>43451.3896572917</v>
      </c>
      <c r="BA235" s="134">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B235" s="135">
        <f>COUNTIFS(_05preva_view43[Site ID],_05preva_view43[[#This Row],[Site ID]],_05preva_view43[Prevalidation Status],"Under Prevalidation")</f>
        <v>0</v>
      </c>
      <c r="BC235" s="157" t="e">
        <f ca="1">HYPERLINK(CheckPath(_05preva_view43[[#This Row],[File Path]],_05preva_view43[[#This Row],[File Path]],_05preva_view43[[#This Row],[Folder Path3]]),CheckPath(_05preva_view43[[#This Row],[File Path]],"Open File","No File"))</f>
        <v>#VALUE!</v>
      </c>
      <c r="BD235" s="136" t="str">
        <f>CONCATENATE(_05preva_view43[[#This Row],[Site ID]]," (",_05preva_view43[[#This Row],[tenant id]],") Application",IF(_05preva_view43[[#This Row],[Colo Rev]]&gt;0," Rev "&amp;_05preva_view43[[#This Row],[Colo Rev]],""),".xlsx")</f>
        <v>1-01-05027-009 (SGG00227) Application Rev 3.xlsx</v>
      </c>
      <c r="BE235" s="64" t="e">
        <f t="shared" ca="1" si="5"/>
        <v>#VALUE!</v>
      </c>
      <c r="BF235" s="104" t="e">
        <f ca="1">LEFT(CELL("filename",A220),_05preva_view43[[#This Row],[Find Process &amp; Database]]-1)</f>
        <v>#VALUE!</v>
      </c>
      <c r="BG235" s="104" t="e">
        <f ca="1">_05preva_view43[Folder Path1]&amp;"Process &amp; Database\Documentation\Colo Applications"</f>
        <v>#VALUE!</v>
      </c>
      <c r="BH235" s="104" t="e">
        <f ca="1">_05preva_view43[Folder Path2]&amp;"\Colo App "&amp;_05preva_view43[[#This Row],[Operator]]&amp;"\"</f>
        <v>#VALUE!</v>
      </c>
      <c r="BI235" s="63" t="e">
        <f ca="1">_05preva_view43[[#This Row],[Folder Path3]]&amp;_05preva_view43[[#This Row],[File Name]]</f>
        <v>#VALUE!</v>
      </c>
      <c r="BJ235" s="104"/>
      <c r="BK235" s="3"/>
      <c r="BL235" s="3"/>
      <c r="CJ235" s="5"/>
      <c r="CK235" s="5"/>
      <c r="CL235" s="3"/>
      <c r="CN235" s="5"/>
      <c r="CR235" s="3"/>
      <c r="CS235" s="3"/>
      <c r="CT235" s="5"/>
      <c r="CV235" s="3"/>
      <c r="DR235" s="5"/>
      <c r="DT235" s="3"/>
      <c r="EF235" s="7"/>
      <c r="EG235" s="7"/>
      <c r="EJ235" s="4"/>
      <c r="EK235" s="4"/>
      <c r="EU235" s="2"/>
      <c r="EV235" s="2"/>
    </row>
    <row r="236" spans="1:152">
      <c r="A236" s="125">
        <v>3427</v>
      </c>
      <c r="B236" s="126" t="s">
        <v>1189</v>
      </c>
      <c r="C236" s="126" t="s">
        <v>331</v>
      </c>
      <c r="D236" s="126" t="s">
        <v>127</v>
      </c>
      <c r="E236" s="126" t="s">
        <v>1190</v>
      </c>
      <c r="F236" s="126" t="s">
        <v>35</v>
      </c>
      <c r="G236" s="126" t="s">
        <v>1583</v>
      </c>
      <c r="H236" s="126" t="s">
        <v>1575</v>
      </c>
      <c r="I236" s="126" t="s">
        <v>1053</v>
      </c>
      <c r="J236" s="126" t="s">
        <v>990</v>
      </c>
      <c r="K236" s="127">
        <v>43419</v>
      </c>
      <c r="L236" s="128">
        <v>1.9890000000000001</v>
      </c>
      <c r="M236" s="128">
        <v>3.6110000000000002</v>
      </c>
      <c r="N236" s="126">
        <v>4.37</v>
      </c>
      <c r="O236" s="126" t="s">
        <v>950</v>
      </c>
      <c r="P236" s="129" t="s">
        <v>704</v>
      </c>
      <c r="Q236" s="129" t="s">
        <v>705</v>
      </c>
      <c r="R236" s="126" t="s">
        <v>24</v>
      </c>
      <c r="S236" s="126"/>
      <c r="T236" s="130" t="s">
        <v>120</v>
      </c>
      <c r="U236" s="126"/>
      <c r="V236" s="130" t="s">
        <v>861</v>
      </c>
      <c r="W236" s="126"/>
      <c r="X236" s="130" t="s">
        <v>120</v>
      </c>
      <c r="Y236" s="126" t="s">
        <v>1255</v>
      </c>
      <c r="Z236" s="165" t="s">
        <v>120</v>
      </c>
      <c r="AA236" s="158"/>
      <c r="AB236" s="158"/>
      <c r="AC236" s="170" t="s">
        <v>123</v>
      </c>
      <c r="AD236" s="126" t="s">
        <v>1256</v>
      </c>
      <c r="AE236" s="130" t="s">
        <v>120</v>
      </c>
      <c r="AF236" s="127" t="s">
        <v>1167</v>
      </c>
      <c r="AG236" s="131"/>
      <c r="AH236" s="131">
        <v>1.5</v>
      </c>
      <c r="AI236" s="126" t="s">
        <v>1168</v>
      </c>
      <c r="AJ236" s="130" t="s">
        <v>120</v>
      </c>
      <c r="AK236" s="126" t="s">
        <v>123</v>
      </c>
      <c r="AL236" s="126" t="s">
        <v>1198</v>
      </c>
      <c r="AM236" s="130"/>
      <c r="AN236" s="126"/>
      <c r="AO236" s="132"/>
      <c r="AP236" s="126"/>
      <c r="AQ236" s="126"/>
      <c r="AR236" s="130"/>
      <c r="AS236" s="126"/>
      <c r="AT236" s="127">
        <v>43420.419852314801</v>
      </c>
      <c r="AU236" s="127">
        <v>43420.5554857639</v>
      </c>
      <c r="AV236" s="127">
        <v>43423.465951620397</v>
      </c>
      <c r="AW236" s="127">
        <v>43420.419852314801</v>
      </c>
      <c r="AX236" s="127">
        <v>43424.368696411999</v>
      </c>
      <c r="AY236" s="127"/>
      <c r="AZ236" s="133">
        <v>43424.368696411999</v>
      </c>
      <c r="BA236" s="134">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B236" s="135">
        <f>COUNTIFS(_05preva_view43[Site ID],_05preva_view43[[#This Row],[Site ID]],_05preva_view43[Prevalidation Status],"Under Prevalidation")</f>
        <v>0</v>
      </c>
      <c r="BC236" s="157" t="e">
        <f ca="1">HYPERLINK(CheckPath(_05preva_view43[[#This Row],[File Path]],_05preva_view43[[#This Row],[File Path]],_05preva_view43[[#This Row],[Folder Path3]]),CheckPath(_05preva_view43[[#This Row],[File Path]],"Open File","No File"))</f>
        <v>#VALUE!</v>
      </c>
      <c r="BD236" s="136" t="str">
        <f>CONCATENATE(_05preva_view43[[#This Row],[Site ID]]," (",_05preva_view43[[#This Row],[tenant id]],") Application",IF(_05preva_view43[[#This Row],[Colo Rev]]&gt;0," Rev "&amp;_05preva_view43[[#This Row],[Colo Rev]],""),".xlsx")</f>
        <v>1-01-15011-001 (SHN00043) Application Rev 3.xlsx</v>
      </c>
      <c r="BE236" s="64" t="e">
        <f t="shared" ca="1" si="5"/>
        <v>#VALUE!</v>
      </c>
      <c r="BF236" s="104" t="e">
        <f ca="1">LEFT(CELL("filename",A221),_05preva_view43[[#This Row],[Find Process &amp; Database]]-1)</f>
        <v>#VALUE!</v>
      </c>
      <c r="BG236" s="104" t="e">
        <f ca="1">_05preva_view43[Folder Path1]&amp;"Process &amp; Database\Documentation\Colo Applications"</f>
        <v>#VALUE!</v>
      </c>
      <c r="BH236" s="104" t="e">
        <f ca="1">_05preva_view43[Folder Path2]&amp;"\Colo App "&amp;_05preva_view43[[#This Row],[Operator]]&amp;"\"</f>
        <v>#VALUE!</v>
      </c>
      <c r="BI236" s="63" t="e">
        <f ca="1">_05preva_view43[[#This Row],[Folder Path3]]&amp;_05preva_view43[[#This Row],[File Name]]</f>
        <v>#VALUE!</v>
      </c>
      <c r="BJ236" s="104"/>
      <c r="BK236" s="3"/>
      <c r="BL236" s="3"/>
      <c r="CJ236" s="5"/>
      <c r="CK236" s="5"/>
      <c r="CL236" s="3"/>
      <c r="CN236" s="5"/>
      <c r="CR236" s="3"/>
      <c r="CS236" s="3"/>
      <c r="CT236" s="5"/>
      <c r="CV236" s="3"/>
      <c r="DR236" s="5"/>
      <c r="DT236" s="3"/>
      <c r="EF236" s="7"/>
      <c r="EG236" s="7"/>
      <c r="EJ236" s="4"/>
      <c r="EK236" s="4"/>
      <c r="EU236" s="2"/>
      <c r="EV236" s="2"/>
    </row>
    <row r="237" spans="1:152">
      <c r="A237" s="125">
        <v>3415</v>
      </c>
      <c r="B237" s="126" t="s">
        <v>203</v>
      </c>
      <c r="C237" s="126" t="s">
        <v>116</v>
      </c>
      <c r="D237" s="126" t="s">
        <v>163</v>
      </c>
      <c r="E237" s="126" t="s">
        <v>1206</v>
      </c>
      <c r="F237" s="126" t="s">
        <v>41</v>
      </c>
      <c r="G237" s="126" t="s">
        <v>1576</v>
      </c>
      <c r="H237" s="126" t="s">
        <v>1575</v>
      </c>
      <c r="I237" s="126" t="s">
        <v>1207</v>
      </c>
      <c r="J237" s="126" t="s">
        <v>931</v>
      </c>
      <c r="K237" s="127">
        <v>43418</v>
      </c>
      <c r="L237" s="128"/>
      <c r="M237" s="128"/>
      <c r="N237" s="126">
        <v>6</v>
      </c>
      <c r="O237" s="126" t="s">
        <v>119</v>
      </c>
      <c r="P237" s="129" t="s">
        <v>257</v>
      </c>
      <c r="Q237" s="129" t="s">
        <v>264</v>
      </c>
      <c r="R237" s="126" t="s">
        <v>24</v>
      </c>
      <c r="S237" s="126"/>
      <c r="T237" s="130" t="s">
        <v>861</v>
      </c>
      <c r="U237" s="126"/>
      <c r="V237" s="130" t="s">
        <v>861</v>
      </c>
      <c r="W237" s="126"/>
      <c r="X237" s="130" t="s">
        <v>120</v>
      </c>
      <c r="Y237" s="126" t="s">
        <v>1208</v>
      </c>
      <c r="Z237" s="165" t="s">
        <v>120</v>
      </c>
      <c r="AA237" s="158"/>
      <c r="AB237" s="158"/>
      <c r="AC237" s="170" t="s">
        <v>123</v>
      </c>
      <c r="AD237" s="126" t="s">
        <v>1209</v>
      </c>
      <c r="AE237" s="130" t="s">
        <v>861</v>
      </c>
      <c r="AF237" s="127"/>
      <c r="AG237" s="131"/>
      <c r="AH237" s="131"/>
      <c r="AI237" s="126"/>
      <c r="AJ237" s="130" t="s">
        <v>861</v>
      </c>
      <c r="AK237" s="126"/>
      <c r="AL237" s="126"/>
      <c r="AM237" s="130" t="s">
        <v>861</v>
      </c>
      <c r="AN237" s="126"/>
      <c r="AO237" s="132"/>
      <c r="AP237" s="126" t="s">
        <v>861</v>
      </c>
      <c r="AQ237" s="126"/>
      <c r="AR237" s="130"/>
      <c r="AS237" s="126"/>
      <c r="AT237" s="127">
        <v>43419.733995254603</v>
      </c>
      <c r="AU237" s="127"/>
      <c r="AV237" s="127">
        <v>43427.716642592597</v>
      </c>
      <c r="AW237" s="127"/>
      <c r="AX237" s="127"/>
      <c r="AY237" s="127"/>
      <c r="AZ237" s="133">
        <v>43427.716642592597</v>
      </c>
      <c r="BA237" s="134">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B237" s="135">
        <f>COUNTIFS(_05preva_view43[Site ID],_05preva_view43[[#This Row],[Site ID]],_05preva_view43[Prevalidation Status],"Under Prevalidation")</f>
        <v>0</v>
      </c>
      <c r="BC237" s="157" t="e">
        <f ca="1">HYPERLINK(CheckPath(_05preva_view43[[#This Row],[File Path]],_05preva_view43[[#This Row],[File Path]],_05preva_view43[[#This Row],[Folder Path3]]),CheckPath(_05preva_view43[[#This Row],[File Path]],"Open File","No File"))</f>
        <v>#VALUE!</v>
      </c>
      <c r="BD237" s="136" t="str">
        <f>CONCATENATE(_05preva_view43[[#This Row],[Site ID]]," (",_05preva_view43[[#This Row],[tenant id]],") Application",IF(_05preva_view43[[#This Row],[Colo Rev]]&gt;0," Rev "&amp;_05preva_view43[[#This Row],[Colo Rev]],""),".xlsx")</f>
        <v>AYYN_0583 (YGNSPTR021) Application Rev 1.xlsx</v>
      </c>
      <c r="BE237" s="64" t="e">
        <f t="shared" ca="1" si="5"/>
        <v>#VALUE!</v>
      </c>
      <c r="BF237" s="104" t="e">
        <f ca="1">LEFT(CELL("filename",A222),_05preva_view43[[#This Row],[Find Process &amp; Database]]-1)</f>
        <v>#VALUE!</v>
      </c>
      <c r="BG237" s="104" t="e">
        <f ca="1">_05preva_view43[Folder Path1]&amp;"Process &amp; Database\Documentation\Colo Applications"</f>
        <v>#VALUE!</v>
      </c>
      <c r="BH237" s="104" t="e">
        <f ca="1">_05preva_view43[Folder Path2]&amp;"\Colo App "&amp;_05preva_view43[[#This Row],[Operator]]&amp;"\"</f>
        <v>#VALUE!</v>
      </c>
      <c r="BI237" s="63" t="e">
        <f ca="1">_05preva_view43[[#This Row],[Folder Path3]]&amp;_05preva_view43[[#This Row],[File Name]]</f>
        <v>#VALUE!</v>
      </c>
      <c r="BJ237" s="104"/>
      <c r="BK237" s="3"/>
      <c r="BL237" s="3"/>
      <c r="CJ237" s="5"/>
      <c r="CK237" s="5"/>
      <c r="CL237" s="3"/>
      <c r="CN237" s="5"/>
      <c r="CR237" s="3"/>
      <c r="CS237" s="3"/>
      <c r="CT237" s="5"/>
      <c r="CV237" s="3"/>
      <c r="DR237" s="5"/>
      <c r="DT237" s="3"/>
      <c r="EF237" s="7"/>
      <c r="EG237" s="7"/>
      <c r="EJ237" s="4"/>
      <c r="EK237" s="4"/>
      <c r="EU237" s="2"/>
      <c r="EV237" s="2"/>
    </row>
    <row r="238" spans="1:152">
      <c r="A238" s="125">
        <v>3413</v>
      </c>
      <c r="B238" s="126" t="s">
        <v>1194</v>
      </c>
      <c r="C238" s="126" t="s">
        <v>331</v>
      </c>
      <c r="D238" s="126" t="s">
        <v>127</v>
      </c>
      <c r="E238" s="126" t="s">
        <v>1195</v>
      </c>
      <c r="F238" s="126" t="s">
        <v>35</v>
      </c>
      <c r="G238" s="126" t="s">
        <v>1583</v>
      </c>
      <c r="H238" s="126" t="s">
        <v>1575</v>
      </c>
      <c r="I238" s="126" t="s">
        <v>1196</v>
      </c>
      <c r="J238" s="126" t="s">
        <v>949</v>
      </c>
      <c r="K238" s="127">
        <v>43417</v>
      </c>
      <c r="L238" s="128"/>
      <c r="M238" s="128"/>
      <c r="N238" s="126">
        <v>3.07</v>
      </c>
      <c r="O238" s="126" t="s">
        <v>950</v>
      </c>
      <c r="P238" s="129" t="s">
        <v>276</v>
      </c>
      <c r="Q238" s="129" t="s">
        <v>277</v>
      </c>
      <c r="R238" s="126" t="s">
        <v>24</v>
      </c>
      <c r="S238" s="126"/>
      <c r="T238" s="130" t="s">
        <v>861</v>
      </c>
      <c r="U238" s="126"/>
      <c r="V238" s="130" t="s">
        <v>861</v>
      </c>
      <c r="W238" s="126"/>
      <c r="X238" s="130" t="s">
        <v>120</v>
      </c>
      <c r="Y238" s="126" t="s">
        <v>1197</v>
      </c>
      <c r="Z238" s="165" t="s">
        <v>861</v>
      </c>
      <c r="AA238" s="158"/>
      <c r="AB238" s="158"/>
      <c r="AC238" s="170"/>
      <c r="AD238" s="126"/>
      <c r="AE238" s="130" t="s">
        <v>125</v>
      </c>
      <c r="AF238" s="127" t="s">
        <v>1199</v>
      </c>
      <c r="AG238" s="131"/>
      <c r="AH238" s="131">
        <v>1.6</v>
      </c>
      <c r="AI238" s="126" t="s">
        <v>1200</v>
      </c>
      <c r="AJ238" s="130" t="s">
        <v>120</v>
      </c>
      <c r="AK238" s="126" t="s">
        <v>123</v>
      </c>
      <c r="AL238" s="126" t="s">
        <v>1198</v>
      </c>
      <c r="AM238" s="130"/>
      <c r="AN238" s="126"/>
      <c r="AO238" s="132"/>
      <c r="AP238" s="126"/>
      <c r="AQ238" s="126"/>
      <c r="AR238" s="130"/>
      <c r="AS238" s="126"/>
      <c r="AT238" s="127">
        <v>43418.370526620398</v>
      </c>
      <c r="AU238" s="127"/>
      <c r="AV238" s="127"/>
      <c r="AW238" s="127">
        <v>43418.370526620398</v>
      </c>
      <c r="AX238" s="127"/>
      <c r="AY238" s="127"/>
      <c r="AZ238" s="133">
        <v>43418.370526620398</v>
      </c>
      <c r="BA238" s="134">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B238" s="135">
        <f>COUNTIFS(_05preva_view43[Site ID],_05preva_view43[[#This Row],[Site ID]],_05preva_view43[Prevalidation Status],"Under Prevalidation")</f>
        <v>0</v>
      </c>
      <c r="BC238" s="157" t="e">
        <f ca="1">HYPERLINK(CheckPath(_05preva_view43[[#This Row],[File Path]],_05preva_view43[[#This Row],[File Path]],_05preva_view43[[#This Row],[Folder Path3]]),CheckPath(_05preva_view43[[#This Row],[File Path]],"Open File","No File"))</f>
        <v>#VALUE!</v>
      </c>
      <c r="BD238" s="136" t="str">
        <f>CONCATENATE(_05preva_view43[[#This Row],[Site ID]]," (",_05preva_view43[[#This Row],[tenant id]],") Application",IF(_05preva_view43[[#This Row],[Colo Rev]]&gt;0," Rev "&amp;_05preva_view43[[#This Row],[Colo Rev]],""),".xlsx")</f>
        <v>1-01-01002-008 (KCN00372) Application Rev 2.xlsx</v>
      </c>
      <c r="BE238" s="64" t="e">
        <f t="shared" ca="1" si="5"/>
        <v>#VALUE!</v>
      </c>
      <c r="BF238" s="104" t="e">
        <f ca="1">LEFT(CELL("filename",A223),_05preva_view43[[#This Row],[Find Process &amp; Database]]-1)</f>
        <v>#VALUE!</v>
      </c>
      <c r="BG238" s="104" t="e">
        <f ca="1">_05preva_view43[Folder Path1]&amp;"Process &amp; Database\Documentation\Colo Applications"</f>
        <v>#VALUE!</v>
      </c>
      <c r="BH238" s="104" t="e">
        <f ca="1">_05preva_view43[Folder Path2]&amp;"\Colo App "&amp;_05preva_view43[[#This Row],[Operator]]&amp;"\"</f>
        <v>#VALUE!</v>
      </c>
      <c r="BI238" s="63" t="e">
        <f ca="1">_05preva_view43[[#This Row],[Folder Path3]]&amp;_05preva_view43[[#This Row],[File Name]]</f>
        <v>#VALUE!</v>
      </c>
      <c r="BJ238" s="104"/>
      <c r="BK238" s="3"/>
      <c r="BL238" s="3"/>
      <c r="CJ238" s="5"/>
      <c r="CK238" s="5"/>
      <c r="CL238" s="3"/>
      <c r="CN238" s="5"/>
      <c r="CR238" s="3"/>
      <c r="CS238" s="3"/>
      <c r="CT238" s="5"/>
      <c r="CV238" s="3"/>
      <c r="DR238" s="5"/>
      <c r="DT238" s="3"/>
      <c r="EF238" s="7"/>
      <c r="EG238" s="7"/>
      <c r="EJ238" s="4"/>
      <c r="EK238" s="4"/>
      <c r="EU238" s="2"/>
      <c r="EV238" s="2"/>
    </row>
    <row r="239" spans="1:152">
      <c r="A239" s="125">
        <v>3414</v>
      </c>
      <c r="B239" s="126" t="s">
        <v>1201</v>
      </c>
      <c r="C239" s="126" t="s">
        <v>331</v>
      </c>
      <c r="D239" s="126" t="s">
        <v>127</v>
      </c>
      <c r="E239" s="126" t="s">
        <v>1202</v>
      </c>
      <c r="F239" s="126" t="s">
        <v>35</v>
      </c>
      <c r="G239" s="126" t="s">
        <v>1583</v>
      </c>
      <c r="H239" s="126" t="s">
        <v>1575</v>
      </c>
      <c r="I239" s="126" t="s">
        <v>1196</v>
      </c>
      <c r="J239" s="126" t="s">
        <v>931</v>
      </c>
      <c r="K239" s="127">
        <v>43417</v>
      </c>
      <c r="L239" s="128"/>
      <c r="M239" s="128"/>
      <c r="N239" s="126">
        <v>2.82</v>
      </c>
      <c r="O239" s="126" t="s">
        <v>950</v>
      </c>
      <c r="P239" s="129" t="s">
        <v>958</v>
      </c>
      <c r="Q239" s="129" t="s">
        <v>959</v>
      </c>
      <c r="R239" s="126" t="s">
        <v>24</v>
      </c>
      <c r="S239" s="126"/>
      <c r="T239" s="130" t="s">
        <v>861</v>
      </c>
      <c r="U239" s="126" t="s">
        <v>1203</v>
      </c>
      <c r="V239" s="130" t="s">
        <v>120</v>
      </c>
      <c r="W239" s="126"/>
      <c r="X239" s="130" t="s">
        <v>120</v>
      </c>
      <c r="Y239" s="126" t="s">
        <v>1204</v>
      </c>
      <c r="Z239" s="165" t="s">
        <v>120</v>
      </c>
      <c r="AA239" s="158"/>
      <c r="AB239" s="158"/>
      <c r="AC239" s="170" t="s">
        <v>123</v>
      </c>
      <c r="AD239" s="126" t="s">
        <v>1205</v>
      </c>
      <c r="AE239" s="130" t="s">
        <v>120</v>
      </c>
      <c r="AF239" s="127" t="s">
        <v>1167</v>
      </c>
      <c r="AG239" s="131"/>
      <c r="AH239" s="131">
        <v>1.6</v>
      </c>
      <c r="AI239" s="126" t="s">
        <v>1168</v>
      </c>
      <c r="AJ239" s="130" t="s">
        <v>120</v>
      </c>
      <c r="AK239" s="126" t="s">
        <v>123</v>
      </c>
      <c r="AL239" s="126" t="s">
        <v>1198</v>
      </c>
      <c r="AM239" s="130"/>
      <c r="AN239" s="126"/>
      <c r="AO239" s="132"/>
      <c r="AP239" s="126"/>
      <c r="AQ239" s="126"/>
      <c r="AR239" s="130"/>
      <c r="AS239" s="126"/>
      <c r="AT239" s="127">
        <v>43418.370527893501</v>
      </c>
      <c r="AU239" s="127">
        <v>43419.752471064799</v>
      </c>
      <c r="AV239" s="127">
        <v>43419.439039814803</v>
      </c>
      <c r="AW239" s="127">
        <v>43418.370527893501</v>
      </c>
      <c r="AX239" s="127"/>
      <c r="AY239" s="127">
        <v>43452.724153819399</v>
      </c>
      <c r="AZ239" s="133">
        <v>43452.704516088001</v>
      </c>
      <c r="BA239" s="134">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B239" s="135">
        <f>COUNTIFS(_05preva_view43[Site ID],_05preva_view43[[#This Row],[Site ID]],_05preva_view43[Prevalidation Status],"Under Prevalidation")</f>
        <v>0</v>
      </c>
      <c r="BC239" s="157" t="e">
        <f ca="1">HYPERLINK(CheckPath(_05preva_view43[[#This Row],[File Path]],_05preva_view43[[#This Row],[File Path]],_05preva_view43[[#This Row],[Folder Path3]]),CheckPath(_05preva_view43[[#This Row],[File Path]],"Open File","No File"))</f>
        <v>#VALUE!</v>
      </c>
      <c r="BD239" s="136" t="str">
        <f>CONCATENATE(_05preva_view43[[#This Row],[Site ID]]," (",_05preva_view43[[#This Row],[tenant id]],") Application",IF(_05preva_view43[[#This Row],[Colo Rev]]&gt;0," Rev "&amp;_05preva_view43[[#This Row],[Colo Rev]],""),".xlsx")</f>
        <v>1-01-15012-002 (SHN00218) Application Rev 1.xlsx</v>
      </c>
      <c r="BE239" s="64" t="e">
        <f t="shared" ca="1" si="5"/>
        <v>#VALUE!</v>
      </c>
      <c r="BF239" s="104" t="e">
        <f ca="1">LEFT(CELL("filename",A224),_05preva_view43[[#This Row],[Find Process &amp; Database]]-1)</f>
        <v>#VALUE!</v>
      </c>
      <c r="BG239" s="104" t="e">
        <f ca="1">_05preva_view43[Folder Path1]&amp;"Process &amp; Database\Documentation\Colo Applications"</f>
        <v>#VALUE!</v>
      </c>
      <c r="BH239" s="104" t="e">
        <f ca="1">_05preva_view43[Folder Path2]&amp;"\Colo App "&amp;_05preva_view43[[#This Row],[Operator]]&amp;"\"</f>
        <v>#VALUE!</v>
      </c>
      <c r="BI239" s="63" t="e">
        <f ca="1">_05preva_view43[[#This Row],[Folder Path3]]&amp;_05preva_view43[[#This Row],[File Name]]</f>
        <v>#VALUE!</v>
      </c>
      <c r="BJ239" s="104"/>
      <c r="BK239" s="3"/>
      <c r="BL239" s="3"/>
      <c r="CJ239" s="5"/>
      <c r="CK239" s="5"/>
      <c r="CL239" s="3"/>
      <c r="CN239" s="5"/>
      <c r="CR239" s="3"/>
      <c r="CS239" s="3"/>
      <c r="CT239" s="5"/>
      <c r="CV239" s="3"/>
      <c r="DR239" s="5"/>
      <c r="DT239" s="3"/>
      <c r="EF239" s="7"/>
      <c r="EG239" s="7"/>
      <c r="EJ239" s="4"/>
      <c r="EK239" s="4"/>
      <c r="EU239" s="2"/>
      <c r="EV239" s="2"/>
    </row>
    <row r="240" spans="1:152">
      <c r="A240" s="125">
        <v>3411</v>
      </c>
      <c r="B240" s="126" t="s">
        <v>984</v>
      </c>
      <c r="C240" s="126" t="s">
        <v>331</v>
      </c>
      <c r="D240" s="126" t="s">
        <v>127</v>
      </c>
      <c r="E240" s="126" t="s">
        <v>985</v>
      </c>
      <c r="F240" s="126" t="s">
        <v>35</v>
      </c>
      <c r="G240" s="126" t="s">
        <v>1583</v>
      </c>
      <c r="H240" s="126" t="s">
        <v>1575</v>
      </c>
      <c r="I240" s="126" t="s">
        <v>1186</v>
      </c>
      <c r="J240" s="126" t="s">
        <v>990</v>
      </c>
      <c r="K240" s="127">
        <v>43412</v>
      </c>
      <c r="L240" s="128"/>
      <c r="M240" s="128">
        <v>2.2999999999999998</v>
      </c>
      <c r="N240" s="126">
        <v>3.113</v>
      </c>
      <c r="O240" s="126" t="s">
        <v>950</v>
      </c>
      <c r="P240" s="129" t="s">
        <v>334</v>
      </c>
      <c r="Q240" s="129" t="s">
        <v>736</v>
      </c>
      <c r="R240" s="126" t="s">
        <v>24</v>
      </c>
      <c r="S240" s="126"/>
      <c r="T240" s="130" t="s">
        <v>861</v>
      </c>
      <c r="U240" s="126"/>
      <c r="V240" s="130" t="s">
        <v>861</v>
      </c>
      <c r="W240" s="126"/>
      <c r="X240" s="130" t="s">
        <v>120</v>
      </c>
      <c r="Y240" s="126" t="s">
        <v>1187</v>
      </c>
      <c r="Z240" s="165" t="s">
        <v>120</v>
      </c>
      <c r="AA240" s="158"/>
      <c r="AB240" s="158"/>
      <c r="AC240" s="170" t="s">
        <v>123</v>
      </c>
      <c r="AD240" s="126" t="s">
        <v>1188</v>
      </c>
      <c r="AE240" s="130" t="s">
        <v>861</v>
      </c>
      <c r="AF240" s="127"/>
      <c r="AG240" s="131"/>
      <c r="AH240" s="131"/>
      <c r="AI240" s="126"/>
      <c r="AJ240" s="130"/>
      <c r="AK240" s="126"/>
      <c r="AL240" s="126"/>
      <c r="AM240" s="130"/>
      <c r="AN240" s="126"/>
      <c r="AO240" s="132"/>
      <c r="AP240" s="126"/>
      <c r="AQ240" s="126"/>
      <c r="AR240" s="130"/>
      <c r="AS240" s="126"/>
      <c r="AT240" s="127"/>
      <c r="AU240" s="127"/>
      <c r="AV240" s="127"/>
      <c r="AW240" s="127"/>
      <c r="AX240" s="127"/>
      <c r="AY240" s="127"/>
      <c r="AZ240" s="133">
        <v>43412</v>
      </c>
      <c r="BA24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0" s="135">
        <f>COUNTIFS(_05preva_view43[Site ID],_05preva_view43[[#This Row],[Site ID]],_05preva_view43[Prevalidation Status],"Under Prevalidation")</f>
        <v>0</v>
      </c>
      <c r="BC240" s="157" t="e">
        <f ca="1">HYPERLINK(CheckPath(_05preva_view43[[#This Row],[File Path]],_05preva_view43[[#This Row],[File Path]],_05preva_view43[[#This Row],[Folder Path3]]),CheckPath(_05preva_view43[[#This Row],[File Path]],"Open File","No File"))</f>
        <v>#VALUE!</v>
      </c>
      <c r="BD240" s="136" t="str">
        <f>CONCATENATE(_05preva_view43[[#This Row],[Site ID]]," (",_05preva_view43[[#This Row],[tenant id]],") Application",IF(_05preva_view43[[#This Row],[Colo Rev]]&gt;0," Rev "&amp;_05preva_view43[[#This Row],[Colo Rev]],""),".xlsx")</f>
        <v>1-01-05027-008 (SGG00158) Application Rev 3.xlsx</v>
      </c>
      <c r="BE240" s="64" t="e">
        <f t="shared" ca="1" si="5"/>
        <v>#VALUE!</v>
      </c>
      <c r="BF240" s="104" t="e">
        <f ca="1">LEFT(CELL("filename",A225),_05preva_view43[[#This Row],[Find Process &amp; Database]]-1)</f>
        <v>#VALUE!</v>
      </c>
      <c r="BG240" s="104" t="e">
        <f ca="1">_05preva_view43[Folder Path1]&amp;"Process &amp; Database\Documentation\Colo Applications"</f>
        <v>#VALUE!</v>
      </c>
      <c r="BH240" s="104" t="e">
        <f ca="1">_05preva_view43[Folder Path2]&amp;"\Colo App "&amp;_05preva_view43[[#This Row],[Operator]]&amp;"\"</f>
        <v>#VALUE!</v>
      </c>
      <c r="BI240" s="63" t="e">
        <f ca="1">_05preva_view43[[#This Row],[Folder Path3]]&amp;_05preva_view43[[#This Row],[File Name]]</f>
        <v>#VALUE!</v>
      </c>
      <c r="BJ240" s="104"/>
      <c r="BK240" s="3"/>
      <c r="BL240" s="3"/>
      <c r="CJ240" s="5"/>
      <c r="CK240" s="5"/>
      <c r="CL240" s="3"/>
      <c r="CN240" s="5"/>
      <c r="CR240" s="3"/>
      <c r="CS240" s="3"/>
      <c r="CT240" s="5"/>
      <c r="CV240" s="3"/>
      <c r="DR240" s="5"/>
      <c r="DT240" s="3"/>
      <c r="EF240" s="7"/>
      <c r="EG240" s="7"/>
      <c r="EJ240" s="4"/>
      <c r="EK240" s="4"/>
      <c r="EU240" s="2"/>
      <c r="EV240" s="2"/>
    </row>
    <row r="241" spans="1:152">
      <c r="A241" s="125">
        <v>3412</v>
      </c>
      <c r="B241" s="126" t="s">
        <v>1189</v>
      </c>
      <c r="C241" s="126" t="s">
        <v>331</v>
      </c>
      <c r="D241" s="126" t="s">
        <v>127</v>
      </c>
      <c r="E241" s="126" t="s">
        <v>1190</v>
      </c>
      <c r="F241" s="126" t="s">
        <v>35</v>
      </c>
      <c r="G241" s="126" t="s">
        <v>1583</v>
      </c>
      <c r="H241" s="126" t="s">
        <v>1575</v>
      </c>
      <c r="I241" s="126" t="s">
        <v>1191</v>
      </c>
      <c r="J241" s="126" t="s">
        <v>949</v>
      </c>
      <c r="K241" s="127">
        <v>43412</v>
      </c>
      <c r="L241" s="128"/>
      <c r="M241" s="128">
        <v>1.462</v>
      </c>
      <c r="N241" s="126">
        <v>2.714</v>
      </c>
      <c r="O241" s="126" t="s">
        <v>950</v>
      </c>
      <c r="P241" s="129" t="s">
        <v>704</v>
      </c>
      <c r="Q241" s="129" t="s">
        <v>705</v>
      </c>
      <c r="R241" s="126" t="s">
        <v>24</v>
      </c>
      <c r="S241" s="126"/>
      <c r="T241" s="130" t="s">
        <v>861</v>
      </c>
      <c r="U241" s="126"/>
      <c r="V241" s="130" t="s">
        <v>861</v>
      </c>
      <c r="W241" s="126"/>
      <c r="X241" s="130" t="s">
        <v>120</v>
      </c>
      <c r="Y241" s="126" t="s">
        <v>1192</v>
      </c>
      <c r="Z241" s="165" t="s">
        <v>120</v>
      </c>
      <c r="AA241" s="158"/>
      <c r="AB241" s="158"/>
      <c r="AC241" s="170" t="s">
        <v>123</v>
      </c>
      <c r="AD241" s="126" t="s">
        <v>1193</v>
      </c>
      <c r="AE241" s="130" t="s">
        <v>861</v>
      </c>
      <c r="AF241" s="127"/>
      <c r="AG241" s="131"/>
      <c r="AH241" s="131"/>
      <c r="AI241" s="126"/>
      <c r="AJ241" s="130"/>
      <c r="AK241" s="126"/>
      <c r="AL241" s="126"/>
      <c r="AM241" s="130"/>
      <c r="AN241" s="126"/>
      <c r="AO241" s="132"/>
      <c r="AP241" s="126"/>
      <c r="AQ241" s="126"/>
      <c r="AR241" s="130"/>
      <c r="AS241" s="126"/>
      <c r="AT241" s="127"/>
      <c r="AU241" s="127"/>
      <c r="AV241" s="127"/>
      <c r="AW241" s="127"/>
      <c r="AX241" s="127"/>
      <c r="AY241" s="127"/>
      <c r="AZ241" s="133">
        <v>43412</v>
      </c>
      <c r="BA24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1" s="135">
        <f>COUNTIFS(_05preva_view43[Site ID],_05preva_view43[[#This Row],[Site ID]],_05preva_view43[Prevalidation Status],"Under Prevalidation")</f>
        <v>0</v>
      </c>
      <c r="BC241" s="157" t="e">
        <f ca="1">HYPERLINK(CheckPath(_05preva_view43[[#This Row],[File Path]],_05preva_view43[[#This Row],[File Path]],_05preva_view43[[#This Row],[Folder Path3]]),CheckPath(_05preva_view43[[#This Row],[File Path]],"Open File","No File"))</f>
        <v>#VALUE!</v>
      </c>
      <c r="BD241" s="136" t="str">
        <f>CONCATENATE(_05preva_view43[[#This Row],[Site ID]]," (",_05preva_view43[[#This Row],[tenant id]],") Application",IF(_05preva_view43[[#This Row],[Colo Rev]]&gt;0," Rev "&amp;_05preva_view43[[#This Row],[Colo Rev]],""),".xlsx")</f>
        <v>1-01-15011-001 (SHN00043) Application Rev 2.xlsx</v>
      </c>
      <c r="BE241" s="64" t="e">
        <f t="shared" ca="1" si="5"/>
        <v>#VALUE!</v>
      </c>
      <c r="BF241" s="104" t="e">
        <f ca="1">LEFT(CELL("filename",A226),_05preva_view43[[#This Row],[Find Process &amp; Database]]-1)</f>
        <v>#VALUE!</v>
      </c>
      <c r="BG241" s="104" t="e">
        <f ca="1">_05preva_view43[Folder Path1]&amp;"Process &amp; Database\Documentation\Colo Applications"</f>
        <v>#VALUE!</v>
      </c>
      <c r="BH241" s="104" t="e">
        <f ca="1">_05preva_view43[Folder Path2]&amp;"\Colo App "&amp;_05preva_view43[[#This Row],[Operator]]&amp;"\"</f>
        <v>#VALUE!</v>
      </c>
      <c r="BI241" s="63" t="e">
        <f ca="1">_05preva_view43[[#This Row],[Folder Path3]]&amp;_05preva_view43[[#This Row],[File Name]]</f>
        <v>#VALUE!</v>
      </c>
      <c r="BJ241" s="104"/>
      <c r="BK241" s="3"/>
      <c r="BL241" s="3"/>
      <c r="CJ241" s="5"/>
      <c r="CK241" s="5"/>
      <c r="CL241" s="3"/>
      <c r="CN241" s="5"/>
      <c r="CR241" s="3"/>
      <c r="CS241" s="3"/>
      <c r="CT241" s="5"/>
      <c r="CV241" s="3"/>
      <c r="DR241" s="5"/>
      <c r="DT241" s="3"/>
      <c r="EF241" s="7"/>
      <c r="EG241" s="7"/>
      <c r="EJ241" s="4"/>
      <c r="EK241" s="4"/>
      <c r="EU241" s="2"/>
      <c r="EV241" s="2"/>
    </row>
    <row r="242" spans="1:152">
      <c r="A242" s="125">
        <v>3405</v>
      </c>
      <c r="B242" s="126" t="s">
        <v>1173</v>
      </c>
      <c r="C242" s="126" t="s">
        <v>331</v>
      </c>
      <c r="D242" s="126" t="s">
        <v>117</v>
      </c>
      <c r="E242" s="126" t="s">
        <v>1174</v>
      </c>
      <c r="F242" s="126" t="s">
        <v>35</v>
      </c>
      <c r="G242" s="126" t="s">
        <v>1583</v>
      </c>
      <c r="H242" s="126" t="s">
        <v>1575</v>
      </c>
      <c r="I242" s="126" t="s">
        <v>1061</v>
      </c>
      <c r="J242" s="126" t="s">
        <v>949</v>
      </c>
      <c r="K242" s="127">
        <v>43411</v>
      </c>
      <c r="L242" s="128"/>
      <c r="M242" s="128">
        <v>2.456</v>
      </c>
      <c r="N242" s="126">
        <v>6.2130000000000001</v>
      </c>
      <c r="O242" s="126" t="s">
        <v>950</v>
      </c>
      <c r="P242" s="129" t="s">
        <v>1028</v>
      </c>
      <c r="Q242" s="129" t="s">
        <v>1029</v>
      </c>
      <c r="R242" s="126" t="s">
        <v>24</v>
      </c>
      <c r="S242" s="126"/>
      <c r="T242" s="130" t="s">
        <v>861</v>
      </c>
      <c r="U242" s="126"/>
      <c r="V242" s="130" t="s">
        <v>861</v>
      </c>
      <c r="W242" s="126"/>
      <c r="X242" s="130" t="s">
        <v>120</v>
      </c>
      <c r="Y242" s="126" t="s">
        <v>1175</v>
      </c>
      <c r="Z242" s="165" t="s">
        <v>120</v>
      </c>
      <c r="AA242" s="158"/>
      <c r="AB242" s="158"/>
      <c r="AC242" s="170" t="s">
        <v>123</v>
      </c>
      <c r="AD242" s="126" t="s">
        <v>1176</v>
      </c>
      <c r="AE242" s="130" t="s">
        <v>861</v>
      </c>
      <c r="AF242" s="127"/>
      <c r="AG242" s="131"/>
      <c r="AH242" s="131"/>
      <c r="AI242" s="126"/>
      <c r="AJ242" s="130"/>
      <c r="AK242" s="126"/>
      <c r="AL242" s="126"/>
      <c r="AM242" s="130"/>
      <c r="AN242" s="126"/>
      <c r="AO242" s="132"/>
      <c r="AP242" s="126"/>
      <c r="AQ242" s="126"/>
      <c r="AR242" s="130"/>
      <c r="AS242" s="126"/>
      <c r="AT242" s="127"/>
      <c r="AU242" s="127"/>
      <c r="AV242" s="127"/>
      <c r="AW242" s="127"/>
      <c r="AX242" s="127"/>
      <c r="AY242" s="127"/>
      <c r="AZ242" s="133">
        <v>43411</v>
      </c>
      <c r="BA24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2" s="135">
        <f>COUNTIFS(_05preva_view43[Site ID],_05preva_view43[[#This Row],[Site ID]],_05preva_view43[Prevalidation Status],"Under Prevalidation")</f>
        <v>0</v>
      </c>
      <c r="BC242" s="157" t="e">
        <f ca="1">HYPERLINK(CheckPath(_05preva_view43[[#This Row],[File Path]],_05preva_view43[[#This Row],[File Path]],_05preva_view43[[#This Row],[Folder Path3]]),CheckPath(_05preva_view43[[#This Row],[File Path]],"Open File","No File"))</f>
        <v>#VALUE!</v>
      </c>
      <c r="BD242" s="136" t="str">
        <f>CONCATENATE(_05preva_view43[[#This Row],[Site ID]]," (",_05preva_view43[[#This Row],[tenant id]],") Application",IF(_05preva_view43[[#This Row],[Colo Rev]]&gt;0," Rev "&amp;_05preva_view43[[#This Row],[Colo Rev]],""),".xlsx")</f>
        <v>1-01-04004-007 (CHN00118) Application Rev 2.xlsx</v>
      </c>
      <c r="BE242" s="64" t="e">
        <f t="shared" ca="1" si="5"/>
        <v>#VALUE!</v>
      </c>
      <c r="BF242" s="104" t="e">
        <f ca="1">LEFT(CELL("filename",A227),_05preva_view43[[#This Row],[Find Process &amp; Database]]-1)</f>
        <v>#VALUE!</v>
      </c>
      <c r="BG242" s="104" t="e">
        <f ca="1">_05preva_view43[Folder Path1]&amp;"Process &amp; Database\Documentation\Colo Applications"</f>
        <v>#VALUE!</v>
      </c>
      <c r="BH242" s="104" t="e">
        <f ca="1">_05preva_view43[Folder Path2]&amp;"\Colo App "&amp;_05preva_view43[[#This Row],[Operator]]&amp;"\"</f>
        <v>#VALUE!</v>
      </c>
      <c r="BI242" s="63" t="e">
        <f ca="1">_05preva_view43[[#This Row],[Folder Path3]]&amp;_05preva_view43[[#This Row],[File Name]]</f>
        <v>#VALUE!</v>
      </c>
      <c r="BJ242" s="104"/>
      <c r="BK242" s="3"/>
      <c r="BL242" s="3"/>
      <c r="CJ242" s="5"/>
      <c r="CK242" s="5"/>
      <c r="CL242" s="3"/>
      <c r="CN242" s="5"/>
      <c r="CR242" s="3"/>
      <c r="CS242" s="3"/>
      <c r="CT242" s="5"/>
      <c r="CV242" s="3"/>
      <c r="DR242" s="5"/>
      <c r="DT242" s="3"/>
      <c r="EF242" s="7"/>
      <c r="EG242" s="7"/>
      <c r="EJ242" s="4"/>
      <c r="EK242" s="4"/>
      <c r="EU242" s="2"/>
      <c r="EV242" s="2"/>
    </row>
    <row r="243" spans="1:152">
      <c r="A243" s="125">
        <v>3406</v>
      </c>
      <c r="B243" s="126" t="s">
        <v>1177</v>
      </c>
      <c r="C243" s="126" t="s">
        <v>331</v>
      </c>
      <c r="D243" s="126" t="s">
        <v>127</v>
      </c>
      <c r="E243" s="126" t="s">
        <v>1178</v>
      </c>
      <c r="F243" s="126" t="s">
        <v>35</v>
      </c>
      <c r="G243" s="126" t="s">
        <v>1583</v>
      </c>
      <c r="H243" s="126" t="s">
        <v>1575</v>
      </c>
      <c r="I243" s="126" t="s">
        <v>1053</v>
      </c>
      <c r="J243" s="126" t="s">
        <v>990</v>
      </c>
      <c r="K243" s="127">
        <v>43411</v>
      </c>
      <c r="L243" s="128"/>
      <c r="M243" s="128">
        <v>3.6110000000000002</v>
      </c>
      <c r="N243" s="126">
        <v>7.94</v>
      </c>
      <c r="O243" s="126" t="s">
        <v>950</v>
      </c>
      <c r="P243" s="129" t="s">
        <v>958</v>
      </c>
      <c r="Q243" s="129" t="s">
        <v>959</v>
      </c>
      <c r="R243" s="126" t="s">
        <v>24</v>
      </c>
      <c r="S243" s="126"/>
      <c r="T243" s="130" t="s">
        <v>861</v>
      </c>
      <c r="U243" s="126"/>
      <c r="V243" s="130" t="s">
        <v>861</v>
      </c>
      <c r="W243" s="126"/>
      <c r="X243" s="130" t="s">
        <v>120</v>
      </c>
      <c r="Y243" s="126" t="s">
        <v>1179</v>
      </c>
      <c r="Z243" s="165" t="s">
        <v>120</v>
      </c>
      <c r="AA243" s="158"/>
      <c r="AB243" s="158"/>
      <c r="AC243" s="170" t="s">
        <v>123</v>
      </c>
      <c r="AD243" s="126" t="s">
        <v>1180</v>
      </c>
      <c r="AE243" s="130" t="s">
        <v>861</v>
      </c>
      <c r="AF243" s="127"/>
      <c r="AG243" s="131"/>
      <c r="AH243" s="131"/>
      <c r="AI243" s="126"/>
      <c r="AJ243" s="130"/>
      <c r="AK243" s="126"/>
      <c r="AL243" s="126"/>
      <c r="AM243" s="130"/>
      <c r="AN243" s="126"/>
      <c r="AO243" s="132"/>
      <c r="AP243" s="126"/>
      <c r="AQ243" s="126"/>
      <c r="AR243" s="130"/>
      <c r="AS243" s="126"/>
      <c r="AT243" s="127"/>
      <c r="AU243" s="127"/>
      <c r="AV243" s="127"/>
      <c r="AW243" s="127"/>
      <c r="AX243" s="127"/>
      <c r="AY243" s="127"/>
      <c r="AZ243" s="133">
        <v>43411</v>
      </c>
      <c r="BA24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3" s="135">
        <f>COUNTIFS(_05preva_view43[Site ID],_05preva_view43[[#This Row],[Site ID]],_05preva_view43[Prevalidation Status],"Under Prevalidation")</f>
        <v>0</v>
      </c>
      <c r="BC243" s="157" t="e">
        <f ca="1">HYPERLINK(CheckPath(_05preva_view43[[#This Row],[File Path]],_05preva_view43[[#This Row],[File Path]],_05preva_view43[[#This Row],[Folder Path3]]),CheckPath(_05preva_view43[[#This Row],[File Path]],"Open File","No File"))</f>
        <v>#VALUE!</v>
      </c>
      <c r="BD243" s="136" t="str">
        <f>CONCATENATE(_05preva_view43[[#This Row],[Site ID]]," (",_05preva_view43[[#This Row],[tenant id]],") Application",IF(_05preva_view43[[#This Row],[Colo Rev]]&gt;0," Rev "&amp;_05preva_view43[[#This Row],[Colo Rev]],""),".xlsx")</f>
        <v>1-01-05005-006 (SGG00246) Application Rev 3.xlsx</v>
      </c>
      <c r="BE243" s="64" t="e">
        <f t="shared" ca="1" si="5"/>
        <v>#VALUE!</v>
      </c>
      <c r="BF243" s="104" t="e">
        <f ca="1">LEFT(CELL("filename",A228),_05preva_view43[[#This Row],[Find Process &amp; Database]]-1)</f>
        <v>#VALUE!</v>
      </c>
      <c r="BG243" s="104" t="e">
        <f ca="1">_05preva_view43[Folder Path1]&amp;"Process &amp; Database\Documentation\Colo Applications"</f>
        <v>#VALUE!</v>
      </c>
      <c r="BH243" s="104" t="e">
        <f ca="1">_05preva_view43[Folder Path2]&amp;"\Colo App "&amp;_05preva_view43[[#This Row],[Operator]]&amp;"\"</f>
        <v>#VALUE!</v>
      </c>
      <c r="BI243" s="63" t="e">
        <f ca="1">_05preva_view43[[#This Row],[Folder Path3]]&amp;_05preva_view43[[#This Row],[File Name]]</f>
        <v>#VALUE!</v>
      </c>
      <c r="BJ243" s="104"/>
      <c r="BK243" s="3"/>
      <c r="BL243" s="3"/>
      <c r="CJ243" s="5"/>
      <c r="CK243" s="5"/>
      <c r="CL243" s="3"/>
      <c r="CN243" s="5"/>
      <c r="CR243" s="3"/>
      <c r="CS243" s="3"/>
      <c r="CT243" s="5"/>
      <c r="CV243" s="3"/>
      <c r="DR243" s="5"/>
      <c r="DT243" s="3"/>
      <c r="EF243" s="7"/>
      <c r="EG243" s="7"/>
      <c r="EJ243" s="4"/>
      <c r="EK243" s="4"/>
      <c r="EU243" s="2"/>
      <c r="EV243" s="2"/>
    </row>
    <row r="244" spans="1:152">
      <c r="A244" s="125">
        <v>3407</v>
      </c>
      <c r="B244" s="126" t="s">
        <v>1181</v>
      </c>
      <c r="C244" s="126" t="s">
        <v>331</v>
      </c>
      <c r="D244" s="126" t="s">
        <v>117</v>
      </c>
      <c r="E244" s="126" t="s">
        <v>1182</v>
      </c>
      <c r="F244" s="126" t="s">
        <v>35</v>
      </c>
      <c r="G244" s="126" t="s">
        <v>1583</v>
      </c>
      <c r="H244" s="126" t="s">
        <v>1575</v>
      </c>
      <c r="I244" s="126" t="s">
        <v>1183</v>
      </c>
      <c r="J244" s="126" t="s">
        <v>990</v>
      </c>
      <c r="K244" s="127">
        <v>43411</v>
      </c>
      <c r="L244" s="128"/>
      <c r="M244" s="128">
        <v>2.1</v>
      </c>
      <c r="N244" s="126">
        <v>2.91</v>
      </c>
      <c r="O244" s="126" t="s">
        <v>950</v>
      </c>
      <c r="P244" s="129" t="s">
        <v>958</v>
      </c>
      <c r="Q244" s="129" t="s">
        <v>959</v>
      </c>
      <c r="R244" s="126" t="s">
        <v>24</v>
      </c>
      <c r="S244" s="126"/>
      <c r="T244" s="130" t="s">
        <v>861</v>
      </c>
      <c r="U244" s="126"/>
      <c r="V244" s="130" t="s">
        <v>861</v>
      </c>
      <c r="W244" s="126"/>
      <c r="X244" s="130" t="s">
        <v>120</v>
      </c>
      <c r="Y244" s="126" t="s">
        <v>1184</v>
      </c>
      <c r="Z244" s="165" t="s">
        <v>120</v>
      </c>
      <c r="AA244" s="158"/>
      <c r="AB244" s="158"/>
      <c r="AC244" s="170" t="s">
        <v>123</v>
      </c>
      <c r="AD244" s="126" t="s">
        <v>1185</v>
      </c>
      <c r="AE244" s="130" t="s">
        <v>861</v>
      </c>
      <c r="AF244" s="127"/>
      <c r="AG244" s="131"/>
      <c r="AH244" s="131"/>
      <c r="AI244" s="126"/>
      <c r="AJ244" s="130"/>
      <c r="AK244" s="126"/>
      <c r="AL244" s="126"/>
      <c r="AM244" s="130"/>
      <c r="AN244" s="126"/>
      <c r="AO244" s="132"/>
      <c r="AP244" s="126"/>
      <c r="AQ244" s="126"/>
      <c r="AR244" s="130"/>
      <c r="AS244" s="126"/>
      <c r="AT244" s="127"/>
      <c r="AU244" s="127"/>
      <c r="AV244" s="127"/>
      <c r="AW244" s="127"/>
      <c r="AX244" s="127"/>
      <c r="AY244" s="127"/>
      <c r="AZ244" s="133">
        <v>43411</v>
      </c>
      <c r="BA24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4" s="135">
        <f>COUNTIFS(_05preva_view43[Site ID],_05preva_view43[[#This Row],[Site ID]],_05preva_view43[Prevalidation Status],"Under Prevalidation")</f>
        <v>0</v>
      </c>
      <c r="BC244" s="157" t="e">
        <f ca="1">HYPERLINK(CheckPath(_05preva_view43[[#This Row],[File Path]],_05preva_view43[[#This Row],[File Path]],_05preva_view43[[#This Row],[Folder Path3]]),CheckPath(_05preva_view43[[#This Row],[File Path]],"Open File","No File"))</f>
        <v>#VALUE!</v>
      </c>
      <c r="BD244" s="136" t="str">
        <f>CONCATENATE(_05preva_view43[[#This Row],[Site ID]]," (",_05preva_view43[[#This Row],[tenant id]],") Application",IF(_05preva_view43[[#This Row],[Colo Rev]]&gt;0," Rev "&amp;_05preva_view43[[#This Row],[Colo Rev]],""),".xlsx")</f>
        <v>1-01-14001-033 (SHS00466) Application Rev 3.xlsx</v>
      </c>
      <c r="BE244" s="64" t="e">
        <f t="shared" ca="1" si="5"/>
        <v>#VALUE!</v>
      </c>
      <c r="BF244" s="104" t="e">
        <f ca="1">LEFT(CELL("filename",A229),_05preva_view43[[#This Row],[Find Process &amp; Database]]-1)</f>
        <v>#VALUE!</v>
      </c>
      <c r="BG244" s="104" t="e">
        <f ca="1">_05preva_view43[Folder Path1]&amp;"Process &amp; Database\Documentation\Colo Applications"</f>
        <v>#VALUE!</v>
      </c>
      <c r="BH244" s="104" t="e">
        <f ca="1">_05preva_view43[Folder Path2]&amp;"\Colo App "&amp;_05preva_view43[[#This Row],[Operator]]&amp;"\"</f>
        <v>#VALUE!</v>
      </c>
      <c r="BI244" s="63" t="e">
        <f ca="1">_05preva_view43[[#This Row],[Folder Path3]]&amp;_05preva_view43[[#This Row],[File Name]]</f>
        <v>#VALUE!</v>
      </c>
      <c r="BJ244" s="104"/>
      <c r="BK244" s="3"/>
      <c r="BL244" s="3"/>
      <c r="CJ244" s="5"/>
      <c r="CK244" s="5"/>
      <c r="CL244" s="3"/>
      <c r="CN244" s="5"/>
      <c r="CR244" s="3"/>
      <c r="CS244" s="3"/>
      <c r="CT244" s="5"/>
      <c r="CV244" s="3"/>
      <c r="DR244" s="5"/>
      <c r="DT244" s="3"/>
      <c r="EF244" s="7"/>
      <c r="EG244" s="7"/>
      <c r="EJ244" s="4"/>
      <c r="EK244" s="4"/>
      <c r="EU244" s="2"/>
      <c r="EV244" s="2"/>
    </row>
    <row r="245" spans="1:152">
      <c r="A245" s="125">
        <v>3394</v>
      </c>
      <c r="B245" s="126" t="s">
        <v>1141</v>
      </c>
      <c r="C245" s="126" t="s">
        <v>331</v>
      </c>
      <c r="D245" s="126" t="s">
        <v>117</v>
      </c>
      <c r="E245" s="126" t="s">
        <v>1142</v>
      </c>
      <c r="F245" s="126" t="s">
        <v>35</v>
      </c>
      <c r="G245" s="126" t="s">
        <v>1584</v>
      </c>
      <c r="H245" s="126" t="s">
        <v>1580</v>
      </c>
      <c r="I245" s="126" t="s">
        <v>1144</v>
      </c>
      <c r="J245" s="126" t="s">
        <v>940</v>
      </c>
      <c r="K245" s="127">
        <v>43409</v>
      </c>
      <c r="L245" s="128"/>
      <c r="M245" s="128">
        <v>0.879</v>
      </c>
      <c r="N245" s="126">
        <v>3.99</v>
      </c>
      <c r="O245" s="126" t="s">
        <v>950</v>
      </c>
      <c r="P245" s="129" t="s">
        <v>1028</v>
      </c>
      <c r="Q245" s="129" t="s">
        <v>1029</v>
      </c>
      <c r="R245" s="126" t="s">
        <v>24</v>
      </c>
      <c r="S245" s="126"/>
      <c r="T245" s="130" t="s">
        <v>861</v>
      </c>
      <c r="U245" s="126"/>
      <c r="V245" s="130" t="s">
        <v>861</v>
      </c>
      <c r="W245" s="126"/>
      <c r="X245" s="130" t="s">
        <v>120</v>
      </c>
      <c r="Y245" s="126" t="s">
        <v>1145</v>
      </c>
      <c r="Z245" s="165" t="s">
        <v>120</v>
      </c>
      <c r="AA245" s="158"/>
      <c r="AB245" s="158"/>
      <c r="AC245" s="170" t="s">
        <v>123</v>
      </c>
      <c r="AD245" s="126" t="s">
        <v>1146</v>
      </c>
      <c r="AE245" s="130" t="s">
        <v>861</v>
      </c>
      <c r="AF245" s="127"/>
      <c r="AG245" s="131"/>
      <c r="AH245" s="131"/>
      <c r="AI245" s="126"/>
      <c r="AJ245" s="130"/>
      <c r="AK245" s="126"/>
      <c r="AL245" s="126"/>
      <c r="AM245" s="130"/>
      <c r="AN245" s="126"/>
      <c r="AO245" s="132"/>
      <c r="AP245" s="126" t="s">
        <v>120</v>
      </c>
      <c r="AQ245" s="126"/>
      <c r="AR245" s="130"/>
      <c r="AS245" s="126"/>
      <c r="AT245" s="127"/>
      <c r="AU245" s="127"/>
      <c r="AV245" s="127"/>
      <c r="AW245" s="127"/>
      <c r="AX245" s="127"/>
      <c r="AY245" s="127"/>
      <c r="AZ245" s="133">
        <v>43409</v>
      </c>
      <c r="BA24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5" s="135">
        <f>COUNTIFS(_05preva_view43[Site ID],_05preva_view43[[#This Row],[Site ID]],_05preva_view43[Prevalidation Status],"Under Prevalidation")</f>
        <v>0</v>
      </c>
      <c r="BC245" s="157" t="e">
        <f ca="1">HYPERLINK(CheckPath(_05preva_view43[[#This Row],[File Path]],_05preva_view43[[#This Row],[File Path]],_05preva_view43[[#This Row],[Folder Path3]]),CheckPath(_05preva_view43[[#This Row],[File Path]],"Open File","No File"))</f>
        <v>#VALUE!</v>
      </c>
      <c r="BD245" s="136" t="str">
        <f>CONCATENATE(_05preva_view43[[#This Row],[Site ID]]," (",_05preva_view43[[#This Row],[tenant id]],") Application",IF(_05preva_view43[[#This Row],[Colo Rev]]&gt;0," Rev "&amp;_05preva_view43[[#This Row],[Colo Rev]],""),".xlsx")</f>
        <v>1-01-04007-009 (CHN00225) Application Rev 0.xlsx</v>
      </c>
      <c r="BE245" s="64" t="e">
        <f t="shared" ca="1" si="5"/>
        <v>#VALUE!</v>
      </c>
      <c r="BF245" s="104" t="e">
        <f ca="1">LEFT(CELL("filename",A230),_05preva_view43[[#This Row],[Find Process &amp; Database]]-1)</f>
        <v>#VALUE!</v>
      </c>
      <c r="BG245" s="104" t="e">
        <f ca="1">_05preva_view43[Folder Path1]&amp;"Process &amp; Database\Documentation\Colo Applications"</f>
        <v>#VALUE!</v>
      </c>
      <c r="BH245" s="104" t="e">
        <f ca="1">_05preva_view43[Folder Path2]&amp;"\Colo App "&amp;_05preva_view43[[#This Row],[Operator]]&amp;"\"</f>
        <v>#VALUE!</v>
      </c>
      <c r="BI245" s="63" t="e">
        <f ca="1">_05preva_view43[[#This Row],[Folder Path3]]&amp;_05preva_view43[[#This Row],[File Name]]</f>
        <v>#VALUE!</v>
      </c>
      <c r="BJ245" s="104"/>
      <c r="BK245" s="3"/>
      <c r="BL245" s="3"/>
      <c r="CJ245" s="5"/>
      <c r="CK245" s="5"/>
      <c r="CL245" s="3"/>
      <c r="CN245" s="5"/>
      <c r="CR245" s="3"/>
      <c r="CS245" s="3"/>
      <c r="CT245" s="5"/>
      <c r="CV245" s="3"/>
      <c r="DR245" s="5"/>
      <c r="DT245" s="3"/>
      <c r="EF245" s="7"/>
      <c r="EG245" s="7"/>
      <c r="EJ245" s="4"/>
      <c r="EK245" s="4"/>
      <c r="EU245" s="2"/>
      <c r="EV245" s="2"/>
    </row>
    <row r="246" spans="1:152">
      <c r="A246" s="125">
        <v>3395</v>
      </c>
      <c r="B246" s="126" t="s">
        <v>1036</v>
      </c>
      <c r="C246" s="126" t="s">
        <v>331</v>
      </c>
      <c r="D246" s="126" t="s">
        <v>163</v>
      </c>
      <c r="E246" s="126" t="s">
        <v>1037</v>
      </c>
      <c r="F246" s="126" t="s">
        <v>35</v>
      </c>
      <c r="G246" s="126" t="s">
        <v>1583</v>
      </c>
      <c r="H246" s="126" t="s">
        <v>1575</v>
      </c>
      <c r="I246" s="126" t="s">
        <v>1138</v>
      </c>
      <c r="J246" s="126" t="s">
        <v>990</v>
      </c>
      <c r="K246" s="127">
        <v>43409</v>
      </c>
      <c r="L246" s="128"/>
      <c r="M246" s="128">
        <v>2.1</v>
      </c>
      <c r="N246" s="126">
        <v>3.2469999999999999</v>
      </c>
      <c r="O246" s="126" t="s">
        <v>950</v>
      </c>
      <c r="P246" s="129" t="s">
        <v>1028</v>
      </c>
      <c r="Q246" s="129" t="s">
        <v>1029</v>
      </c>
      <c r="R246" s="126" t="s">
        <v>24</v>
      </c>
      <c r="S246" s="126"/>
      <c r="T246" s="130" t="s">
        <v>861</v>
      </c>
      <c r="U246" s="126"/>
      <c r="V246" s="130" t="s">
        <v>861</v>
      </c>
      <c r="W246" s="126"/>
      <c r="X246" s="130" t="s">
        <v>120</v>
      </c>
      <c r="Y246" s="126" t="s">
        <v>1147</v>
      </c>
      <c r="Z246" s="165" t="s">
        <v>120</v>
      </c>
      <c r="AA246" s="158"/>
      <c r="AB246" s="158"/>
      <c r="AC246" s="170" t="s">
        <v>123</v>
      </c>
      <c r="AD246" s="126" t="s">
        <v>1148</v>
      </c>
      <c r="AE246" s="130"/>
      <c r="AF246" s="127"/>
      <c r="AG246" s="131"/>
      <c r="AH246" s="131"/>
      <c r="AI246" s="126"/>
      <c r="AJ246" s="130"/>
      <c r="AK246" s="126"/>
      <c r="AL246" s="126"/>
      <c r="AM246" s="130"/>
      <c r="AN246" s="126"/>
      <c r="AO246" s="132"/>
      <c r="AP246" s="126"/>
      <c r="AQ246" s="126"/>
      <c r="AR246" s="130"/>
      <c r="AS246" s="126"/>
      <c r="AT246" s="127"/>
      <c r="AU246" s="127"/>
      <c r="AV246" s="127"/>
      <c r="AW246" s="127"/>
      <c r="AX246" s="127"/>
      <c r="AY246" s="127"/>
      <c r="AZ246" s="133">
        <v>43409</v>
      </c>
      <c r="BA24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6" s="135">
        <f>COUNTIFS(_05preva_view43[Site ID],_05preva_view43[[#This Row],[Site ID]],_05preva_view43[Prevalidation Status],"Under Prevalidation")</f>
        <v>0</v>
      </c>
      <c r="BC246" s="157" t="e">
        <f ca="1">HYPERLINK(CheckPath(_05preva_view43[[#This Row],[File Path]],_05preva_view43[[#This Row],[File Path]],_05preva_view43[[#This Row],[Folder Path3]]),CheckPath(_05preva_view43[[#This Row],[File Path]],"Open File","No File"))</f>
        <v>#VALUE!</v>
      </c>
      <c r="BD246" s="136" t="str">
        <f>CONCATENATE(_05preva_view43[[#This Row],[Site ID]]," (",_05preva_view43[[#This Row],[tenant id]],") Application",IF(_05preva_view43[[#This Row],[Colo Rev]]&gt;0," Rev "&amp;_05preva_view43[[#This Row],[Colo Rev]],""),".xlsx")</f>
        <v>1-01-17009-002 (AWD00481) Application Rev 3.xlsx</v>
      </c>
      <c r="BE246" s="64" t="e">
        <f t="shared" ca="1" si="5"/>
        <v>#VALUE!</v>
      </c>
      <c r="BF246" s="104" t="e">
        <f ca="1">LEFT(CELL("filename",A231),_05preva_view43[[#This Row],[Find Process &amp; Database]]-1)</f>
        <v>#VALUE!</v>
      </c>
      <c r="BG246" s="104" t="e">
        <f ca="1">_05preva_view43[Folder Path1]&amp;"Process &amp; Database\Documentation\Colo Applications"</f>
        <v>#VALUE!</v>
      </c>
      <c r="BH246" s="104" t="e">
        <f ca="1">_05preva_view43[Folder Path2]&amp;"\Colo App "&amp;_05preva_view43[[#This Row],[Operator]]&amp;"\"</f>
        <v>#VALUE!</v>
      </c>
      <c r="BI246" s="63" t="e">
        <f ca="1">_05preva_view43[[#This Row],[Folder Path3]]&amp;_05preva_view43[[#This Row],[File Name]]</f>
        <v>#VALUE!</v>
      </c>
      <c r="BJ246" s="104"/>
      <c r="BK246" s="3"/>
      <c r="BL246" s="3"/>
      <c r="CJ246" s="5"/>
      <c r="CK246" s="5"/>
      <c r="CL246" s="3"/>
      <c r="CN246" s="5"/>
      <c r="CR246" s="3"/>
      <c r="CS246" s="3"/>
      <c r="CT246" s="5"/>
      <c r="CV246" s="3"/>
      <c r="DR246" s="5"/>
      <c r="DT246" s="3"/>
      <c r="EF246" s="7"/>
      <c r="EG246" s="7"/>
      <c r="EJ246" s="4"/>
      <c r="EK246" s="4"/>
      <c r="EU246" s="2"/>
      <c r="EV246" s="2"/>
    </row>
    <row r="247" spans="1:152">
      <c r="A247" s="125">
        <v>3396</v>
      </c>
      <c r="B247" s="126" t="s">
        <v>946</v>
      </c>
      <c r="C247" s="126" t="s">
        <v>331</v>
      </c>
      <c r="D247" s="126" t="s">
        <v>127</v>
      </c>
      <c r="E247" s="126" t="s">
        <v>947</v>
      </c>
      <c r="F247" s="126" t="s">
        <v>35</v>
      </c>
      <c r="G247" s="126" t="s">
        <v>1583</v>
      </c>
      <c r="H247" s="126" t="s">
        <v>1575</v>
      </c>
      <c r="I247" s="126" t="s">
        <v>1053</v>
      </c>
      <c r="J247" s="126" t="s">
        <v>990</v>
      </c>
      <c r="K247" s="127">
        <v>43409</v>
      </c>
      <c r="L247" s="128"/>
      <c r="M247" s="128">
        <v>5.1470000000000002</v>
      </c>
      <c r="N247" s="126">
        <v>4.3600000000000003</v>
      </c>
      <c r="O247" s="126" t="s">
        <v>950</v>
      </c>
      <c r="P247" s="129" t="s">
        <v>833</v>
      </c>
      <c r="Q247" s="129" t="s">
        <v>951</v>
      </c>
      <c r="R247" s="126" t="s">
        <v>24</v>
      </c>
      <c r="S247" s="126"/>
      <c r="T247" s="130" t="s">
        <v>861</v>
      </c>
      <c r="U247" s="126"/>
      <c r="V247" s="130" t="s">
        <v>861</v>
      </c>
      <c r="W247" s="126"/>
      <c r="X247" s="130" t="s">
        <v>120</v>
      </c>
      <c r="Y247" s="126" t="s">
        <v>1149</v>
      </c>
      <c r="Z247" s="165" t="s">
        <v>120</v>
      </c>
      <c r="AA247" s="158"/>
      <c r="AB247" s="158"/>
      <c r="AC247" s="170" t="s">
        <v>123</v>
      </c>
      <c r="AD247" s="126" t="s">
        <v>1150</v>
      </c>
      <c r="AE247" s="130"/>
      <c r="AF247" s="127"/>
      <c r="AG247" s="131"/>
      <c r="AH247" s="131"/>
      <c r="AI247" s="126"/>
      <c r="AJ247" s="130"/>
      <c r="AK247" s="126"/>
      <c r="AL247" s="126"/>
      <c r="AM247" s="130"/>
      <c r="AN247" s="126"/>
      <c r="AO247" s="132"/>
      <c r="AP247" s="126"/>
      <c r="AQ247" s="126"/>
      <c r="AR247" s="130"/>
      <c r="AS247" s="126"/>
      <c r="AT247" s="127"/>
      <c r="AU247" s="127"/>
      <c r="AV247" s="127"/>
      <c r="AW247" s="127"/>
      <c r="AX247" s="127"/>
      <c r="AY247" s="127"/>
      <c r="AZ247" s="133">
        <v>43409</v>
      </c>
      <c r="BA24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7" s="135">
        <f>COUNTIFS(_05preva_view43[Site ID],_05preva_view43[[#This Row],[Site ID]],_05preva_view43[Prevalidation Status],"Under Prevalidation")</f>
        <v>0</v>
      </c>
      <c r="BC247" s="157" t="e">
        <f ca="1">HYPERLINK(CheckPath(_05preva_view43[[#This Row],[File Path]],_05preva_view43[[#This Row],[File Path]],_05preva_view43[[#This Row],[Folder Path3]]),CheckPath(_05preva_view43[[#This Row],[File Path]],"Open File","No File"))</f>
        <v>#VALUE!</v>
      </c>
      <c r="BD247" s="136" t="str">
        <f>CONCATENATE(_05preva_view43[[#This Row],[Site ID]]," (",_05preva_view43[[#This Row],[tenant id]],") Application",IF(_05preva_view43[[#This Row],[Colo Rev]]&gt;0," Rev "&amp;_05preva_view43[[#This Row],[Colo Rev]],""),".xlsx")</f>
        <v>1-01-05027-002 (SGG00113) Application Rev 3.xlsx</v>
      </c>
      <c r="BE247" s="64" t="e">
        <f t="shared" ca="1" si="5"/>
        <v>#VALUE!</v>
      </c>
      <c r="BF247" s="104" t="e">
        <f ca="1">LEFT(CELL("filename",A232),_05preva_view43[[#This Row],[Find Process &amp; Database]]-1)</f>
        <v>#VALUE!</v>
      </c>
      <c r="BG247" s="104" t="e">
        <f ca="1">_05preva_view43[Folder Path1]&amp;"Process &amp; Database\Documentation\Colo Applications"</f>
        <v>#VALUE!</v>
      </c>
      <c r="BH247" s="104" t="e">
        <f ca="1">_05preva_view43[Folder Path2]&amp;"\Colo App "&amp;_05preva_view43[[#This Row],[Operator]]&amp;"\"</f>
        <v>#VALUE!</v>
      </c>
      <c r="BI247" s="63" t="e">
        <f ca="1">_05preva_view43[[#This Row],[Folder Path3]]&amp;_05preva_view43[[#This Row],[File Name]]</f>
        <v>#VALUE!</v>
      </c>
      <c r="BJ247" s="104"/>
      <c r="BK247" s="3"/>
      <c r="BL247" s="3"/>
      <c r="CJ247" s="5"/>
      <c r="CK247" s="5"/>
      <c r="CL247" s="3"/>
      <c r="CN247" s="5"/>
      <c r="CR247" s="3"/>
      <c r="CS247" s="3"/>
      <c r="CT247" s="5"/>
      <c r="CV247" s="3"/>
      <c r="DR247" s="5"/>
      <c r="DT247" s="3"/>
      <c r="EF247" s="7"/>
      <c r="EG247" s="7"/>
      <c r="EJ247" s="4"/>
      <c r="EK247" s="4"/>
      <c r="EU247" s="2"/>
      <c r="EV247" s="2"/>
    </row>
    <row r="248" spans="1:152">
      <c r="A248" s="125">
        <v>3397</v>
      </c>
      <c r="B248" s="126" t="s">
        <v>997</v>
      </c>
      <c r="C248" s="126" t="s">
        <v>331</v>
      </c>
      <c r="D248" s="126" t="s">
        <v>117</v>
      </c>
      <c r="E248" s="126" t="s">
        <v>998</v>
      </c>
      <c r="F248" s="126" t="s">
        <v>35</v>
      </c>
      <c r="G248" s="126" t="s">
        <v>1583</v>
      </c>
      <c r="H248" s="126" t="s">
        <v>1575</v>
      </c>
      <c r="I248" s="126" t="s">
        <v>1151</v>
      </c>
      <c r="J248" s="126" t="s">
        <v>990</v>
      </c>
      <c r="K248" s="127">
        <v>43409</v>
      </c>
      <c r="L248" s="128"/>
      <c r="M248" s="128">
        <v>2.7</v>
      </c>
      <c r="N248" s="126">
        <v>3.5920000000000001</v>
      </c>
      <c r="O248" s="126" t="s">
        <v>950</v>
      </c>
      <c r="P248" s="129" t="s">
        <v>704</v>
      </c>
      <c r="Q248" s="129" t="s">
        <v>705</v>
      </c>
      <c r="R248" s="126" t="s">
        <v>24</v>
      </c>
      <c r="S248" s="126"/>
      <c r="T248" s="130" t="s">
        <v>861</v>
      </c>
      <c r="U248" s="126"/>
      <c r="V248" s="130" t="s">
        <v>861</v>
      </c>
      <c r="W248" s="126"/>
      <c r="X248" s="130" t="s">
        <v>120</v>
      </c>
      <c r="Y248" s="126" t="s">
        <v>1152</v>
      </c>
      <c r="Z248" s="165" t="s">
        <v>120</v>
      </c>
      <c r="AA248" s="158"/>
      <c r="AB248" s="158"/>
      <c r="AC248" s="170" t="s">
        <v>123</v>
      </c>
      <c r="AD248" s="126" t="s">
        <v>1153</v>
      </c>
      <c r="AE248" s="130" t="s">
        <v>861</v>
      </c>
      <c r="AF248" s="127"/>
      <c r="AG248" s="131"/>
      <c r="AH248" s="131"/>
      <c r="AI248" s="126"/>
      <c r="AJ248" s="130"/>
      <c r="AK248" s="126"/>
      <c r="AL248" s="126"/>
      <c r="AM248" s="130"/>
      <c r="AN248" s="126"/>
      <c r="AO248" s="132"/>
      <c r="AP248" s="126"/>
      <c r="AQ248" s="126"/>
      <c r="AR248" s="130"/>
      <c r="AS248" s="126"/>
      <c r="AT248" s="127"/>
      <c r="AU248" s="127"/>
      <c r="AV248" s="127"/>
      <c r="AW248" s="127"/>
      <c r="AX248" s="127"/>
      <c r="AY248" s="127"/>
      <c r="AZ248" s="133">
        <v>43409</v>
      </c>
      <c r="BA24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8" s="135">
        <f>COUNTIFS(_05preva_view43[Site ID],_05preva_view43[[#This Row],[Site ID]],_05preva_view43[Prevalidation Status],"Under Prevalidation")</f>
        <v>0</v>
      </c>
      <c r="BC248" s="157" t="e">
        <f ca="1">HYPERLINK(CheckPath(_05preva_view43[[#This Row],[File Path]],_05preva_view43[[#This Row],[File Path]],_05preva_view43[[#This Row],[Folder Path3]]),CheckPath(_05preva_view43[[#This Row],[File Path]],"Open File","No File"))</f>
        <v>#VALUE!</v>
      </c>
      <c r="BD248" s="136" t="str">
        <f>CONCATENATE(_05preva_view43[[#This Row],[Site ID]]," (",_05preva_view43[[#This Row],[tenant id]],") Application",IF(_05preva_view43[[#This Row],[Colo Rev]]&gt;0," Rev "&amp;_05preva_view43[[#This Row],[Colo Rev]],""),".xlsx")</f>
        <v>1-01-16001-003 (SHE00021) Application Rev 3.xlsx</v>
      </c>
      <c r="BE248" s="64" t="e">
        <f t="shared" ca="1" si="5"/>
        <v>#VALUE!</v>
      </c>
      <c r="BF248" s="104" t="e">
        <f ca="1">LEFT(CELL("filename",A233),_05preva_view43[[#This Row],[Find Process &amp; Database]]-1)</f>
        <v>#VALUE!</v>
      </c>
      <c r="BG248" s="104" t="e">
        <f ca="1">_05preva_view43[Folder Path1]&amp;"Process &amp; Database\Documentation\Colo Applications"</f>
        <v>#VALUE!</v>
      </c>
      <c r="BH248" s="104" t="e">
        <f ca="1">_05preva_view43[Folder Path2]&amp;"\Colo App "&amp;_05preva_view43[[#This Row],[Operator]]&amp;"\"</f>
        <v>#VALUE!</v>
      </c>
      <c r="BI248" s="63" t="e">
        <f ca="1">_05preva_view43[[#This Row],[Folder Path3]]&amp;_05preva_view43[[#This Row],[File Name]]</f>
        <v>#VALUE!</v>
      </c>
      <c r="BJ248" s="104"/>
      <c r="BK248" s="3"/>
      <c r="BL248" s="3"/>
      <c r="CJ248" s="5"/>
      <c r="CK248" s="5"/>
      <c r="CL248" s="3"/>
      <c r="CN248" s="5"/>
      <c r="CR248" s="3"/>
      <c r="CS248" s="3"/>
      <c r="CT248" s="5"/>
      <c r="CV248" s="3"/>
      <c r="DR248" s="5"/>
      <c r="DT248" s="3"/>
      <c r="EF248" s="7"/>
      <c r="EG248" s="7"/>
      <c r="EJ248" s="4"/>
      <c r="EK248" s="4"/>
      <c r="EU248" s="2"/>
      <c r="EV248" s="2"/>
    </row>
    <row r="249" spans="1:152">
      <c r="A249" s="125">
        <v>3398</v>
      </c>
      <c r="B249" s="126" t="s">
        <v>1154</v>
      </c>
      <c r="C249" s="126" t="s">
        <v>331</v>
      </c>
      <c r="D249" s="126" t="s">
        <v>127</v>
      </c>
      <c r="E249" s="126" t="s">
        <v>1155</v>
      </c>
      <c r="F249" s="126" t="s">
        <v>35</v>
      </c>
      <c r="G249" s="126" t="s">
        <v>1583</v>
      </c>
      <c r="H249" s="126" t="s">
        <v>1575</v>
      </c>
      <c r="I249" s="126" t="s">
        <v>1053</v>
      </c>
      <c r="J249" s="126" t="s">
        <v>949</v>
      </c>
      <c r="K249" s="127">
        <v>43409</v>
      </c>
      <c r="L249" s="128"/>
      <c r="M249" s="128">
        <v>3.5489999999999999</v>
      </c>
      <c r="N249" s="126">
        <v>7.0659999999999998</v>
      </c>
      <c r="O249" s="126" t="s">
        <v>950</v>
      </c>
      <c r="P249" s="129" t="s">
        <v>958</v>
      </c>
      <c r="Q249" s="129" t="s">
        <v>959</v>
      </c>
      <c r="R249" s="126" t="s">
        <v>24</v>
      </c>
      <c r="S249" s="126"/>
      <c r="T249" s="130" t="s">
        <v>861</v>
      </c>
      <c r="U249" s="126"/>
      <c r="V249" s="130" t="s">
        <v>861</v>
      </c>
      <c r="W249" s="126"/>
      <c r="X249" s="130" t="s">
        <v>120</v>
      </c>
      <c r="Y249" s="126" t="s">
        <v>1156</v>
      </c>
      <c r="Z249" s="165" t="s">
        <v>120</v>
      </c>
      <c r="AA249" s="158"/>
      <c r="AB249" s="158"/>
      <c r="AC249" s="170" t="s">
        <v>123</v>
      </c>
      <c r="AD249" s="126" t="s">
        <v>1157</v>
      </c>
      <c r="AE249" s="130" t="s">
        <v>861</v>
      </c>
      <c r="AF249" s="127"/>
      <c r="AG249" s="131"/>
      <c r="AH249" s="131"/>
      <c r="AI249" s="126"/>
      <c r="AJ249" s="130"/>
      <c r="AK249" s="126"/>
      <c r="AL249" s="126"/>
      <c r="AM249" s="130"/>
      <c r="AN249" s="126"/>
      <c r="AO249" s="132"/>
      <c r="AP249" s="126"/>
      <c r="AQ249" s="126"/>
      <c r="AR249" s="130"/>
      <c r="AS249" s="126"/>
      <c r="AT249" s="127"/>
      <c r="AU249" s="127"/>
      <c r="AV249" s="127"/>
      <c r="AW249" s="127"/>
      <c r="AX249" s="127"/>
      <c r="AY249" s="127"/>
      <c r="AZ249" s="133">
        <v>43409</v>
      </c>
      <c r="BA24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49" s="135">
        <f>COUNTIFS(_05preva_view43[Site ID],_05preva_view43[[#This Row],[Site ID]],_05preva_view43[Prevalidation Status],"Under Prevalidation")</f>
        <v>0</v>
      </c>
      <c r="BC249" s="157" t="e">
        <f ca="1">HYPERLINK(CheckPath(_05preva_view43[[#This Row],[File Path]],_05preva_view43[[#This Row],[File Path]],_05preva_view43[[#This Row],[Folder Path3]]),CheckPath(_05preva_view43[[#This Row],[File Path]],"Open File","No File"))</f>
        <v>#VALUE!</v>
      </c>
      <c r="BD249" s="136" t="str">
        <f>CONCATENATE(_05preva_view43[[#This Row],[Site ID]]," (",_05preva_view43[[#This Row],[tenant id]],") Application",IF(_05preva_view43[[#This Row],[Colo Rev]]&gt;0," Rev "&amp;_05preva_view43[[#This Row],[Colo Rev]],""),".xlsx")</f>
        <v>1-01-10015-003 (MDY00347) Application Rev 2.xlsx</v>
      </c>
      <c r="BE249" s="64" t="e">
        <f t="shared" ca="1" si="5"/>
        <v>#VALUE!</v>
      </c>
      <c r="BF249" s="104" t="e">
        <f ca="1">LEFT(CELL("filename",A234),_05preva_view43[[#This Row],[Find Process &amp; Database]]-1)</f>
        <v>#VALUE!</v>
      </c>
      <c r="BG249" s="104" t="e">
        <f ca="1">_05preva_view43[Folder Path1]&amp;"Process &amp; Database\Documentation\Colo Applications"</f>
        <v>#VALUE!</v>
      </c>
      <c r="BH249" s="104" t="e">
        <f ca="1">_05preva_view43[Folder Path2]&amp;"\Colo App "&amp;_05preva_view43[[#This Row],[Operator]]&amp;"\"</f>
        <v>#VALUE!</v>
      </c>
      <c r="BI249" s="63" t="e">
        <f ca="1">_05preva_view43[[#This Row],[Folder Path3]]&amp;_05preva_view43[[#This Row],[File Name]]</f>
        <v>#VALUE!</v>
      </c>
      <c r="BJ249" s="104"/>
      <c r="BK249" s="3"/>
      <c r="BL249" s="3"/>
      <c r="CJ249" s="5"/>
      <c r="CK249" s="5"/>
      <c r="CL249" s="3"/>
      <c r="CN249" s="5"/>
      <c r="CR249" s="3"/>
      <c r="CS249" s="3"/>
      <c r="CT249" s="5"/>
      <c r="CV249" s="3"/>
      <c r="DR249" s="5"/>
      <c r="DT249" s="3"/>
      <c r="EF249" s="7"/>
      <c r="EG249" s="7"/>
      <c r="EJ249" s="4"/>
      <c r="EK249" s="4"/>
      <c r="EU249" s="2"/>
      <c r="EV249" s="2"/>
    </row>
    <row r="250" spans="1:152">
      <c r="A250" s="125">
        <v>3399</v>
      </c>
      <c r="B250" s="126" t="s">
        <v>1158</v>
      </c>
      <c r="C250" s="126" t="s">
        <v>331</v>
      </c>
      <c r="D250" s="126" t="s">
        <v>127</v>
      </c>
      <c r="E250" s="126" t="s">
        <v>1159</v>
      </c>
      <c r="F250" s="126" t="s">
        <v>35</v>
      </c>
      <c r="G250" s="126" t="s">
        <v>1583</v>
      </c>
      <c r="H250" s="126" t="s">
        <v>1575</v>
      </c>
      <c r="I250" s="126" t="s">
        <v>1053</v>
      </c>
      <c r="J250" s="126" t="s">
        <v>931</v>
      </c>
      <c r="K250" s="127">
        <v>43409</v>
      </c>
      <c r="L250" s="128"/>
      <c r="M250" s="128">
        <v>3.649</v>
      </c>
      <c r="N250" s="126">
        <v>7</v>
      </c>
      <c r="O250" s="126" t="s">
        <v>950</v>
      </c>
      <c r="P250" s="129" t="s">
        <v>958</v>
      </c>
      <c r="Q250" s="129" t="s">
        <v>959</v>
      </c>
      <c r="R250" s="126" t="s">
        <v>24</v>
      </c>
      <c r="S250" s="126"/>
      <c r="T250" s="130" t="s">
        <v>861</v>
      </c>
      <c r="U250" s="126"/>
      <c r="V250" s="130" t="s">
        <v>861</v>
      </c>
      <c r="W250" s="126"/>
      <c r="X250" s="130" t="s">
        <v>120</v>
      </c>
      <c r="Y250" s="126" t="s">
        <v>1160</v>
      </c>
      <c r="Z250" s="165" t="s">
        <v>120</v>
      </c>
      <c r="AA250" s="158"/>
      <c r="AB250" s="158"/>
      <c r="AC250" s="170" t="s">
        <v>123</v>
      </c>
      <c r="AD250" s="126" t="s">
        <v>1161</v>
      </c>
      <c r="AE250" s="130" t="s">
        <v>861</v>
      </c>
      <c r="AF250" s="127"/>
      <c r="AG250" s="131"/>
      <c r="AH250" s="131"/>
      <c r="AI250" s="126"/>
      <c r="AJ250" s="130"/>
      <c r="AK250" s="126"/>
      <c r="AL250" s="126"/>
      <c r="AM250" s="130"/>
      <c r="AN250" s="126"/>
      <c r="AO250" s="132"/>
      <c r="AP250" s="126"/>
      <c r="AQ250" s="126"/>
      <c r="AR250" s="130"/>
      <c r="AS250" s="126"/>
      <c r="AT250" s="127"/>
      <c r="AU250" s="127"/>
      <c r="AV250" s="127"/>
      <c r="AW250" s="127"/>
      <c r="AX250" s="127"/>
      <c r="AY250" s="127"/>
      <c r="AZ250" s="133">
        <v>43409</v>
      </c>
      <c r="BA25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0" s="135">
        <f>COUNTIFS(_05preva_view43[Site ID],_05preva_view43[[#This Row],[Site ID]],_05preva_view43[Prevalidation Status],"Under Prevalidation")</f>
        <v>0</v>
      </c>
      <c r="BC250" s="157" t="e">
        <f ca="1">HYPERLINK(CheckPath(_05preva_view43[[#This Row],[File Path]],_05preva_view43[[#This Row],[File Path]],_05preva_view43[[#This Row],[Folder Path3]]),CheckPath(_05preva_view43[[#This Row],[File Path]],"Open File","No File"))</f>
        <v>#VALUE!</v>
      </c>
      <c r="BD250" s="136" t="str">
        <f>CONCATENATE(_05preva_view43[[#This Row],[Site ID]]," (",_05preva_view43[[#This Row],[tenant id]],") Application",IF(_05preva_view43[[#This Row],[Colo Rev]]&gt;0," Rev "&amp;_05preva_view43[[#This Row],[Colo Rev]],""),".xlsx")</f>
        <v>1-01-05027-006 (SGG00225) Application Rev 1.xlsx</v>
      </c>
      <c r="BE250" s="64" t="e">
        <f t="shared" ca="1" si="5"/>
        <v>#VALUE!</v>
      </c>
      <c r="BF250" s="104" t="e">
        <f ca="1">LEFT(CELL("filename",A235),_05preva_view43[[#This Row],[Find Process &amp; Database]]-1)</f>
        <v>#VALUE!</v>
      </c>
      <c r="BG250" s="104" t="e">
        <f ca="1">_05preva_view43[Folder Path1]&amp;"Process &amp; Database\Documentation\Colo Applications"</f>
        <v>#VALUE!</v>
      </c>
      <c r="BH250" s="104" t="e">
        <f ca="1">_05preva_view43[Folder Path2]&amp;"\Colo App "&amp;_05preva_view43[[#This Row],[Operator]]&amp;"\"</f>
        <v>#VALUE!</v>
      </c>
      <c r="BI250" s="63" t="e">
        <f ca="1">_05preva_view43[[#This Row],[Folder Path3]]&amp;_05preva_view43[[#This Row],[File Name]]</f>
        <v>#VALUE!</v>
      </c>
      <c r="BJ250" s="104"/>
      <c r="BK250" s="3"/>
      <c r="BL250" s="3"/>
      <c r="CJ250" s="5"/>
      <c r="CK250" s="5"/>
      <c r="CL250" s="3"/>
      <c r="CN250" s="5"/>
      <c r="CR250" s="3"/>
      <c r="CS250" s="3"/>
      <c r="CT250" s="5"/>
      <c r="CV250" s="3"/>
      <c r="DR250" s="5"/>
      <c r="DT250" s="3"/>
      <c r="EF250" s="7"/>
      <c r="EG250" s="7"/>
      <c r="EJ250" s="4"/>
      <c r="EK250" s="4"/>
      <c r="EU250" s="2"/>
      <c r="EV250" s="2"/>
    </row>
    <row r="251" spans="1:152">
      <c r="A251" s="125">
        <v>3400</v>
      </c>
      <c r="B251" s="126" t="s">
        <v>1118</v>
      </c>
      <c r="C251" s="126" t="s">
        <v>331</v>
      </c>
      <c r="D251" s="126" t="s">
        <v>127</v>
      </c>
      <c r="E251" s="126" t="s">
        <v>1119</v>
      </c>
      <c r="F251" s="126" t="s">
        <v>35</v>
      </c>
      <c r="G251" s="126" t="s">
        <v>1583</v>
      </c>
      <c r="H251" s="126" t="s">
        <v>1575</v>
      </c>
      <c r="I251" s="126" t="s">
        <v>1053</v>
      </c>
      <c r="J251" s="126" t="s">
        <v>990</v>
      </c>
      <c r="K251" s="127">
        <v>43409</v>
      </c>
      <c r="L251" s="128"/>
      <c r="M251" s="128">
        <v>3.6110000000000002</v>
      </c>
      <c r="N251" s="126">
        <v>5.5419999999999998</v>
      </c>
      <c r="O251" s="126" t="s">
        <v>950</v>
      </c>
      <c r="P251" s="129" t="s">
        <v>1121</v>
      </c>
      <c r="Q251" s="129" t="s">
        <v>1122</v>
      </c>
      <c r="R251" s="126" t="s">
        <v>24</v>
      </c>
      <c r="S251" s="126"/>
      <c r="T251" s="130" t="s">
        <v>861</v>
      </c>
      <c r="U251" s="126"/>
      <c r="V251" s="130" t="s">
        <v>861</v>
      </c>
      <c r="W251" s="126"/>
      <c r="X251" s="130" t="s">
        <v>120</v>
      </c>
      <c r="Y251" s="126" t="s">
        <v>1162</v>
      </c>
      <c r="Z251" s="165" t="s">
        <v>120</v>
      </c>
      <c r="AA251" s="158"/>
      <c r="AB251" s="158"/>
      <c r="AC251" s="170" t="s">
        <v>123</v>
      </c>
      <c r="AD251" s="126" t="s">
        <v>1163</v>
      </c>
      <c r="AE251" s="130"/>
      <c r="AF251" s="127"/>
      <c r="AG251" s="131"/>
      <c r="AH251" s="131"/>
      <c r="AI251" s="126"/>
      <c r="AJ251" s="130"/>
      <c r="AK251" s="126"/>
      <c r="AL251" s="126"/>
      <c r="AM251" s="130"/>
      <c r="AN251" s="126"/>
      <c r="AO251" s="132"/>
      <c r="AP251" s="126"/>
      <c r="AQ251" s="126"/>
      <c r="AR251" s="130"/>
      <c r="AS251" s="126"/>
      <c r="AT251" s="127"/>
      <c r="AU251" s="127"/>
      <c r="AV251" s="127"/>
      <c r="AW251" s="127"/>
      <c r="AX251" s="127"/>
      <c r="AY251" s="127"/>
      <c r="AZ251" s="133">
        <v>43409</v>
      </c>
      <c r="BA25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1" s="135">
        <f>COUNTIFS(_05preva_view43[Site ID],_05preva_view43[[#This Row],[Site ID]],_05preva_view43[Prevalidation Status],"Under Prevalidation")</f>
        <v>0</v>
      </c>
      <c r="BC251" s="157" t="e">
        <f ca="1">HYPERLINK(CheckPath(_05preva_view43[[#This Row],[File Path]],_05preva_view43[[#This Row],[File Path]],_05preva_view43[[#This Row],[Folder Path3]]),CheckPath(_05preva_view43[[#This Row],[File Path]],"Open File","No File"))</f>
        <v>#VALUE!</v>
      </c>
      <c r="BD251" s="136" t="str">
        <f>CONCATENATE(_05preva_view43[[#This Row],[Site ID]]," (",_05preva_view43[[#This Row],[tenant id]],") Application",IF(_05preva_view43[[#This Row],[Colo Rev]]&gt;0," Rev "&amp;_05preva_view43[[#This Row],[Colo Rev]],""),".xlsx")</f>
        <v>1-01-05018-006 (SGG00198) Application Rev 3.xlsx</v>
      </c>
      <c r="BE251" s="64" t="e">
        <f t="shared" ca="1" si="5"/>
        <v>#VALUE!</v>
      </c>
      <c r="BF251" s="104" t="e">
        <f ca="1">LEFT(CELL("filename",A236),_05preva_view43[[#This Row],[Find Process &amp; Database]]-1)</f>
        <v>#VALUE!</v>
      </c>
      <c r="BG251" s="104" t="e">
        <f ca="1">_05preva_view43[Folder Path1]&amp;"Process &amp; Database\Documentation\Colo Applications"</f>
        <v>#VALUE!</v>
      </c>
      <c r="BH251" s="104" t="e">
        <f ca="1">_05preva_view43[Folder Path2]&amp;"\Colo App "&amp;_05preva_view43[[#This Row],[Operator]]&amp;"\"</f>
        <v>#VALUE!</v>
      </c>
      <c r="BI251" s="63" t="e">
        <f ca="1">_05preva_view43[[#This Row],[Folder Path3]]&amp;_05preva_view43[[#This Row],[File Name]]</f>
        <v>#VALUE!</v>
      </c>
      <c r="BJ251" s="104"/>
      <c r="BK251" s="3"/>
      <c r="BL251" s="3"/>
      <c r="CJ251" s="5"/>
      <c r="CK251" s="5"/>
      <c r="CL251" s="3"/>
      <c r="CN251" s="5"/>
      <c r="CR251" s="3"/>
      <c r="CS251" s="3"/>
      <c r="CT251" s="5"/>
      <c r="CV251" s="3"/>
      <c r="DR251" s="5"/>
      <c r="DT251" s="3"/>
      <c r="EF251" s="7"/>
      <c r="EG251" s="7"/>
      <c r="EJ251" s="4"/>
      <c r="EK251" s="4"/>
      <c r="EU251" s="2"/>
      <c r="EV251" s="2"/>
    </row>
    <row r="252" spans="1:152">
      <c r="A252" s="125">
        <v>3401</v>
      </c>
      <c r="B252" s="126" t="s">
        <v>1164</v>
      </c>
      <c r="C252" s="126" t="s">
        <v>331</v>
      </c>
      <c r="D252" s="126" t="s">
        <v>127</v>
      </c>
      <c r="E252" s="126" t="s">
        <v>1165</v>
      </c>
      <c r="F252" s="126" t="s">
        <v>35</v>
      </c>
      <c r="G252" s="126" t="s">
        <v>1583</v>
      </c>
      <c r="H252" s="126" t="s">
        <v>1575</v>
      </c>
      <c r="I252" s="126" t="s">
        <v>1053</v>
      </c>
      <c r="J252" s="126" t="s">
        <v>931</v>
      </c>
      <c r="K252" s="127">
        <v>43409</v>
      </c>
      <c r="L252" s="128"/>
      <c r="M252" s="128">
        <v>3.5489999999999999</v>
      </c>
      <c r="N252" s="126">
        <v>7.5</v>
      </c>
      <c r="O252" s="126" t="s">
        <v>950</v>
      </c>
      <c r="P252" s="129" t="s">
        <v>958</v>
      </c>
      <c r="Q252" s="129" t="s">
        <v>959</v>
      </c>
      <c r="R252" s="126" t="s">
        <v>24</v>
      </c>
      <c r="S252" s="126"/>
      <c r="T252" s="130" t="s">
        <v>861</v>
      </c>
      <c r="U252" s="126"/>
      <c r="V252" s="130" t="s">
        <v>861</v>
      </c>
      <c r="W252" s="126"/>
      <c r="X252" s="130" t="s">
        <v>120</v>
      </c>
      <c r="Y252" s="126" t="s">
        <v>1166</v>
      </c>
      <c r="Z252" s="165" t="s">
        <v>120</v>
      </c>
      <c r="AA252" s="158"/>
      <c r="AB252" s="158"/>
      <c r="AC252" s="170" t="s">
        <v>123</v>
      </c>
      <c r="AD252" s="126" t="s">
        <v>1320</v>
      </c>
      <c r="AE252" s="130" t="s">
        <v>120</v>
      </c>
      <c r="AF252" s="127" t="s">
        <v>1167</v>
      </c>
      <c r="AG252" s="131"/>
      <c r="AH252" s="131">
        <v>1.6</v>
      </c>
      <c r="AI252" s="126" t="s">
        <v>1168</v>
      </c>
      <c r="AJ252" s="130" t="s">
        <v>120</v>
      </c>
      <c r="AK252" s="126"/>
      <c r="AL252" s="126"/>
      <c r="AM252" s="130"/>
      <c r="AN252" s="126"/>
      <c r="AO252" s="132"/>
      <c r="AP252" s="126"/>
      <c r="AQ252" s="126"/>
      <c r="AR252" s="130"/>
      <c r="AS252" s="126"/>
      <c r="AT252" s="127">
        <v>43417.622366782402</v>
      </c>
      <c r="AU252" s="127">
        <v>43419.752466435202</v>
      </c>
      <c r="AV252" s="127">
        <v>43444.480745023102</v>
      </c>
      <c r="AW252" s="127">
        <v>43431.631280439797</v>
      </c>
      <c r="AX252" s="127"/>
      <c r="AY252" s="127"/>
      <c r="AZ252" s="133">
        <v>43444.489957175902</v>
      </c>
      <c r="BA252" s="134">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B252" s="135">
        <f>COUNTIFS(_05preva_view43[Site ID],_05preva_view43[[#This Row],[Site ID]],_05preva_view43[Prevalidation Status],"Under Prevalidation")</f>
        <v>0</v>
      </c>
      <c r="BC252" s="157" t="e">
        <f ca="1">HYPERLINK(CheckPath(_05preva_view43[[#This Row],[File Path]],_05preva_view43[[#This Row],[File Path]],_05preva_view43[[#This Row],[Folder Path3]]),CheckPath(_05preva_view43[[#This Row],[File Path]],"Open File","No File"))</f>
        <v>#VALUE!</v>
      </c>
      <c r="BD252" s="136" t="str">
        <f>CONCATENATE(_05preva_view43[[#This Row],[Site ID]]," (",_05preva_view43[[#This Row],[tenant id]],") Application",IF(_05preva_view43[[#This Row],[Colo Rev]]&gt;0," Rev "&amp;_05preva_view43[[#This Row],[Colo Rev]],""),".xlsx")</f>
        <v>1-01-05030-010 (SGG00149) Application Rev 1.xlsx</v>
      </c>
      <c r="BE252" s="64" t="e">
        <f t="shared" ca="1" si="5"/>
        <v>#VALUE!</v>
      </c>
      <c r="BF252" s="104" t="e">
        <f ca="1">LEFT(CELL("filename",A237),_05preva_view43[[#This Row],[Find Process &amp; Database]]-1)</f>
        <v>#VALUE!</v>
      </c>
      <c r="BG252" s="104" t="e">
        <f ca="1">_05preva_view43[Folder Path1]&amp;"Process &amp; Database\Documentation\Colo Applications"</f>
        <v>#VALUE!</v>
      </c>
      <c r="BH252" s="104" t="e">
        <f ca="1">_05preva_view43[Folder Path2]&amp;"\Colo App "&amp;_05preva_view43[[#This Row],[Operator]]&amp;"\"</f>
        <v>#VALUE!</v>
      </c>
      <c r="BI252" s="63" t="e">
        <f ca="1">_05preva_view43[[#This Row],[Folder Path3]]&amp;_05preva_view43[[#This Row],[File Name]]</f>
        <v>#VALUE!</v>
      </c>
      <c r="BJ252" s="104"/>
      <c r="BK252" s="3"/>
      <c r="BL252" s="3"/>
      <c r="CJ252" s="5"/>
      <c r="CK252" s="5"/>
      <c r="CL252" s="3"/>
      <c r="CN252" s="5"/>
      <c r="CR252" s="3"/>
      <c r="CS252" s="3"/>
      <c r="CT252" s="5"/>
      <c r="CV252" s="3"/>
      <c r="DR252" s="5"/>
      <c r="DT252" s="3"/>
      <c r="EF252" s="7"/>
      <c r="EG252" s="7"/>
      <c r="EJ252" s="4"/>
      <c r="EK252" s="4"/>
      <c r="EU252" s="2"/>
      <c r="EV252" s="2"/>
    </row>
    <row r="253" spans="1:152">
      <c r="A253" s="125">
        <v>3402</v>
      </c>
      <c r="B253" s="126" t="s">
        <v>1169</v>
      </c>
      <c r="C253" s="126" t="s">
        <v>331</v>
      </c>
      <c r="D253" s="126" t="s">
        <v>163</v>
      </c>
      <c r="E253" s="126" t="s">
        <v>1170</v>
      </c>
      <c r="F253" s="126" t="s">
        <v>35</v>
      </c>
      <c r="G253" s="126" t="s">
        <v>1584</v>
      </c>
      <c r="H253" s="126" t="s">
        <v>1580</v>
      </c>
      <c r="I253" s="126" t="s">
        <v>1144</v>
      </c>
      <c r="J253" s="126" t="s">
        <v>940</v>
      </c>
      <c r="K253" s="127">
        <v>43409</v>
      </c>
      <c r="L253" s="128"/>
      <c r="M253" s="128">
        <v>3.3</v>
      </c>
      <c r="N253" s="126">
        <v>4.4400000000000004</v>
      </c>
      <c r="O253" s="126" t="s">
        <v>950</v>
      </c>
      <c r="P253" s="129" t="s">
        <v>958</v>
      </c>
      <c r="Q253" s="129" t="s">
        <v>959</v>
      </c>
      <c r="R253" s="126" t="s">
        <v>24</v>
      </c>
      <c r="S253" s="126"/>
      <c r="T253" s="130" t="s">
        <v>861</v>
      </c>
      <c r="U253" s="126"/>
      <c r="V253" s="130" t="s">
        <v>861</v>
      </c>
      <c r="W253" s="126"/>
      <c r="X253" s="130" t="s">
        <v>120</v>
      </c>
      <c r="Y253" s="126" t="s">
        <v>1171</v>
      </c>
      <c r="Z253" s="165" t="s">
        <v>120</v>
      </c>
      <c r="AA253" s="158"/>
      <c r="AB253" s="158"/>
      <c r="AC253" s="170" t="s">
        <v>123</v>
      </c>
      <c r="AD253" s="126" t="s">
        <v>1172</v>
      </c>
      <c r="AE253" s="130" t="s">
        <v>861</v>
      </c>
      <c r="AF253" s="127"/>
      <c r="AG253" s="131"/>
      <c r="AH253" s="131"/>
      <c r="AI253" s="126"/>
      <c r="AJ253" s="130"/>
      <c r="AK253" s="126"/>
      <c r="AL253" s="126"/>
      <c r="AM253" s="130"/>
      <c r="AN253" s="126"/>
      <c r="AO253" s="132"/>
      <c r="AP253" s="126" t="s">
        <v>120</v>
      </c>
      <c r="AQ253" s="126"/>
      <c r="AR253" s="130"/>
      <c r="AS253" s="126"/>
      <c r="AT253" s="127"/>
      <c r="AU253" s="127"/>
      <c r="AV253" s="127"/>
      <c r="AW253" s="127"/>
      <c r="AX253" s="127"/>
      <c r="AY253" s="127"/>
      <c r="AZ253" s="133">
        <v>43409</v>
      </c>
      <c r="BA25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3" s="135">
        <f>COUNTIFS(_05preva_view43[Site ID],_05preva_view43[[#This Row],[Site ID]],_05preva_view43[Prevalidation Status],"Under Prevalidation")</f>
        <v>0</v>
      </c>
      <c r="BC253" s="157" t="e">
        <f ca="1">HYPERLINK(CheckPath(_05preva_view43[[#This Row],[File Path]],_05preva_view43[[#This Row],[File Path]],_05preva_view43[[#This Row],[Folder Path3]]),CheckPath(_05preva_view43[[#This Row],[File Path]],"Open File","No File"))</f>
        <v>#VALUE!</v>
      </c>
      <c r="BD253" s="136" t="str">
        <f>CONCATENATE(_05preva_view43[[#This Row],[Site ID]]," (",_05preva_view43[[#This Row],[tenant id]],") Application",IF(_05preva_view43[[#This Row],[Colo Rev]]&gt;0," Rev "&amp;_05preva_view43[[#This Row],[Colo Rev]],""),".xlsx")</f>
        <v>1-01-17023-009 (AWD01309) Application Rev 0.xlsx</v>
      </c>
      <c r="BE253" s="64" t="e">
        <f t="shared" ca="1" si="5"/>
        <v>#VALUE!</v>
      </c>
      <c r="BF253" s="104" t="e">
        <f ca="1">LEFT(CELL("filename",A238),_05preva_view43[[#This Row],[Find Process &amp; Database]]-1)</f>
        <v>#VALUE!</v>
      </c>
      <c r="BG253" s="104" t="e">
        <f ca="1">_05preva_view43[Folder Path1]&amp;"Process &amp; Database\Documentation\Colo Applications"</f>
        <v>#VALUE!</v>
      </c>
      <c r="BH253" s="104" t="e">
        <f ca="1">_05preva_view43[Folder Path2]&amp;"\Colo App "&amp;_05preva_view43[[#This Row],[Operator]]&amp;"\"</f>
        <v>#VALUE!</v>
      </c>
      <c r="BI253" s="63" t="e">
        <f ca="1">_05preva_view43[[#This Row],[Folder Path3]]&amp;_05preva_view43[[#This Row],[File Name]]</f>
        <v>#VALUE!</v>
      </c>
      <c r="BJ253" s="104"/>
      <c r="BK253" s="3"/>
      <c r="BL253" s="3"/>
      <c r="CJ253" s="5"/>
      <c r="CK253" s="5"/>
      <c r="CL253" s="3"/>
      <c r="CN253" s="5"/>
      <c r="CR253" s="3"/>
      <c r="CS253" s="3"/>
      <c r="CT253" s="5"/>
      <c r="CV253" s="3"/>
      <c r="DR253" s="5"/>
      <c r="DT253" s="3"/>
      <c r="EF253" s="7"/>
      <c r="EG253" s="7"/>
      <c r="EJ253" s="4"/>
      <c r="EK253" s="4"/>
      <c r="EU253" s="2"/>
      <c r="EV253" s="2"/>
    </row>
    <row r="254" spans="1:152">
      <c r="A254" s="125">
        <v>3392</v>
      </c>
      <c r="B254" s="126" t="s">
        <v>1136</v>
      </c>
      <c r="C254" s="126" t="s">
        <v>331</v>
      </c>
      <c r="D254" s="126" t="s">
        <v>117</v>
      </c>
      <c r="E254" s="126" t="s">
        <v>1137</v>
      </c>
      <c r="F254" s="126" t="s">
        <v>35</v>
      </c>
      <c r="G254" s="126" t="s">
        <v>1583</v>
      </c>
      <c r="H254" s="126" t="s">
        <v>1575</v>
      </c>
      <c r="I254" s="126" t="s">
        <v>1138</v>
      </c>
      <c r="J254" s="126" t="s">
        <v>990</v>
      </c>
      <c r="K254" s="127">
        <v>43405</v>
      </c>
      <c r="L254" s="128"/>
      <c r="M254" s="128">
        <v>2.1</v>
      </c>
      <c r="N254" s="126">
        <v>2.1989999999999998</v>
      </c>
      <c r="O254" s="126" t="s">
        <v>950</v>
      </c>
      <c r="P254" s="129" t="s">
        <v>958</v>
      </c>
      <c r="Q254" s="129" t="s">
        <v>959</v>
      </c>
      <c r="R254" s="126" t="s">
        <v>24</v>
      </c>
      <c r="S254" s="126"/>
      <c r="T254" s="130" t="s">
        <v>861</v>
      </c>
      <c r="U254" s="126"/>
      <c r="V254" s="130" t="s">
        <v>861</v>
      </c>
      <c r="W254" s="126"/>
      <c r="X254" s="130" t="s">
        <v>120</v>
      </c>
      <c r="Y254" s="126" t="s">
        <v>1139</v>
      </c>
      <c r="Z254" s="165" t="s">
        <v>120</v>
      </c>
      <c r="AA254" s="158"/>
      <c r="AB254" s="158"/>
      <c r="AC254" s="170" t="s">
        <v>123</v>
      </c>
      <c r="AD254" s="126" t="s">
        <v>1140</v>
      </c>
      <c r="AE254" s="130" t="s">
        <v>125</v>
      </c>
      <c r="AF254" s="127"/>
      <c r="AG254" s="131"/>
      <c r="AH254" s="131"/>
      <c r="AI254" s="126" t="s">
        <v>1098</v>
      </c>
      <c r="AJ254" s="130"/>
      <c r="AK254" s="126"/>
      <c r="AL254" s="126"/>
      <c r="AM254" s="130"/>
      <c r="AN254" s="126"/>
      <c r="AO254" s="132"/>
      <c r="AP254" s="126"/>
      <c r="AQ254" s="126"/>
      <c r="AR254" s="130"/>
      <c r="AS254" s="126"/>
      <c r="AT254" s="127"/>
      <c r="AU254" s="127"/>
      <c r="AV254" s="127"/>
      <c r="AW254" s="127"/>
      <c r="AX254" s="127"/>
      <c r="AY254" s="127"/>
      <c r="AZ254" s="133">
        <v>43405</v>
      </c>
      <c r="BA25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4" s="135">
        <f>COUNTIFS(_05preva_view43[Site ID],_05preva_view43[[#This Row],[Site ID]],_05preva_view43[Prevalidation Status],"Under Prevalidation")</f>
        <v>0</v>
      </c>
      <c r="BC254" s="157" t="e">
        <f ca="1">HYPERLINK(CheckPath(_05preva_view43[[#This Row],[File Path]],_05preva_view43[[#This Row],[File Path]],_05preva_view43[[#This Row],[Folder Path3]]),CheckPath(_05preva_view43[[#This Row],[File Path]],"Open File","No File"))</f>
        <v>#VALUE!</v>
      </c>
      <c r="BD254" s="136" t="str">
        <f>CONCATENATE(_05preva_view43[[#This Row],[Site ID]]," (",_05preva_view43[[#This Row],[tenant id]],") Application",IF(_05preva_view43[[#This Row],[Colo Rev]]&gt;0," Rev "&amp;_05preva_view43[[#This Row],[Colo Rev]],""),".xlsx")</f>
        <v>1-01-14001-026 (SHS00070) Application Rev 3.xlsx</v>
      </c>
      <c r="BE254" s="64" t="e">
        <f t="shared" ca="1" si="5"/>
        <v>#VALUE!</v>
      </c>
      <c r="BF254" s="104" t="e">
        <f ca="1">LEFT(CELL("filename",A239),_05preva_view43[[#This Row],[Find Process &amp; Database]]-1)</f>
        <v>#VALUE!</v>
      </c>
      <c r="BG254" s="104" t="e">
        <f ca="1">_05preva_view43[Folder Path1]&amp;"Process &amp; Database\Documentation\Colo Applications"</f>
        <v>#VALUE!</v>
      </c>
      <c r="BH254" s="104" t="e">
        <f ca="1">_05preva_view43[Folder Path2]&amp;"\Colo App "&amp;_05preva_view43[[#This Row],[Operator]]&amp;"\"</f>
        <v>#VALUE!</v>
      </c>
      <c r="BI254" s="63" t="e">
        <f ca="1">_05preva_view43[[#This Row],[Folder Path3]]&amp;_05preva_view43[[#This Row],[File Name]]</f>
        <v>#VALUE!</v>
      </c>
      <c r="BJ254" s="104"/>
      <c r="BK254" s="3"/>
      <c r="BL254" s="3"/>
      <c r="CJ254" s="5"/>
      <c r="CK254" s="5"/>
      <c r="CL254" s="3"/>
      <c r="CN254" s="5"/>
      <c r="CR254" s="3"/>
      <c r="CS254" s="3"/>
      <c r="CT254" s="5"/>
      <c r="CV254" s="3"/>
      <c r="DR254" s="5"/>
      <c r="DT254" s="3"/>
      <c r="EF254" s="7"/>
      <c r="EG254" s="7"/>
      <c r="EJ254" s="4"/>
      <c r="EK254" s="4"/>
      <c r="EU254" s="2"/>
      <c r="EV254" s="2"/>
    </row>
    <row r="255" spans="1:152">
      <c r="A255" s="125">
        <v>3390</v>
      </c>
      <c r="B255" s="126" t="s">
        <v>1125</v>
      </c>
      <c r="C255" s="126" t="s">
        <v>331</v>
      </c>
      <c r="D255" s="126" t="s">
        <v>117</v>
      </c>
      <c r="E255" s="126" t="s">
        <v>1126</v>
      </c>
      <c r="F255" s="126" t="s">
        <v>35</v>
      </c>
      <c r="G255" s="126" t="s">
        <v>1583</v>
      </c>
      <c r="H255" s="126" t="s">
        <v>1575</v>
      </c>
      <c r="I255" s="126" t="s">
        <v>1127</v>
      </c>
      <c r="J255" s="126" t="s">
        <v>957</v>
      </c>
      <c r="K255" s="127">
        <v>43404</v>
      </c>
      <c r="L255" s="128"/>
      <c r="M255" s="128">
        <v>2.1</v>
      </c>
      <c r="N255" s="126">
        <v>2.66</v>
      </c>
      <c r="O255" s="126" t="s">
        <v>950</v>
      </c>
      <c r="P255" s="129" t="s">
        <v>958</v>
      </c>
      <c r="Q255" s="129" t="s">
        <v>959</v>
      </c>
      <c r="R255" s="126" t="s">
        <v>24</v>
      </c>
      <c r="S255" s="126"/>
      <c r="T255" s="130" t="s">
        <v>861</v>
      </c>
      <c r="U255" s="126"/>
      <c r="V255" s="130" t="s">
        <v>861</v>
      </c>
      <c r="W255" s="126"/>
      <c r="X255" s="130" t="s">
        <v>120</v>
      </c>
      <c r="Y255" s="126" t="s">
        <v>1128</v>
      </c>
      <c r="Z255" s="165" t="s">
        <v>120</v>
      </c>
      <c r="AA255" s="158"/>
      <c r="AB255" s="158"/>
      <c r="AC255" s="170" t="s">
        <v>123</v>
      </c>
      <c r="AD255" s="126" t="s">
        <v>1129</v>
      </c>
      <c r="AE255" s="130" t="s">
        <v>125</v>
      </c>
      <c r="AF255" s="127"/>
      <c r="AG255" s="131"/>
      <c r="AH255" s="131"/>
      <c r="AI255" s="126" t="s">
        <v>1098</v>
      </c>
      <c r="AJ255" s="130" t="s">
        <v>861</v>
      </c>
      <c r="AK255" s="126"/>
      <c r="AL255" s="126"/>
      <c r="AM255" s="130"/>
      <c r="AN255" s="126"/>
      <c r="AO255" s="132"/>
      <c r="AP255" s="126"/>
      <c r="AQ255" s="126"/>
      <c r="AR255" s="130"/>
      <c r="AS255" s="126"/>
      <c r="AT255" s="127"/>
      <c r="AU255" s="127"/>
      <c r="AV255" s="127"/>
      <c r="AW255" s="127"/>
      <c r="AX255" s="127"/>
      <c r="AY255" s="127"/>
      <c r="AZ255" s="133">
        <v>43404</v>
      </c>
      <c r="BA25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5" s="135">
        <f>COUNTIFS(_05preva_view43[Site ID],_05preva_view43[[#This Row],[Site ID]],_05preva_view43[Prevalidation Status],"Under Prevalidation")</f>
        <v>0</v>
      </c>
      <c r="BC255" s="157" t="e">
        <f ca="1">HYPERLINK(CheckPath(_05preva_view43[[#This Row],[File Path]],_05preva_view43[[#This Row],[File Path]],_05preva_view43[[#This Row],[Folder Path3]]),CheckPath(_05preva_view43[[#This Row],[File Path]],"Open File","No File"))</f>
        <v>#VALUE!</v>
      </c>
      <c r="BD255" s="136" t="str">
        <f>CONCATENATE(_05preva_view43[[#This Row],[Site ID]]," (",_05preva_view43[[#This Row],[tenant id]],") Application",IF(_05preva_view43[[#This Row],[Colo Rev]]&gt;0," Rev "&amp;_05preva_view43[[#This Row],[Colo Rev]],""),".xlsx")</f>
        <v>1-01-14007-007 (SHS00221) Application Rev 4.xlsx</v>
      </c>
      <c r="BE255" s="64" t="e">
        <f t="shared" ca="1" si="5"/>
        <v>#VALUE!</v>
      </c>
      <c r="BF255" s="104" t="e">
        <f ca="1">LEFT(CELL("filename",A240),_05preva_view43[[#This Row],[Find Process &amp; Database]]-1)</f>
        <v>#VALUE!</v>
      </c>
      <c r="BG255" s="104" t="e">
        <f ca="1">_05preva_view43[Folder Path1]&amp;"Process &amp; Database\Documentation\Colo Applications"</f>
        <v>#VALUE!</v>
      </c>
      <c r="BH255" s="104" t="e">
        <f ca="1">_05preva_view43[Folder Path2]&amp;"\Colo App "&amp;_05preva_view43[[#This Row],[Operator]]&amp;"\"</f>
        <v>#VALUE!</v>
      </c>
      <c r="BI255" s="63" t="e">
        <f ca="1">_05preva_view43[[#This Row],[Folder Path3]]&amp;_05preva_view43[[#This Row],[File Name]]</f>
        <v>#VALUE!</v>
      </c>
      <c r="BJ255" s="104"/>
      <c r="BK255" s="3"/>
      <c r="BL255" s="3"/>
      <c r="CJ255" s="5"/>
      <c r="CK255" s="5"/>
      <c r="CL255" s="3"/>
      <c r="CN255" s="5"/>
      <c r="CR255" s="3"/>
      <c r="CS255" s="3"/>
      <c r="CT255" s="5"/>
      <c r="CV255" s="3"/>
      <c r="DR255" s="5"/>
      <c r="DT255" s="3"/>
      <c r="EF255" s="7"/>
      <c r="EG255" s="7"/>
      <c r="EJ255" s="4"/>
      <c r="EK255" s="4"/>
      <c r="EU255" s="2"/>
      <c r="EV255" s="2"/>
    </row>
    <row r="256" spans="1:152">
      <c r="A256" s="125">
        <v>3391</v>
      </c>
      <c r="B256" s="126" t="s">
        <v>1130</v>
      </c>
      <c r="C256" s="126" t="s">
        <v>116</v>
      </c>
      <c r="D256" s="126" t="s">
        <v>163</v>
      </c>
      <c r="E256" s="126" t="s">
        <v>1131</v>
      </c>
      <c r="F256" s="126" t="s">
        <v>35</v>
      </c>
      <c r="G256" s="126" t="s">
        <v>1577</v>
      </c>
      <c r="H256" s="126" t="s">
        <v>1575</v>
      </c>
      <c r="I256" s="126" t="s">
        <v>1120</v>
      </c>
      <c r="J256" s="126" t="s">
        <v>931</v>
      </c>
      <c r="K256" s="127">
        <v>43404</v>
      </c>
      <c r="L256" s="128"/>
      <c r="M256" s="128">
        <v>1.8</v>
      </c>
      <c r="N256" s="126">
        <v>3.66</v>
      </c>
      <c r="O256" s="126" t="s">
        <v>119</v>
      </c>
      <c r="P256" s="129" t="s">
        <v>1132</v>
      </c>
      <c r="Q256" s="129" t="s">
        <v>1133</v>
      </c>
      <c r="R256" s="126" t="s">
        <v>24</v>
      </c>
      <c r="S256" s="126"/>
      <c r="T256" s="130" t="s">
        <v>861</v>
      </c>
      <c r="U256" s="126"/>
      <c r="V256" s="130" t="s">
        <v>861</v>
      </c>
      <c r="W256" s="126"/>
      <c r="X256" s="130" t="s">
        <v>120</v>
      </c>
      <c r="Y256" s="126" t="s">
        <v>1134</v>
      </c>
      <c r="Z256" s="165" t="s">
        <v>120</v>
      </c>
      <c r="AA256" s="158"/>
      <c r="AB256" s="158"/>
      <c r="AC256" s="170" t="s">
        <v>240</v>
      </c>
      <c r="AD256" s="126" t="s">
        <v>1318</v>
      </c>
      <c r="AE256" s="130" t="s">
        <v>120</v>
      </c>
      <c r="AF256" s="127" t="s">
        <v>895</v>
      </c>
      <c r="AG256" s="131"/>
      <c r="AH256" s="131"/>
      <c r="AI256" s="126" t="s">
        <v>1135</v>
      </c>
      <c r="AJ256" s="130" t="s">
        <v>120</v>
      </c>
      <c r="AK256" s="126"/>
      <c r="AL256" s="126"/>
      <c r="AM256" s="130"/>
      <c r="AN256" s="126"/>
      <c r="AO256" s="132"/>
      <c r="AP256" s="126"/>
      <c r="AQ256" s="126"/>
      <c r="AR256" s="130"/>
      <c r="AS256" s="126"/>
      <c r="AT256" s="127">
        <v>43417.622365740703</v>
      </c>
      <c r="AU256" s="127">
        <v>43417.673062731497</v>
      </c>
      <c r="AV256" s="127">
        <v>43434.411177314803</v>
      </c>
      <c r="AW256" s="127">
        <v>43431.631279050896</v>
      </c>
      <c r="AX256" s="127"/>
      <c r="AY256" s="127"/>
      <c r="AZ256" s="133">
        <v>43434.411177314803</v>
      </c>
      <c r="BA256" s="134">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B256" s="135">
        <f>COUNTIFS(_05preva_view43[Site ID],_05preva_view43[[#This Row],[Site ID]],_05preva_view43[Prevalidation Status],"Under Prevalidation")</f>
        <v>0</v>
      </c>
      <c r="BC256" s="157" t="e">
        <f ca="1">HYPERLINK(CheckPath(_05preva_view43[[#This Row],[File Path]],_05preva_view43[[#This Row],[File Path]],_05preva_view43[[#This Row],[Folder Path3]]),CheckPath(_05preva_view43[[#This Row],[File Path]],"Open File","No File"))</f>
        <v>#VALUE!</v>
      </c>
      <c r="BD256" s="136" t="str">
        <f>CONCATENATE(_05preva_view43[[#This Row],[Site ID]]," (",_05preva_view43[[#This Row],[tenant id]],") Application",IF(_05preva_view43[[#This Row],[Colo Rev]]&gt;0," Rev "&amp;_05preva_view43[[#This Row],[Colo Rev]],""),".xlsx")</f>
        <v>AYYN_0086 (YGN00788) Application Rev 1.xlsx</v>
      </c>
      <c r="BE256" s="64" t="e">
        <f t="shared" ca="1" si="5"/>
        <v>#VALUE!</v>
      </c>
      <c r="BF256" s="104" t="e">
        <f ca="1">LEFT(CELL("filename",A241),_05preva_view43[[#This Row],[Find Process &amp; Database]]-1)</f>
        <v>#VALUE!</v>
      </c>
      <c r="BG256" s="104" t="e">
        <f ca="1">_05preva_view43[Folder Path1]&amp;"Process &amp; Database\Documentation\Colo Applications"</f>
        <v>#VALUE!</v>
      </c>
      <c r="BH256" s="104" t="e">
        <f ca="1">_05preva_view43[Folder Path2]&amp;"\Colo App "&amp;_05preva_view43[[#This Row],[Operator]]&amp;"\"</f>
        <v>#VALUE!</v>
      </c>
      <c r="BI256" s="63" t="e">
        <f ca="1">_05preva_view43[[#This Row],[Folder Path3]]&amp;_05preva_view43[[#This Row],[File Name]]</f>
        <v>#VALUE!</v>
      </c>
      <c r="BJ256" s="104"/>
      <c r="BK256" s="3"/>
      <c r="BL256" s="3"/>
      <c r="CJ256" s="5"/>
      <c r="CK256" s="5"/>
      <c r="CL256" s="3"/>
      <c r="CN256" s="5"/>
      <c r="CR256" s="3"/>
      <c r="CS256" s="3"/>
      <c r="CT256" s="5"/>
      <c r="CV256" s="3"/>
      <c r="DR256" s="5"/>
      <c r="DT256" s="3"/>
      <c r="EF256" s="7"/>
      <c r="EG256" s="7"/>
      <c r="EJ256" s="4"/>
      <c r="EK256" s="4"/>
      <c r="EU256" s="2"/>
      <c r="EV256" s="2"/>
    </row>
    <row r="257" spans="1:152">
      <c r="A257" s="125">
        <v>3382</v>
      </c>
      <c r="B257" s="126" t="s">
        <v>1089</v>
      </c>
      <c r="C257" s="126" t="s">
        <v>116</v>
      </c>
      <c r="D257" s="126" t="s">
        <v>127</v>
      </c>
      <c r="E257" s="126" t="s">
        <v>1090</v>
      </c>
      <c r="F257" s="126" t="s">
        <v>35</v>
      </c>
      <c r="G257" s="126" t="s">
        <v>1577</v>
      </c>
      <c r="H257" s="126" t="s">
        <v>1575</v>
      </c>
      <c r="I257" s="126" t="s">
        <v>1077</v>
      </c>
      <c r="J257" s="126" t="s">
        <v>1091</v>
      </c>
      <c r="K257" s="127">
        <v>43403</v>
      </c>
      <c r="L257" s="128"/>
      <c r="M257" s="128">
        <v>1.8580000000000001</v>
      </c>
      <c r="N257" s="126">
        <v>6.774</v>
      </c>
      <c r="O257" s="126" t="s">
        <v>119</v>
      </c>
      <c r="P257" s="129" t="s">
        <v>916</v>
      </c>
      <c r="Q257" s="129" t="s">
        <v>932</v>
      </c>
      <c r="R257" s="126" t="s">
        <v>24</v>
      </c>
      <c r="S257" s="126"/>
      <c r="T257" s="130" t="s">
        <v>861</v>
      </c>
      <c r="U257" s="126"/>
      <c r="V257" s="130" t="s">
        <v>861</v>
      </c>
      <c r="W257" s="126"/>
      <c r="X257" s="130" t="s">
        <v>120</v>
      </c>
      <c r="Y257" s="126" t="s">
        <v>1092</v>
      </c>
      <c r="Z257" s="165" t="s">
        <v>120</v>
      </c>
      <c r="AA257" s="158"/>
      <c r="AB257" s="158"/>
      <c r="AC257" s="170" t="s">
        <v>123</v>
      </c>
      <c r="AD257" s="126" t="s">
        <v>1093</v>
      </c>
      <c r="AE257" s="130" t="s">
        <v>125</v>
      </c>
      <c r="AF257" s="127"/>
      <c r="AG257" s="131"/>
      <c r="AH257" s="131">
        <v>1</v>
      </c>
      <c r="AI257" s="126" t="s">
        <v>1094</v>
      </c>
      <c r="AJ257" s="130"/>
      <c r="AK257" s="126"/>
      <c r="AL257" s="126"/>
      <c r="AM257" s="130"/>
      <c r="AN257" s="126"/>
      <c r="AO257" s="132"/>
      <c r="AP257" s="126"/>
      <c r="AQ257" s="126"/>
      <c r="AR257" s="130"/>
      <c r="AS257" s="126"/>
      <c r="AT257" s="127"/>
      <c r="AU257" s="127"/>
      <c r="AV257" s="127"/>
      <c r="AW257" s="127"/>
      <c r="AX257" s="127"/>
      <c r="AY257" s="127"/>
      <c r="AZ257" s="133">
        <v>43403</v>
      </c>
      <c r="BA25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7" s="135">
        <f>COUNTIFS(_05preva_view43[Site ID],_05preva_view43[[#This Row],[Site ID]],_05preva_view43[Prevalidation Status],"Under Prevalidation")</f>
        <v>0</v>
      </c>
      <c r="BC257" s="157" t="e">
        <f ca="1">HYPERLINK(CheckPath(_05preva_view43[[#This Row],[File Path]],_05preva_view43[[#This Row],[File Path]],_05preva_view43[[#This Row],[Folder Path3]]),CheckPath(_05preva_view43[[#This Row],[File Path]],"Open File","No File"))</f>
        <v>#VALUE!</v>
      </c>
      <c r="BD257" s="136" t="str">
        <f>CONCATENATE(_05preva_view43[[#This Row],[Site ID]]," (",_05preva_view43[[#This Row],[tenant id]],") Application",IF(_05preva_view43[[#This Row],[Colo Rev]]&gt;0," Rev "&amp;_05preva_view43[[#This Row],[Colo Rev]],""),".xlsx")</f>
        <v>ANSG_0454 (SGG00785) Application Rev .xlsx</v>
      </c>
      <c r="BE257" s="64" t="e">
        <f t="shared" ca="1" si="5"/>
        <v>#VALUE!</v>
      </c>
      <c r="BF257" s="104" t="e">
        <f ca="1">LEFT(CELL("filename",A242),_05preva_view43[[#This Row],[Find Process &amp; Database]]-1)</f>
        <v>#VALUE!</v>
      </c>
      <c r="BG257" s="104" t="e">
        <f ca="1">_05preva_view43[Folder Path1]&amp;"Process &amp; Database\Documentation\Colo Applications"</f>
        <v>#VALUE!</v>
      </c>
      <c r="BH257" s="104" t="e">
        <f ca="1">_05preva_view43[Folder Path2]&amp;"\Colo App "&amp;_05preva_view43[[#This Row],[Operator]]&amp;"\"</f>
        <v>#VALUE!</v>
      </c>
      <c r="BI257" s="63" t="e">
        <f ca="1">_05preva_view43[[#This Row],[Folder Path3]]&amp;_05preva_view43[[#This Row],[File Name]]</f>
        <v>#VALUE!</v>
      </c>
      <c r="BJ257" s="104"/>
      <c r="BK257" s="3"/>
      <c r="BL257" s="3"/>
      <c r="CJ257" s="5"/>
      <c r="CK257" s="5"/>
      <c r="CL257" s="3"/>
      <c r="CN257" s="5"/>
      <c r="CR257" s="3"/>
      <c r="CS257" s="3"/>
      <c r="CT257" s="5"/>
      <c r="CV257" s="3"/>
      <c r="DR257" s="5"/>
      <c r="DT257" s="3"/>
      <c r="EF257" s="7"/>
      <c r="EG257" s="7"/>
      <c r="EJ257" s="4"/>
      <c r="EK257" s="4"/>
      <c r="EU257" s="2"/>
      <c r="EV257" s="2"/>
    </row>
    <row r="258" spans="1:152">
      <c r="A258" s="125">
        <v>3383</v>
      </c>
      <c r="B258" s="126" t="s">
        <v>1095</v>
      </c>
      <c r="C258" s="126" t="s">
        <v>331</v>
      </c>
      <c r="D258" s="126" t="s">
        <v>163</v>
      </c>
      <c r="E258" s="126" t="s">
        <v>1096</v>
      </c>
      <c r="F258" s="126" t="s">
        <v>35</v>
      </c>
      <c r="G258" s="126" t="s">
        <v>1583</v>
      </c>
      <c r="H258" s="126" t="s">
        <v>1580</v>
      </c>
      <c r="I258" s="126" t="s">
        <v>1077</v>
      </c>
      <c r="J258" s="126" t="s">
        <v>949</v>
      </c>
      <c r="K258" s="127">
        <v>43403</v>
      </c>
      <c r="L258" s="128"/>
      <c r="M258" s="128">
        <v>2.1</v>
      </c>
      <c r="N258" s="126">
        <v>2.08</v>
      </c>
      <c r="O258" s="126" t="s">
        <v>950</v>
      </c>
      <c r="P258" s="129" t="s">
        <v>968</v>
      </c>
      <c r="Q258" s="129" t="s">
        <v>969</v>
      </c>
      <c r="R258" s="126" t="s">
        <v>24</v>
      </c>
      <c r="S258" s="126"/>
      <c r="T258" s="130" t="s">
        <v>861</v>
      </c>
      <c r="U258" s="126"/>
      <c r="V258" s="130" t="s">
        <v>861</v>
      </c>
      <c r="W258" s="126"/>
      <c r="X258" s="130" t="s">
        <v>120</v>
      </c>
      <c r="Y258" s="126" t="s">
        <v>1097</v>
      </c>
      <c r="Z258" s="165" t="s">
        <v>861</v>
      </c>
      <c r="AA258" s="158"/>
      <c r="AB258" s="158"/>
      <c r="AC258" s="170"/>
      <c r="AD258" s="126"/>
      <c r="AE258" s="130" t="s">
        <v>125</v>
      </c>
      <c r="AF258" s="127"/>
      <c r="AG258" s="131"/>
      <c r="AH258" s="131"/>
      <c r="AI258" s="126" t="s">
        <v>1098</v>
      </c>
      <c r="AJ258" s="130" t="s">
        <v>861</v>
      </c>
      <c r="AK258" s="126"/>
      <c r="AL258" s="126"/>
      <c r="AM258" s="130"/>
      <c r="AN258" s="126"/>
      <c r="AO258" s="132"/>
      <c r="AP258" s="126"/>
      <c r="AQ258" s="126"/>
      <c r="AR258" s="130"/>
      <c r="AS258" s="126"/>
      <c r="AT258" s="127"/>
      <c r="AU258" s="127"/>
      <c r="AV258" s="127"/>
      <c r="AW258" s="127"/>
      <c r="AX258" s="127"/>
      <c r="AY258" s="127"/>
      <c r="AZ258" s="133">
        <v>43403</v>
      </c>
      <c r="BA25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8" s="135">
        <f>COUNTIFS(_05preva_view43[Site ID],_05preva_view43[[#This Row],[Site ID]],_05preva_view43[Prevalidation Status],"Under Prevalidation")</f>
        <v>0</v>
      </c>
      <c r="BC258" s="157" t="e">
        <f ca="1">HYPERLINK(CheckPath(_05preva_view43[[#This Row],[File Path]],_05preva_view43[[#This Row],[File Path]],_05preva_view43[[#This Row],[Folder Path3]]),CheckPath(_05preva_view43[[#This Row],[File Path]],"Open File","No File"))</f>
        <v>#VALUE!</v>
      </c>
      <c r="BD258" s="136" t="str">
        <f>CONCATENATE(_05preva_view43[[#This Row],[Site ID]]," (",_05preva_view43[[#This Row],[tenant id]],") Application",IF(_05preva_view43[[#This Row],[Colo Rev]]&gt;0," Rev "&amp;_05preva_view43[[#This Row],[Colo Rev]],""),".xlsx")</f>
        <v>1-01-13004-003 (YGN02146) Application Rev 2.xlsx</v>
      </c>
      <c r="BE258" s="64" t="e">
        <f t="shared" ca="1" si="5"/>
        <v>#VALUE!</v>
      </c>
      <c r="BF258" s="104" t="e">
        <f ca="1">LEFT(CELL("filename",A243),_05preva_view43[[#This Row],[Find Process &amp; Database]]-1)</f>
        <v>#VALUE!</v>
      </c>
      <c r="BG258" s="104" t="e">
        <f ca="1">_05preva_view43[Folder Path1]&amp;"Process &amp; Database\Documentation\Colo Applications"</f>
        <v>#VALUE!</v>
      </c>
      <c r="BH258" s="104" t="e">
        <f ca="1">_05preva_view43[Folder Path2]&amp;"\Colo App "&amp;_05preva_view43[[#This Row],[Operator]]&amp;"\"</f>
        <v>#VALUE!</v>
      </c>
      <c r="BI258" s="63" t="e">
        <f ca="1">_05preva_view43[[#This Row],[Folder Path3]]&amp;_05preva_view43[[#This Row],[File Name]]</f>
        <v>#VALUE!</v>
      </c>
      <c r="BJ258" s="104"/>
      <c r="BK258" s="3"/>
      <c r="BL258" s="3"/>
      <c r="CJ258" s="5"/>
      <c r="CK258" s="5"/>
      <c r="CL258" s="3"/>
      <c r="CN258" s="5"/>
      <c r="CR258" s="3"/>
      <c r="CS258" s="3"/>
      <c r="CT258" s="5"/>
      <c r="CV258" s="3"/>
      <c r="DR258" s="5"/>
      <c r="DT258" s="3"/>
      <c r="EF258" s="7"/>
      <c r="EG258" s="7"/>
      <c r="EJ258" s="4"/>
      <c r="EK258" s="4"/>
      <c r="EU258" s="2"/>
      <c r="EV258" s="2"/>
    </row>
    <row r="259" spans="1:152">
      <c r="A259" s="125">
        <v>3384</v>
      </c>
      <c r="B259" s="126" t="s">
        <v>1099</v>
      </c>
      <c r="C259" s="126" t="s">
        <v>116</v>
      </c>
      <c r="D259" s="126" t="s">
        <v>163</v>
      </c>
      <c r="E259" s="126" t="s">
        <v>1100</v>
      </c>
      <c r="F259" s="126" t="s">
        <v>35</v>
      </c>
      <c r="G259" s="126" t="s">
        <v>1577</v>
      </c>
      <c r="H259" s="126" t="s">
        <v>1575</v>
      </c>
      <c r="I259" s="126" t="s">
        <v>1061</v>
      </c>
      <c r="J259" s="126" t="s">
        <v>1091</v>
      </c>
      <c r="K259" s="127">
        <v>43403</v>
      </c>
      <c r="L259" s="128"/>
      <c r="M259" s="128">
        <v>1.8</v>
      </c>
      <c r="N259" s="126">
        <v>4.0350000000000001</v>
      </c>
      <c r="O259" s="126" t="s">
        <v>119</v>
      </c>
      <c r="P259" s="129" t="s">
        <v>276</v>
      </c>
      <c r="Q259" s="129" t="s">
        <v>277</v>
      </c>
      <c r="R259" s="126" t="s">
        <v>24</v>
      </c>
      <c r="S259" s="126"/>
      <c r="T259" s="130" t="s">
        <v>861</v>
      </c>
      <c r="U259" s="126"/>
      <c r="V259" s="130" t="s">
        <v>861</v>
      </c>
      <c r="W259" s="126"/>
      <c r="X259" s="130" t="s">
        <v>120</v>
      </c>
      <c r="Y259" s="126" t="s">
        <v>1101</v>
      </c>
      <c r="Z259" s="165" t="s">
        <v>120</v>
      </c>
      <c r="AA259" s="158"/>
      <c r="AB259" s="158"/>
      <c r="AC259" s="170" t="s">
        <v>123</v>
      </c>
      <c r="AD259" s="126" t="s">
        <v>1102</v>
      </c>
      <c r="AE259" s="130" t="s">
        <v>120</v>
      </c>
      <c r="AF259" s="127"/>
      <c r="AG259" s="131"/>
      <c r="AH259" s="131"/>
      <c r="AI259" s="126" t="s">
        <v>1103</v>
      </c>
      <c r="AJ259" s="130"/>
      <c r="AK259" s="126"/>
      <c r="AL259" s="126"/>
      <c r="AM259" s="130"/>
      <c r="AN259" s="126"/>
      <c r="AO259" s="132"/>
      <c r="AP259" s="126"/>
      <c r="AQ259" s="126"/>
      <c r="AR259" s="130"/>
      <c r="AS259" s="126"/>
      <c r="AT259" s="127"/>
      <c r="AU259" s="127">
        <v>43453.3791269676</v>
      </c>
      <c r="AV259" s="127"/>
      <c r="AW259" s="127"/>
      <c r="AX259" s="127"/>
      <c r="AY259" s="127"/>
      <c r="AZ259" s="133">
        <v>43403</v>
      </c>
      <c r="BA25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59" s="135">
        <f>COUNTIFS(_05preva_view43[Site ID],_05preva_view43[[#This Row],[Site ID]],_05preva_view43[Prevalidation Status],"Under Prevalidation")</f>
        <v>0</v>
      </c>
      <c r="BC259" s="157" t="e">
        <f ca="1">HYPERLINK(CheckPath(_05preva_view43[[#This Row],[File Path]],_05preva_view43[[#This Row],[File Path]],_05preva_view43[[#This Row],[Folder Path3]]),CheckPath(_05preva_view43[[#This Row],[File Path]],"Open File","No File"))</f>
        <v>#VALUE!</v>
      </c>
      <c r="BD259" s="136" t="str">
        <f>CONCATENATE(_05preva_view43[[#This Row],[Site ID]]," (",_05preva_view43[[#This Row],[tenant id]],") Application",IF(_05preva_view43[[#This Row],[Colo Rev]]&gt;0," Rev "&amp;_05preva_view43[[#This Row],[Colo Rev]],""),".xlsx")</f>
        <v>ACBA_0053 (YGN00594) Application Rev .xlsx</v>
      </c>
      <c r="BE259" s="64" t="e">
        <f t="shared" ca="1" si="5"/>
        <v>#VALUE!</v>
      </c>
      <c r="BF259" s="104" t="e">
        <f ca="1">LEFT(CELL("filename",A244),_05preva_view43[[#This Row],[Find Process &amp; Database]]-1)</f>
        <v>#VALUE!</v>
      </c>
      <c r="BG259" s="104" t="e">
        <f ca="1">_05preva_view43[Folder Path1]&amp;"Process &amp; Database\Documentation\Colo Applications"</f>
        <v>#VALUE!</v>
      </c>
      <c r="BH259" s="104" t="e">
        <f ca="1">_05preva_view43[Folder Path2]&amp;"\Colo App "&amp;_05preva_view43[[#This Row],[Operator]]&amp;"\"</f>
        <v>#VALUE!</v>
      </c>
      <c r="BI259" s="63" t="e">
        <f ca="1">_05preva_view43[[#This Row],[Folder Path3]]&amp;_05preva_view43[[#This Row],[File Name]]</f>
        <v>#VALUE!</v>
      </c>
      <c r="BJ259" s="104"/>
      <c r="BK259" s="3"/>
      <c r="BL259" s="3"/>
      <c r="CJ259" s="5"/>
      <c r="CK259" s="5"/>
      <c r="CL259" s="3"/>
      <c r="CN259" s="5"/>
      <c r="CR259" s="3"/>
      <c r="CS259" s="3"/>
      <c r="CT259" s="5"/>
      <c r="CV259" s="3"/>
      <c r="DR259" s="5"/>
      <c r="DT259" s="3"/>
      <c r="EF259" s="7"/>
      <c r="EG259" s="7"/>
      <c r="EJ259" s="4"/>
      <c r="EK259" s="4"/>
      <c r="EU259" s="2"/>
      <c r="EV259" s="2"/>
    </row>
    <row r="260" spans="1:152">
      <c r="A260" s="125">
        <v>3386</v>
      </c>
      <c r="B260" s="126" t="s">
        <v>1104</v>
      </c>
      <c r="C260" s="126" t="s">
        <v>116</v>
      </c>
      <c r="D260" s="126" t="s">
        <v>127</v>
      </c>
      <c r="E260" s="126" t="s">
        <v>1105</v>
      </c>
      <c r="F260" s="126" t="s">
        <v>35</v>
      </c>
      <c r="G260" s="126" t="s">
        <v>1577</v>
      </c>
      <c r="H260" s="126" t="s">
        <v>1575</v>
      </c>
      <c r="I260" s="126" t="s">
        <v>1053</v>
      </c>
      <c r="J260" s="126" t="s">
        <v>1091</v>
      </c>
      <c r="K260" s="127">
        <v>43403</v>
      </c>
      <c r="L260" s="128"/>
      <c r="M260" s="128">
        <v>3.7669999999999999</v>
      </c>
      <c r="N260" s="126">
        <v>7.3760000000000003</v>
      </c>
      <c r="O260" s="126" t="s">
        <v>119</v>
      </c>
      <c r="P260" s="129" t="s">
        <v>916</v>
      </c>
      <c r="Q260" s="129" t="s">
        <v>932</v>
      </c>
      <c r="R260" s="126" t="s">
        <v>24</v>
      </c>
      <c r="S260" s="126"/>
      <c r="T260" s="130" t="s">
        <v>861</v>
      </c>
      <c r="U260" s="126"/>
      <c r="V260" s="130" t="s">
        <v>125</v>
      </c>
      <c r="W260" s="126" t="s">
        <v>1317</v>
      </c>
      <c r="X260" s="130" t="s">
        <v>120</v>
      </c>
      <c r="Y260" s="126" t="s">
        <v>1106</v>
      </c>
      <c r="Z260" s="165" t="s">
        <v>120</v>
      </c>
      <c r="AA260" s="158"/>
      <c r="AB260" s="158"/>
      <c r="AC260" s="170" t="s">
        <v>123</v>
      </c>
      <c r="AD260" s="126" t="s">
        <v>1107</v>
      </c>
      <c r="AE260" s="130" t="s">
        <v>120</v>
      </c>
      <c r="AF260" s="127" t="s">
        <v>1740</v>
      </c>
      <c r="AG260" s="131"/>
      <c r="AH260" s="131">
        <v>2</v>
      </c>
      <c r="AI260" s="126" t="s">
        <v>1108</v>
      </c>
      <c r="AJ260" s="130" t="s">
        <v>120</v>
      </c>
      <c r="AK260" s="126"/>
      <c r="AL260" s="126"/>
      <c r="AM260" s="130"/>
      <c r="AN260" s="126"/>
      <c r="AO260" s="132"/>
      <c r="AP260" s="126"/>
      <c r="AQ260" s="126"/>
      <c r="AR260" s="130"/>
      <c r="AS260" s="126"/>
      <c r="AT260" s="127">
        <v>43417.622362962997</v>
      </c>
      <c r="AU260" s="127">
        <v>43451.370448148104</v>
      </c>
      <c r="AV260" s="127">
        <v>43417.6800903935</v>
      </c>
      <c r="AW260" s="127">
        <v>43431.631276157401</v>
      </c>
      <c r="AX260" s="127"/>
      <c r="AY260" s="127"/>
      <c r="AZ260" s="133">
        <v>43452.7045149306</v>
      </c>
      <c r="BA260" s="134">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B260" s="135">
        <f>COUNTIFS(_05preva_view43[Site ID],_05preva_view43[[#This Row],[Site ID]],_05preva_view43[Prevalidation Status],"Under Prevalidation")</f>
        <v>0</v>
      </c>
      <c r="BC260" s="157" t="e">
        <f ca="1">HYPERLINK(CheckPath(_05preva_view43[[#This Row],[File Path]],_05preva_view43[[#This Row],[File Path]],_05preva_view43[[#This Row],[Folder Path3]]),CheckPath(_05preva_view43[[#This Row],[File Path]],"Open File","No File"))</f>
        <v>#VALUE!</v>
      </c>
      <c r="BD260" s="136" t="str">
        <f>CONCATENATE(_05preva_view43[[#This Row],[Site ID]]," (",_05preva_view43[[#This Row],[tenant id]],") Application",IF(_05preva_view43[[#This Row],[Colo Rev]]&gt;0," Rev "&amp;_05preva_view43[[#This Row],[Colo Rev]],""),".xlsx")</f>
        <v>ANSG_0463 (SGG00730) Application Rev .xlsx</v>
      </c>
      <c r="BE260" s="64" t="e">
        <f t="shared" ca="1" si="5"/>
        <v>#VALUE!</v>
      </c>
      <c r="BF260" s="104" t="e">
        <f ca="1">LEFT(CELL("filename",A245),_05preva_view43[[#This Row],[Find Process &amp; Database]]-1)</f>
        <v>#VALUE!</v>
      </c>
      <c r="BG260" s="104" t="e">
        <f ca="1">_05preva_view43[Folder Path1]&amp;"Process &amp; Database\Documentation\Colo Applications"</f>
        <v>#VALUE!</v>
      </c>
      <c r="BH260" s="104" t="e">
        <f ca="1">_05preva_view43[Folder Path2]&amp;"\Colo App "&amp;_05preva_view43[[#This Row],[Operator]]&amp;"\"</f>
        <v>#VALUE!</v>
      </c>
      <c r="BI260" s="63" t="e">
        <f ca="1">_05preva_view43[[#This Row],[Folder Path3]]&amp;_05preva_view43[[#This Row],[File Name]]</f>
        <v>#VALUE!</v>
      </c>
      <c r="BJ260" s="104"/>
      <c r="BK260" s="3"/>
      <c r="BL260" s="3"/>
      <c r="CJ260" s="5"/>
      <c r="CK260" s="5"/>
      <c r="CL260" s="3"/>
      <c r="CN260" s="5"/>
      <c r="CR260" s="3"/>
      <c r="CS260" s="3"/>
      <c r="CT260" s="5"/>
      <c r="CV260" s="3"/>
      <c r="DR260" s="5"/>
      <c r="DT260" s="3"/>
      <c r="EF260" s="7"/>
      <c r="EG260" s="7"/>
      <c r="EJ260" s="4"/>
      <c r="EK260" s="4"/>
      <c r="EU260" s="2"/>
      <c r="EV260" s="2"/>
    </row>
    <row r="261" spans="1:152">
      <c r="A261" s="125">
        <v>3387</v>
      </c>
      <c r="B261" s="126" t="s">
        <v>1109</v>
      </c>
      <c r="C261" s="126" t="s">
        <v>116</v>
      </c>
      <c r="D261" s="126" t="s">
        <v>127</v>
      </c>
      <c r="E261" s="126" t="s">
        <v>1110</v>
      </c>
      <c r="F261" s="126" t="s">
        <v>35</v>
      </c>
      <c r="G261" s="126" t="s">
        <v>1577</v>
      </c>
      <c r="H261" s="126" t="s">
        <v>1575</v>
      </c>
      <c r="I261" s="126" t="s">
        <v>1053</v>
      </c>
      <c r="J261" s="126" t="s">
        <v>1091</v>
      </c>
      <c r="K261" s="127">
        <v>43403</v>
      </c>
      <c r="L261" s="128"/>
      <c r="M261" s="128">
        <v>3.9470000000000001</v>
      </c>
      <c r="N261" s="126">
        <v>8.8360000000000003</v>
      </c>
      <c r="O261" s="126" t="s">
        <v>119</v>
      </c>
      <c r="P261" s="129" t="s">
        <v>916</v>
      </c>
      <c r="Q261" s="129" t="s">
        <v>932</v>
      </c>
      <c r="R261" s="126" t="s">
        <v>24</v>
      </c>
      <c r="S261" s="126"/>
      <c r="T261" s="130" t="s">
        <v>861</v>
      </c>
      <c r="U261" s="126"/>
      <c r="V261" s="130" t="s">
        <v>120</v>
      </c>
      <c r="W261" s="126"/>
      <c r="X261" s="130" t="s">
        <v>120</v>
      </c>
      <c r="Y261" s="126" t="s">
        <v>1111</v>
      </c>
      <c r="Z261" s="165" t="s">
        <v>120</v>
      </c>
      <c r="AA261" s="158"/>
      <c r="AB261" s="158"/>
      <c r="AC261" s="170" t="s">
        <v>123</v>
      </c>
      <c r="AD261" s="126" t="s">
        <v>1112</v>
      </c>
      <c r="AE261" s="130" t="s">
        <v>120</v>
      </c>
      <c r="AF261" s="127" t="s">
        <v>1765</v>
      </c>
      <c r="AG261" s="131"/>
      <c r="AH261" s="131">
        <v>1</v>
      </c>
      <c r="AI261" s="126" t="s">
        <v>1113</v>
      </c>
      <c r="AJ261" s="130" t="s">
        <v>120</v>
      </c>
      <c r="AK261" s="126"/>
      <c r="AL261" s="126"/>
      <c r="AM261" s="130"/>
      <c r="AN261" s="126"/>
      <c r="AO261" s="132"/>
      <c r="AP261" s="126"/>
      <c r="AQ261" s="126"/>
      <c r="AR261" s="130"/>
      <c r="AS261" s="126"/>
      <c r="AT261" s="127">
        <v>43417.622364004601</v>
      </c>
      <c r="AU261" s="127">
        <v>43451.370448958303</v>
      </c>
      <c r="AV261" s="127">
        <v>43417.680090972201</v>
      </c>
      <c r="AW261" s="127">
        <v>43431.631277662003</v>
      </c>
      <c r="AX261" s="127"/>
      <c r="AY261" s="127">
        <v>43417.684614814803</v>
      </c>
      <c r="AZ261" s="133">
        <v>43451.389656018502</v>
      </c>
      <c r="BA261" s="134">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B261" s="135">
        <f>COUNTIFS(_05preva_view43[Site ID],_05preva_view43[[#This Row],[Site ID]],_05preva_view43[Prevalidation Status],"Under Prevalidation")</f>
        <v>0</v>
      </c>
      <c r="BC261" s="157" t="e">
        <f ca="1">HYPERLINK(CheckPath(_05preva_view43[[#This Row],[File Path]],_05preva_view43[[#This Row],[File Path]],_05preva_view43[[#This Row],[Folder Path3]]),CheckPath(_05preva_view43[[#This Row],[File Path]],"Open File","No File"))</f>
        <v>#VALUE!</v>
      </c>
      <c r="BD261" s="136" t="str">
        <f>CONCATENATE(_05preva_view43[[#This Row],[Site ID]]," (",_05preva_view43[[#This Row],[tenant id]],") Application",IF(_05preva_view43[[#This Row],[Colo Rev]]&gt;0," Rev "&amp;_05preva_view43[[#This Row],[Colo Rev]],""),".xlsx")</f>
        <v>ANSG_0485 (SGG00698) Application Rev .xlsx</v>
      </c>
      <c r="BE261" s="64" t="e">
        <f t="shared" ca="1" si="5"/>
        <v>#VALUE!</v>
      </c>
      <c r="BF261" s="104" t="e">
        <f ca="1">LEFT(CELL("filename",A246),_05preva_view43[[#This Row],[Find Process &amp; Database]]-1)</f>
        <v>#VALUE!</v>
      </c>
      <c r="BG261" s="104" t="e">
        <f ca="1">_05preva_view43[Folder Path1]&amp;"Process &amp; Database\Documentation\Colo Applications"</f>
        <v>#VALUE!</v>
      </c>
      <c r="BH261" s="104" t="e">
        <f ca="1">_05preva_view43[Folder Path2]&amp;"\Colo App "&amp;_05preva_view43[[#This Row],[Operator]]&amp;"\"</f>
        <v>#VALUE!</v>
      </c>
      <c r="BI261" s="63" t="e">
        <f ca="1">_05preva_view43[[#This Row],[Folder Path3]]&amp;_05preva_view43[[#This Row],[File Name]]</f>
        <v>#VALUE!</v>
      </c>
      <c r="BJ261" s="104"/>
      <c r="BK261" s="3"/>
      <c r="BL261" s="3"/>
      <c r="CJ261" s="5"/>
      <c r="CK261" s="5"/>
      <c r="CL261" s="3"/>
      <c r="CN261" s="5"/>
      <c r="CR261" s="3"/>
      <c r="CS261" s="3"/>
      <c r="CT261" s="5"/>
      <c r="CV261" s="3"/>
      <c r="DR261" s="5"/>
      <c r="DT261" s="3"/>
      <c r="EF261" s="7"/>
      <c r="EG261" s="7"/>
      <c r="EJ261" s="4"/>
      <c r="EK261" s="4"/>
      <c r="EU261" s="2"/>
      <c r="EV261" s="2"/>
    </row>
    <row r="262" spans="1:152">
      <c r="A262" s="125">
        <v>3388</v>
      </c>
      <c r="B262" s="126" t="s">
        <v>928</v>
      </c>
      <c r="C262" s="126" t="s">
        <v>116</v>
      </c>
      <c r="D262" s="126" t="s">
        <v>127</v>
      </c>
      <c r="E262" s="126" t="s">
        <v>929</v>
      </c>
      <c r="F262" s="126" t="s">
        <v>35</v>
      </c>
      <c r="G262" s="126" t="s">
        <v>1577</v>
      </c>
      <c r="H262" s="126" t="s">
        <v>1575</v>
      </c>
      <c r="I262" s="126" t="s">
        <v>1061</v>
      </c>
      <c r="J262" s="126" t="s">
        <v>1091</v>
      </c>
      <c r="K262" s="127">
        <v>43403</v>
      </c>
      <c r="L262" s="128"/>
      <c r="M262" s="128">
        <v>1.653</v>
      </c>
      <c r="N262" s="126">
        <v>7.9</v>
      </c>
      <c r="O262" s="126" t="s">
        <v>119</v>
      </c>
      <c r="P262" s="129" t="s">
        <v>916</v>
      </c>
      <c r="Q262" s="129" t="s">
        <v>932</v>
      </c>
      <c r="R262" s="126" t="s">
        <v>24</v>
      </c>
      <c r="S262" s="126"/>
      <c r="T262" s="130" t="s">
        <v>861</v>
      </c>
      <c r="U262" s="126"/>
      <c r="V262" s="130" t="s">
        <v>861</v>
      </c>
      <c r="W262" s="126"/>
      <c r="X262" s="130" t="s">
        <v>120</v>
      </c>
      <c r="Y262" s="126" t="s">
        <v>1114</v>
      </c>
      <c r="Z262" s="165" t="s">
        <v>120</v>
      </c>
      <c r="AA262" s="158"/>
      <c r="AB262" s="158"/>
      <c r="AC262" s="170" t="s">
        <v>123</v>
      </c>
      <c r="AD262" s="126" t="s">
        <v>1115</v>
      </c>
      <c r="AE262" s="130" t="s">
        <v>120</v>
      </c>
      <c r="AF262" s="127" t="s">
        <v>1116</v>
      </c>
      <c r="AG262" s="131"/>
      <c r="AH262" s="131"/>
      <c r="AI262" s="126" t="s">
        <v>1117</v>
      </c>
      <c r="AJ262" s="130"/>
      <c r="AK262" s="126"/>
      <c r="AL262" s="126"/>
      <c r="AM262" s="130"/>
      <c r="AN262" s="126"/>
      <c r="AO262" s="132"/>
      <c r="AP262" s="126"/>
      <c r="AQ262" s="126"/>
      <c r="AR262" s="130"/>
      <c r="AS262" s="126"/>
      <c r="AT262" s="127"/>
      <c r="AU262" s="127">
        <v>43453.379129629597</v>
      </c>
      <c r="AV262" s="127"/>
      <c r="AW262" s="127"/>
      <c r="AX262" s="127"/>
      <c r="AY262" s="127"/>
      <c r="AZ262" s="133">
        <v>43403</v>
      </c>
      <c r="BA26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2" s="135">
        <f>COUNTIFS(_05preva_view43[Site ID],_05preva_view43[[#This Row],[Site ID]],_05preva_view43[Prevalidation Status],"Under Prevalidation")</f>
        <v>0</v>
      </c>
      <c r="BC262" s="157" t="e">
        <f ca="1">HYPERLINK(CheckPath(_05preva_view43[[#This Row],[File Path]],_05preva_view43[[#This Row],[File Path]],_05preva_view43[[#This Row],[Folder Path3]]),CheckPath(_05preva_view43[[#This Row],[File Path]],"Open File","No File"))</f>
        <v>#VALUE!</v>
      </c>
      <c r="BD262" s="136" t="str">
        <f>CONCATENATE(_05preva_view43[[#This Row],[Site ID]]," (",_05preva_view43[[#This Row],[tenant id]],") Application",IF(_05preva_view43[[#This Row],[Colo Rev]]&gt;0," Rev "&amp;_05preva_view43[[#This Row],[Colo Rev]],""),".xlsx")</f>
        <v>ANSG_0483 (SGG00406) Application Rev .xlsx</v>
      </c>
      <c r="BE262" s="64" t="e">
        <f t="shared" ca="1" si="5"/>
        <v>#VALUE!</v>
      </c>
      <c r="BF262" s="104" t="e">
        <f ca="1">LEFT(CELL("filename",A247),_05preva_view43[[#This Row],[Find Process &amp; Database]]-1)</f>
        <v>#VALUE!</v>
      </c>
      <c r="BG262" s="104" t="e">
        <f ca="1">_05preva_view43[Folder Path1]&amp;"Process &amp; Database\Documentation\Colo Applications"</f>
        <v>#VALUE!</v>
      </c>
      <c r="BH262" s="104" t="e">
        <f ca="1">_05preva_view43[Folder Path2]&amp;"\Colo App "&amp;_05preva_view43[[#This Row],[Operator]]&amp;"\"</f>
        <v>#VALUE!</v>
      </c>
      <c r="BI262" s="63" t="e">
        <f ca="1">_05preva_view43[[#This Row],[Folder Path3]]&amp;_05preva_view43[[#This Row],[File Name]]</f>
        <v>#VALUE!</v>
      </c>
      <c r="BJ262" s="104"/>
      <c r="BK262" s="3"/>
      <c r="BL262" s="3"/>
      <c r="CJ262" s="5"/>
      <c r="CK262" s="5"/>
      <c r="CL262" s="3"/>
      <c r="CN262" s="5"/>
      <c r="CR262" s="3"/>
      <c r="CS262" s="3"/>
      <c r="CT262" s="5"/>
      <c r="CV262" s="3"/>
      <c r="DR262" s="5"/>
      <c r="DT262" s="3"/>
      <c r="EF262" s="7"/>
      <c r="EG262" s="7"/>
      <c r="EJ262" s="4"/>
      <c r="EK262" s="4"/>
      <c r="EU262" s="2"/>
      <c r="EV262" s="2"/>
    </row>
    <row r="263" spans="1:152">
      <c r="A263" s="125">
        <v>3389</v>
      </c>
      <c r="B263" s="126" t="s">
        <v>1118</v>
      </c>
      <c r="C263" s="126" t="s">
        <v>331</v>
      </c>
      <c r="D263" s="126" t="s">
        <v>127</v>
      </c>
      <c r="E263" s="126" t="s">
        <v>1119</v>
      </c>
      <c r="F263" s="126" t="s">
        <v>35</v>
      </c>
      <c r="G263" s="126" t="s">
        <v>1583</v>
      </c>
      <c r="H263" s="126" t="s">
        <v>1575</v>
      </c>
      <c r="I263" s="126" t="s">
        <v>1120</v>
      </c>
      <c r="J263" s="126" t="s">
        <v>949</v>
      </c>
      <c r="K263" s="127">
        <v>43403</v>
      </c>
      <c r="L263" s="128"/>
      <c r="M263" s="128">
        <v>1.9119999999999999</v>
      </c>
      <c r="N263" s="126">
        <v>3.88</v>
      </c>
      <c r="O263" s="126" t="s">
        <v>950</v>
      </c>
      <c r="P263" s="129" t="s">
        <v>1121</v>
      </c>
      <c r="Q263" s="129" t="s">
        <v>1122</v>
      </c>
      <c r="R263" s="126" t="s">
        <v>24</v>
      </c>
      <c r="S263" s="126"/>
      <c r="T263" s="130" t="s">
        <v>861</v>
      </c>
      <c r="U263" s="126"/>
      <c r="V263" s="130" t="s">
        <v>861</v>
      </c>
      <c r="W263" s="126"/>
      <c r="X263" s="130" t="s">
        <v>120</v>
      </c>
      <c r="Y263" s="126" t="s">
        <v>1123</v>
      </c>
      <c r="Z263" s="165" t="s">
        <v>120</v>
      </c>
      <c r="AA263" s="158"/>
      <c r="AB263" s="158"/>
      <c r="AC263" s="170" t="s">
        <v>123</v>
      </c>
      <c r="AD263" s="126" t="s">
        <v>1124</v>
      </c>
      <c r="AE263" s="130" t="s">
        <v>125</v>
      </c>
      <c r="AF263" s="127"/>
      <c r="AG263" s="131"/>
      <c r="AH263" s="131"/>
      <c r="AI263" s="126" t="s">
        <v>1098</v>
      </c>
      <c r="AJ263" s="130" t="s">
        <v>861</v>
      </c>
      <c r="AK263" s="126"/>
      <c r="AL263" s="126"/>
      <c r="AM263" s="130"/>
      <c r="AN263" s="126"/>
      <c r="AO263" s="132"/>
      <c r="AP263" s="126"/>
      <c r="AQ263" s="126"/>
      <c r="AR263" s="130"/>
      <c r="AS263" s="126"/>
      <c r="AT263" s="127"/>
      <c r="AU263" s="127"/>
      <c r="AV263" s="127"/>
      <c r="AW263" s="127"/>
      <c r="AX263" s="127"/>
      <c r="AY263" s="127"/>
      <c r="AZ263" s="133">
        <v>43403</v>
      </c>
      <c r="BA26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3" s="135">
        <f>COUNTIFS(_05preva_view43[Site ID],_05preva_view43[[#This Row],[Site ID]],_05preva_view43[Prevalidation Status],"Under Prevalidation")</f>
        <v>0</v>
      </c>
      <c r="BC263" s="157" t="e">
        <f ca="1">HYPERLINK(CheckPath(_05preva_view43[[#This Row],[File Path]],_05preva_view43[[#This Row],[File Path]],_05preva_view43[[#This Row],[Folder Path3]]),CheckPath(_05preva_view43[[#This Row],[File Path]],"Open File","No File"))</f>
        <v>#VALUE!</v>
      </c>
      <c r="BD263" s="136" t="str">
        <f>CONCATENATE(_05preva_view43[[#This Row],[Site ID]]," (",_05preva_view43[[#This Row],[tenant id]],") Application",IF(_05preva_view43[[#This Row],[Colo Rev]]&gt;0," Rev "&amp;_05preva_view43[[#This Row],[Colo Rev]],""),".xlsx")</f>
        <v>1-01-05018-006 (SGG00198) Application Rev 2.xlsx</v>
      </c>
      <c r="BE263" s="64" t="e">
        <f t="shared" ca="1" si="5"/>
        <v>#VALUE!</v>
      </c>
      <c r="BF263" s="104" t="e">
        <f ca="1">LEFT(CELL("filename",A248),_05preva_view43[[#This Row],[Find Process &amp; Database]]-1)</f>
        <v>#VALUE!</v>
      </c>
      <c r="BG263" s="104" t="e">
        <f ca="1">_05preva_view43[Folder Path1]&amp;"Process &amp; Database\Documentation\Colo Applications"</f>
        <v>#VALUE!</v>
      </c>
      <c r="BH263" s="104" t="e">
        <f ca="1">_05preva_view43[Folder Path2]&amp;"\Colo App "&amp;_05preva_view43[[#This Row],[Operator]]&amp;"\"</f>
        <v>#VALUE!</v>
      </c>
      <c r="BI263" s="63" t="e">
        <f ca="1">_05preva_view43[[#This Row],[Folder Path3]]&amp;_05preva_view43[[#This Row],[File Name]]</f>
        <v>#VALUE!</v>
      </c>
      <c r="BJ263" s="104"/>
      <c r="BK263" s="3"/>
      <c r="BL263" s="3"/>
      <c r="CJ263" s="5"/>
      <c r="CK263" s="5"/>
      <c r="CL263" s="3"/>
      <c r="CN263" s="5"/>
      <c r="CR263" s="3"/>
      <c r="CS263" s="3"/>
      <c r="CT263" s="5"/>
      <c r="CV263" s="3"/>
      <c r="DR263" s="5"/>
      <c r="DT263" s="3"/>
      <c r="EF263" s="7"/>
      <c r="EG263" s="7"/>
      <c r="EJ263" s="4"/>
      <c r="EK263" s="4"/>
      <c r="EU263" s="2"/>
      <c r="EV263" s="2"/>
    </row>
    <row r="264" spans="1:152">
      <c r="A264" s="125">
        <v>3381</v>
      </c>
      <c r="B264" s="126" t="s">
        <v>1085</v>
      </c>
      <c r="C264" s="126" t="s">
        <v>331</v>
      </c>
      <c r="D264" s="126" t="s">
        <v>117</v>
      </c>
      <c r="E264" s="126" t="s">
        <v>1086</v>
      </c>
      <c r="F264" s="126" t="s">
        <v>35</v>
      </c>
      <c r="G264" s="126" t="s">
        <v>1583</v>
      </c>
      <c r="H264" s="126" t="s">
        <v>1575</v>
      </c>
      <c r="I264" s="126" t="s">
        <v>1061</v>
      </c>
      <c r="J264" s="126" t="s">
        <v>931</v>
      </c>
      <c r="K264" s="127">
        <v>43402</v>
      </c>
      <c r="L264" s="128"/>
      <c r="M264" s="128">
        <v>2.5</v>
      </c>
      <c r="N264" s="126">
        <v>3.52</v>
      </c>
      <c r="O264" s="126" t="s">
        <v>950</v>
      </c>
      <c r="P264" s="129" t="s">
        <v>958</v>
      </c>
      <c r="Q264" s="129" t="s">
        <v>959</v>
      </c>
      <c r="R264" s="126" t="s">
        <v>24</v>
      </c>
      <c r="S264" s="126"/>
      <c r="T264" s="130" t="s">
        <v>861</v>
      </c>
      <c r="U264" s="126"/>
      <c r="V264" s="130" t="s">
        <v>861</v>
      </c>
      <c r="W264" s="126"/>
      <c r="X264" s="130" t="s">
        <v>120</v>
      </c>
      <c r="Y264" s="126" t="s">
        <v>1087</v>
      </c>
      <c r="Z264" s="165" t="s">
        <v>120</v>
      </c>
      <c r="AA264" s="158"/>
      <c r="AB264" s="158"/>
      <c r="AC264" s="170" t="s">
        <v>123</v>
      </c>
      <c r="AD264" s="126" t="s">
        <v>1088</v>
      </c>
      <c r="AE264" s="130" t="s">
        <v>861</v>
      </c>
      <c r="AF264" s="127"/>
      <c r="AG264" s="131"/>
      <c r="AH264" s="131"/>
      <c r="AI264" s="126"/>
      <c r="AJ264" s="130" t="s">
        <v>861</v>
      </c>
      <c r="AK264" s="126"/>
      <c r="AL264" s="126"/>
      <c r="AM264" s="130"/>
      <c r="AN264" s="126"/>
      <c r="AO264" s="132"/>
      <c r="AP264" s="126"/>
      <c r="AQ264" s="126"/>
      <c r="AR264" s="130"/>
      <c r="AS264" s="126"/>
      <c r="AT264" s="127"/>
      <c r="AU264" s="127"/>
      <c r="AV264" s="127"/>
      <c r="AW264" s="127"/>
      <c r="AX264" s="127"/>
      <c r="AY264" s="127"/>
      <c r="AZ264" s="133">
        <v>43402</v>
      </c>
      <c r="BA26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4" s="135">
        <f>COUNTIFS(_05preva_view43[Site ID],_05preva_view43[[#This Row],[Site ID]],_05preva_view43[Prevalidation Status],"Under Prevalidation")</f>
        <v>0</v>
      </c>
      <c r="BC264" s="157" t="e">
        <f ca="1">HYPERLINK(CheckPath(_05preva_view43[[#This Row],[File Path]],_05preva_view43[[#This Row],[File Path]],_05preva_view43[[#This Row],[Folder Path3]]),CheckPath(_05preva_view43[[#This Row],[File Path]],"Open File","No File"))</f>
        <v>#VALUE!</v>
      </c>
      <c r="BD264" s="136" t="str">
        <f>CONCATENATE(_05preva_view43[[#This Row],[Site ID]]," (",_05preva_view43[[#This Row],[tenant id]],") Application",IF(_05preva_view43[[#This Row],[Colo Rev]]&gt;0," Rev "&amp;_05preva_view43[[#This Row],[Colo Rev]],""),".xlsx")</f>
        <v>1-01-09008-001 (MGW00412) Application Rev 1.xlsx</v>
      </c>
      <c r="BE264" s="64" t="e">
        <f t="shared" ca="1" si="5"/>
        <v>#VALUE!</v>
      </c>
      <c r="BF264" s="104" t="e">
        <f ca="1">LEFT(CELL("filename",A249),_05preva_view43[[#This Row],[Find Process &amp; Database]]-1)</f>
        <v>#VALUE!</v>
      </c>
      <c r="BG264" s="104" t="e">
        <f ca="1">_05preva_view43[Folder Path1]&amp;"Process &amp; Database\Documentation\Colo Applications"</f>
        <v>#VALUE!</v>
      </c>
      <c r="BH264" s="104" t="e">
        <f ca="1">_05preva_view43[Folder Path2]&amp;"\Colo App "&amp;_05preva_view43[[#This Row],[Operator]]&amp;"\"</f>
        <v>#VALUE!</v>
      </c>
      <c r="BI264" s="63" t="e">
        <f ca="1">_05preva_view43[[#This Row],[Folder Path3]]&amp;_05preva_view43[[#This Row],[File Name]]</f>
        <v>#VALUE!</v>
      </c>
      <c r="BJ264" s="104"/>
      <c r="BK264" s="3"/>
      <c r="BL264" s="3"/>
      <c r="CJ264" s="5"/>
      <c r="CK264" s="5"/>
      <c r="CL264" s="3"/>
      <c r="CN264" s="5"/>
      <c r="CR264" s="3"/>
      <c r="CS264" s="3"/>
      <c r="CT264" s="5"/>
      <c r="CV264" s="3"/>
      <c r="DR264" s="5"/>
      <c r="DT264" s="3"/>
      <c r="EF264" s="7"/>
      <c r="EG264" s="7"/>
      <c r="EJ264" s="4"/>
      <c r="EK264" s="4"/>
      <c r="EU264" s="2"/>
      <c r="EV264" s="2"/>
    </row>
    <row r="265" spans="1:152">
      <c r="A265" s="125">
        <v>3375</v>
      </c>
      <c r="B265" s="126" t="s">
        <v>1059</v>
      </c>
      <c r="C265" s="126" t="s">
        <v>331</v>
      </c>
      <c r="D265" s="126" t="s">
        <v>163</v>
      </c>
      <c r="E265" s="126" t="s">
        <v>1060</v>
      </c>
      <c r="F265" s="126" t="s">
        <v>35</v>
      </c>
      <c r="G265" s="126" t="s">
        <v>1583</v>
      </c>
      <c r="H265" s="126" t="s">
        <v>1575</v>
      </c>
      <c r="I265" s="126" t="s">
        <v>1061</v>
      </c>
      <c r="J265" s="126" t="s">
        <v>949</v>
      </c>
      <c r="K265" s="127">
        <v>43391</v>
      </c>
      <c r="L265" s="128"/>
      <c r="M265" s="128">
        <v>2.1</v>
      </c>
      <c r="N265" s="126">
        <v>2.5590000000000002</v>
      </c>
      <c r="O265" s="126" t="s">
        <v>950</v>
      </c>
      <c r="P265" s="129" t="s">
        <v>1062</v>
      </c>
      <c r="Q265" s="129" t="s">
        <v>958</v>
      </c>
      <c r="R265" s="126" t="s">
        <v>24</v>
      </c>
      <c r="S265" s="126"/>
      <c r="T265" s="130" t="s">
        <v>861</v>
      </c>
      <c r="U265" s="126"/>
      <c r="V265" s="130" t="s">
        <v>861</v>
      </c>
      <c r="W265" s="126"/>
      <c r="X265" s="130" t="s">
        <v>120</v>
      </c>
      <c r="Y265" s="126" t="s">
        <v>1063</v>
      </c>
      <c r="Z265" s="165" t="s">
        <v>120</v>
      </c>
      <c r="AA265" s="158"/>
      <c r="AB265" s="158"/>
      <c r="AC265" s="170" t="s">
        <v>123</v>
      </c>
      <c r="AD265" s="126" t="s">
        <v>1064</v>
      </c>
      <c r="AE265" s="130" t="s">
        <v>861</v>
      </c>
      <c r="AF265" s="127"/>
      <c r="AG265" s="131"/>
      <c r="AH265" s="131"/>
      <c r="AI265" s="126"/>
      <c r="AJ265" s="130" t="s">
        <v>861</v>
      </c>
      <c r="AK265" s="126"/>
      <c r="AL265" s="126"/>
      <c r="AM265" s="130"/>
      <c r="AN265" s="126"/>
      <c r="AO265" s="132"/>
      <c r="AP265" s="126"/>
      <c r="AQ265" s="126"/>
      <c r="AR265" s="130"/>
      <c r="AS265" s="126"/>
      <c r="AT265" s="127"/>
      <c r="AU265" s="127"/>
      <c r="AV265" s="127"/>
      <c r="AW265" s="127"/>
      <c r="AX265" s="127"/>
      <c r="AY265" s="127"/>
      <c r="AZ265" s="133">
        <v>43391</v>
      </c>
      <c r="BA26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5" s="135">
        <f>COUNTIFS(_05preva_view43[Site ID],_05preva_view43[[#This Row],[Site ID]],_05preva_view43[Prevalidation Status],"Under Prevalidation")</f>
        <v>0</v>
      </c>
      <c r="BC265" s="157" t="e">
        <f ca="1">HYPERLINK(CheckPath(_05preva_view43[[#This Row],[File Path]],_05preva_view43[[#This Row],[File Path]],_05preva_view43[[#This Row],[Folder Path3]]),CheckPath(_05preva_view43[[#This Row],[File Path]],"Open File","No File"))</f>
        <v>#VALUE!</v>
      </c>
      <c r="BD265" s="136" t="str">
        <f>CONCATENATE(_05preva_view43[[#This Row],[Site ID]]," (",_05preva_view43[[#This Row],[tenant id]],") Application",IF(_05preva_view43[[#This Row],[Colo Rev]]&gt;0," Rev "&amp;_05preva_view43[[#This Row],[Colo Rev]],""),".xlsx")</f>
        <v>1-01-11003-002 (MON00212) Application Rev 2.xlsx</v>
      </c>
      <c r="BE265" s="64" t="e">
        <f t="shared" ca="1" si="5"/>
        <v>#VALUE!</v>
      </c>
      <c r="BF265" s="104" t="e">
        <f ca="1">LEFT(CELL("filename",A250),_05preva_view43[[#This Row],[Find Process &amp; Database]]-1)</f>
        <v>#VALUE!</v>
      </c>
      <c r="BG265" s="104" t="e">
        <f ca="1">_05preva_view43[Folder Path1]&amp;"Process &amp; Database\Documentation\Colo Applications"</f>
        <v>#VALUE!</v>
      </c>
      <c r="BH265" s="104" t="e">
        <f ca="1">_05preva_view43[Folder Path2]&amp;"\Colo App "&amp;_05preva_view43[[#This Row],[Operator]]&amp;"\"</f>
        <v>#VALUE!</v>
      </c>
      <c r="BI265" s="63" t="e">
        <f ca="1">_05preva_view43[[#This Row],[Folder Path3]]&amp;_05preva_view43[[#This Row],[File Name]]</f>
        <v>#VALUE!</v>
      </c>
      <c r="BJ265" s="104"/>
      <c r="BK265" s="3"/>
      <c r="BL265" s="3"/>
      <c r="CJ265" s="5"/>
      <c r="CK265" s="5"/>
      <c r="CL265" s="3"/>
      <c r="CN265" s="5"/>
      <c r="CR265" s="3"/>
      <c r="CS265" s="3"/>
      <c r="CT265" s="5"/>
      <c r="CV265" s="3"/>
      <c r="DR265" s="5"/>
      <c r="DT265" s="3"/>
      <c r="EF265" s="7"/>
      <c r="EG265" s="7"/>
      <c r="EJ265" s="4"/>
      <c r="EK265" s="4"/>
      <c r="EU265" s="2"/>
      <c r="EV265" s="2"/>
    </row>
    <row r="266" spans="1:152">
      <c r="A266" s="125">
        <v>3377</v>
      </c>
      <c r="B266" s="126" t="s">
        <v>1065</v>
      </c>
      <c r="C266" s="126" t="s">
        <v>331</v>
      </c>
      <c r="D266" s="126" t="s">
        <v>117</v>
      </c>
      <c r="E266" s="126" t="s">
        <v>1066</v>
      </c>
      <c r="F266" s="126" t="s">
        <v>35</v>
      </c>
      <c r="G266" s="126" t="s">
        <v>1583</v>
      </c>
      <c r="H266" s="126" t="s">
        <v>1575</v>
      </c>
      <c r="I266" s="126" t="s">
        <v>1048</v>
      </c>
      <c r="J266" s="126" t="s">
        <v>990</v>
      </c>
      <c r="K266" s="127">
        <v>43391</v>
      </c>
      <c r="L266" s="128"/>
      <c r="M266" s="128">
        <v>2.7</v>
      </c>
      <c r="N266" s="126">
        <v>3.5030000000000001</v>
      </c>
      <c r="O266" s="126" t="s">
        <v>950</v>
      </c>
      <c r="P266" s="129" t="s">
        <v>704</v>
      </c>
      <c r="Q266" s="129" t="s">
        <v>705</v>
      </c>
      <c r="R266" s="126" t="s">
        <v>24</v>
      </c>
      <c r="S266" s="126"/>
      <c r="T266" s="130" t="s">
        <v>861</v>
      </c>
      <c r="U266" s="126"/>
      <c r="V266" s="130" t="s">
        <v>861</v>
      </c>
      <c r="W266" s="126"/>
      <c r="X266" s="130" t="s">
        <v>120</v>
      </c>
      <c r="Y266" s="126" t="s">
        <v>1067</v>
      </c>
      <c r="Z266" s="165" t="s">
        <v>120</v>
      </c>
      <c r="AA266" s="158"/>
      <c r="AB266" s="158"/>
      <c r="AC266" s="170" t="s">
        <v>123</v>
      </c>
      <c r="AD266" s="126" t="s">
        <v>1068</v>
      </c>
      <c r="AE266" s="130" t="s">
        <v>861</v>
      </c>
      <c r="AF266" s="127"/>
      <c r="AG266" s="131"/>
      <c r="AH266" s="131"/>
      <c r="AI266" s="126"/>
      <c r="AJ266" s="130" t="s">
        <v>861</v>
      </c>
      <c r="AK266" s="126"/>
      <c r="AL266" s="126"/>
      <c r="AM266" s="130"/>
      <c r="AN266" s="126"/>
      <c r="AO266" s="132"/>
      <c r="AP266" s="126"/>
      <c r="AQ266" s="126"/>
      <c r="AR266" s="130"/>
      <c r="AS266" s="126"/>
      <c r="AT266" s="127"/>
      <c r="AU266" s="127"/>
      <c r="AV266" s="127"/>
      <c r="AW266" s="127"/>
      <c r="AX266" s="127"/>
      <c r="AY266" s="127"/>
      <c r="AZ266" s="133">
        <v>43391</v>
      </c>
      <c r="BA26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6" s="135">
        <f>COUNTIFS(_05preva_view43[Site ID],_05preva_view43[[#This Row],[Site ID]],_05preva_view43[Prevalidation Status],"Under Prevalidation")</f>
        <v>0</v>
      </c>
      <c r="BC266" s="157" t="e">
        <f ca="1">HYPERLINK(CheckPath(_05preva_view43[[#This Row],[File Path]],_05preva_view43[[#This Row],[File Path]],_05preva_view43[[#This Row],[Folder Path3]]),CheckPath(_05preva_view43[[#This Row],[File Path]],"Open File","No File"))</f>
        <v>#VALUE!</v>
      </c>
      <c r="BD266" s="136" t="str">
        <f>CONCATENATE(_05preva_view43[[#This Row],[Site ID]]," (",_05preva_view43[[#This Row],[tenant id]],") Application",IF(_05preva_view43[[#This Row],[Colo Rev]]&gt;0," Rev "&amp;_05preva_view43[[#This Row],[Colo Rev]],""),".xlsx")</f>
        <v>1-01-14001-015 (SHS00057) Application Rev 3.xlsx</v>
      </c>
      <c r="BE266" s="64" t="e">
        <f t="shared" ca="1" si="5"/>
        <v>#VALUE!</v>
      </c>
      <c r="BF266" s="104" t="e">
        <f ca="1">LEFT(CELL("filename",A251),_05preva_view43[[#This Row],[Find Process &amp; Database]]-1)</f>
        <v>#VALUE!</v>
      </c>
      <c r="BG266" s="104" t="e">
        <f ca="1">_05preva_view43[Folder Path1]&amp;"Process &amp; Database\Documentation\Colo Applications"</f>
        <v>#VALUE!</v>
      </c>
      <c r="BH266" s="104" t="e">
        <f ca="1">_05preva_view43[Folder Path2]&amp;"\Colo App "&amp;_05preva_view43[[#This Row],[Operator]]&amp;"\"</f>
        <v>#VALUE!</v>
      </c>
      <c r="BI266" s="63" t="e">
        <f ca="1">_05preva_view43[[#This Row],[Folder Path3]]&amp;_05preva_view43[[#This Row],[File Name]]</f>
        <v>#VALUE!</v>
      </c>
      <c r="BJ266" s="104"/>
      <c r="BK266" s="3"/>
      <c r="BL266" s="3"/>
      <c r="CJ266" s="5"/>
      <c r="CK266" s="5"/>
      <c r="CL266" s="3"/>
      <c r="CN266" s="5"/>
      <c r="CR266" s="3"/>
      <c r="CS266" s="3"/>
      <c r="CT266" s="5"/>
      <c r="CV266" s="3"/>
      <c r="DR266" s="5"/>
      <c r="DT266" s="3"/>
      <c r="EF266" s="7"/>
      <c r="EG266" s="7"/>
      <c r="EJ266" s="4"/>
      <c r="EK266" s="4"/>
      <c r="EU266" s="2"/>
      <c r="EV266" s="2"/>
    </row>
    <row r="267" spans="1:152">
      <c r="A267" s="125">
        <v>3378</v>
      </c>
      <c r="B267" s="126" t="s">
        <v>1069</v>
      </c>
      <c r="C267" s="126" t="s">
        <v>331</v>
      </c>
      <c r="D267" s="126" t="s">
        <v>163</v>
      </c>
      <c r="E267" s="126" t="s">
        <v>1070</v>
      </c>
      <c r="F267" s="126" t="s">
        <v>35</v>
      </c>
      <c r="G267" s="126" t="s">
        <v>1583</v>
      </c>
      <c r="H267" s="126" t="s">
        <v>1575</v>
      </c>
      <c r="I267" s="126" t="s">
        <v>1048</v>
      </c>
      <c r="J267" s="126" t="s">
        <v>990</v>
      </c>
      <c r="K267" s="127">
        <v>43391</v>
      </c>
      <c r="L267" s="128"/>
      <c r="M267" s="128">
        <v>2.7</v>
      </c>
      <c r="N267" s="126">
        <v>3.141</v>
      </c>
      <c r="O267" s="126" t="s">
        <v>950</v>
      </c>
      <c r="P267" s="129" t="s">
        <v>1071</v>
      </c>
      <c r="Q267" s="129" t="s">
        <v>1072</v>
      </c>
      <c r="R267" s="126" t="s">
        <v>24</v>
      </c>
      <c r="S267" s="126"/>
      <c r="T267" s="130" t="s">
        <v>861</v>
      </c>
      <c r="U267" s="126"/>
      <c r="V267" s="130" t="s">
        <v>861</v>
      </c>
      <c r="W267" s="126"/>
      <c r="X267" s="130" t="s">
        <v>120</v>
      </c>
      <c r="Y267" s="126" t="s">
        <v>1073</v>
      </c>
      <c r="Z267" s="165" t="s">
        <v>120</v>
      </c>
      <c r="AA267" s="158"/>
      <c r="AB267" s="158"/>
      <c r="AC267" s="170" t="s">
        <v>123</v>
      </c>
      <c r="AD267" s="126" t="s">
        <v>1074</v>
      </c>
      <c r="AE267" s="130" t="s">
        <v>861</v>
      </c>
      <c r="AF267" s="127"/>
      <c r="AG267" s="131"/>
      <c r="AH267" s="131"/>
      <c r="AI267" s="126"/>
      <c r="AJ267" s="130" t="s">
        <v>861</v>
      </c>
      <c r="AK267" s="126"/>
      <c r="AL267" s="126"/>
      <c r="AM267" s="130"/>
      <c r="AN267" s="126"/>
      <c r="AO267" s="132"/>
      <c r="AP267" s="126"/>
      <c r="AQ267" s="126"/>
      <c r="AR267" s="130"/>
      <c r="AS267" s="126"/>
      <c r="AT267" s="127"/>
      <c r="AU267" s="127"/>
      <c r="AV267" s="127"/>
      <c r="AW267" s="127"/>
      <c r="AX267" s="127"/>
      <c r="AY267" s="127"/>
      <c r="AZ267" s="133">
        <v>43391</v>
      </c>
      <c r="BA26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7" s="135">
        <f>COUNTIFS(_05preva_view43[Site ID],_05preva_view43[[#This Row],[Site ID]],_05preva_view43[Prevalidation Status],"Under Prevalidation")</f>
        <v>0</v>
      </c>
      <c r="BC267" s="157" t="e">
        <f ca="1">HYPERLINK(CheckPath(_05preva_view43[[#This Row],[File Path]],_05preva_view43[[#This Row],[File Path]],_05preva_view43[[#This Row],[Folder Path3]]),CheckPath(_05preva_view43[[#This Row],[File Path]],"Open File","No File"))</f>
        <v>#VALUE!</v>
      </c>
      <c r="BD267" s="136" t="str">
        <f>CONCATENATE(_05preva_view43[[#This Row],[Site ID]]," (",_05preva_view43[[#This Row],[tenant id]],") Application",IF(_05preva_view43[[#This Row],[Colo Rev]]&gt;0," Rev "&amp;_05preva_view43[[#This Row],[Colo Rev]],""),".xlsx")</f>
        <v>1-01-06002-003 (TNY00206) Application Rev 3.xlsx</v>
      </c>
      <c r="BE267" s="64" t="e">
        <f t="shared" ca="1" si="5"/>
        <v>#VALUE!</v>
      </c>
      <c r="BF267" s="104" t="e">
        <f ca="1">LEFT(CELL("filename",A252),_05preva_view43[[#This Row],[Find Process &amp; Database]]-1)</f>
        <v>#VALUE!</v>
      </c>
      <c r="BG267" s="104" t="e">
        <f ca="1">_05preva_view43[Folder Path1]&amp;"Process &amp; Database\Documentation\Colo Applications"</f>
        <v>#VALUE!</v>
      </c>
      <c r="BH267" s="104" t="e">
        <f ca="1">_05preva_view43[Folder Path2]&amp;"\Colo App "&amp;_05preva_view43[[#This Row],[Operator]]&amp;"\"</f>
        <v>#VALUE!</v>
      </c>
      <c r="BI267" s="63" t="e">
        <f ca="1">_05preva_view43[[#This Row],[Folder Path3]]&amp;_05preva_view43[[#This Row],[File Name]]</f>
        <v>#VALUE!</v>
      </c>
      <c r="BJ267" s="104"/>
      <c r="BK267" s="3"/>
      <c r="BL267" s="3"/>
      <c r="CJ267" s="5"/>
      <c r="CK267" s="5"/>
      <c r="CL267" s="3"/>
      <c r="CN267" s="5"/>
      <c r="CR267" s="3"/>
      <c r="CS267" s="3"/>
      <c r="CT267" s="5"/>
      <c r="CV267" s="3"/>
      <c r="DR267" s="5"/>
      <c r="DT267" s="3"/>
      <c r="EF267" s="7"/>
      <c r="EG267" s="7"/>
      <c r="EJ267" s="4"/>
      <c r="EK267" s="4"/>
      <c r="EU267" s="2"/>
      <c r="EV267" s="2"/>
    </row>
    <row r="268" spans="1:152">
      <c r="A268" s="125">
        <v>3379</v>
      </c>
      <c r="B268" s="126" t="s">
        <v>1075</v>
      </c>
      <c r="C268" s="126" t="s">
        <v>116</v>
      </c>
      <c r="D268" s="126" t="s">
        <v>127</v>
      </c>
      <c r="E268" s="126" t="s">
        <v>1076</v>
      </c>
      <c r="F268" s="126" t="s">
        <v>35</v>
      </c>
      <c r="G268" s="126" t="s">
        <v>1577</v>
      </c>
      <c r="H268" s="126" t="s">
        <v>1575</v>
      </c>
      <c r="I268" s="126" t="s">
        <v>1077</v>
      </c>
      <c r="J268" s="126" t="s">
        <v>949</v>
      </c>
      <c r="K268" s="127">
        <v>43391</v>
      </c>
      <c r="L268" s="128"/>
      <c r="M268" s="128">
        <v>1.4</v>
      </c>
      <c r="N268" s="126">
        <v>2.746</v>
      </c>
      <c r="O268" s="126" t="s">
        <v>950</v>
      </c>
      <c r="P268" s="129" t="s">
        <v>363</v>
      </c>
      <c r="Q268" s="129" t="s">
        <v>270</v>
      </c>
      <c r="R268" s="126" t="s">
        <v>24</v>
      </c>
      <c r="S268" s="126"/>
      <c r="T268" s="130" t="s">
        <v>861</v>
      </c>
      <c r="U268" s="126"/>
      <c r="V268" s="130" t="s">
        <v>861</v>
      </c>
      <c r="W268" s="126"/>
      <c r="X268" s="130" t="s">
        <v>120</v>
      </c>
      <c r="Y268" s="126" t="s">
        <v>1078</v>
      </c>
      <c r="Z268" s="165" t="s">
        <v>120</v>
      </c>
      <c r="AA268" s="158"/>
      <c r="AB268" s="158"/>
      <c r="AC268" s="170" t="s">
        <v>123</v>
      </c>
      <c r="AD268" s="126" t="s">
        <v>1079</v>
      </c>
      <c r="AE268" s="130" t="s">
        <v>125</v>
      </c>
      <c r="AF268" s="127" t="s">
        <v>715</v>
      </c>
      <c r="AG268" s="131"/>
      <c r="AH268" s="131"/>
      <c r="AI268" s="126" t="s">
        <v>1080</v>
      </c>
      <c r="AJ268" s="130"/>
      <c r="AK268" s="126"/>
      <c r="AL268" s="126"/>
      <c r="AM268" s="130"/>
      <c r="AN268" s="126"/>
      <c r="AO268" s="132"/>
      <c r="AP268" s="126"/>
      <c r="AQ268" s="126"/>
      <c r="AR268" s="130"/>
      <c r="AS268" s="126"/>
      <c r="AT268" s="127"/>
      <c r="AU268" s="127"/>
      <c r="AV268" s="127"/>
      <c r="AW268" s="127"/>
      <c r="AX268" s="127"/>
      <c r="AY268" s="127"/>
      <c r="AZ268" s="133">
        <v>43391</v>
      </c>
      <c r="BA26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8" s="135">
        <f>COUNTIFS(_05preva_view43[Site ID],_05preva_view43[[#This Row],[Site ID]],_05preva_view43[Prevalidation Status],"Under Prevalidation")</f>
        <v>0</v>
      </c>
      <c r="BC268" s="157" t="e">
        <f ca="1">HYPERLINK(CheckPath(_05preva_view43[[#This Row],[File Path]],_05preva_view43[[#This Row],[File Path]],_05preva_view43[[#This Row],[Folder Path3]]),CheckPath(_05preva_view43[[#This Row],[File Path]],"Open File","No File"))</f>
        <v>#VALUE!</v>
      </c>
      <c r="BD268" s="136" t="str">
        <f>CONCATENATE(_05preva_view43[[#This Row],[Site ID]]," (",_05preva_view43[[#This Row],[tenant id]],") Application",IF(_05preva_view43[[#This Row],[Colo Rev]]&gt;0," Rev "&amp;_05preva_view43[[#This Row],[Colo Rev]],""),".xlsx")</f>
        <v>ANMD_0132 (MDY00422) Application Rev 2.xlsx</v>
      </c>
      <c r="BE268" s="64" t="e">
        <f t="shared" ca="1" si="5"/>
        <v>#VALUE!</v>
      </c>
      <c r="BF268" s="104" t="e">
        <f ca="1">LEFT(CELL("filename",A253),_05preva_view43[[#This Row],[Find Process &amp; Database]]-1)</f>
        <v>#VALUE!</v>
      </c>
      <c r="BG268" s="104" t="e">
        <f ca="1">_05preva_view43[Folder Path1]&amp;"Process &amp; Database\Documentation\Colo Applications"</f>
        <v>#VALUE!</v>
      </c>
      <c r="BH268" s="104" t="e">
        <f ca="1">_05preva_view43[Folder Path2]&amp;"\Colo App "&amp;_05preva_view43[[#This Row],[Operator]]&amp;"\"</f>
        <v>#VALUE!</v>
      </c>
      <c r="BI268" s="63" t="e">
        <f ca="1">_05preva_view43[[#This Row],[Folder Path3]]&amp;_05preva_view43[[#This Row],[File Name]]</f>
        <v>#VALUE!</v>
      </c>
      <c r="BJ268" s="104"/>
      <c r="BK268" s="3"/>
      <c r="BL268" s="3"/>
      <c r="CJ268" s="5"/>
      <c r="CK268" s="5"/>
      <c r="CL268" s="3"/>
      <c r="CN268" s="5"/>
      <c r="CR268" s="3"/>
      <c r="CS268" s="3"/>
      <c r="CT268" s="5"/>
      <c r="CV268" s="3"/>
      <c r="DR268" s="5"/>
      <c r="DT268" s="3"/>
      <c r="EF268" s="7"/>
      <c r="EG268" s="7"/>
      <c r="EJ268" s="4"/>
      <c r="EK268" s="4"/>
      <c r="EU268" s="2"/>
      <c r="EV268" s="2"/>
    </row>
    <row r="269" spans="1:152">
      <c r="A269" s="125">
        <v>3380</v>
      </c>
      <c r="B269" s="126" t="s">
        <v>254</v>
      </c>
      <c r="C269" s="126" t="s">
        <v>116</v>
      </c>
      <c r="D269" s="126" t="s">
        <v>127</v>
      </c>
      <c r="E269" s="126" t="s">
        <v>1081</v>
      </c>
      <c r="F269" s="126" t="s">
        <v>35</v>
      </c>
      <c r="G269" s="126" t="s">
        <v>1577</v>
      </c>
      <c r="H269" s="126" t="s">
        <v>1575</v>
      </c>
      <c r="I269" s="126" t="s">
        <v>1053</v>
      </c>
      <c r="J269" s="126" t="s">
        <v>949</v>
      </c>
      <c r="K269" s="127">
        <v>43391</v>
      </c>
      <c r="L269" s="128"/>
      <c r="M269" s="128">
        <v>3.86</v>
      </c>
      <c r="N269" s="126">
        <v>6.2549999999999999</v>
      </c>
      <c r="O269" s="126" t="s">
        <v>950</v>
      </c>
      <c r="P269" s="129" t="s">
        <v>257</v>
      </c>
      <c r="Q269" s="129" t="s">
        <v>968</v>
      </c>
      <c r="R269" s="126" t="s">
        <v>24</v>
      </c>
      <c r="S269" s="126"/>
      <c r="T269" s="130" t="s">
        <v>861</v>
      </c>
      <c r="U269" s="126"/>
      <c r="V269" s="130" t="s">
        <v>861</v>
      </c>
      <c r="W269" s="126"/>
      <c r="X269" s="130" t="s">
        <v>120</v>
      </c>
      <c r="Y269" s="126" t="s">
        <v>1082</v>
      </c>
      <c r="Z269" s="165" t="s">
        <v>120</v>
      </c>
      <c r="AA269" s="158"/>
      <c r="AB269" s="158"/>
      <c r="AC269" s="170" t="s">
        <v>123</v>
      </c>
      <c r="AD269" s="126" t="s">
        <v>1083</v>
      </c>
      <c r="AE269" s="130" t="s">
        <v>120</v>
      </c>
      <c r="AF269" s="127"/>
      <c r="AG269" s="131"/>
      <c r="AH269" s="131">
        <v>2</v>
      </c>
      <c r="AI269" s="126" t="s">
        <v>1084</v>
      </c>
      <c r="AJ269" s="130"/>
      <c r="AK269" s="126"/>
      <c r="AL269" s="126"/>
      <c r="AM269" s="130"/>
      <c r="AN269" s="126"/>
      <c r="AO269" s="132"/>
      <c r="AP269" s="126"/>
      <c r="AQ269" s="126"/>
      <c r="AR269" s="130"/>
      <c r="AS269" s="126"/>
      <c r="AT269" s="127"/>
      <c r="AU269" s="127">
        <v>43453.379123958301</v>
      </c>
      <c r="AV269" s="127"/>
      <c r="AW269" s="127"/>
      <c r="AX269" s="127"/>
      <c r="AY269" s="127"/>
      <c r="AZ269" s="133">
        <v>43391</v>
      </c>
      <c r="BA26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9" s="135">
        <f>COUNTIFS(_05preva_view43[Site ID],_05preva_view43[[#This Row],[Site ID]],_05preva_view43[Prevalidation Status],"Under Prevalidation")</f>
        <v>0</v>
      </c>
      <c r="BC269" s="157" t="e">
        <f ca="1">HYPERLINK(CheckPath(_05preva_view43[[#This Row],[File Path]],_05preva_view43[[#This Row],[File Path]],_05preva_view43[[#This Row],[Folder Path3]]),CheckPath(_05preva_view43[[#This Row],[File Path]],"Open File","No File"))</f>
        <v>#VALUE!</v>
      </c>
      <c r="BD269" s="136" t="str">
        <f>CONCATENATE(_05preva_view43[[#This Row],[Site ID]]," (",_05preva_view43[[#This Row],[tenant id]],") Application",IF(_05preva_view43[[#This Row],[Colo Rev]]&gt;0," Rev "&amp;_05preva_view43[[#This Row],[Colo Rev]],""),".xlsx")</f>
        <v>ANSG_0343 (SGG00692) Application Rev 2.xlsx</v>
      </c>
      <c r="BE269" s="64" t="e">
        <f t="shared" ca="1" si="5"/>
        <v>#VALUE!</v>
      </c>
      <c r="BF269" s="104" t="e">
        <f ca="1">LEFT(CELL("filename",A254),_05preva_view43[[#This Row],[Find Process &amp; Database]]-1)</f>
        <v>#VALUE!</v>
      </c>
      <c r="BG269" s="104" t="e">
        <f ca="1">_05preva_view43[Folder Path1]&amp;"Process &amp; Database\Documentation\Colo Applications"</f>
        <v>#VALUE!</v>
      </c>
      <c r="BH269" s="104" t="e">
        <f ca="1">_05preva_view43[Folder Path2]&amp;"\Colo App "&amp;_05preva_view43[[#This Row],[Operator]]&amp;"\"</f>
        <v>#VALUE!</v>
      </c>
      <c r="BI269" s="63" t="e">
        <f ca="1">_05preva_view43[[#This Row],[Folder Path3]]&amp;_05preva_view43[[#This Row],[File Name]]</f>
        <v>#VALUE!</v>
      </c>
      <c r="BJ269" s="104"/>
      <c r="BK269" s="3"/>
      <c r="BL269" s="3"/>
      <c r="CJ269" s="5"/>
      <c r="CK269" s="5"/>
      <c r="CL269" s="3"/>
      <c r="CN269" s="5"/>
      <c r="CR269" s="3"/>
      <c r="CS269" s="3"/>
      <c r="CT269" s="5"/>
      <c r="CV269" s="3"/>
      <c r="DR269" s="5"/>
      <c r="DT269" s="3"/>
      <c r="EF269" s="7"/>
      <c r="EG269" s="7"/>
      <c r="EJ269" s="4"/>
      <c r="EK269" s="4"/>
      <c r="EU269" s="2"/>
      <c r="EV269" s="2"/>
    </row>
    <row r="270" spans="1:152">
      <c r="A270" s="125">
        <v>3372</v>
      </c>
      <c r="B270" s="126" t="s">
        <v>1046</v>
      </c>
      <c r="C270" s="126" t="s">
        <v>331</v>
      </c>
      <c r="D270" s="126" t="s">
        <v>127</v>
      </c>
      <c r="E270" s="126" t="s">
        <v>1047</v>
      </c>
      <c r="F270" s="126" t="s">
        <v>35</v>
      </c>
      <c r="G270" s="126" t="s">
        <v>1583</v>
      </c>
      <c r="H270" s="126" t="s">
        <v>1575</v>
      </c>
      <c r="I270" s="126" t="s">
        <v>1048</v>
      </c>
      <c r="J270" s="126" t="s">
        <v>949</v>
      </c>
      <c r="K270" s="127">
        <v>43389</v>
      </c>
      <c r="L270" s="128"/>
      <c r="M270" s="128">
        <v>4.0149999999999997</v>
      </c>
      <c r="N270" s="126">
        <v>3.3119999999999998</v>
      </c>
      <c r="O270" s="126" t="s">
        <v>950</v>
      </c>
      <c r="P270" s="129" t="s">
        <v>704</v>
      </c>
      <c r="Q270" s="129" t="s">
        <v>705</v>
      </c>
      <c r="R270" s="126" t="s">
        <v>24</v>
      </c>
      <c r="S270" s="126"/>
      <c r="T270" s="130" t="s">
        <v>861</v>
      </c>
      <c r="U270" s="126"/>
      <c r="V270" s="130" t="s">
        <v>861</v>
      </c>
      <c r="W270" s="126"/>
      <c r="X270" s="130" t="s">
        <v>120</v>
      </c>
      <c r="Y270" s="126" t="s">
        <v>1049</v>
      </c>
      <c r="Z270" s="165" t="s">
        <v>120</v>
      </c>
      <c r="AA270" s="158"/>
      <c r="AB270" s="158"/>
      <c r="AC270" s="170" t="s">
        <v>123</v>
      </c>
      <c r="AD270" s="126" t="s">
        <v>1050</v>
      </c>
      <c r="AE270" s="130" t="s">
        <v>861</v>
      </c>
      <c r="AF270" s="127"/>
      <c r="AG270" s="131"/>
      <c r="AH270" s="131"/>
      <c r="AI270" s="126"/>
      <c r="AJ270" s="130" t="s">
        <v>861</v>
      </c>
      <c r="AK270" s="126"/>
      <c r="AL270" s="126"/>
      <c r="AM270" s="130"/>
      <c r="AN270" s="126"/>
      <c r="AO270" s="132"/>
      <c r="AP270" s="126"/>
      <c r="AQ270" s="126"/>
      <c r="AR270" s="130"/>
      <c r="AS270" s="126"/>
      <c r="AT270" s="127"/>
      <c r="AU270" s="127"/>
      <c r="AV270" s="127"/>
      <c r="AW270" s="127"/>
      <c r="AX270" s="127"/>
      <c r="AY270" s="127"/>
      <c r="AZ270" s="133">
        <v>43389</v>
      </c>
      <c r="BA27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0" s="135">
        <f>COUNTIFS(_05preva_view43[Site ID],_05preva_view43[[#This Row],[Site ID]],_05preva_view43[Prevalidation Status],"Under Prevalidation")</f>
        <v>0</v>
      </c>
      <c r="BC270" s="157" t="e">
        <f ca="1">HYPERLINK(CheckPath(_05preva_view43[[#This Row],[File Path]],_05preva_view43[[#This Row],[File Path]],_05preva_view43[[#This Row],[Folder Path3]]),CheckPath(_05preva_view43[[#This Row],[File Path]],"Open File","No File"))</f>
        <v>#VALUE!</v>
      </c>
      <c r="BD270" s="136" t="str">
        <f>CONCATENATE(_05preva_view43[[#This Row],[Site ID]]," (",_05preva_view43[[#This Row],[tenant id]],") Application",IF(_05preva_view43[[#This Row],[Colo Rev]]&gt;0," Rev "&amp;_05preva_view43[[#This Row],[Colo Rev]],""),".xlsx")</f>
        <v>1-01-05027-009 (SGG00227) Application Rev 2.xlsx</v>
      </c>
      <c r="BE270" s="64" t="e">
        <f t="shared" ca="1" si="5"/>
        <v>#VALUE!</v>
      </c>
      <c r="BF270" s="104" t="e">
        <f ca="1">LEFT(CELL("filename",A255),_05preva_view43[[#This Row],[Find Process &amp; Database]]-1)</f>
        <v>#VALUE!</v>
      </c>
      <c r="BG270" s="104" t="e">
        <f ca="1">_05preva_view43[Folder Path1]&amp;"Process &amp; Database\Documentation\Colo Applications"</f>
        <v>#VALUE!</v>
      </c>
      <c r="BH270" s="104" t="e">
        <f ca="1">_05preva_view43[Folder Path2]&amp;"\Colo App "&amp;_05preva_view43[[#This Row],[Operator]]&amp;"\"</f>
        <v>#VALUE!</v>
      </c>
      <c r="BI270" s="63" t="e">
        <f ca="1">_05preva_view43[[#This Row],[Folder Path3]]&amp;_05preva_view43[[#This Row],[File Name]]</f>
        <v>#VALUE!</v>
      </c>
      <c r="BJ270" s="104"/>
      <c r="BK270" s="3"/>
      <c r="BL270" s="3"/>
      <c r="CJ270" s="5"/>
      <c r="CK270" s="5"/>
      <c r="CL270" s="3"/>
      <c r="CN270" s="5"/>
      <c r="CR270" s="3"/>
      <c r="CS270" s="3"/>
      <c r="CT270" s="5"/>
      <c r="CV270" s="3"/>
      <c r="DR270" s="5"/>
      <c r="DT270" s="3"/>
      <c r="EF270" s="7"/>
      <c r="EG270" s="7"/>
      <c r="EJ270" s="4"/>
      <c r="EK270" s="4"/>
      <c r="EU270" s="2"/>
      <c r="EV270" s="2"/>
    </row>
    <row r="271" spans="1:152">
      <c r="A271" s="125">
        <v>3373</v>
      </c>
      <c r="B271" s="126" t="s">
        <v>1051</v>
      </c>
      <c r="C271" s="126" t="s">
        <v>331</v>
      </c>
      <c r="D271" s="126" t="s">
        <v>117</v>
      </c>
      <c r="E271" s="126" t="s">
        <v>1052</v>
      </c>
      <c r="F271" s="126" t="s">
        <v>35</v>
      </c>
      <c r="G271" s="126" t="s">
        <v>1583</v>
      </c>
      <c r="H271" s="126" t="s">
        <v>1575</v>
      </c>
      <c r="I271" s="126" t="s">
        <v>1053</v>
      </c>
      <c r="J271" s="126" t="s">
        <v>957</v>
      </c>
      <c r="K271" s="127">
        <v>43389</v>
      </c>
      <c r="L271" s="128"/>
      <c r="M271" s="128">
        <v>3.4</v>
      </c>
      <c r="N271" s="126">
        <v>4.1859999999999999</v>
      </c>
      <c r="O271" s="126" t="s">
        <v>950</v>
      </c>
      <c r="P271" s="129" t="s">
        <v>958</v>
      </c>
      <c r="Q271" s="129" t="s">
        <v>959</v>
      </c>
      <c r="R271" s="126" t="s">
        <v>24</v>
      </c>
      <c r="S271" s="126"/>
      <c r="T271" s="130" t="s">
        <v>861</v>
      </c>
      <c r="U271" s="126"/>
      <c r="V271" s="130" t="s">
        <v>861</v>
      </c>
      <c r="W271" s="126"/>
      <c r="X271" s="130" t="s">
        <v>120</v>
      </c>
      <c r="Y271" s="126" t="s">
        <v>1054</v>
      </c>
      <c r="Z271" s="165" t="s">
        <v>120</v>
      </c>
      <c r="AA271" s="158"/>
      <c r="AB271" s="158"/>
      <c r="AC271" s="170" t="s">
        <v>123</v>
      </c>
      <c r="AD271" s="126" t="s">
        <v>1055</v>
      </c>
      <c r="AE271" s="130" t="s">
        <v>861</v>
      </c>
      <c r="AF271" s="127"/>
      <c r="AG271" s="131"/>
      <c r="AH271" s="131"/>
      <c r="AI271" s="126"/>
      <c r="AJ271" s="130" t="s">
        <v>861</v>
      </c>
      <c r="AK271" s="126"/>
      <c r="AL271" s="126"/>
      <c r="AM271" s="130"/>
      <c r="AN271" s="126"/>
      <c r="AO271" s="132"/>
      <c r="AP271" s="126"/>
      <c r="AQ271" s="126"/>
      <c r="AR271" s="130"/>
      <c r="AS271" s="126"/>
      <c r="AT271" s="127"/>
      <c r="AU271" s="127"/>
      <c r="AV271" s="127"/>
      <c r="AW271" s="127"/>
      <c r="AX271" s="127"/>
      <c r="AY271" s="127"/>
      <c r="AZ271" s="133">
        <v>43389</v>
      </c>
      <c r="BA27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1" s="135">
        <f>COUNTIFS(_05preva_view43[Site ID],_05preva_view43[[#This Row],[Site ID]],_05preva_view43[Prevalidation Status],"Under Prevalidation")</f>
        <v>0</v>
      </c>
      <c r="BC271" s="157" t="e">
        <f ca="1">HYPERLINK(CheckPath(_05preva_view43[[#This Row],[File Path]],_05preva_view43[[#This Row],[File Path]],_05preva_view43[[#This Row],[Folder Path3]]),CheckPath(_05preva_view43[[#This Row],[File Path]],"Open File","No File"))</f>
        <v>#VALUE!</v>
      </c>
      <c r="BD271" s="136" t="str">
        <f>CONCATENATE(_05preva_view43[[#This Row],[Site ID]]," (",_05preva_view43[[#This Row],[tenant id]],") Application",IF(_05preva_view43[[#This Row],[Colo Rev]]&gt;0," Rev "&amp;_05preva_view43[[#This Row],[Colo Rev]],""),".xlsx")</f>
        <v>1-01-14001-005 (SHS00183) Application Rev 4.xlsx</v>
      </c>
      <c r="BE271" s="64" t="e">
        <f t="shared" ca="1" si="5"/>
        <v>#VALUE!</v>
      </c>
      <c r="BF271" s="104" t="e">
        <f ca="1">LEFT(CELL("filename",A256),_05preva_view43[[#This Row],[Find Process &amp; Database]]-1)</f>
        <v>#VALUE!</v>
      </c>
      <c r="BG271" s="104" t="e">
        <f ca="1">_05preva_view43[Folder Path1]&amp;"Process &amp; Database\Documentation\Colo Applications"</f>
        <v>#VALUE!</v>
      </c>
      <c r="BH271" s="104" t="e">
        <f ca="1">_05preva_view43[Folder Path2]&amp;"\Colo App "&amp;_05preva_view43[[#This Row],[Operator]]&amp;"\"</f>
        <v>#VALUE!</v>
      </c>
      <c r="BI271" s="63" t="e">
        <f ca="1">_05preva_view43[[#This Row],[Folder Path3]]&amp;_05preva_view43[[#This Row],[File Name]]</f>
        <v>#VALUE!</v>
      </c>
      <c r="BJ271" s="104"/>
      <c r="BK271" s="3"/>
      <c r="BL271" s="3"/>
      <c r="CJ271" s="5"/>
      <c r="CK271" s="5"/>
      <c r="CL271" s="3"/>
      <c r="CN271" s="5"/>
      <c r="CR271" s="3"/>
      <c r="CS271" s="3"/>
      <c r="CT271" s="5"/>
      <c r="CV271" s="3"/>
      <c r="DR271" s="5"/>
      <c r="DT271" s="3"/>
      <c r="EF271" s="7"/>
      <c r="EG271" s="7"/>
      <c r="EJ271" s="4"/>
      <c r="EK271" s="4"/>
      <c r="EU271" s="2"/>
      <c r="EV271" s="2"/>
    </row>
    <row r="272" spans="1:152">
      <c r="A272" s="125">
        <v>3374</v>
      </c>
      <c r="B272" s="126" t="s">
        <v>1056</v>
      </c>
      <c r="C272" s="126" t="s">
        <v>331</v>
      </c>
      <c r="D272" s="126" t="s">
        <v>127</v>
      </c>
      <c r="E272" s="126" t="s">
        <v>1057</v>
      </c>
      <c r="F272" s="126" t="s">
        <v>35</v>
      </c>
      <c r="G272" s="126" t="s">
        <v>1583</v>
      </c>
      <c r="H272" s="126" t="s">
        <v>1575</v>
      </c>
      <c r="I272" s="126" t="s">
        <v>1053</v>
      </c>
      <c r="J272" s="126" t="s">
        <v>990</v>
      </c>
      <c r="K272" s="127">
        <v>43389</v>
      </c>
      <c r="L272" s="128"/>
      <c r="M272" s="128">
        <v>3.7</v>
      </c>
      <c r="N272" s="126">
        <v>5.1020000000000003</v>
      </c>
      <c r="O272" s="126" t="s">
        <v>950</v>
      </c>
      <c r="P272" s="129" t="s">
        <v>958</v>
      </c>
      <c r="Q272" s="129" t="s">
        <v>959</v>
      </c>
      <c r="R272" s="126" t="s">
        <v>24</v>
      </c>
      <c r="S272" s="126"/>
      <c r="T272" s="130" t="s">
        <v>861</v>
      </c>
      <c r="U272" s="126"/>
      <c r="V272" s="130" t="s">
        <v>861</v>
      </c>
      <c r="W272" s="126"/>
      <c r="X272" s="130" t="s">
        <v>120</v>
      </c>
      <c r="Y272" s="126" t="s">
        <v>1058</v>
      </c>
      <c r="Z272" s="165" t="s">
        <v>861</v>
      </c>
      <c r="AA272" s="158"/>
      <c r="AB272" s="158"/>
      <c r="AC272" s="170"/>
      <c r="AD272" s="126"/>
      <c r="AE272" s="130" t="s">
        <v>861</v>
      </c>
      <c r="AF272" s="127"/>
      <c r="AG272" s="131"/>
      <c r="AH272" s="131"/>
      <c r="AI272" s="126"/>
      <c r="AJ272" s="130" t="s">
        <v>861</v>
      </c>
      <c r="AK272" s="126"/>
      <c r="AL272" s="126"/>
      <c r="AM272" s="130"/>
      <c r="AN272" s="126"/>
      <c r="AO272" s="132"/>
      <c r="AP272" s="126"/>
      <c r="AQ272" s="126"/>
      <c r="AR272" s="130"/>
      <c r="AS272" s="126"/>
      <c r="AT272" s="127">
        <v>43420.4857730324</v>
      </c>
      <c r="AU272" s="127"/>
      <c r="AV272" s="127"/>
      <c r="AW272" s="127"/>
      <c r="AX272" s="127"/>
      <c r="AY272" s="127"/>
      <c r="AZ272" s="133">
        <v>43420.4857730324</v>
      </c>
      <c r="BA272" s="134">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B272" s="135">
        <f>COUNTIFS(_05preva_view43[Site ID],_05preva_view43[[#This Row],[Site ID]],_05preva_view43[Prevalidation Status],"Under Prevalidation")</f>
        <v>0</v>
      </c>
      <c r="BC272" s="157" t="e">
        <f ca="1">HYPERLINK(CheckPath(_05preva_view43[[#This Row],[File Path]],_05preva_view43[[#This Row],[File Path]],_05preva_view43[[#This Row],[Folder Path3]]),CheckPath(_05preva_view43[[#This Row],[File Path]],"Open File","No File"))</f>
        <v>#VALUE!</v>
      </c>
      <c r="BD272" s="136" t="str">
        <f>CONCATENATE(_05preva_view43[[#This Row],[Site ID]]," (",_05preva_view43[[#This Row],[tenant id]],") Application",IF(_05preva_view43[[#This Row],[Colo Rev]]&gt;0," Rev "&amp;_05preva_view43[[#This Row],[Colo Rev]],""),".xlsx")</f>
        <v>1-01-01009-013 (KCN00152) Application Rev 3.xlsx</v>
      </c>
      <c r="BE272" s="64" t="e">
        <f t="shared" ref="BE272:BE335" ca="1" si="6">FIND("Process &amp; Database\",CELL("filename",$A$1))</f>
        <v>#VALUE!</v>
      </c>
      <c r="BF272" s="104" t="e">
        <f ca="1">LEFT(CELL("filename",A257),_05preva_view43[[#This Row],[Find Process &amp; Database]]-1)</f>
        <v>#VALUE!</v>
      </c>
      <c r="BG272" s="104" t="e">
        <f ca="1">_05preva_view43[Folder Path1]&amp;"Process &amp; Database\Documentation\Colo Applications"</f>
        <v>#VALUE!</v>
      </c>
      <c r="BH272" s="104" t="e">
        <f ca="1">_05preva_view43[Folder Path2]&amp;"\Colo App "&amp;_05preva_view43[[#This Row],[Operator]]&amp;"\"</f>
        <v>#VALUE!</v>
      </c>
      <c r="BI272" s="63" t="e">
        <f ca="1">_05preva_view43[[#This Row],[Folder Path3]]&amp;_05preva_view43[[#This Row],[File Name]]</f>
        <v>#VALUE!</v>
      </c>
      <c r="BJ272" s="104"/>
      <c r="BK272" s="3"/>
      <c r="BL272" s="3"/>
      <c r="CJ272" s="5"/>
      <c r="CK272" s="5"/>
      <c r="CL272" s="3"/>
      <c r="CN272" s="5"/>
      <c r="CR272" s="3"/>
      <c r="CS272" s="3"/>
      <c r="CT272" s="5"/>
      <c r="CV272" s="3"/>
      <c r="DR272" s="5"/>
      <c r="DT272" s="3"/>
      <c r="EF272" s="7"/>
      <c r="EG272" s="7"/>
      <c r="EJ272" s="4"/>
      <c r="EK272" s="4"/>
      <c r="EU272" s="2"/>
      <c r="EV272" s="2"/>
    </row>
    <row r="273" spans="1:152">
      <c r="A273" s="125">
        <v>3352</v>
      </c>
      <c r="B273" s="126" t="s">
        <v>946</v>
      </c>
      <c r="C273" s="126" t="s">
        <v>331</v>
      </c>
      <c r="D273" s="126" t="s">
        <v>127</v>
      </c>
      <c r="E273" s="126" t="s">
        <v>947</v>
      </c>
      <c r="F273" s="126" t="s">
        <v>35</v>
      </c>
      <c r="G273" s="126" t="s">
        <v>1583</v>
      </c>
      <c r="H273" s="126" t="s">
        <v>1575</v>
      </c>
      <c r="I273" s="126" t="s">
        <v>948</v>
      </c>
      <c r="J273" s="126" t="s">
        <v>949</v>
      </c>
      <c r="K273" s="127">
        <v>43388</v>
      </c>
      <c r="L273" s="128"/>
      <c r="M273" s="128">
        <v>1.4</v>
      </c>
      <c r="N273" s="126">
        <v>5.24</v>
      </c>
      <c r="O273" s="126" t="s">
        <v>950</v>
      </c>
      <c r="P273" s="129" t="s">
        <v>833</v>
      </c>
      <c r="Q273" s="129" t="s">
        <v>951</v>
      </c>
      <c r="R273" s="126" t="s">
        <v>24</v>
      </c>
      <c r="S273" s="126"/>
      <c r="T273" s="130" t="s">
        <v>861</v>
      </c>
      <c r="U273" s="126"/>
      <c r="V273" s="130" t="s">
        <v>861</v>
      </c>
      <c r="W273" s="126"/>
      <c r="X273" s="130" t="s">
        <v>120</v>
      </c>
      <c r="Y273" s="126" t="s">
        <v>952</v>
      </c>
      <c r="Z273" s="165" t="s">
        <v>120</v>
      </c>
      <c r="AA273" s="158"/>
      <c r="AB273" s="158"/>
      <c r="AC273" s="170" t="s">
        <v>123</v>
      </c>
      <c r="AD273" s="126" t="s">
        <v>953</v>
      </c>
      <c r="AE273" s="130" t="s">
        <v>861</v>
      </c>
      <c r="AF273" s="127"/>
      <c r="AG273" s="131"/>
      <c r="AH273" s="131"/>
      <c r="AI273" s="126"/>
      <c r="AJ273" s="130" t="s">
        <v>861</v>
      </c>
      <c r="AK273" s="126"/>
      <c r="AL273" s="126"/>
      <c r="AM273" s="130"/>
      <c r="AN273" s="126"/>
      <c r="AO273" s="132"/>
      <c r="AP273" s="126"/>
      <c r="AQ273" s="126"/>
      <c r="AR273" s="130"/>
      <c r="AS273" s="126"/>
      <c r="AT273" s="127"/>
      <c r="AU273" s="127"/>
      <c r="AV273" s="127"/>
      <c r="AW273" s="127"/>
      <c r="AX273" s="127"/>
      <c r="AY273" s="127"/>
      <c r="AZ273" s="133">
        <v>43388</v>
      </c>
      <c r="BA27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3" s="135">
        <f>COUNTIFS(_05preva_view43[Site ID],_05preva_view43[[#This Row],[Site ID]],_05preva_view43[Prevalidation Status],"Under Prevalidation")</f>
        <v>0</v>
      </c>
      <c r="BC273" s="157" t="e">
        <f ca="1">HYPERLINK(CheckPath(_05preva_view43[[#This Row],[File Path]],_05preva_view43[[#This Row],[File Path]],_05preva_view43[[#This Row],[Folder Path3]]),CheckPath(_05preva_view43[[#This Row],[File Path]],"Open File","No File"))</f>
        <v>#VALUE!</v>
      </c>
      <c r="BD273" s="136" t="str">
        <f>CONCATENATE(_05preva_view43[[#This Row],[Site ID]]," (",_05preva_view43[[#This Row],[tenant id]],") Application",IF(_05preva_view43[[#This Row],[Colo Rev]]&gt;0," Rev "&amp;_05preva_view43[[#This Row],[Colo Rev]],""),".xlsx")</f>
        <v>1-01-05027-002 (SGG00113) Application Rev 2.xlsx</v>
      </c>
      <c r="BE273" s="64" t="e">
        <f t="shared" ca="1" si="6"/>
        <v>#VALUE!</v>
      </c>
      <c r="BF273" s="104" t="e">
        <f ca="1">LEFT(CELL("filename",A258),_05preva_view43[[#This Row],[Find Process &amp; Database]]-1)</f>
        <v>#VALUE!</v>
      </c>
      <c r="BG273" s="104" t="e">
        <f ca="1">_05preva_view43[Folder Path1]&amp;"Process &amp; Database\Documentation\Colo Applications"</f>
        <v>#VALUE!</v>
      </c>
      <c r="BH273" s="104" t="e">
        <f ca="1">_05preva_view43[Folder Path2]&amp;"\Colo App "&amp;_05preva_view43[[#This Row],[Operator]]&amp;"\"</f>
        <v>#VALUE!</v>
      </c>
      <c r="BI273" s="63" t="e">
        <f ca="1">_05preva_view43[[#This Row],[Folder Path3]]&amp;_05preva_view43[[#This Row],[File Name]]</f>
        <v>#VALUE!</v>
      </c>
      <c r="BJ273" s="104"/>
      <c r="BK273" s="3"/>
      <c r="BL273" s="3"/>
      <c r="CJ273" s="5"/>
      <c r="CK273" s="5"/>
      <c r="CL273" s="3"/>
      <c r="CN273" s="5"/>
      <c r="CR273" s="3"/>
      <c r="CS273" s="3"/>
      <c r="CT273" s="5"/>
      <c r="CV273" s="3"/>
      <c r="DR273" s="5"/>
      <c r="DT273" s="3"/>
      <c r="EF273" s="7"/>
      <c r="EG273" s="7"/>
      <c r="EJ273" s="4"/>
      <c r="EK273" s="4"/>
      <c r="EU273" s="2"/>
      <c r="EV273" s="2"/>
    </row>
    <row r="274" spans="1:152">
      <c r="A274" s="125">
        <v>3353</v>
      </c>
      <c r="B274" s="126" t="s">
        <v>954</v>
      </c>
      <c r="C274" s="126" t="s">
        <v>331</v>
      </c>
      <c r="D274" s="126" t="s">
        <v>117</v>
      </c>
      <c r="E274" s="126" t="s">
        <v>955</v>
      </c>
      <c r="F274" s="126" t="s">
        <v>35</v>
      </c>
      <c r="G274" s="126" t="s">
        <v>1583</v>
      </c>
      <c r="H274" s="126" t="s">
        <v>1575</v>
      </c>
      <c r="I274" s="126" t="s">
        <v>956</v>
      </c>
      <c r="J274" s="126" t="s">
        <v>957</v>
      </c>
      <c r="K274" s="127">
        <v>43388</v>
      </c>
      <c r="L274" s="128"/>
      <c r="M274" s="128">
        <v>4.3</v>
      </c>
      <c r="N274" s="126">
        <v>4.55</v>
      </c>
      <c r="O274" s="126" t="s">
        <v>950</v>
      </c>
      <c r="P274" s="129" t="s">
        <v>958</v>
      </c>
      <c r="Q274" s="129" t="s">
        <v>959</v>
      </c>
      <c r="R274" s="126" t="s">
        <v>24</v>
      </c>
      <c r="S274" s="126"/>
      <c r="T274" s="130" t="s">
        <v>861</v>
      </c>
      <c r="U274" s="126"/>
      <c r="V274" s="130" t="s">
        <v>861</v>
      </c>
      <c r="W274" s="126"/>
      <c r="X274" s="130" t="s">
        <v>120</v>
      </c>
      <c r="Y274" s="126" t="s">
        <v>960</v>
      </c>
      <c r="Z274" s="165" t="s">
        <v>120</v>
      </c>
      <c r="AA274" s="158"/>
      <c r="AB274" s="158"/>
      <c r="AC274" s="170" t="s">
        <v>123</v>
      </c>
      <c r="AD274" s="126" t="s">
        <v>961</v>
      </c>
      <c r="AE274" s="130" t="s">
        <v>861</v>
      </c>
      <c r="AF274" s="127"/>
      <c r="AG274" s="131"/>
      <c r="AH274" s="131"/>
      <c r="AI274" s="126"/>
      <c r="AJ274" s="130" t="s">
        <v>861</v>
      </c>
      <c r="AK274" s="126"/>
      <c r="AL274" s="126"/>
      <c r="AM274" s="130"/>
      <c r="AN274" s="126"/>
      <c r="AO274" s="132"/>
      <c r="AP274" s="126"/>
      <c r="AQ274" s="126"/>
      <c r="AR274" s="130"/>
      <c r="AS274" s="126"/>
      <c r="AT274" s="127"/>
      <c r="AU274" s="127"/>
      <c r="AV274" s="127"/>
      <c r="AW274" s="127"/>
      <c r="AX274" s="127"/>
      <c r="AY274" s="127"/>
      <c r="AZ274" s="133">
        <v>43388</v>
      </c>
      <c r="BA27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4" s="135">
        <f>COUNTIFS(_05preva_view43[Site ID],_05preva_view43[[#This Row],[Site ID]],_05preva_view43[Prevalidation Status],"Under Prevalidation")</f>
        <v>0</v>
      </c>
      <c r="BC274" s="157" t="e">
        <f ca="1">HYPERLINK(CheckPath(_05preva_view43[[#This Row],[File Path]],_05preva_view43[[#This Row],[File Path]],_05preva_view43[[#This Row],[Folder Path3]]),CheckPath(_05preva_view43[[#This Row],[File Path]],"Open File","No File"))</f>
        <v>#VALUE!</v>
      </c>
      <c r="BD274" s="136" t="str">
        <f>CONCATENATE(_05preva_view43[[#This Row],[Site ID]]," (",_05preva_view43[[#This Row],[tenant id]],") Application",IF(_05preva_view43[[#This Row],[Colo Rev]]&gt;0," Rev "&amp;_05preva_view43[[#This Row],[Colo Rev]],""),".xlsx")</f>
        <v>1-01-16011-001 (SHE00089) Application Rev 4.xlsx</v>
      </c>
      <c r="BE274" s="64" t="e">
        <f t="shared" ca="1" si="6"/>
        <v>#VALUE!</v>
      </c>
      <c r="BF274" s="104" t="e">
        <f ca="1">LEFT(CELL("filename",A259),_05preva_view43[[#This Row],[Find Process &amp; Database]]-1)</f>
        <v>#VALUE!</v>
      </c>
      <c r="BG274" s="104" t="e">
        <f ca="1">_05preva_view43[Folder Path1]&amp;"Process &amp; Database\Documentation\Colo Applications"</f>
        <v>#VALUE!</v>
      </c>
      <c r="BH274" s="104" t="e">
        <f ca="1">_05preva_view43[Folder Path2]&amp;"\Colo App "&amp;_05preva_view43[[#This Row],[Operator]]&amp;"\"</f>
        <v>#VALUE!</v>
      </c>
      <c r="BI274" s="63" t="e">
        <f ca="1">_05preva_view43[[#This Row],[Folder Path3]]&amp;_05preva_view43[[#This Row],[File Name]]</f>
        <v>#VALUE!</v>
      </c>
      <c r="BJ274" s="104"/>
      <c r="BK274" s="3"/>
      <c r="BL274" s="3"/>
      <c r="CJ274" s="5"/>
      <c r="CK274" s="5"/>
      <c r="CL274" s="3"/>
      <c r="CN274" s="5"/>
      <c r="CR274" s="3"/>
      <c r="CS274" s="3"/>
      <c r="CT274" s="5"/>
      <c r="CV274" s="3"/>
      <c r="DR274" s="5"/>
      <c r="DT274" s="3"/>
      <c r="EF274" s="7"/>
      <c r="EG274" s="7"/>
      <c r="EJ274" s="4"/>
      <c r="EK274" s="4"/>
      <c r="EU274" s="2"/>
      <c r="EV274" s="2"/>
    </row>
    <row r="275" spans="1:152">
      <c r="A275" s="125">
        <v>3354</v>
      </c>
      <c r="B275" s="126" t="s">
        <v>962</v>
      </c>
      <c r="C275" s="126" t="s">
        <v>331</v>
      </c>
      <c r="D275" s="126" t="s">
        <v>117</v>
      </c>
      <c r="E275" s="126" t="s">
        <v>963</v>
      </c>
      <c r="F275" s="126" t="s">
        <v>35</v>
      </c>
      <c r="G275" s="126" t="s">
        <v>1583</v>
      </c>
      <c r="H275" s="126" t="s">
        <v>1575</v>
      </c>
      <c r="I275" s="126" t="s">
        <v>956</v>
      </c>
      <c r="J275" s="126" t="s">
        <v>957</v>
      </c>
      <c r="K275" s="127">
        <v>43388</v>
      </c>
      <c r="L275" s="128"/>
      <c r="M275" s="128">
        <v>3.4</v>
      </c>
      <c r="N275" s="126">
        <v>3.59</v>
      </c>
      <c r="O275" s="126" t="s">
        <v>950</v>
      </c>
      <c r="P275" s="129" t="s">
        <v>958</v>
      </c>
      <c r="Q275" s="129" t="s">
        <v>959</v>
      </c>
      <c r="R275" s="126" t="s">
        <v>24</v>
      </c>
      <c r="S275" s="126"/>
      <c r="T275" s="130" t="s">
        <v>861</v>
      </c>
      <c r="U275" s="126"/>
      <c r="V275" s="130" t="s">
        <v>861</v>
      </c>
      <c r="W275" s="126"/>
      <c r="X275" s="130" t="s">
        <v>120</v>
      </c>
      <c r="Y275" s="126" t="s">
        <v>964</v>
      </c>
      <c r="Z275" s="165" t="s">
        <v>120</v>
      </c>
      <c r="AA275" s="158"/>
      <c r="AB275" s="158"/>
      <c r="AC275" s="170" t="s">
        <v>123</v>
      </c>
      <c r="AD275" s="126" t="s">
        <v>965</v>
      </c>
      <c r="AE275" s="130" t="s">
        <v>861</v>
      </c>
      <c r="AF275" s="127"/>
      <c r="AG275" s="131"/>
      <c r="AH275" s="131"/>
      <c r="AI275" s="126"/>
      <c r="AJ275" s="130" t="s">
        <v>861</v>
      </c>
      <c r="AK275" s="126"/>
      <c r="AL275" s="126"/>
      <c r="AM275" s="130"/>
      <c r="AN275" s="126"/>
      <c r="AO275" s="132"/>
      <c r="AP275" s="126"/>
      <c r="AQ275" s="126"/>
      <c r="AR275" s="130"/>
      <c r="AS275" s="126"/>
      <c r="AT275" s="127"/>
      <c r="AU275" s="127"/>
      <c r="AV275" s="127"/>
      <c r="AW275" s="127"/>
      <c r="AX275" s="127"/>
      <c r="AY275" s="127"/>
      <c r="AZ275" s="133">
        <v>43388</v>
      </c>
      <c r="BA27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5" s="135">
        <f>COUNTIFS(_05preva_view43[Site ID],_05preva_view43[[#This Row],[Site ID]],_05preva_view43[Prevalidation Status],"Under Prevalidation")</f>
        <v>0</v>
      </c>
      <c r="BC275" s="157" t="e">
        <f ca="1">HYPERLINK(CheckPath(_05preva_view43[[#This Row],[File Path]],_05preva_view43[[#This Row],[File Path]],_05preva_view43[[#This Row],[Folder Path3]]),CheckPath(_05preva_view43[[#This Row],[File Path]],"Open File","No File"))</f>
        <v>#VALUE!</v>
      </c>
      <c r="BD275" s="136" t="str">
        <f>CONCATENATE(_05preva_view43[[#This Row],[Site ID]]," (",_05preva_view43[[#This Row],[tenant id]],") Application",IF(_05preva_view43[[#This Row],[Colo Rev]]&gt;0," Rev "&amp;_05preva_view43[[#This Row],[Colo Rev]],""),".xlsx")</f>
        <v>1-01-14003-002 (SHS00117) Application Rev 4.xlsx</v>
      </c>
      <c r="BE275" s="64" t="e">
        <f t="shared" ca="1" si="6"/>
        <v>#VALUE!</v>
      </c>
      <c r="BF275" s="104" t="e">
        <f ca="1">LEFT(CELL("filename",A260),_05preva_view43[[#This Row],[Find Process &amp; Database]]-1)</f>
        <v>#VALUE!</v>
      </c>
      <c r="BG275" s="104" t="e">
        <f ca="1">_05preva_view43[Folder Path1]&amp;"Process &amp; Database\Documentation\Colo Applications"</f>
        <v>#VALUE!</v>
      </c>
      <c r="BH275" s="104" t="e">
        <f ca="1">_05preva_view43[Folder Path2]&amp;"\Colo App "&amp;_05preva_view43[[#This Row],[Operator]]&amp;"\"</f>
        <v>#VALUE!</v>
      </c>
      <c r="BI275" s="63" t="e">
        <f ca="1">_05preva_view43[[#This Row],[Folder Path3]]&amp;_05preva_view43[[#This Row],[File Name]]</f>
        <v>#VALUE!</v>
      </c>
      <c r="BJ275" s="104"/>
      <c r="BK275" s="3"/>
      <c r="BL275" s="3"/>
      <c r="CJ275" s="5"/>
      <c r="CK275" s="5"/>
      <c r="CL275" s="3"/>
      <c r="CN275" s="5"/>
      <c r="CR275" s="3"/>
      <c r="CS275" s="3"/>
      <c r="CT275" s="5"/>
      <c r="CV275" s="3"/>
      <c r="DR275" s="5"/>
      <c r="DT275" s="3"/>
      <c r="EF275" s="7"/>
      <c r="EG275" s="7"/>
      <c r="EJ275" s="4"/>
      <c r="EK275" s="4"/>
      <c r="EU275" s="2"/>
      <c r="EV275" s="2"/>
    </row>
    <row r="276" spans="1:152">
      <c r="A276" s="125">
        <v>3355</v>
      </c>
      <c r="B276" s="126" t="s">
        <v>966</v>
      </c>
      <c r="C276" s="126" t="s">
        <v>331</v>
      </c>
      <c r="D276" s="126" t="s">
        <v>117</v>
      </c>
      <c r="E276" s="126" t="s">
        <v>967</v>
      </c>
      <c r="F276" s="126" t="s">
        <v>35</v>
      </c>
      <c r="G276" s="126" t="s">
        <v>1583</v>
      </c>
      <c r="H276" s="126" t="s">
        <v>1575</v>
      </c>
      <c r="I276" s="126" t="s">
        <v>956</v>
      </c>
      <c r="J276" s="126" t="s">
        <v>949</v>
      </c>
      <c r="K276" s="127">
        <v>43388</v>
      </c>
      <c r="L276" s="128"/>
      <c r="M276" s="128">
        <v>3.9</v>
      </c>
      <c r="N276" s="126">
        <v>3.37</v>
      </c>
      <c r="O276" s="126" t="s">
        <v>950</v>
      </c>
      <c r="P276" s="129" t="s">
        <v>968</v>
      </c>
      <c r="Q276" s="129" t="s">
        <v>969</v>
      </c>
      <c r="R276" s="126" t="s">
        <v>24</v>
      </c>
      <c r="S276" s="126"/>
      <c r="T276" s="130" t="s">
        <v>861</v>
      </c>
      <c r="U276" s="126"/>
      <c r="V276" s="130" t="s">
        <v>861</v>
      </c>
      <c r="W276" s="126"/>
      <c r="X276" s="130" t="s">
        <v>120</v>
      </c>
      <c r="Y276" s="126" t="s">
        <v>970</v>
      </c>
      <c r="Z276" s="165" t="s">
        <v>120</v>
      </c>
      <c r="AA276" s="158"/>
      <c r="AB276" s="158"/>
      <c r="AC276" s="170" t="s">
        <v>123</v>
      </c>
      <c r="AD276" s="126" t="s">
        <v>971</v>
      </c>
      <c r="AE276" s="130" t="s">
        <v>861</v>
      </c>
      <c r="AF276" s="127"/>
      <c r="AG276" s="131"/>
      <c r="AH276" s="131"/>
      <c r="AI276" s="126"/>
      <c r="AJ276" s="130" t="s">
        <v>861</v>
      </c>
      <c r="AK276" s="126"/>
      <c r="AL276" s="126"/>
      <c r="AM276" s="130"/>
      <c r="AN276" s="126"/>
      <c r="AO276" s="132"/>
      <c r="AP276" s="126"/>
      <c r="AQ276" s="126"/>
      <c r="AR276" s="130"/>
      <c r="AS276" s="126"/>
      <c r="AT276" s="127"/>
      <c r="AU276" s="127"/>
      <c r="AV276" s="127"/>
      <c r="AW276" s="127"/>
      <c r="AX276" s="127"/>
      <c r="AY276" s="127"/>
      <c r="AZ276" s="133">
        <v>43388</v>
      </c>
      <c r="BA27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6" s="135">
        <f>COUNTIFS(_05preva_view43[Site ID],_05preva_view43[[#This Row],[Site ID]],_05preva_view43[Prevalidation Status],"Under Prevalidation")</f>
        <v>0</v>
      </c>
      <c r="BC276" s="157" t="e">
        <f ca="1">HYPERLINK(CheckPath(_05preva_view43[[#This Row],[File Path]],_05preva_view43[[#This Row],[File Path]],_05preva_view43[[#This Row],[Folder Path3]]),CheckPath(_05preva_view43[[#This Row],[File Path]],"Open File","No File"))</f>
        <v>#VALUE!</v>
      </c>
      <c r="BD276" s="136" t="str">
        <f>CONCATENATE(_05preva_view43[[#This Row],[Site ID]]," (",_05preva_view43[[#This Row],[tenant id]],") Application",IF(_05preva_view43[[#This Row],[Colo Rev]]&gt;0," Rev "&amp;_05preva_view43[[#This Row],[Colo Rev]],""),".xlsx")</f>
        <v>1-01-14013-002 (SHS00185) Application Rev 2.xlsx</v>
      </c>
      <c r="BE276" s="64" t="e">
        <f t="shared" ca="1" si="6"/>
        <v>#VALUE!</v>
      </c>
      <c r="BF276" s="104" t="e">
        <f ca="1">LEFT(CELL("filename",A261),_05preva_view43[[#This Row],[Find Process &amp; Database]]-1)</f>
        <v>#VALUE!</v>
      </c>
      <c r="BG276" s="104" t="e">
        <f ca="1">_05preva_view43[Folder Path1]&amp;"Process &amp; Database\Documentation\Colo Applications"</f>
        <v>#VALUE!</v>
      </c>
      <c r="BH276" s="104" t="e">
        <f ca="1">_05preva_view43[Folder Path2]&amp;"\Colo App "&amp;_05preva_view43[[#This Row],[Operator]]&amp;"\"</f>
        <v>#VALUE!</v>
      </c>
      <c r="BI276" s="63" t="e">
        <f ca="1">_05preva_view43[[#This Row],[Folder Path3]]&amp;_05preva_view43[[#This Row],[File Name]]</f>
        <v>#VALUE!</v>
      </c>
      <c r="BJ276" s="104"/>
      <c r="BK276" s="3"/>
      <c r="BL276" s="3"/>
      <c r="CJ276" s="5"/>
      <c r="CK276" s="5"/>
      <c r="CL276" s="3"/>
      <c r="CN276" s="5"/>
      <c r="CR276" s="3"/>
      <c r="CS276" s="3"/>
      <c r="CT276" s="5"/>
      <c r="CV276" s="3"/>
      <c r="DR276" s="5"/>
      <c r="DT276" s="3"/>
      <c r="EF276" s="7"/>
      <c r="EG276" s="7"/>
      <c r="EJ276" s="4"/>
      <c r="EK276" s="4"/>
      <c r="EU276" s="2"/>
      <c r="EV276" s="2"/>
    </row>
    <row r="277" spans="1:152">
      <c r="A277" s="125">
        <v>3356</v>
      </c>
      <c r="B277" s="126" t="s">
        <v>972</v>
      </c>
      <c r="C277" s="126" t="s">
        <v>331</v>
      </c>
      <c r="D277" s="126" t="s">
        <v>163</v>
      </c>
      <c r="E277" s="126" t="s">
        <v>973</v>
      </c>
      <c r="F277" s="126" t="s">
        <v>35</v>
      </c>
      <c r="G277" s="126" t="s">
        <v>1583</v>
      </c>
      <c r="H277" s="126" t="s">
        <v>1575</v>
      </c>
      <c r="I277" s="126" t="s">
        <v>956</v>
      </c>
      <c r="J277" s="126" t="s">
        <v>957</v>
      </c>
      <c r="K277" s="127">
        <v>43388</v>
      </c>
      <c r="L277" s="128"/>
      <c r="M277" s="128">
        <v>3.3</v>
      </c>
      <c r="N277" s="126">
        <v>4.3099999999999996</v>
      </c>
      <c r="O277" s="126" t="s">
        <v>950</v>
      </c>
      <c r="P277" s="129" t="s">
        <v>958</v>
      </c>
      <c r="Q277" s="129" t="s">
        <v>959</v>
      </c>
      <c r="R277" s="126" t="s">
        <v>24</v>
      </c>
      <c r="S277" s="126"/>
      <c r="T277" s="130" t="s">
        <v>861</v>
      </c>
      <c r="U277" s="126"/>
      <c r="V277" s="130" t="s">
        <v>861</v>
      </c>
      <c r="W277" s="126"/>
      <c r="X277" s="130" t="s">
        <v>120</v>
      </c>
      <c r="Y277" s="126" t="s">
        <v>974</v>
      </c>
      <c r="Z277" s="165" t="s">
        <v>120</v>
      </c>
      <c r="AA277" s="158"/>
      <c r="AB277" s="158"/>
      <c r="AC277" s="170" t="s">
        <v>123</v>
      </c>
      <c r="AD277" s="126" t="s">
        <v>975</v>
      </c>
      <c r="AE277" s="130" t="s">
        <v>861</v>
      </c>
      <c r="AF277" s="127"/>
      <c r="AG277" s="131"/>
      <c r="AH277" s="131"/>
      <c r="AI277" s="126"/>
      <c r="AJ277" s="130" t="s">
        <v>861</v>
      </c>
      <c r="AK277" s="126"/>
      <c r="AL277" s="126"/>
      <c r="AM277" s="130"/>
      <c r="AN277" s="126"/>
      <c r="AO277" s="132"/>
      <c r="AP277" s="126"/>
      <c r="AQ277" s="126"/>
      <c r="AR277" s="130"/>
      <c r="AS277" s="126"/>
      <c r="AT277" s="127"/>
      <c r="AU277" s="127"/>
      <c r="AV277" s="127"/>
      <c r="AW277" s="127"/>
      <c r="AX277" s="127"/>
      <c r="AY277" s="127"/>
      <c r="AZ277" s="133">
        <v>43388</v>
      </c>
      <c r="BA27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7" s="135">
        <f>COUNTIFS(_05preva_view43[Site ID],_05preva_view43[[#This Row],[Site ID]],_05preva_view43[Prevalidation Status],"Under Prevalidation")</f>
        <v>0</v>
      </c>
      <c r="BC277" s="157" t="e">
        <f ca="1">HYPERLINK(CheckPath(_05preva_view43[[#This Row],[File Path]],_05preva_view43[[#This Row],[File Path]],_05preva_view43[[#This Row],[Folder Path3]]),CheckPath(_05preva_view43[[#This Row],[File Path]],"Open File","No File"))</f>
        <v>#VALUE!</v>
      </c>
      <c r="BD277" s="136" t="str">
        <f>CONCATENATE(_05preva_view43[[#This Row],[Site ID]]," (",_05preva_view43[[#This Row],[tenant id]],") Application",IF(_05preva_view43[[#This Row],[Colo Rev]]&gt;0," Rev "&amp;_05preva_view43[[#This Row],[Colo Rev]],""),".xlsx")</f>
        <v>1-01-06008-002 (TNY00033) Application Rev 4.xlsx</v>
      </c>
      <c r="BE277" s="64" t="e">
        <f t="shared" ca="1" si="6"/>
        <v>#VALUE!</v>
      </c>
      <c r="BF277" s="104" t="e">
        <f ca="1">LEFT(CELL("filename",A262),_05preva_view43[[#This Row],[Find Process &amp; Database]]-1)</f>
        <v>#VALUE!</v>
      </c>
      <c r="BG277" s="104" t="e">
        <f ca="1">_05preva_view43[Folder Path1]&amp;"Process &amp; Database\Documentation\Colo Applications"</f>
        <v>#VALUE!</v>
      </c>
      <c r="BH277" s="104" t="e">
        <f ca="1">_05preva_view43[Folder Path2]&amp;"\Colo App "&amp;_05preva_view43[[#This Row],[Operator]]&amp;"\"</f>
        <v>#VALUE!</v>
      </c>
      <c r="BI277" s="63" t="e">
        <f ca="1">_05preva_view43[[#This Row],[Folder Path3]]&amp;_05preva_view43[[#This Row],[File Name]]</f>
        <v>#VALUE!</v>
      </c>
      <c r="BJ277" s="104"/>
      <c r="BK277" s="3"/>
      <c r="BL277" s="3"/>
      <c r="CJ277" s="5"/>
      <c r="CK277" s="5"/>
      <c r="CL277" s="3"/>
      <c r="CN277" s="5"/>
      <c r="CR277" s="3"/>
      <c r="CS277" s="3"/>
      <c r="CT277" s="5"/>
      <c r="CV277" s="3"/>
      <c r="DR277" s="5"/>
      <c r="DT277" s="3"/>
      <c r="EF277" s="7"/>
      <c r="EG277" s="7"/>
      <c r="EJ277" s="4"/>
      <c r="EK277" s="4"/>
      <c r="EU277" s="2"/>
      <c r="EV277" s="2"/>
    </row>
    <row r="278" spans="1:152">
      <c r="A278" s="125">
        <v>3357</v>
      </c>
      <c r="B278" s="126" t="s">
        <v>976</v>
      </c>
      <c r="C278" s="126" t="s">
        <v>331</v>
      </c>
      <c r="D278" s="126" t="s">
        <v>127</v>
      </c>
      <c r="E278" s="126" t="s">
        <v>977</v>
      </c>
      <c r="F278" s="126" t="s">
        <v>35</v>
      </c>
      <c r="G278" s="126" t="s">
        <v>1583</v>
      </c>
      <c r="H278" s="126" t="s">
        <v>1575</v>
      </c>
      <c r="I278" s="126" t="s">
        <v>956</v>
      </c>
      <c r="J278" s="126" t="s">
        <v>949</v>
      </c>
      <c r="K278" s="127">
        <v>43388</v>
      </c>
      <c r="L278" s="128"/>
      <c r="M278" s="128">
        <v>3.5</v>
      </c>
      <c r="N278" s="126">
        <v>4.25</v>
      </c>
      <c r="O278" s="126" t="s">
        <v>950</v>
      </c>
      <c r="P278" s="129" t="s">
        <v>704</v>
      </c>
      <c r="Q278" s="129" t="s">
        <v>705</v>
      </c>
      <c r="R278" s="126" t="s">
        <v>24</v>
      </c>
      <c r="S278" s="126"/>
      <c r="T278" s="130" t="s">
        <v>861</v>
      </c>
      <c r="U278" s="126"/>
      <c r="V278" s="130" t="s">
        <v>861</v>
      </c>
      <c r="W278" s="126"/>
      <c r="X278" s="130" t="s">
        <v>120</v>
      </c>
      <c r="Y278" s="126" t="s">
        <v>978</v>
      </c>
      <c r="Z278" s="165" t="s">
        <v>120</v>
      </c>
      <c r="AA278" s="158"/>
      <c r="AB278" s="158"/>
      <c r="AC278" s="170" t="s">
        <v>123</v>
      </c>
      <c r="AD278" s="126" t="s">
        <v>979</v>
      </c>
      <c r="AE278" s="130" t="s">
        <v>861</v>
      </c>
      <c r="AF278" s="127"/>
      <c r="AG278" s="131"/>
      <c r="AH278" s="131"/>
      <c r="AI278" s="126"/>
      <c r="AJ278" s="130" t="s">
        <v>861</v>
      </c>
      <c r="AK278" s="126"/>
      <c r="AL278" s="126"/>
      <c r="AM278" s="130"/>
      <c r="AN278" s="126"/>
      <c r="AO278" s="132"/>
      <c r="AP278" s="126"/>
      <c r="AQ278" s="126"/>
      <c r="AR278" s="130"/>
      <c r="AS278" s="126"/>
      <c r="AT278" s="127"/>
      <c r="AU278" s="127"/>
      <c r="AV278" s="127"/>
      <c r="AW278" s="127"/>
      <c r="AX278" s="127"/>
      <c r="AY278" s="127"/>
      <c r="AZ278" s="133">
        <v>43388</v>
      </c>
      <c r="BA27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8" s="135">
        <f>COUNTIFS(_05preva_view43[Site ID],_05preva_view43[[#This Row],[Site ID]],_05preva_view43[Prevalidation Status],"Under Prevalidation")</f>
        <v>0</v>
      </c>
      <c r="BC278" s="157" t="e">
        <f ca="1">HYPERLINK(CheckPath(_05preva_view43[[#This Row],[File Path]],_05preva_view43[[#This Row],[File Path]],_05preva_view43[[#This Row],[Folder Path3]]),CheckPath(_05preva_view43[[#This Row],[File Path]],"Open File","No File"))</f>
        <v>#VALUE!</v>
      </c>
      <c r="BD278" s="136" t="str">
        <f>CONCATENATE(_05preva_view43[[#This Row],[Site ID]]," (",_05preva_view43[[#This Row],[tenant id]],") Application",IF(_05preva_view43[[#This Row],[Colo Rev]]&gt;0," Rev "&amp;_05preva_view43[[#This Row],[Colo Rev]],""),".xlsx")</f>
        <v>1-01-01002-007 (KCN00293) Application Rev 2.xlsx</v>
      </c>
      <c r="BE278" s="64" t="e">
        <f t="shared" ca="1" si="6"/>
        <v>#VALUE!</v>
      </c>
      <c r="BF278" s="104" t="e">
        <f ca="1">LEFT(CELL("filename",A263),_05preva_view43[[#This Row],[Find Process &amp; Database]]-1)</f>
        <v>#VALUE!</v>
      </c>
      <c r="BG278" s="104" t="e">
        <f ca="1">_05preva_view43[Folder Path1]&amp;"Process &amp; Database\Documentation\Colo Applications"</f>
        <v>#VALUE!</v>
      </c>
      <c r="BH278" s="104" t="e">
        <f ca="1">_05preva_view43[Folder Path2]&amp;"\Colo App "&amp;_05preva_view43[[#This Row],[Operator]]&amp;"\"</f>
        <v>#VALUE!</v>
      </c>
      <c r="BI278" s="63" t="e">
        <f ca="1">_05preva_view43[[#This Row],[Folder Path3]]&amp;_05preva_view43[[#This Row],[File Name]]</f>
        <v>#VALUE!</v>
      </c>
      <c r="BJ278" s="104"/>
      <c r="BK278" s="3"/>
      <c r="BL278" s="3"/>
      <c r="CJ278" s="5"/>
      <c r="CK278" s="5"/>
      <c r="CL278" s="3"/>
      <c r="CN278" s="5"/>
      <c r="CR278" s="3"/>
      <c r="CS278" s="3"/>
      <c r="CT278" s="5"/>
      <c r="CV278" s="3"/>
      <c r="DR278" s="5"/>
      <c r="DT278" s="3"/>
      <c r="EF278" s="7"/>
      <c r="EG278" s="7"/>
      <c r="EJ278" s="4"/>
      <c r="EK278" s="4"/>
      <c r="EU278" s="2"/>
      <c r="EV278" s="2"/>
    </row>
    <row r="279" spans="1:152">
      <c r="A279" s="125">
        <v>3358</v>
      </c>
      <c r="B279" s="126" t="s">
        <v>980</v>
      </c>
      <c r="C279" s="126" t="s">
        <v>331</v>
      </c>
      <c r="D279" s="126" t="s">
        <v>163</v>
      </c>
      <c r="E279" s="126" t="s">
        <v>981</v>
      </c>
      <c r="F279" s="126" t="s">
        <v>35</v>
      </c>
      <c r="G279" s="126" t="s">
        <v>1583</v>
      </c>
      <c r="H279" s="126" t="s">
        <v>1575</v>
      </c>
      <c r="I279" s="126" t="s">
        <v>956</v>
      </c>
      <c r="J279" s="126" t="s">
        <v>949</v>
      </c>
      <c r="K279" s="127">
        <v>43388</v>
      </c>
      <c r="L279" s="128"/>
      <c r="M279" s="128">
        <v>2.7</v>
      </c>
      <c r="N279" s="126">
        <v>4.97</v>
      </c>
      <c r="O279" s="126" t="s">
        <v>950</v>
      </c>
      <c r="P279" s="129" t="s">
        <v>704</v>
      </c>
      <c r="Q279" s="129" t="s">
        <v>705</v>
      </c>
      <c r="R279" s="126" t="s">
        <v>24</v>
      </c>
      <c r="S279" s="126"/>
      <c r="T279" s="130" t="s">
        <v>861</v>
      </c>
      <c r="U279" s="126"/>
      <c r="V279" s="130" t="s">
        <v>861</v>
      </c>
      <c r="W279" s="126"/>
      <c r="X279" s="130" t="s">
        <v>120</v>
      </c>
      <c r="Y279" s="126" t="s">
        <v>982</v>
      </c>
      <c r="Z279" s="165" t="s">
        <v>120</v>
      </c>
      <c r="AA279" s="158"/>
      <c r="AB279" s="158"/>
      <c r="AC279" s="170" t="s">
        <v>123</v>
      </c>
      <c r="AD279" s="126" t="s">
        <v>983</v>
      </c>
      <c r="AE279" s="130" t="s">
        <v>861</v>
      </c>
      <c r="AF279" s="127"/>
      <c r="AG279" s="131"/>
      <c r="AH279" s="131"/>
      <c r="AI279" s="126"/>
      <c r="AJ279" s="130" t="s">
        <v>861</v>
      </c>
      <c r="AK279" s="126"/>
      <c r="AL279" s="126"/>
      <c r="AM279" s="130"/>
      <c r="AN279" s="126"/>
      <c r="AO279" s="132"/>
      <c r="AP279" s="126"/>
      <c r="AQ279" s="126"/>
      <c r="AR279" s="130"/>
      <c r="AS279" s="126"/>
      <c r="AT279" s="127"/>
      <c r="AU279" s="127"/>
      <c r="AV279" s="127"/>
      <c r="AW279" s="127"/>
      <c r="AX279" s="127"/>
      <c r="AY279" s="127"/>
      <c r="AZ279" s="133">
        <v>43388</v>
      </c>
      <c r="BA27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9" s="135">
        <f>COUNTIFS(_05preva_view43[Site ID],_05preva_view43[[#This Row],[Site ID]],_05preva_view43[Prevalidation Status],"Under Prevalidation")</f>
        <v>0</v>
      </c>
      <c r="BC279" s="157" t="e">
        <f ca="1">HYPERLINK(CheckPath(_05preva_view43[[#This Row],[File Path]],_05preva_view43[[#This Row],[File Path]],_05preva_view43[[#This Row],[Folder Path3]]),CheckPath(_05preva_view43[[#This Row],[File Path]],"Open File","No File"))</f>
        <v>#VALUE!</v>
      </c>
      <c r="BD279" s="136" t="str">
        <f>CONCATENATE(_05preva_view43[[#This Row],[Site ID]]," (",_05preva_view43[[#This Row],[tenant id]],") Application",IF(_05preva_view43[[#This Row],[Colo Rev]]&gt;0," Rev "&amp;_05preva_view43[[#This Row],[Colo Rev]],""),".xlsx")</f>
        <v>1-01-17019-003 (AWD00111) Application Rev 2.xlsx</v>
      </c>
      <c r="BE279" s="64" t="e">
        <f t="shared" ca="1" si="6"/>
        <v>#VALUE!</v>
      </c>
      <c r="BF279" s="104" t="e">
        <f ca="1">LEFT(CELL("filename",A264),_05preva_view43[[#This Row],[Find Process &amp; Database]]-1)</f>
        <v>#VALUE!</v>
      </c>
      <c r="BG279" s="104" t="e">
        <f ca="1">_05preva_view43[Folder Path1]&amp;"Process &amp; Database\Documentation\Colo Applications"</f>
        <v>#VALUE!</v>
      </c>
      <c r="BH279" s="104" t="e">
        <f ca="1">_05preva_view43[Folder Path2]&amp;"\Colo App "&amp;_05preva_view43[[#This Row],[Operator]]&amp;"\"</f>
        <v>#VALUE!</v>
      </c>
      <c r="BI279" s="63" t="e">
        <f ca="1">_05preva_view43[[#This Row],[Folder Path3]]&amp;_05preva_view43[[#This Row],[File Name]]</f>
        <v>#VALUE!</v>
      </c>
      <c r="BJ279" s="104"/>
      <c r="BK279" s="3"/>
      <c r="BL279" s="3"/>
      <c r="CJ279" s="5"/>
      <c r="CK279" s="5"/>
      <c r="CL279" s="3"/>
      <c r="CN279" s="5"/>
      <c r="CR279" s="3"/>
      <c r="CS279" s="3"/>
      <c r="CT279" s="5"/>
      <c r="CV279" s="3"/>
      <c r="DR279" s="5"/>
      <c r="DT279" s="3"/>
      <c r="EF279" s="7"/>
      <c r="EG279" s="7"/>
      <c r="EJ279" s="4"/>
      <c r="EK279" s="4"/>
      <c r="EU279" s="2"/>
      <c r="EV279" s="2"/>
    </row>
    <row r="280" spans="1:152">
      <c r="A280" s="125">
        <v>3359</v>
      </c>
      <c r="B280" s="126" t="s">
        <v>984</v>
      </c>
      <c r="C280" s="126" t="s">
        <v>331</v>
      </c>
      <c r="D280" s="126" t="s">
        <v>127</v>
      </c>
      <c r="E280" s="126" t="s">
        <v>985</v>
      </c>
      <c r="F280" s="126" t="s">
        <v>35</v>
      </c>
      <c r="G280" s="126" t="s">
        <v>1583</v>
      </c>
      <c r="H280" s="126" t="s">
        <v>1575</v>
      </c>
      <c r="I280" s="126" t="s">
        <v>956</v>
      </c>
      <c r="J280" s="126" t="s">
        <v>949</v>
      </c>
      <c r="K280" s="127">
        <v>43388</v>
      </c>
      <c r="L280" s="128"/>
      <c r="M280" s="128">
        <v>2.2999999999999998</v>
      </c>
      <c r="N280" s="126">
        <v>3.11</v>
      </c>
      <c r="O280" s="126" t="s">
        <v>950</v>
      </c>
      <c r="P280" s="129" t="s">
        <v>334</v>
      </c>
      <c r="Q280" s="129" t="s">
        <v>736</v>
      </c>
      <c r="R280" s="126" t="s">
        <v>24</v>
      </c>
      <c r="S280" s="126"/>
      <c r="T280" s="130" t="s">
        <v>861</v>
      </c>
      <c r="U280" s="126"/>
      <c r="V280" s="130" t="s">
        <v>861</v>
      </c>
      <c r="W280" s="126"/>
      <c r="X280" s="130" t="s">
        <v>120</v>
      </c>
      <c r="Y280" s="126" t="s">
        <v>986</v>
      </c>
      <c r="Z280" s="165" t="s">
        <v>120</v>
      </c>
      <c r="AA280" s="158"/>
      <c r="AB280" s="158"/>
      <c r="AC280" s="170" t="s">
        <v>123</v>
      </c>
      <c r="AD280" s="126" t="s">
        <v>987</v>
      </c>
      <c r="AE280" s="130" t="s">
        <v>861</v>
      </c>
      <c r="AF280" s="127"/>
      <c r="AG280" s="131"/>
      <c r="AH280" s="131"/>
      <c r="AI280" s="126"/>
      <c r="AJ280" s="130" t="s">
        <v>861</v>
      </c>
      <c r="AK280" s="126"/>
      <c r="AL280" s="126"/>
      <c r="AM280" s="130"/>
      <c r="AN280" s="126"/>
      <c r="AO280" s="132"/>
      <c r="AP280" s="126"/>
      <c r="AQ280" s="126"/>
      <c r="AR280" s="130"/>
      <c r="AS280" s="126"/>
      <c r="AT280" s="127"/>
      <c r="AU280" s="127"/>
      <c r="AV280" s="127"/>
      <c r="AW280" s="127"/>
      <c r="AX280" s="127"/>
      <c r="AY280" s="127"/>
      <c r="AZ280" s="133">
        <v>43388</v>
      </c>
      <c r="BA28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0" s="135">
        <f>COUNTIFS(_05preva_view43[Site ID],_05preva_view43[[#This Row],[Site ID]],_05preva_view43[Prevalidation Status],"Under Prevalidation")</f>
        <v>0</v>
      </c>
      <c r="BC280" s="157" t="e">
        <f ca="1">HYPERLINK(CheckPath(_05preva_view43[[#This Row],[File Path]],_05preva_view43[[#This Row],[File Path]],_05preva_view43[[#This Row],[Folder Path3]]),CheckPath(_05preva_view43[[#This Row],[File Path]],"Open File","No File"))</f>
        <v>#VALUE!</v>
      </c>
      <c r="BD280" s="136" t="str">
        <f>CONCATENATE(_05preva_view43[[#This Row],[Site ID]]," (",_05preva_view43[[#This Row],[tenant id]],") Application",IF(_05preva_view43[[#This Row],[Colo Rev]]&gt;0," Rev "&amp;_05preva_view43[[#This Row],[Colo Rev]],""),".xlsx")</f>
        <v>1-01-05027-008 (SGG00158) Application Rev 2.xlsx</v>
      </c>
      <c r="BE280" s="64" t="e">
        <f t="shared" ca="1" si="6"/>
        <v>#VALUE!</v>
      </c>
      <c r="BF280" s="104" t="e">
        <f ca="1">LEFT(CELL("filename",A265),_05preva_view43[[#This Row],[Find Process &amp; Database]]-1)</f>
        <v>#VALUE!</v>
      </c>
      <c r="BG280" s="104" t="e">
        <f ca="1">_05preva_view43[Folder Path1]&amp;"Process &amp; Database\Documentation\Colo Applications"</f>
        <v>#VALUE!</v>
      </c>
      <c r="BH280" s="104" t="e">
        <f ca="1">_05preva_view43[Folder Path2]&amp;"\Colo App "&amp;_05preva_view43[[#This Row],[Operator]]&amp;"\"</f>
        <v>#VALUE!</v>
      </c>
      <c r="BI280" s="63" t="e">
        <f ca="1">_05preva_view43[[#This Row],[Folder Path3]]&amp;_05preva_view43[[#This Row],[File Name]]</f>
        <v>#VALUE!</v>
      </c>
      <c r="BJ280" s="104"/>
      <c r="BK280" s="3"/>
      <c r="BL280" s="3"/>
      <c r="CJ280" s="5"/>
      <c r="CK280" s="5"/>
      <c r="CL280" s="3"/>
      <c r="CN280" s="5"/>
      <c r="CR280" s="3"/>
      <c r="CS280" s="3"/>
      <c r="CT280" s="5"/>
      <c r="CV280" s="3"/>
      <c r="DR280" s="5"/>
      <c r="DT280" s="3"/>
      <c r="EF280" s="7"/>
      <c r="EG280" s="7"/>
      <c r="EJ280" s="4"/>
      <c r="EK280" s="4"/>
      <c r="EU280" s="2"/>
      <c r="EV280" s="2"/>
    </row>
    <row r="281" spans="1:152">
      <c r="A281" s="125">
        <v>3360</v>
      </c>
      <c r="B281" s="126" t="s">
        <v>988</v>
      </c>
      <c r="C281" s="126" t="s">
        <v>331</v>
      </c>
      <c r="D281" s="126" t="s">
        <v>127</v>
      </c>
      <c r="E281" s="126" t="s">
        <v>989</v>
      </c>
      <c r="F281" s="126" t="s">
        <v>35</v>
      </c>
      <c r="G281" s="126" t="s">
        <v>1583</v>
      </c>
      <c r="H281" s="126" t="s">
        <v>1575</v>
      </c>
      <c r="I281" s="126" t="s">
        <v>956</v>
      </c>
      <c r="J281" s="126" t="s">
        <v>990</v>
      </c>
      <c r="K281" s="127">
        <v>43388</v>
      </c>
      <c r="L281" s="128"/>
      <c r="M281" s="128">
        <v>2.64</v>
      </c>
      <c r="N281" s="126">
        <v>6.53</v>
      </c>
      <c r="O281" s="126" t="s">
        <v>950</v>
      </c>
      <c r="P281" s="129" t="s">
        <v>958</v>
      </c>
      <c r="Q281" s="129" t="s">
        <v>959</v>
      </c>
      <c r="R281" s="126" t="s">
        <v>24</v>
      </c>
      <c r="S281" s="126"/>
      <c r="T281" s="130" t="s">
        <v>861</v>
      </c>
      <c r="U281" s="126"/>
      <c r="V281" s="130" t="s">
        <v>861</v>
      </c>
      <c r="W281" s="126"/>
      <c r="X281" s="130" t="s">
        <v>120</v>
      </c>
      <c r="Y281" s="126" t="s">
        <v>991</v>
      </c>
      <c r="Z281" s="165" t="s">
        <v>120</v>
      </c>
      <c r="AA281" s="158"/>
      <c r="AB281" s="158"/>
      <c r="AC281" s="170" t="s">
        <v>123</v>
      </c>
      <c r="AD281" s="126" t="s">
        <v>992</v>
      </c>
      <c r="AE281" s="130" t="s">
        <v>861</v>
      </c>
      <c r="AF281" s="127"/>
      <c r="AG281" s="131"/>
      <c r="AH281" s="131"/>
      <c r="AI281" s="126"/>
      <c r="AJ281" s="130" t="s">
        <v>861</v>
      </c>
      <c r="AK281" s="126"/>
      <c r="AL281" s="126"/>
      <c r="AM281" s="130"/>
      <c r="AN281" s="126"/>
      <c r="AO281" s="132"/>
      <c r="AP281" s="126"/>
      <c r="AQ281" s="126"/>
      <c r="AR281" s="130"/>
      <c r="AS281" s="126"/>
      <c r="AT281" s="127"/>
      <c r="AU281" s="127"/>
      <c r="AV281" s="127"/>
      <c r="AW281" s="127"/>
      <c r="AX281" s="127"/>
      <c r="AY281" s="127"/>
      <c r="AZ281" s="133">
        <v>43388</v>
      </c>
      <c r="BA28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1" s="135">
        <f>COUNTIFS(_05preva_view43[Site ID],_05preva_view43[[#This Row],[Site ID]],_05preva_view43[Prevalidation Status],"Under Prevalidation")</f>
        <v>0</v>
      </c>
      <c r="BC281" s="157" t="e">
        <f ca="1">HYPERLINK(CheckPath(_05preva_view43[[#This Row],[File Path]],_05preva_view43[[#This Row],[File Path]],_05preva_view43[[#This Row],[Folder Path3]]),CheckPath(_05preva_view43[[#This Row],[File Path]],"Open File","No File"))</f>
        <v>#VALUE!</v>
      </c>
      <c r="BD281" s="136" t="str">
        <f>CONCATENATE(_05preva_view43[[#This Row],[Site ID]]," (",_05preva_view43[[#This Row],[tenant id]],") Application",IF(_05preva_view43[[#This Row],[Colo Rev]]&gt;0," Rev "&amp;_05preva_view43[[#This Row],[Colo Rev]],""),".xlsx")</f>
        <v>1-01-05011-006 (SGG00544) Application Rev 3.xlsx</v>
      </c>
      <c r="BE281" s="64" t="e">
        <f t="shared" ca="1" si="6"/>
        <v>#VALUE!</v>
      </c>
      <c r="BF281" s="104" t="e">
        <f ca="1">LEFT(CELL("filename",A266),_05preva_view43[[#This Row],[Find Process &amp; Database]]-1)</f>
        <v>#VALUE!</v>
      </c>
      <c r="BG281" s="104" t="e">
        <f ca="1">_05preva_view43[Folder Path1]&amp;"Process &amp; Database\Documentation\Colo Applications"</f>
        <v>#VALUE!</v>
      </c>
      <c r="BH281" s="104" t="e">
        <f ca="1">_05preva_view43[Folder Path2]&amp;"\Colo App "&amp;_05preva_view43[[#This Row],[Operator]]&amp;"\"</f>
        <v>#VALUE!</v>
      </c>
      <c r="BI281" s="63" t="e">
        <f ca="1">_05preva_view43[[#This Row],[Folder Path3]]&amp;_05preva_view43[[#This Row],[File Name]]</f>
        <v>#VALUE!</v>
      </c>
      <c r="BJ281" s="104"/>
      <c r="BK281" s="3"/>
      <c r="BL281" s="3"/>
      <c r="CJ281" s="5"/>
      <c r="CK281" s="5"/>
      <c r="CL281" s="3"/>
      <c r="CN281" s="5"/>
      <c r="CR281" s="3"/>
      <c r="CS281" s="3"/>
      <c r="CT281" s="5"/>
      <c r="CV281" s="3"/>
      <c r="DR281" s="5"/>
      <c r="DT281" s="3"/>
      <c r="EF281" s="7"/>
      <c r="EG281" s="7"/>
      <c r="EJ281" s="4"/>
      <c r="EK281" s="4"/>
      <c r="EU281" s="2"/>
      <c r="EV281" s="2"/>
    </row>
    <row r="282" spans="1:152">
      <c r="A282" s="125">
        <v>3361</v>
      </c>
      <c r="B282" s="126" t="s">
        <v>993</v>
      </c>
      <c r="C282" s="126" t="s">
        <v>331</v>
      </c>
      <c r="D282" s="126" t="s">
        <v>117</v>
      </c>
      <c r="E282" s="126" t="s">
        <v>994</v>
      </c>
      <c r="F282" s="126" t="s">
        <v>35</v>
      </c>
      <c r="G282" s="126" t="s">
        <v>1583</v>
      </c>
      <c r="H282" s="126" t="s">
        <v>1575</v>
      </c>
      <c r="I282" s="126" t="s">
        <v>956</v>
      </c>
      <c r="J282" s="126" t="s">
        <v>949</v>
      </c>
      <c r="K282" s="127">
        <v>43388</v>
      </c>
      <c r="L282" s="128"/>
      <c r="M282" s="128">
        <v>2.1</v>
      </c>
      <c r="N282" s="126">
        <v>1.74</v>
      </c>
      <c r="O282" s="126" t="s">
        <v>950</v>
      </c>
      <c r="P282" s="129" t="s">
        <v>958</v>
      </c>
      <c r="Q282" s="129" t="s">
        <v>959</v>
      </c>
      <c r="R282" s="126" t="s">
        <v>24</v>
      </c>
      <c r="S282" s="126"/>
      <c r="T282" s="130" t="s">
        <v>861</v>
      </c>
      <c r="U282" s="126"/>
      <c r="V282" s="130" t="s">
        <v>861</v>
      </c>
      <c r="W282" s="126"/>
      <c r="X282" s="130" t="s">
        <v>120</v>
      </c>
      <c r="Y282" s="126" t="s">
        <v>995</v>
      </c>
      <c r="Z282" s="165" t="s">
        <v>120</v>
      </c>
      <c r="AA282" s="158"/>
      <c r="AB282" s="158"/>
      <c r="AC282" s="170" t="s">
        <v>123</v>
      </c>
      <c r="AD282" s="126" t="s">
        <v>996</v>
      </c>
      <c r="AE282" s="130" t="s">
        <v>861</v>
      </c>
      <c r="AF282" s="127"/>
      <c r="AG282" s="131"/>
      <c r="AH282" s="131"/>
      <c r="AI282" s="126"/>
      <c r="AJ282" s="130" t="s">
        <v>861</v>
      </c>
      <c r="AK282" s="126"/>
      <c r="AL282" s="126"/>
      <c r="AM282" s="130"/>
      <c r="AN282" s="126"/>
      <c r="AO282" s="132"/>
      <c r="AP282" s="126"/>
      <c r="AQ282" s="126"/>
      <c r="AR282" s="130"/>
      <c r="AS282" s="126"/>
      <c r="AT282" s="127"/>
      <c r="AU282" s="127"/>
      <c r="AV282" s="127"/>
      <c r="AW282" s="127"/>
      <c r="AX282" s="127"/>
      <c r="AY282" s="127"/>
      <c r="AZ282" s="133">
        <v>43388</v>
      </c>
      <c r="BA28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2" s="135">
        <f>COUNTIFS(_05preva_view43[Site ID],_05preva_view43[[#This Row],[Site ID]],_05preva_view43[Prevalidation Status],"Under Prevalidation")</f>
        <v>0</v>
      </c>
      <c r="BC282" s="157" t="e">
        <f ca="1">HYPERLINK(CheckPath(_05preva_view43[[#This Row],[File Path]],_05preva_view43[[#This Row],[File Path]],_05preva_view43[[#This Row],[Folder Path3]]),CheckPath(_05preva_view43[[#This Row],[File Path]],"Open File","No File"))</f>
        <v>#VALUE!</v>
      </c>
      <c r="BD282" s="136" t="str">
        <f>CONCATENATE(_05preva_view43[[#This Row],[Site ID]]," (",_05preva_view43[[#This Row],[tenant id]],") Application",IF(_05preva_view43[[#This Row],[Colo Rev]]&gt;0," Rev "&amp;_05preva_view43[[#This Row],[Colo Rev]],""),".xlsx")</f>
        <v>1-01-14008-002 (SHS00382) Application Rev 2.xlsx</v>
      </c>
      <c r="BE282" s="64" t="e">
        <f t="shared" ca="1" si="6"/>
        <v>#VALUE!</v>
      </c>
      <c r="BF282" s="104" t="e">
        <f ca="1">LEFT(CELL("filename",A267),_05preva_view43[[#This Row],[Find Process &amp; Database]]-1)</f>
        <v>#VALUE!</v>
      </c>
      <c r="BG282" s="104" t="e">
        <f ca="1">_05preva_view43[Folder Path1]&amp;"Process &amp; Database\Documentation\Colo Applications"</f>
        <v>#VALUE!</v>
      </c>
      <c r="BH282" s="104" t="e">
        <f ca="1">_05preva_view43[Folder Path2]&amp;"\Colo App "&amp;_05preva_view43[[#This Row],[Operator]]&amp;"\"</f>
        <v>#VALUE!</v>
      </c>
      <c r="BI282" s="63" t="e">
        <f ca="1">_05preva_view43[[#This Row],[Folder Path3]]&amp;_05preva_view43[[#This Row],[File Name]]</f>
        <v>#VALUE!</v>
      </c>
      <c r="BJ282" s="104"/>
      <c r="BK282" s="3"/>
      <c r="BL282" s="3"/>
      <c r="CJ282" s="5"/>
      <c r="CK282" s="5"/>
      <c r="CL282" s="3"/>
      <c r="CN282" s="5"/>
      <c r="CR282" s="3"/>
      <c r="CS282" s="3"/>
      <c r="CT282" s="5"/>
      <c r="CV282" s="3"/>
      <c r="DR282" s="5"/>
      <c r="DT282" s="3"/>
      <c r="EF282" s="7"/>
      <c r="EG282" s="7"/>
      <c r="EJ282" s="4"/>
      <c r="EK282" s="4"/>
      <c r="EU282" s="2"/>
      <c r="EV282" s="2"/>
    </row>
    <row r="283" spans="1:152">
      <c r="A283" s="125">
        <v>3362</v>
      </c>
      <c r="B283" s="126" t="s">
        <v>997</v>
      </c>
      <c r="C283" s="126" t="s">
        <v>331</v>
      </c>
      <c r="D283" s="126" t="s">
        <v>117</v>
      </c>
      <c r="E283" s="126" t="s">
        <v>998</v>
      </c>
      <c r="F283" s="126" t="s">
        <v>35</v>
      </c>
      <c r="G283" s="126" t="s">
        <v>1583</v>
      </c>
      <c r="H283" s="126" t="s">
        <v>1575</v>
      </c>
      <c r="I283" s="126" t="s">
        <v>956</v>
      </c>
      <c r="J283" s="126" t="s">
        <v>931</v>
      </c>
      <c r="K283" s="127">
        <v>43388</v>
      </c>
      <c r="L283" s="128"/>
      <c r="M283" s="128">
        <v>1.8</v>
      </c>
      <c r="N283" s="126">
        <v>3.024</v>
      </c>
      <c r="O283" s="126" t="s">
        <v>950</v>
      </c>
      <c r="P283" s="129" t="s">
        <v>704</v>
      </c>
      <c r="Q283" s="129" t="s">
        <v>705</v>
      </c>
      <c r="R283" s="126" t="s">
        <v>24</v>
      </c>
      <c r="S283" s="126"/>
      <c r="T283" s="130" t="s">
        <v>861</v>
      </c>
      <c r="U283" s="126"/>
      <c r="V283" s="130" t="s">
        <v>861</v>
      </c>
      <c r="W283" s="126"/>
      <c r="X283" s="130" t="s">
        <v>120</v>
      </c>
      <c r="Y283" s="126" t="s">
        <v>999</v>
      </c>
      <c r="Z283" s="165" t="s">
        <v>120</v>
      </c>
      <c r="AA283" s="158"/>
      <c r="AB283" s="158"/>
      <c r="AC283" s="170" t="s">
        <v>123</v>
      </c>
      <c r="AD283" s="126" t="s">
        <v>1000</v>
      </c>
      <c r="AE283" s="130" t="s">
        <v>861</v>
      </c>
      <c r="AF283" s="127"/>
      <c r="AG283" s="131"/>
      <c r="AH283" s="131"/>
      <c r="AI283" s="126"/>
      <c r="AJ283" s="130" t="s">
        <v>861</v>
      </c>
      <c r="AK283" s="126"/>
      <c r="AL283" s="126"/>
      <c r="AM283" s="130"/>
      <c r="AN283" s="126"/>
      <c r="AO283" s="132"/>
      <c r="AP283" s="126"/>
      <c r="AQ283" s="126"/>
      <c r="AR283" s="130"/>
      <c r="AS283" s="126"/>
      <c r="AT283" s="127"/>
      <c r="AU283" s="127"/>
      <c r="AV283" s="127"/>
      <c r="AW283" s="127"/>
      <c r="AX283" s="127"/>
      <c r="AY283" s="127"/>
      <c r="AZ283" s="133">
        <v>43388</v>
      </c>
      <c r="BA28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3" s="135">
        <f>COUNTIFS(_05preva_view43[Site ID],_05preva_view43[[#This Row],[Site ID]],_05preva_view43[Prevalidation Status],"Under Prevalidation")</f>
        <v>0</v>
      </c>
      <c r="BC283" s="157" t="e">
        <f ca="1">HYPERLINK(CheckPath(_05preva_view43[[#This Row],[File Path]],_05preva_view43[[#This Row],[File Path]],_05preva_view43[[#This Row],[Folder Path3]]),CheckPath(_05preva_view43[[#This Row],[File Path]],"Open File","No File"))</f>
        <v>#VALUE!</v>
      </c>
      <c r="BD283" s="136" t="str">
        <f>CONCATENATE(_05preva_view43[[#This Row],[Site ID]]," (",_05preva_view43[[#This Row],[tenant id]],") Application",IF(_05preva_view43[[#This Row],[Colo Rev]]&gt;0," Rev "&amp;_05preva_view43[[#This Row],[Colo Rev]],""),".xlsx")</f>
        <v>1-01-16001-003 (SHE00021) Application Rev 1.xlsx</v>
      </c>
      <c r="BE283" s="64" t="e">
        <f t="shared" ca="1" si="6"/>
        <v>#VALUE!</v>
      </c>
      <c r="BF283" s="104" t="e">
        <f ca="1">LEFT(CELL("filename",A268),_05preva_view43[[#This Row],[Find Process &amp; Database]]-1)</f>
        <v>#VALUE!</v>
      </c>
      <c r="BG283" s="104" t="e">
        <f ca="1">_05preva_view43[Folder Path1]&amp;"Process &amp; Database\Documentation\Colo Applications"</f>
        <v>#VALUE!</v>
      </c>
      <c r="BH283" s="104" t="e">
        <f ca="1">_05preva_view43[Folder Path2]&amp;"\Colo App "&amp;_05preva_view43[[#This Row],[Operator]]&amp;"\"</f>
        <v>#VALUE!</v>
      </c>
      <c r="BI283" s="63" t="e">
        <f ca="1">_05preva_view43[[#This Row],[Folder Path3]]&amp;_05preva_view43[[#This Row],[File Name]]</f>
        <v>#VALUE!</v>
      </c>
      <c r="BJ283" s="104"/>
      <c r="BK283" s="3"/>
      <c r="BL283" s="3"/>
      <c r="CJ283" s="5"/>
      <c r="CK283" s="5"/>
      <c r="CL283" s="3"/>
      <c r="CN283" s="5"/>
      <c r="CR283" s="3"/>
      <c r="CS283" s="3"/>
      <c r="CT283" s="5"/>
      <c r="CV283" s="3"/>
      <c r="DR283" s="5"/>
      <c r="DT283" s="3"/>
      <c r="EF283" s="7"/>
      <c r="EG283" s="7"/>
      <c r="EJ283" s="4"/>
      <c r="EK283" s="4"/>
      <c r="EU283" s="2"/>
      <c r="EV283" s="2"/>
    </row>
    <row r="284" spans="1:152">
      <c r="A284" s="125">
        <v>3363</v>
      </c>
      <c r="B284" s="126" t="s">
        <v>1001</v>
      </c>
      <c r="C284" s="126" t="s">
        <v>331</v>
      </c>
      <c r="D284" s="126" t="s">
        <v>117</v>
      </c>
      <c r="E284" s="126" t="s">
        <v>1002</v>
      </c>
      <c r="F284" s="126" t="s">
        <v>35</v>
      </c>
      <c r="G284" s="126" t="s">
        <v>1583</v>
      </c>
      <c r="H284" s="126" t="s">
        <v>1575</v>
      </c>
      <c r="I284" s="126" t="s">
        <v>956</v>
      </c>
      <c r="J284" s="126" t="s">
        <v>990</v>
      </c>
      <c r="K284" s="127">
        <v>43388</v>
      </c>
      <c r="L284" s="128"/>
      <c r="M284" s="128">
        <v>4.8</v>
      </c>
      <c r="N284" s="126">
        <v>5.9880000000000004</v>
      </c>
      <c r="O284" s="126" t="s">
        <v>950</v>
      </c>
      <c r="P284" s="129" t="s">
        <v>1003</v>
      </c>
      <c r="Q284" s="129" t="s">
        <v>833</v>
      </c>
      <c r="R284" s="126" t="s">
        <v>24</v>
      </c>
      <c r="S284" s="126"/>
      <c r="T284" s="130" t="s">
        <v>861</v>
      </c>
      <c r="U284" s="126"/>
      <c r="V284" s="130" t="s">
        <v>861</v>
      </c>
      <c r="W284" s="126"/>
      <c r="X284" s="130" t="s">
        <v>120</v>
      </c>
      <c r="Y284" s="126" t="s">
        <v>1004</v>
      </c>
      <c r="Z284" s="165" t="s">
        <v>120</v>
      </c>
      <c r="AA284" s="158"/>
      <c r="AB284" s="158"/>
      <c r="AC284" s="170" t="s">
        <v>123</v>
      </c>
      <c r="AD284" s="126" t="s">
        <v>1005</v>
      </c>
      <c r="AE284" s="130" t="s">
        <v>861</v>
      </c>
      <c r="AF284" s="127"/>
      <c r="AG284" s="131"/>
      <c r="AH284" s="131"/>
      <c r="AI284" s="126"/>
      <c r="AJ284" s="130" t="s">
        <v>861</v>
      </c>
      <c r="AK284" s="126"/>
      <c r="AL284" s="126"/>
      <c r="AM284" s="130"/>
      <c r="AN284" s="126"/>
      <c r="AO284" s="132"/>
      <c r="AP284" s="126"/>
      <c r="AQ284" s="126"/>
      <c r="AR284" s="130"/>
      <c r="AS284" s="126"/>
      <c r="AT284" s="127">
        <v>43423.505113310202</v>
      </c>
      <c r="AU284" s="127"/>
      <c r="AV284" s="127">
        <v>43423.468237731497</v>
      </c>
      <c r="AW284" s="127"/>
      <c r="AX284" s="127"/>
      <c r="AY284" s="127"/>
      <c r="AZ284" s="133">
        <v>43423.505113310202</v>
      </c>
      <c r="BA284" s="134">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B284" s="135">
        <f>COUNTIFS(_05preva_view43[Site ID],_05preva_view43[[#This Row],[Site ID]],_05preva_view43[Prevalidation Status],"Under Prevalidation")</f>
        <v>0</v>
      </c>
      <c r="BC284" s="157" t="e">
        <f ca="1">HYPERLINK(CheckPath(_05preva_view43[[#This Row],[File Path]],_05preva_view43[[#This Row],[File Path]],_05preva_view43[[#This Row],[Folder Path3]]),CheckPath(_05preva_view43[[#This Row],[File Path]],"Open File","No File"))</f>
        <v>#VALUE!</v>
      </c>
      <c r="BD284" s="136" t="str">
        <f>CONCATENATE(_05preva_view43[[#This Row],[Site ID]]," (",_05preva_view43[[#This Row],[tenant id]],") Application",IF(_05preva_view43[[#This Row],[Colo Rev]]&gt;0," Rev "&amp;_05preva_view43[[#This Row],[Colo Rev]],""),".xlsx")</f>
        <v>1-01-14001-019 (SHS00259) Application Rev 3.xlsx</v>
      </c>
      <c r="BE284" s="64" t="e">
        <f t="shared" ca="1" si="6"/>
        <v>#VALUE!</v>
      </c>
      <c r="BF284" s="104" t="e">
        <f ca="1">LEFT(CELL("filename",A269),_05preva_view43[[#This Row],[Find Process &amp; Database]]-1)</f>
        <v>#VALUE!</v>
      </c>
      <c r="BG284" s="104" t="e">
        <f ca="1">_05preva_view43[Folder Path1]&amp;"Process &amp; Database\Documentation\Colo Applications"</f>
        <v>#VALUE!</v>
      </c>
      <c r="BH284" s="104" t="e">
        <f ca="1">_05preva_view43[Folder Path2]&amp;"\Colo App "&amp;_05preva_view43[[#This Row],[Operator]]&amp;"\"</f>
        <v>#VALUE!</v>
      </c>
      <c r="BI284" s="63" t="e">
        <f ca="1">_05preva_view43[[#This Row],[Folder Path3]]&amp;_05preva_view43[[#This Row],[File Name]]</f>
        <v>#VALUE!</v>
      </c>
      <c r="BJ284" s="104"/>
      <c r="BK284" s="3"/>
      <c r="BL284" s="3"/>
      <c r="CJ284" s="5"/>
      <c r="CK284" s="5"/>
      <c r="CL284" s="3"/>
      <c r="CN284" s="5"/>
      <c r="CR284" s="3"/>
      <c r="CS284" s="3"/>
      <c r="CT284" s="5"/>
      <c r="CV284" s="3"/>
      <c r="DR284" s="5"/>
      <c r="DT284" s="3"/>
      <c r="EF284" s="7"/>
      <c r="EG284" s="7"/>
      <c r="EJ284" s="4"/>
      <c r="EK284" s="4"/>
      <c r="EU284" s="2"/>
      <c r="EV284" s="2"/>
    </row>
    <row r="285" spans="1:152">
      <c r="A285" s="125">
        <v>3364</v>
      </c>
      <c r="B285" s="126" t="s">
        <v>1006</v>
      </c>
      <c r="C285" s="126" t="s">
        <v>331</v>
      </c>
      <c r="D285" s="126" t="s">
        <v>127</v>
      </c>
      <c r="E285" s="126" t="s">
        <v>1007</v>
      </c>
      <c r="F285" s="126" t="s">
        <v>35</v>
      </c>
      <c r="G285" s="126" t="s">
        <v>1583</v>
      </c>
      <c r="H285" s="126" t="s">
        <v>1575</v>
      </c>
      <c r="I285" s="126" t="s">
        <v>956</v>
      </c>
      <c r="J285" s="126" t="s">
        <v>990</v>
      </c>
      <c r="K285" s="127">
        <v>43388</v>
      </c>
      <c r="L285" s="128"/>
      <c r="M285" s="128">
        <v>3.88</v>
      </c>
      <c r="N285" s="126">
        <v>7.4580000000000002</v>
      </c>
      <c r="O285" s="126" t="s">
        <v>950</v>
      </c>
      <c r="P285" s="129" t="s">
        <v>704</v>
      </c>
      <c r="Q285" s="129" t="s">
        <v>705</v>
      </c>
      <c r="R285" s="126" t="s">
        <v>24</v>
      </c>
      <c r="S285" s="126"/>
      <c r="T285" s="130" t="s">
        <v>861</v>
      </c>
      <c r="U285" s="126"/>
      <c r="V285" s="130" t="s">
        <v>861</v>
      </c>
      <c r="W285" s="126"/>
      <c r="X285" s="130" t="s">
        <v>120</v>
      </c>
      <c r="Y285" s="126" t="s">
        <v>1008</v>
      </c>
      <c r="Z285" s="165" t="s">
        <v>120</v>
      </c>
      <c r="AA285" s="158"/>
      <c r="AB285" s="158"/>
      <c r="AC285" s="170" t="s">
        <v>123</v>
      </c>
      <c r="AD285" s="126" t="s">
        <v>1009</v>
      </c>
      <c r="AE285" s="130" t="s">
        <v>861</v>
      </c>
      <c r="AF285" s="127"/>
      <c r="AG285" s="131"/>
      <c r="AH285" s="131"/>
      <c r="AI285" s="126"/>
      <c r="AJ285" s="130" t="s">
        <v>861</v>
      </c>
      <c r="AK285" s="126"/>
      <c r="AL285" s="126"/>
      <c r="AM285" s="130"/>
      <c r="AN285" s="126"/>
      <c r="AO285" s="132"/>
      <c r="AP285" s="126"/>
      <c r="AQ285" s="126"/>
      <c r="AR285" s="130"/>
      <c r="AS285" s="126"/>
      <c r="AT285" s="127"/>
      <c r="AU285" s="127"/>
      <c r="AV285" s="127"/>
      <c r="AW285" s="127"/>
      <c r="AX285" s="127"/>
      <c r="AY285" s="127"/>
      <c r="AZ285" s="133">
        <v>43388</v>
      </c>
      <c r="BA28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5" s="135">
        <f>COUNTIFS(_05preva_view43[Site ID],_05preva_view43[[#This Row],[Site ID]],_05preva_view43[Prevalidation Status],"Under Prevalidation")</f>
        <v>0</v>
      </c>
      <c r="BC285" s="157" t="e">
        <f ca="1">HYPERLINK(CheckPath(_05preva_view43[[#This Row],[File Path]],_05preva_view43[[#This Row],[File Path]],_05preva_view43[[#This Row],[Folder Path3]]),CheckPath(_05preva_view43[[#This Row],[File Path]],"Open File","No File"))</f>
        <v>#VALUE!</v>
      </c>
      <c r="BD285" s="136" t="str">
        <f>CONCATENATE(_05preva_view43[[#This Row],[Site ID]]," (",_05preva_view43[[#This Row],[tenant id]],") Application",IF(_05preva_view43[[#This Row],[Colo Rev]]&gt;0," Rev "&amp;_05preva_view43[[#This Row],[Colo Rev]],""),".xlsx")</f>
        <v>1-01-15010-002 (SHN00092) Application Rev 3.xlsx</v>
      </c>
      <c r="BE285" s="64" t="e">
        <f t="shared" ca="1" si="6"/>
        <v>#VALUE!</v>
      </c>
      <c r="BF285" s="104" t="e">
        <f ca="1">LEFT(CELL("filename",A270),_05preva_view43[[#This Row],[Find Process &amp; Database]]-1)</f>
        <v>#VALUE!</v>
      </c>
      <c r="BG285" s="104" t="e">
        <f ca="1">_05preva_view43[Folder Path1]&amp;"Process &amp; Database\Documentation\Colo Applications"</f>
        <v>#VALUE!</v>
      </c>
      <c r="BH285" s="104" t="e">
        <f ca="1">_05preva_view43[Folder Path2]&amp;"\Colo App "&amp;_05preva_view43[[#This Row],[Operator]]&amp;"\"</f>
        <v>#VALUE!</v>
      </c>
      <c r="BI285" s="63" t="e">
        <f ca="1">_05preva_view43[[#This Row],[Folder Path3]]&amp;_05preva_view43[[#This Row],[File Name]]</f>
        <v>#VALUE!</v>
      </c>
      <c r="BJ285" s="104"/>
      <c r="BK285" s="3"/>
      <c r="BL285" s="3"/>
      <c r="CJ285" s="5"/>
      <c r="CK285" s="5"/>
      <c r="CL285" s="3"/>
      <c r="CN285" s="5"/>
      <c r="CR285" s="3"/>
      <c r="CS285" s="3"/>
      <c r="CT285" s="5"/>
      <c r="CV285" s="3"/>
      <c r="DR285" s="5"/>
      <c r="DT285" s="3"/>
      <c r="EF285" s="7"/>
      <c r="EG285" s="7"/>
      <c r="EJ285" s="4"/>
      <c r="EK285" s="4"/>
      <c r="EU285" s="2"/>
      <c r="EV285" s="2"/>
    </row>
    <row r="286" spans="1:152">
      <c r="A286" s="125">
        <v>3365</v>
      </c>
      <c r="B286" s="126" t="s">
        <v>1010</v>
      </c>
      <c r="C286" s="126" t="s">
        <v>331</v>
      </c>
      <c r="D286" s="126" t="s">
        <v>117</v>
      </c>
      <c r="E286" s="126" t="s">
        <v>1011</v>
      </c>
      <c r="F286" s="126" t="s">
        <v>35</v>
      </c>
      <c r="G286" s="126" t="s">
        <v>1583</v>
      </c>
      <c r="H286" s="126" t="s">
        <v>1575</v>
      </c>
      <c r="I286" s="126" t="s">
        <v>956</v>
      </c>
      <c r="J286" s="126" t="s">
        <v>949</v>
      </c>
      <c r="K286" s="127">
        <v>43388</v>
      </c>
      <c r="L286" s="128"/>
      <c r="M286" s="128">
        <v>3.3</v>
      </c>
      <c r="N286" s="126">
        <v>2.7519999999999998</v>
      </c>
      <c r="O286" s="126" t="s">
        <v>950</v>
      </c>
      <c r="P286" s="129" t="s">
        <v>1012</v>
      </c>
      <c r="Q286" s="129" t="s">
        <v>1013</v>
      </c>
      <c r="R286" s="126" t="s">
        <v>24</v>
      </c>
      <c r="S286" s="126"/>
      <c r="T286" s="130" t="s">
        <v>861</v>
      </c>
      <c r="U286" s="126"/>
      <c r="V286" s="130" t="s">
        <v>861</v>
      </c>
      <c r="W286" s="126"/>
      <c r="X286" s="130" t="s">
        <v>120</v>
      </c>
      <c r="Y286" s="126" t="s">
        <v>1014</v>
      </c>
      <c r="Z286" s="165" t="s">
        <v>120</v>
      </c>
      <c r="AA286" s="158"/>
      <c r="AB286" s="158"/>
      <c r="AC286" s="170" t="s">
        <v>123</v>
      </c>
      <c r="AD286" s="126" t="s">
        <v>1015</v>
      </c>
      <c r="AE286" s="130" t="s">
        <v>861</v>
      </c>
      <c r="AF286" s="127"/>
      <c r="AG286" s="131"/>
      <c r="AH286" s="131"/>
      <c r="AI286" s="126"/>
      <c r="AJ286" s="130" t="s">
        <v>861</v>
      </c>
      <c r="AK286" s="126"/>
      <c r="AL286" s="126"/>
      <c r="AM286" s="130"/>
      <c r="AN286" s="126"/>
      <c r="AO286" s="132"/>
      <c r="AP286" s="126"/>
      <c r="AQ286" s="126"/>
      <c r="AR286" s="130"/>
      <c r="AS286" s="126"/>
      <c r="AT286" s="127"/>
      <c r="AU286" s="127"/>
      <c r="AV286" s="127"/>
      <c r="AW286" s="127"/>
      <c r="AX286" s="127"/>
      <c r="AY286" s="127"/>
      <c r="AZ286" s="133">
        <v>43388</v>
      </c>
      <c r="BA28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6" s="135">
        <f>COUNTIFS(_05preva_view43[Site ID],_05preva_view43[[#This Row],[Site ID]],_05preva_view43[Prevalidation Status],"Under Prevalidation")</f>
        <v>0</v>
      </c>
      <c r="BC286" s="157" t="e">
        <f ca="1">HYPERLINK(CheckPath(_05preva_view43[[#This Row],[File Path]],_05preva_view43[[#This Row],[File Path]],_05preva_view43[[#This Row],[Folder Path3]]),CheckPath(_05preva_view43[[#This Row],[File Path]],"Open File","No File"))</f>
        <v>#VALUE!</v>
      </c>
      <c r="BD286" s="136" t="str">
        <f>CONCATENATE(_05preva_view43[[#This Row],[Site ID]]," (",_05preva_view43[[#This Row],[tenant id]],") Application",IF(_05preva_view43[[#This Row],[Colo Rev]]&gt;0," Rev "&amp;_05preva_view43[[#This Row],[Colo Rev]],""),".xlsx")</f>
        <v>1-01-08002-005 (BGW00115) Application Rev 2.xlsx</v>
      </c>
      <c r="BE286" s="64" t="e">
        <f t="shared" ca="1" si="6"/>
        <v>#VALUE!</v>
      </c>
      <c r="BF286" s="104" t="e">
        <f ca="1">LEFT(CELL("filename",A271),_05preva_view43[[#This Row],[Find Process &amp; Database]]-1)</f>
        <v>#VALUE!</v>
      </c>
      <c r="BG286" s="104" t="e">
        <f ca="1">_05preva_view43[Folder Path1]&amp;"Process &amp; Database\Documentation\Colo Applications"</f>
        <v>#VALUE!</v>
      </c>
      <c r="BH286" s="104" t="e">
        <f ca="1">_05preva_view43[Folder Path2]&amp;"\Colo App "&amp;_05preva_view43[[#This Row],[Operator]]&amp;"\"</f>
        <v>#VALUE!</v>
      </c>
      <c r="BI286" s="63" t="e">
        <f ca="1">_05preva_view43[[#This Row],[Folder Path3]]&amp;_05preva_view43[[#This Row],[File Name]]</f>
        <v>#VALUE!</v>
      </c>
      <c r="BJ286" s="104"/>
      <c r="BK286" s="3"/>
      <c r="BL286" s="3"/>
      <c r="CJ286" s="5"/>
      <c r="CK286" s="5"/>
      <c r="CL286" s="3"/>
      <c r="CN286" s="5"/>
      <c r="CR286" s="3"/>
      <c r="CS286" s="3"/>
      <c r="CT286" s="5"/>
      <c r="CV286" s="3"/>
      <c r="DR286" s="5"/>
      <c r="DT286" s="3"/>
      <c r="EF286" s="7"/>
      <c r="EG286" s="7"/>
      <c r="EJ286" s="4"/>
      <c r="EK286" s="4"/>
      <c r="EU286" s="2"/>
      <c r="EV286" s="2"/>
    </row>
    <row r="287" spans="1:152">
      <c r="A287" s="125">
        <v>3366</v>
      </c>
      <c r="B287" s="126" t="s">
        <v>1016</v>
      </c>
      <c r="C287" s="126" t="s">
        <v>331</v>
      </c>
      <c r="D287" s="126" t="s">
        <v>163</v>
      </c>
      <c r="E287" s="126" t="s">
        <v>1017</v>
      </c>
      <c r="F287" s="126" t="s">
        <v>35</v>
      </c>
      <c r="G287" s="126" t="s">
        <v>1583</v>
      </c>
      <c r="H287" s="126" t="s">
        <v>1575</v>
      </c>
      <c r="I287" s="126" t="s">
        <v>956</v>
      </c>
      <c r="J287" s="126" t="s">
        <v>949</v>
      </c>
      <c r="K287" s="127">
        <v>43388</v>
      </c>
      <c r="L287" s="128"/>
      <c r="M287" s="128">
        <v>4.8</v>
      </c>
      <c r="N287" s="126">
        <v>4.4539999999999997</v>
      </c>
      <c r="O287" s="126" t="s">
        <v>950</v>
      </c>
      <c r="P287" s="129" t="s">
        <v>1018</v>
      </c>
      <c r="Q287" s="129" t="s">
        <v>1019</v>
      </c>
      <c r="R287" s="126" t="s">
        <v>24</v>
      </c>
      <c r="S287" s="126"/>
      <c r="T287" s="130" t="s">
        <v>861</v>
      </c>
      <c r="U287" s="126"/>
      <c r="V287" s="130" t="s">
        <v>861</v>
      </c>
      <c r="W287" s="126"/>
      <c r="X287" s="130" t="s">
        <v>120</v>
      </c>
      <c r="Y287" s="126" t="s">
        <v>1020</v>
      </c>
      <c r="Z287" s="165" t="s">
        <v>120</v>
      </c>
      <c r="AA287" s="158"/>
      <c r="AB287" s="158"/>
      <c r="AC287" s="170" t="s">
        <v>123</v>
      </c>
      <c r="AD287" s="126" t="s">
        <v>1021</v>
      </c>
      <c r="AE287" s="130" t="s">
        <v>861</v>
      </c>
      <c r="AF287" s="127"/>
      <c r="AG287" s="131"/>
      <c r="AH287" s="131"/>
      <c r="AI287" s="126"/>
      <c r="AJ287" s="130" t="s">
        <v>861</v>
      </c>
      <c r="AK287" s="126"/>
      <c r="AL287" s="126"/>
      <c r="AM287" s="130"/>
      <c r="AN287" s="126"/>
      <c r="AO287" s="132"/>
      <c r="AP287" s="126"/>
      <c r="AQ287" s="126"/>
      <c r="AR287" s="130"/>
      <c r="AS287" s="126"/>
      <c r="AT287" s="127"/>
      <c r="AU287" s="127"/>
      <c r="AV287" s="127"/>
      <c r="AW287" s="127"/>
      <c r="AX287" s="127"/>
      <c r="AY287" s="127"/>
      <c r="AZ287" s="133">
        <v>43388</v>
      </c>
      <c r="BA28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7" s="135">
        <f>COUNTIFS(_05preva_view43[Site ID],_05preva_view43[[#This Row],[Site ID]],_05preva_view43[Prevalidation Status],"Under Prevalidation")</f>
        <v>0</v>
      </c>
      <c r="BC287" s="157" t="e">
        <f ca="1">HYPERLINK(CheckPath(_05preva_view43[[#This Row],[File Path]],_05preva_view43[[#This Row],[File Path]],_05preva_view43[[#This Row],[Folder Path3]]),CheckPath(_05preva_view43[[#This Row],[File Path]],"Open File","No File"))</f>
        <v>#VALUE!</v>
      </c>
      <c r="BD287" s="136" t="str">
        <f>CONCATENATE(_05preva_view43[[#This Row],[Site ID]]," (",_05preva_view43[[#This Row],[tenant id]],") Application",IF(_05preva_view43[[#This Row],[Colo Rev]]&gt;0," Rev "&amp;_05preva_view43[[#This Row],[Colo Rev]],""),".xlsx")</f>
        <v>1-01-11009-003 (MON00160) Application Rev 2.xlsx</v>
      </c>
      <c r="BE287" s="64" t="e">
        <f t="shared" ca="1" si="6"/>
        <v>#VALUE!</v>
      </c>
      <c r="BF287" s="104" t="e">
        <f ca="1">LEFT(CELL("filename",A272),_05preva_view43[[#This Row],[Find Process &amp; Database]]-1)</f>
        <v>#VALUE!</v>
      </c>
      <c r="BG287" s="104" t="e">
        <f ca="1">_05preva_view43[Folder Path1]&amp;"Process &amp; Database\Documentation\Colo Applications"</f>
        <v>#VALUE!</v>
      </c>
      <c r="BH287" s="104" t="e">
        <f ca="1">_05preva_view43[Folder Path2]&amp;"\Colo App "&amp;_05preva_view43[[#This Row],[Operator]]&amp;"\"</f>
        <v>#VALUE!</v>
      </c>
      <c r="BI287" s="63" t="e">
        <f ca="1">_05preva_view43[[#This Row],[Folder Path3]]&amp;_05preva_view43[[#This Row],[File Name]]</f>
        <v>#VALUE!</v>
      </c>
      <c r="BJ287" s="104"/>
      <c r="BK287" s="3"/>
      <c r="BL287" s="3"/>
      <c r="CJ287" s="5"/>
      <c r="CK287" s="5"/>
      <c r="CL287" s="3"/>
      <c r="CN287" s="5"/>
      <c r="CR287" s="3"/>
      <c r="CS287" s="3"/>
      <c r="CT287" s="5"/>
      <c r="CV287" s="3"/>
      <c r="DR287" s="5"/>
      <c r="DT287" s="3"/>
      <c r="EF287" s="7"/>
      <c r="EG287" s="7"/>
      <c r="EJ287" s="4"/>
      <c r="EK287" s="4"/>
      <c r="EU287" s="2"/>
      <c r="EV287" s="2"/>
    </row>
    <row r="288" spans="1:152">
      <c r="A288" s="125">
        <v>3367</v>
      </c>
      <c r="B288" s="126" t="s">
        <v>1022</v>
      </c>
      <c r="C288" s="126" t="s">
        <v>331</v>
      </c>
      <c r="D288" s="126" t="s">
        <v>117</v>
      </c>
      <c r="E288" s="126" t="s">
        <v>1023</v>
      </c>
      <c r="F288" s="126" t="s">
        <v>35</v>
      </c>
      <c r="G288" s="126" t="s">
        <v>1583</v>
      </c>
      <c r="H288" s="126" t="s">
        <v>1575</v>
      </c>
      <c r="I288" s="126" t="s">
        <v>956</v>
      </c>
      <c r="J288" s="126" t="s">
        <v>957</v>
      </c>
      <c r="K288" s="127">
        <v>43388</v>
      </c>
      <c r="L288" s="128"/>
      <c r="M288" s="128">
        <v>3.3</v>
      </c>
      <c r="N288" s="126">
        <v>3.9460000000000002</v>
      </c>
      <c r="O288" s="126" t="s">
        <v>950</v>
      </c>
      <c r="P288" s="129" t="s">
        <v>958</v>
      </c>
      <c r="Q288" s="129" t="s">
        <v>959</v>
      </c>
      <c r="R288" s="126" t="s">
        <v>24</v>
      </c>
      <c r="S288" s="126"/>
      <c r="T288" s="130" t="s">
        <v>861</v>
      </c>
      <c r="U288" s="126"/>
      <c r="V288" s="130" t="s">
        <v>861</v>
      </c>
      <c r="W288" s="126"/>
      <c r="X288" s="130" t="s">
        <v>120</v>
      </c>
      <c r="Y288" s="126" t="s">
        <v>1024</v>
      </c>
      <c r="Z288" s="165" t="s">
        <v>120</v>
      </c>
      <c r="AA288" s="158"/>
      <c r="AB288" s="158"/>
      <c r="AC288" s="170" t="s">
        <v>123</v>
      </c>
      <c r="AD288" s="126" t="s">
        <v>1025</v>
      </c>
      <c r="AE288" s="130" t="s">
        <v>861</v>
      </c>
      <c r="AF288" s="127"/>
      <c r="AG288" s="131"/>
      <c r="AH288" s="131"/>
      <c r="AI288" s="126"/>
      <c r="AJ288" s="130" t="s">
        <v>861</v>
      </c>
      <c r="AK288" s="126"/>
      <c r="AL288" s="126"/>
      <c r="AM288" s="130"/>
      <c r="AN288" s="126"/>
      <c r="AO288" s="132"/>
      <c r="AP288" s="126"/>
      <c r="AQ288" s="126"/>
      <c r="AR288" s="130"/>
      <c r="AS288" s="126"/>
      <c r="AT288" s="127"/>
      <c r="AU288" s="127"/>
      <c r="AV288" s="127"/>
      <c r="AW288" s="127"/>
      <c r="AX288" s="127"/>
      <c r="AY288" s="127"/>
      <c r="AZ288" s="133">
        <v>43388</v>
      </c>
      <c r="BA28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8" s="135">
        <f>COUNTIFS(_05preva_view43[Site ID],_05preva_view43[[#This Row],[Site ID]],_05preva_view43[Prevalidation Status],"Under Prevalidation")</f>
        <v>0</v>
      </c>
      <c r="BC288" s="157" t="e">
        <f ca="1">HYPERLINK(CheckPath(_05preva_view43[[#This Row],[File Path]],_05preva_view43[[#This Row],[File Path]],_05preva_view43[[#This Row],[Folder Path3]]),CheckPath(_05preva_view43[[#This Row],[File Path]],"Open File","No File"))</f>
        <v>#VALUE!</v>
      </c>
      <c r="BD288" s="136" t="str">
        <f>CONCATENATE(_05preva_view43[[#This Row],[Site ID]]," (",_05preva_view43[[#This Row],[tenant id]],") Application",IF(_05preva_view43[[#This Row],[Colo Rev]]&gt;0," Rev "&amp;_05preva_view43[[#This Row],[Colo Rev]],""),".xlsx")</f>
        <v>1-01-14005-005 (SHS00349) Application Rev 4.xlsx</v>
      </c>
      <c r="BE288" s="64" t="e">
        <f t="shared" ca="1" si="6"/>
        <v>#VALUE!</v>
      </c>
      <c r="BF288" s="104" t="e">
        <f ca="1">LEFT(CELL("filename",A273),_05preva_view43[[#This Row],[Find Process &amp; Database]]-1)</f>
        <v>#VALUE!</v>
      </c>
      <c r="BG288" s="104" t="e">
        <f ca="1">_05preva_view43[Folder Path1]&amp;"Process &amp; Database\Documentation\Colo Applications"</f>
        <v>#VALUE!</v>
      </c>
      <c r="BH288" s="104" t="e">
        <f ca="1">_05preva_view43[Folder Path2]&amp;"\Colo App "&amp;_05preva_view43[[#This Row],[Operator]]&amp;"\"</f>
        <v>#VALUE!</v>
      </c>
      <c r="BI288" s="63" t="e">
        <f ca="1">_05preva_view43[[#This Row],[Folder Path3]]&amp;_05preva_view43[[#This Row],[File Name]]</f>
        <v>#VALUE!</v>
      </c>
      <c r="BJ288" s="104"/>
      <c r="BK288" s="3"/>
      <c r="BL288" s="3"/>
      <c r="CJ288" s="5"/>
      <c r="CK288" s="5"/>
      <c r="CL288" s="3"/>
      <c r="CN288" s="5"/>
      <c r="CR288" s="3"/>
      <c r="CS288" s="3"/>
      <c r="CT288" s="5"/>
      <c r="CV288" s="3"/>
      <c r="DR288" s="5"/>
      <c r="DT288" s="3"/>
      <c r="EF288" s="7"/>
      <c r="EG288" s="7"/>
      <c r="EJ288" s="4"/>
      <c r="EK288" s="4"/>
      <c r="EU288" s="2"/>
      <c r="EV288" s="2"/>
    </row>
    <row r="289" spans="1:152">
      <c r="A289" s="125">
        <v>3368</v>
      </c>
      <c r="B289" s="126" t="s">
        <v>1026</v>
      </c>
      <c r="C289" s="126" t="s">
        <v>331</v>
      </c>
      <c r="D289" s="126" t="s">
        <v>163</v>
      </c>
      <c r="E289" s="126" t="s">
        <v>1027</v>
      </c>
      <c r="F289" s="126" t="s">
        <v>35</v>
      </c>
      <c r="G289" s="126" t="s">
        <v>1583</v>
      </c>
      <c r="H289" s="126" t="s">
        <v>1575</v>
      </c>
      <c r="I289" s="126" t="s">
        <v>956</v>
      </c>
      <c r="J289" s="126" t="s">
        <v>949</v>
      </c>
      <c r="K289" s="127">
        <v>43388</v>
      </c>
      <c r="L289" s="128"/>
      <c r="M289" s="128">
        <v>2.1</v>
      </c>
      <c r="N289" s="126">
        <v>3.5750000000000002</v>
      </c>
      <c r="O289" s="126" t="s">
        <v>950</v>
      </c>
      <c r="P289" s="129" t="s">
        <v>1028</v>
      </c>
      <c r="Q289" s="129" t="s">
        <v>1029</v>
      </c>
      <c r="R289" s="126" t="s">
        <v>24</v>
      </c>
      <c r="S289" s="126"/>
      <c r="T289" s="130" t="s">
        <v>861</v>
      </c>
      <c r="U289" s="126"/>
      <c r="V289" s="130" t="s">
        <v>861</v>
      </c>
      <c r="W289" s="126"/>
      <c r="X289" s="130" t="s">
        <v>120</v>
      </c>
      <c r="Y289" s="126" t="s">
        <v>1030</v>
      </c>
      <c r="Z289" s="165" t="s">
        <v>120</v>
      </c>
      <c r="AA289" s="158"/>
      <c r="AB289" s="158"/>
      <c r="AC289" s="170" t="s">
        <v>123</v>
      </c>
      <c r="AD289" s="126" t="s">
        <v>1031</v>
      </c>
      <c r="AE289" s="130" t="s">
        <v>861</v>
      </c>
      <c r="AF289" s="127"/>
      <c r="AG289" s="131"/>
      <c r="AH289" s="131"/>
      <c r="AI289" s="126"/>
      <c r="AJ289" s="130" t="s">
        <v>861</v>
      </c>
      <c r="AK289" s="126"/>
      <c r="AL289" s="126"/>
      <c r="AM289" s="130"/>
      <c r="AN289" s="126"/>
      <c r="AO289" s="132"/>
      <c r="AP289" s="126"/>
      <c r="AQ289" s="126"/>
      <c r="AR289" s="130"/>
      <c r="AS289" s="126"/>
      <c r="AT289" s="127"/>
      <c r="AU289" s="127"/>
      <c r="AV289" s="127"/>
      <c r="AW289" s="127"/>
      <c r="AX289" s="127"/>
      <c r="AY289" s="127"/>
      <c r="AZ289" s="133">
        <v>43388</v>
      </c>
      <c r="BA28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9" s="135">
        <f>COUNTIFS(_05preva_view43[Site ID],_05preva_view43[[#This Row],[Site ID]],_05preva_view43[Prevalidation Status],"Under Prevalidation")</f>
        <v>0</v>
      </c>
      <c r="BC289" s="157" t="e">
        <f ca="1">HYPERLINK(CheckPath(_05preva_view43[[#This Row],[File Path]],_05preva_view43[[#This Row],[File Path]],_05preva_view43[[#This Row],[Folder Path3]]),CheckPath(_05preva_view43[[#This Row],[File Path]],"Open File","No File"))</f>
        <v>#VALUE!</v>
      </c>
      <c r="BD289" s="136" t="str">
        <f>CONCATENATE(_05preva_view43[[#This Row],[Site ID]]," (",_05preva_view43[[#This Row],[tenant id]],") Application",IF(_05preva_view43[[#This Row],[Colo Rev]]&gt;0," Rev "&amp;_05preva_view43[[#This Row],[Colo Rev]],""),".xlsx")</f>
        <v>1-01-17016-004 (AWD00498) Application Rev 2.xlsx</v>
      </c>
      <c r="BE289" s="64" t="e">
        <f t="shared" ca="1" si="6"/>
        <v>#VALUE!</v>
      </c>
      <c r="BF289" s="104" t="e">
        <f ca="1">LEFT(CELL("filename",A274),_05preva_view43[[#This Row],[Find Process &amp; Database]]-1)</f>
        <v>#VALUE!</v>
      </c>
      <c r="BG289" s="104" t="e">
        <f ca="1">_05preva_view43[Folder Path1]&amp;"Process &amp; Database\Documentation\Colo Applications"</f>
        <v>#VALUE!</v>
      </c>
      <c r="BH289" s="104" t="e">
        <f ca="1">_05preva_view43[Folder Path2]&amp;"\Colo App "&amp;_05preva_view43[[#This Row],[Operator]]&amp;"\"</f>
        <v>#VALUE!</v>
      </c>
      <c r="BI289" s="63" t="e">
        <f ca="1">_05preva_view43[[#This Row],[Folder Path3]]&amp;_05preva_view43[[#This Row],[File Name]]</f>
        <v>#VALUE!</v>
      </c>
      <c r="BJ289" s="104"/>
      <c r="BK289" s="3"/>
      <c r="BL289" s="3"/>
      <c r="CJ289" s="5"/>
      <c r="CK289" s="5"/>
      <c r="CL289" s="3"/>
      <c r="CN289" s="5"/>
      <c r="CR289" s="3"/>
      <c r="CS289" s="3"/>
      <c r="CT289" s="5"/>
      <c r="CV289" s="3"/>
      <c r="DR289" s="5"/>
      <c r="DT289" s="3"/>
      <c r="EF289" s="7"/>
      <c r="EG289" s="7"/>
      <c r="EJ289" s="4"/>
      <c r="EK289" s="4"/>
      <c r="EU289" s="2"/>
      <c r="EV289" s="2"/>
    </row>
    <row r="290" spans="1:152">
      <c r="A290" s="125">
        <v>3369</v>
      </c>
      <c r="B290" s="126" t="s">
        <v>1032</v>
      </c>
      <c r="C290" s="126" t="s">
        <v>331</v>
      </c>
      <c r="D290" s="126" t="s">
        <v>163</v>
      </c>
      <c r="E290" s="126" t="s">
        <v>1033</v>
      </c>
      <c r="F290" s="126" t="s">
        <v>35</v>
      </c>
      <c r="G290" s="126" t="s">
        <v>1583</v>
      </c>
      <c r="H290" s="126" t="s">
        <v>1575</v>
      </c>
      <c r="I290" s="126" t="s">
        <v>956</v>
      </c>
      <c r="J290" s="126" t="s">
        <v>949</v>
      </c>
      <c r="K290" s="127">
        <v>43388</v>
      </c>
      <c r="L290" s="128"/>
      <c r="M290" s="128">
        <v>2.4</v>
      </c>
      <c r="N290" s="126">
        <v>3.5150000000000001</v>
      </c>
      <c r="O290" s="126" t="s">
        <v>950</v>
      </c>
      <c r="P290" s="129" t="s">
        <v>704</v>
      </c>
      <c r="Q290" s="129" t="s">
        <v>705</v>
      </c>
      <c r="R290" s="126" t="s">
        <v>24</v>
      </c>
      <c r="S290" s="126"/>
      <c r="T290" s="130" t="s">
        <v>861</v>
      </c>
      <c r="U290" s="126"/>
      <c r="V290" s="130" t="s">
        <v>861</v>
      </c>
      <c r="W290" s="126"/>
      <c r="X290" s="130" t="s">
        <v>120</v>
      </c>
      <c r="Y290" s="126" t="s">
        <v>1034</v>
      </c>
      <c r="Z290" s="165" t="s">
        <v>120</v>
      </c>
      <c r="AA290" s="158"/>
      <c r="AB290" s="158"/>
      <c r="AC290" s="170" t="s">
        <v>123</v>
      </c>
      <c r="AD290" s="126" t="s">
        <v>1035</v>
      </c>
      <c r="AE290" s="130" t="s">
        <v>861</v>
      </c>
      <c r="AF290" s="127"/>
      <c r="AG290" s="131"/>
      <c r="AH290" s="131"/>
      <c r="AI290" s="126"/>
      <c r="AJ290" s="130" t="s">
        <v>861</v>
      </c>
      <c r="AK290" s="126"/>
      <c r="AL290" s="126"/>
      <c r="AM290" s="130"/>
      <c r="AN290" s="126"/>
      <c r="AO290" s="132"/>
      <c r="AP290" s="126"/>
      <c r="AQ290" s="126"/>
      <c r="AR290" s="130"/>
      <c r="AS290" s="126"/>
      <c r="AT290" s="127"/>
      <c r="AU290" s="127"/>
      <c r="AV290" s="127"/>
      <c r="AW290" s="127"/>
      <c r="AX290" s="127"/>
      <c r="AY290" s="127"/>
      <c r="AZ290" s="133">
        <v>43388</v>
      </c>
      <c r="BA29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0" s="135">
        <f>COUNTIFS(_05preva_view43[Site ID],_05preva_view43[[#This Row],[Site ID]],_05preva_view43[Prevalidation Status],"Under Prevalidation")</f>
        <v>0</v>
      </c>
      <c r="BC290" s="157" t="e">
        <f ca="1">HYPERLINK(CheckPath(_05preva_view43[[#This Row],[File Path]],_05preva_view43[[#This Row],[File Path]],_05preva_view43[[#This Row],[Folder Path3]]),CheckPath(_05preva_view43[[#This Row],[File Path]],"Open File","No File"))</f>
        <v>#VALUE!</v>
      </c>
      <c r="BD290" s="136" t="str">
        <f>CONCATENATE(_05preva_view43[[#This Row],[Site ID]]," (",_05preva_view43[[#This Row],[tenant id]],") Application",IF(_05preva_view43[[#This Row],[Colo Rev]]&gt;0," Rev "&amp;_05preva_view43[[#This Row],[Colo Rev]],""),".xlsx")</f>
        <v>1-01-13004-002 (YGN00555) Application Rev 2.xlsx</v>
      </c>
      <c r="BE290" s="64" t="e">
        <f t="shared" ca="1" si="6"/>
        <v>#VALUE!</v>
      </c>
      <c r="BF290" s="104" t="e">
        <f ca="1">LEFT(CELL("filename",A275),_05preva_view43[[#This Row],[Find Process &amp; Database]]-1)</f>
        <v>#VALUE!</v>
      </c>
      <c r="BG290" s="104" t="e">
        <f ca="1">_05preva_view43[Folder Path1]&amp;"Process &amp; Database\Documentation\Colo Applications"</f>
        <v>#VALUE!</v>
      </c>
      <c r="BH290" s="104" t="e">
        <f ca="1">_05preva_view43[Folder Path2]&amp;"\Colo App "&amp;_05preva_view43[[#This Row],[Operator]]&amp;"\"</f>
        <v>#VALUE!</v>
      </c>
      <c r="BI290" s="63" t="e">
        <f ca="1">_05preva_view43[[#This Row],[Folder Path3]]&amp;_05preva_view43[[#This Row],[File Name]]</f>
        <v>#VALUE!</v>
      </c>
      <c r="BJ290" s="104"/>
      <c r="BK290" s="3"/>
      <c r="BL290" s="3"/>
      <c r="CJ290" s="5"/>
      <c r="CK290" s="5"/>
      <c r="CL290" s="3"/>
      <c r="CN290" s="5"/>
      <c r="CR290" s="3"/>
      <c r="CS290" s="3"/>
      <c r="CT290" s="5"/>
      <c r="CV290" s="3"/>
      <c r="DR290" s="5"/>
      <c r="DT290" s="3"/>
      <c r="EF290" s="7"/>
      <c r="EG290" s="7"/>
      <c r="EJ290" s="4"/>
      <c r="EK290" s="4"/>
      <c r="EU290" s="2"/>
      <c r="EV290" s="2"/>
    </row>
    <row r="291" spans="1:152">
      <c r="A291" s="125">
        <v>3370</v>
      </c>
      <c r="B291" s="126" t="s">
        <v>1036</v>
      </c>
      <c r="C291" s="126" t="s">
        <v>331</v>
      </c>
      <c r="D291" s="126" t="s">
        <v>163</v>
      </c>
      <c r="E291" s="126" t="s">
        <v>1037</v>
      </c>
      <c r="F291" s="126" t="s">
        <v>35</v>
      </c>
      <c r="G291" s="126" t="s">
        <v>1583</v>
      </c>
      <c r="H291" s="126" t="s">
        <v>1575</v>
      </c>
      <c r="I291" s="126" t="s">
        <v>1038</v>
      </c>
      <c r="J291" s="126" t="s">
        <v>949</v>
      </c>
      <c r="K291" s="127">
        <v>43388</v>
      </c>
      <c r="L291" s="128"/>
      <c r="M291" s="128">
        <v>0.9</v>
      </c>
      <c r="N291" s="126">
        <v>2.887</v>
      </c>
      <c r="O291" s="126" t="s">
        <v>950</v>
      </c>
      <c r="P291" s="129" t="s">
        <v>1028</v>
      </c>
      <c r="Q291" s="129" t="s">
        <v>1029</v>
      </c>
      <c r="R291" s="126" t="s">
        <v>24</v>
      </c>
      <c r="S291" s="126"/>
      <c r="T291" s="130" t="s">
        <v>861</v>
      </c>
      <c r="U291" s="126"/>
      <c r="V291" s="130" t="s">
        <v>861</v>
      </c>
      <c r="W291" s="126"/>
      <c r="X291" s="130" t="s">
        <v>120</v>
      </c>
      <c r="Y291" s="126" t="s">
        <v>1039</v>
      </c>
      <c r="Z291" s="165" t="s">
        <v>120</v>
      </c>
      <c r="AA291" s="158"/>
      <c r="AB291" s="158"/>
      <c r="AC291" s="170" t="s">
        <v>123</v>
      </c>
      <c r="AD291" s="126" t="s">
        <v>1040</v>
      </c>
      <c r="AE291" s="130" t="s">
        <v>861</v>
      </c>
      <c r="AF291" s="127"/>
      <c r="AG291" s="131"/>
      <c r="AH291" s="131"/>
      <c r="AI291" s="126"/>
      <c r="AJ291" s="130" t="s">
        <v>861</v>
      </c>
      <c r="AK291" s="126"/>
      <c r="AL291" s="126"/>
      <c r="AM291" s="130"/>
      <c r="AN291" s="126"/>
      <c r="AO291" s="132"/>
      <c r="AP291" s="126"/>
      <c r="AQ291" s="126"/>
      <c r="AR291" s="130"/>
      <c r="AS291" s="126"/>
      <c r="AT291" s="127"/>
      <c r="AU291" s="127"/>
      <c r="AV291" s="127"/>
      <c r="AW291" s="127"/>
      <c r="AX291" s="127"/>
      <c r="AY291" s="127"/>
      <c r="AZ291" s="133">
        <v>43388</v>
      </c>
      <c r="BA29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1" s="135">
        <f>COUNTIFS(_05preva_view43[Site ID],_05preva_view43[[#This Row],[Site ID]],_05preva_view43[Prevalidation Status],"Under Prevalidation")</f>
        <v>0</v>
      </c>
      <c r="BC291" s="157" t="e">
        <f ca="1">HYPERLINK(CheckPath(_05preva_view43[[#This Row],[File Path]],_05preva_view43[[#This Row],[File Path]],_05preva_view43[[#This Row],[Folder Path3]]),CheckPath(_05preva_view43[[#This Row],[File Path]],"Open File","No File"))</f>
        <v>#VALUE!</v>
      </c>
      <c r="BD291" s="136" t="str">
        <f>CONCATENATE(_05preva_view43[[#This Row],[Site ID]]," (",_05preva_view43[[#This Row],[tenant id]],") Application",IF(_05preva_view43[[#This Row],[Colo Rev]]&gt;0," Rev "&amp;_05preva_view43[[#This Row],[Colo Rev]],""),".xlsx")</f>
        <v>1-01-17009-002 (AWD00481) Application Rev 2.xlsx</v>
      </c>
      <c r="BE291" s="64" t="e">
        <f t="shared" ca="1" si="6"/>
        <v>#VALUE!</v>
      </c>
      <c r="BF291" s="104" t="e">
        <f ca="1">LEFT(CELL("filename",A276),_05preva_view43[[#This Row],[Find Process &amp; Database]]-1)</f>
        <v>#VALUE!</v>
      </c>
      <c r="BG291" s="104" t="e">
        <f ca="1">_05preva_view43[Folder Path1]&amp;"Process &amp; Database\Documentation\Colo Applications"</f>
        <v>#VALUE!</v>
      </c>
      <c r="BH291" s="104" t="e">
        <f ca="1">_05preva_view43[Folder Path2]&amp;"\Colo App "&amp;_05preva_view43[[#This Row],[Operator]]&amp;"\"</f>
        <v>#VALUE!</v>
      </c>
      <c r="BI291" s="63" t="e">
        <f ca="1">_05preva_view43[[#This Row],[Folder Path3]]&amp;_05preva_view43[[#This Row],[File Name]]</f>
        <v>#VALUE!</v>
      </c>
      <c r="BJ291" s="104"/>
      <c r="BK291" s="3"/>
      <c r="BL291" s="3"/>
      <c r="CJ291" s="5"/>
      <c r="CK291" s="5"/>
      <c r="CL291" s="3"/>
      <c r="CN291" s="5"/>
      <c r="CR291" s="3"/>
      <c r="CS291" s="3"/>
      <c r="CT291" s="5"/>
      <c r="CV291" s="3"/>
      <c r="DR291" s="5"/>
      <c r="DT291" s="3"/>
      <c r="EF291" s="7"/>
      <c r="EG291" s="7"/>
      <c r="EJ291" s="4"/>
      <c r="EK291" s="4"/>
      <c r="EU291" s="2"/>
      <c r="EV291" s="2"/>
    </row>
    <row r="292" spans="1:152">
      <c r="A292" s="125">
        <v>3371</v>
      </c>
      <c r="B292" s="126" t="s">
        <v>1041</v>
      </c>
      <c r="C292" s="126" t="s">
        <v>331</v>
      </c>
      <c r="D292" s="126" t="s">
        <v>163</v>
      </c>
      <c r="E292" s="126" t="s">
        <v>1042</v>
      </c>
      <c r="F292" s="126" t="s">
        <v>35</v>
      </c>
      <c r="G292" s="126" t="s">
        <v>1583</v>
      </c>
      <c r="H292" s="126" t="s">
        <v>1575</v>
      </c>
      <c r="I292" s="126" t="s">
        <v>1038</v>
      </c>
      <c r="J292" s="126" t="s">
        <v>949</v>
      </c>
      <c r="K292" s="127">
        <v>43388</v>
      </c>
      <c r="L292" s="128"/>
      <c r="M292" s="128">
        <v>1.5</v>
      </c>
      <c r="N292" s="126">
        <v>2.9119999999999999</v>
      </c>
      <c r="O292" s="126" t="s">
        <v>950</v>
      </c>
      <c r="P292" s="129" t="s">
        <v>747</v>
      </c>
      <c r="Q292" s="129" t="s">
        <v>1043</v>
      </c>
      <c r="R292" s="126" t="s">
        <v>24</v>
      </c>
      <c r="S292" s="126"/>
      <c r="T292" s="130" t="s">
        <v>861</v>
      </c>
      <c r="U292" s="126"/>
      <c r="V292" s="130" t="s">
        <v>861</v>
      </c>
      <c r="W292" s="126"/>
      <c r="X292" s="130" t="s">
        <v>120</v>
      </c>
      <c r="Y292" s="126" t="s">
        <v>1044</v>
      </c>
      <c r="Z292" s="165" t="s">
        <v>120</v>
      </c>
      <c r="AA292" s="158"/>
      <c r="AB292" s="158"/>
      <c r="AC292" s="170" t="s">
        <v>123</v>
      </c>
      <c r="AD292" s="126" t="s">
        <v>1045</v>
      </c>
      <c r="AE292" s="130" t="s">
        <v>861</v>
      </c>
      <c r="AF292" s="127"/>
      <c r="AG292" s="131"/>
      <c r="AH292" s="131"/>
      <c r="AI292" s="126"/>
      <c r="AJ292" s="130" t="s">
        <v>861</v>
      </c>
      <c r="AK292" s="126"/>
      <c r="AL292" s="126"/>
      <c r="AM292" s="130"/>
      <c r="AN292" s="126"/>
      <c r="AO292" s="132"/>
      <c r="AP292" s="126"/>
      <c r="AQ292" s="126"/>
      <c r="AR292" s="130"/>
      <c r="AS292" s="126"/>
      <c r="AT292" s="127"/>
      <c r="AU292" s="127"/>
      <c r="AV292" s="127"/>
      <c r="AW292" s="127"/>
      <c r="AX292" s="127"/>
      <c r="AY292" s="127"/>
      <c r="AZ292" s="133">
        <v>43388</v>
      </c>
      <c r="BA29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2" s="135">
        <f>COUNTIFS(_05preva_view43[Site ID],_05preva_view43[[#This Row],[Site ID]],_05preva_view43[Prevalidation Status],"Under Prevalidation")</f>
        <v>0</v>
      </c>
      <c r="BC292" s="157" t="e">
        <f ca="1">HYPERLINK(CheckPath(_05preva_view43[[#This Row],[File Path]],_05preva_view43[[#This Row],[File Path]],_05preva_view43[[#This Row],[Folder Path3]]),CheckPath(_05preva_view43[[#This Row],[File Path]],"Open File","No File"))</f>
        <v>#VALUE!</v>
      </c>
      <c r="BD292" s="136" t="str">
        <f>CONCATENATE(_05preva_view43[[#This Row],[Site ID]]," (",_05preva_view43[[#This Row],[tenant id]],") Application",IF(_05preva_view43[[#This Row],[Colo Rev]]&gt;0," Rev "&amp;_05preva_view43[[#This Row],[Colo Rev]],""),".xlsx")</f>
        <v>1-01-17008-022 (AWD00548) Application Rev 2.xlsx</v>
      </c>
      <c r="BE292" s="64" t="e">
        <f t="shared" ca="1" si="6"/>
        <v>#VALUE!</v>
      </c>
      <c r="BF292" s="104" t="e">
        <f ca="1">LEFT(CELL("filename",A277),_05preva_view43[[#This Row],[Find Process &amp; Database]]-1)</f>
        <v>#VALUE!</v>
      </c>
      <c r="BG292" s="104" t="e">
        <f ca="1">_05preva_view43[Folder Path1]&amp;"Process &amp; Database\Documentation\Colo Applications"</f>
        <v>#VALUE!</v>
      </c>
      <c r="BH292" s="104" t="e">
        <f ca="1">_05preva_view43[Folder Path2]&amp;"\Colo App "&amp;_05preva_view43[[#This Row],[Operator]]&amp;"\"</f>
        <v>#VALUE!</v>
      </c>
      <c r="BI292" s="63" t="e">
        <f ca="1">_05preva_view43[[#This Row],[Folder Path3]]&amp;_05preva_view43[[#This Row],[File Name]]</f>
        <v>#VALUE!</v>
      </c>
      <c r="BJ292" s="104"/>
      <c r="BK292" s="3"/>
      <c r="BL292" s="3"/>
      <c r="CJ292" s="5"/>
      <c r="CK292" s="5"/>
      <c r="CL292" s="3"/>
      <c r="CN292" s="5"/>
      <c r="CR292" s="3"/>
      <c r="CS292" s="3"/>
      <c r="CT292" s="5"/>
      <c r="CV292" s="3"/>
      <c r="DR292" s="5"/>
      <c r="DT292" s="3"/>
      <c r="EF292" s="7"/>
      <c r="EG292" s="7"/>
      <c r="EJ292" s="4"/>
      <c r="EK292" s="4"/>
      <c r="EU292" s="2"/>
      <c r="EV292" s="2"/>
    </row>
    <row r="293" spans="1:152">
      <c r="A293" s="125">
        <v>3348</v>
      </c>
      <c r="B293" s="126" t="s">
        <v>928</v>
      </c>
      <c r="C293" s="126" t="s">
        <v>116</v>
      </c>
      <c r="D293" s="126" t="s">
        <v>127</v>
      </c>
      <c r="E293" s="126" t="s">
        <v>929</v>
      </c>
      <c r="F293" s="126" t="s">
        <v>35</v>
      </c>
      <c r="G293" s="126" t="s">
        <v>1577</v>
      </c>
      <c r="H293" s="126" t="s">
        <v>1575</v>
      </c>
      <c r="I293" s="126" t="s">
        <v>930</v>
      </c>
      <c r="J293" s="126" t="s">
        <v>931</v>
      </c>
      <c r="K293" s="127">
        <v>43384</v>
      </c>
      <c r="L293" s="128"/>
      <c r="M293" s="128">
        <v>1.4</v>
      </c>
      <c r="N293" s="126">
        <v>5</v>
      </c>
      <c r="O293" s="126" t="s">
        <v>119</v>
      </c>
      <c r="P293" s="129" t="s">
        <v>916</v>
      </c>
      <c r="Q293" s="129" t="s">
        <v>932</v>
      </c>
      <c r="R293" s="126" t="s">
        <v>24</v>
      </c>
      <c r="S293" s="126"/>
      <c r="T293" s="130" t="s">
        <v>861</v>
      </c>
      <c r="U293" s="126"/>
      <c r="V293" s="130" t="s">
        <v>144</v>
      </c>
      <c r="W293" s="126" t="s">
        <v>935</v>
      </c>
      <c r="X293" s="130" t="s">
        <v>120</v>
      </c>
      <c r="Y293" s="126" t="s">
        <v>933</v>
      </c>
      <c r="Z293" s="165" t="s">
        <v>120</v>
      </c>
      <c r="AA293" s="158"/>
      <c r="AB293" s="158"/>
      <c r="AC293" s="170"/>
      <c r="AD293" s="126"/>
      <c r="AE293" s="130" t="s">
        <v>861</v>
      </c>
      <c r="AF293" s="127"/>
      <c r="AG293" s="131"/>
      <c r="AH293" s="131"/>
      <c r="AI293" s="126" t="s">
        <v>934</v>
      </c>
      <c r="AJ293" s="130" t="s">
        <v>861</v>
      </c>
      <c r="AK293" s="126"/>
      <c r="AL293" s="126"/>
      <c r="AM293" s="130"/>
      <c r="AN293" s="126"/>
      <c r="AO293" s="132"/>
      <c r="AP293" s="126"/>
      <c r="AQ293" s="126"/>
      <c r="AR293" s="130"/>
      <c r="AS293" s="126"/>
      <c r="AT293" s="127"/>
      <c r="AU293" s="127"/>
      <c r="AV293" s="127"/>
      <c r="AW293" s="127"/>
      <c r="AX293" s="127"/>
      <c r="AY293" s="127"/>
      <c r="AZ293" s="133">
        <v>43384</v>
      </c>
      <c r="BA29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3" s="135">
        <f>COUNTIFS(_05preva_view43[Site ID],_05preva_view43[[#This Row],[Site ID]],_05preva_view43[Prevalidation Status],"Under Prevalidation")</f>
        <v>0</v>
      </c>
      <c r="BC293" s="157" t="e">
        <f ca="1">HYPERLINK(CheckPath(_05preva_view43[[#This Row],[File Path]],_05preva_view43[[#This Row],[File Path]],_05preva_view43[[#This Row],[Folder Path3]]),CheckPath(_05preva_view43[[#This Row],[File Path]],"Open File","No File"))</f>
        <v>#VALUE!</v>
      </c>
      <c r="BD293" s="136" t="str">
        <f>CONCATENATE(_05preva_view43[[#This Row],[Site ID]]," (",_05preva_view43[[#This Row],[tenant id]],") Application",IF(_05preva_view43[[#This Row],[Colo Rev]]&gt;0," Rev "&amp;_05preva_view43[[#This Row],[Colo Rev]],""),".xlsx")</f>
        <v>ANSG_0483 (SGG00406) Application Rev 1.xlsx</v>
      </c>
      <c r="BE293" s="64" t="e">
        <f t="shared" ca="1" si="6"/>
        <v>#VALUE!</v>
      </c>
      <c r="BF293" s="104" t="e">
        <f ca="1">LEFT(CELL("filename",A278),_05preva_view43[[#This Row],[Find Process &amp; Database]]-1)</f>
        <v>#VALUE!</v>
      </c>
      <c r="BG293" s="104" t="e">
        <f ca="1">_05preva_view43[Folder Path1]&amp;"Process &amp; Database\Documentation\Colo Applications"</f>
        <v>#VALUE!</v>
      </c>
      <c r="BH293" s="104" t="e">
        <f ca="1">_05preva_view43[Folder Path2]&amp;"\Colo App "&amp;_05preva_view43[[#This Row],[Operator]]&amp;"\"</f>
        <v>#VALUE!</v>
      </c>
      <c r="BI293" s="63" t="e">
        <f ca="1">_05preva_view43[[#This Row],[Folder Path3]]&amp;_05preva_view43[[#This Row],[File Name]]</f>
        <v>#VALUE!</v>
      </c>
      <c r="BJ293" s="104"/>
      <c r="BK293" s="3"/>
      <c r="BL293" s="3"/>
      <c r="CJ293" s="5"/>
      <c r="CK293" s="5"/>
      <c r="CL293" s="3"/>
      <c r="CN293" s="5"/>
      <c r="CR293" s="3"/>
      <c r="CS293" s="3"/>
      <c r="CT293" s="5"/>
      <c r="CV293" s="3"/>
      <c r="DR293" s="5"/>
      <c r="DT293" s="3"/>
      <c r="EF293" s="7"/>
      <c r="EG293" s="7"/>
      <c r="EJ293" s="4"/>
      <c r="EK293" s="4"/>
      <c r="EU293" s="2"/>
      <c r="EV293" s="2"/>
    </row>
    <row r="294" spans="1:152">
      <c r="A294" s="125">
        <v>3349</v>
      </c>
      <c r="B294" s="126" t="s">
        <v>936</v>
      </c>
      <c r="C294" s="126" t="s">
        <v>116</v>
      </c>
      <c r="D294" s="126" t="s">
        <v>163</v>
      </c>
      <c r="E294" s="126" t="s">
        <v>937</v>
      </c>
      <c r="F294" s="126" t="s">
        <v>35</v>
      </c>
      <c r="G294" s="126" t="s">
        <v>938</v>
      </c>
      <c r="H294" s="126" t="s">
        <v>939</v>
      </c>
      <c r="I294" s="126" t="s">
        <v>930</v>
      </c>
      <c r="J294" s="126" t="s">
        <v>940</v>
      </c>
      <c r="K294" s="127">
        <v>43384</v>
      </c>
      <c r="L294" s="128"/>
      <c r="M294" s="128">
        <v>2.1</v>
      </c>
      <c r="N294" s="126">
        <v>5</v>
      </c>
      <c r="O294" s="126" t="s">
        <v>119</v>
      </c>
      <c r="P294" s="129" t="s">
        <v>285</v>
      </c>
      <c r="Q294" s="129" t="s">
        <v>263</v>
      </c>
      <c r="R294" s="126" t="s">
        <v>24</v>
      </c>
      <c r="S294" s="126"/>
      <c r="T294" s="130" t="s">
        <v>861</v>
      </c>
      <c r="U294" s="126"/>
      <c r="V294" s="130" t="s">
        <v>144</v>
      </c>
      <c r="W294" s="126" t="s">
        <v>943</v>
      </c>
      <c r="X294" s="130" t="s">
        <v>120</v>
      </c>
      <c r="Y294" s="126" t="s">
        <v>941</v>
      </c>
      <c r="Z294" s="165"/>
      <c r="AA294" s="158"/>
      <c r="AB294" s="158"/>
      <c r="AC294" s="170"/>
      <c r="AD294" s="126"/>
      <c r="AE294" s="130" t="s">
        <v>120</v>
      </c>
      <c r="AF294" s="127" t="s">
        <v>715</v>
      </c>
      <c r="AG294" s="131"/>
      <c r="AH294" s="131"/>
      <c r="AI294" s="126" t="s">
        <v>942</v>
      </c>
      <c r="AJ294" s="130" t="s">
        <v>861</v>
      </c>
      <c r="AK294" s="126"/>
      <c r="AL294" s="126"/>
      <c r="AM294" s="130"/>
      <c r="AN294" s="126"/>
      <c r="AO294" s="132"/>
      <c r="AP294" s="126"/>
      <c r="AQ294" s="126"/>
      <c r="AR294" s="130"/>
      <c r="AS294" s="126"/>
      <c r="AT294" s="127"/>
      <c r="AU294" s="127">
        <v>43453.379108564797</v>
      </c>
      <c r="AV294" s="127"/>
      <c r="AW294" s="127"/>
      <c r="AX294" s="127"/>
      <c r="AY294" s="127"/>
      <c r="AZ294" s="133">
        <v>43384</v>
      </c>
      <c r="BA29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4" s="135">
        <f>COUNTIFS(_05preva_view43[Site ID],_05preva_view43[[#This Row],[Site ID]],_05preva_view43[Prevalidation Status],"Under Prevalidation")</f>
        <v>0</v>
      </c>
      <c r="BC294" s="157" t="e">
        <f ca="1">HYPERLINK(CheckPath(_05preva_view43[[#This Row],[File Path]],_05preva_view43[[#This Row],[File Path]],_05preva_view43[[#This Row],[Folder Path3]]),CheckPath(_05preva_view43[[#This Row],[File Path]],"Open File","No File"))</f>
        <v>#VALUE!</v>
      </c>
      <c r="BD294" s="136" t="str">
        <f>CONCATENATE(_05preva_view43[[#This Row],[Site ID]]," (",_05preva_view43[[#This Row],[tenant id]],") Application",IF(_05preva_view43[[#This Row],[Colo Rev]]&gt;0," Rev "&amp;_05preva_view43[[#This Row],[Colo Rev]],""),".xlsx")</f>
        <v>AYYN_0609 (BGE00472) Application Rev 0.xlsx</v>
      </c>
      <c r="BE294" s="64" t="e">
        <f t="shared" ca="1" si="6"/>
        <v>#VALUE!</v>
      </c>
      <c r="BF294" s="104" t="e">
        <f ca="1">LEFT(CELL("filename",A279),_05preva_view43[[#This Row],[Find Process &amp; Database]]-1)</f>
        <v>#VALUE!</v>
      </c>
      <c r="BG294" s="104" t="e">
        <f ca="1">_05preva_view43[Folder Path1]&amp;"Process &amp; Database\Documentation\Colo Applications"</f>
        <v>#VALUE!</v>
      </c>
      <c r="BH294" s="104" t="e">
        <f ca="1">_05preva_view43[Folder Path2]&amp;"\Colo App "&amp;_05preva_view43[[#This Row],[Operator]]&amp;"\"</f>
        <v>#VALUE!</v>
      </c>
      <c r="BI294" s="63" t="e">
        <f ca="1">_05preva_view43[[#This Row],[Folder Path3]]&amp;_05preva_view43[[#This Row],[File Name]]</f>
        <v>#VALUE!</v>
      </c>
      <c r="BJ294" s="104"/>
      <c r="BK294" s="3"/>
      <c r="BL294" s="3"/>
      <c r="CJ294" s="5"/>
      <c r="CK294" s="5"/>
      <c r="CL294" s="3"/>
      <c r="CN294" s="5"/>
      <c r="CR294" s="3"/>
      <c r="CS294" s="3"/>
      <c r="CT294" s="5"/>
      <c r="CV294" s="3"/>
      <c r="DR294" s="5"/>
      <c r="DT294" s="3"/>
      <c r="EF294" s="7"/>
      <c r="EG294" s="7"/>
      <c r="EJ294" s="4"/>
      <c r="EK294" s="4"/>
      <c r="EU294" s="2"/>
      <c r="EV294" s="2"/>
    </row>
    <row r="295" spans="1:152">
      <c r="A295" s="125">
        <v>3351</v>
      </c>
      <c r="B295" s="126" t="s">
        <v>247</v>
      </c>
      <c r="C295" s="126" t="s">
        <v>116</v>
      </c>
      <c r="D295" s="126" t="s">
        <v>163</v>
      </c>
      <c r="E295" s="126" t="s">
        <v>944</v>
      </c>
      <c r="F295" s="126" t="s">
        <v>35</v>
      </c>
      <c r="G295" s="126" t="s">
        <v>1577</v>
      </c>
      <c r="H295" s="126" t="s">
        <v>1575</v>
      </c>
      <c r="I295" s="126" t="s">
        <v>930</v>
      </c>
      <c r="J295" s="126" t="s">
        <v>940</v>
      </c>
      <c r="K295" s="127">
        <v>43384</v>
      </c>
      <c r="L295" s="128"/>
      <c r="M295" s="128">
        <v>2.1</v>
      </c>
      <c r="N295" s="126"/>
      <c r="O295" s="126" t="s">
        <v>119</v>
      </c>
      <c r="P295" s="129" t="s">
        <v>285</v>
      </c>
      <c r="Q295" s="129" t="s">
        <v>263</v>
      </c>
      <c r="R295" s="126" t="s">
        <v>24</v>
      </c>
      <c r="S295" s="126"/>
      <c r="T295" s="130" t="s">
        <v>861</v>
      </c>
      <c r="U295" s="126"/>
      <c r="V295" s="130" t="s">
        <v>120</v>
      </c>
      <c r="W295" s="126"/>
      <c r="X295" s="130" t="s">
        <v>120</v>
      </c>
      <c r="Y295" s="126" t="s">
        <v>945</v>
      </c>
      <c r="Z295" s="165"/>
      <c r="AA295" s="158"/>
      <c r="AB295" s="158"/>
      <c r="AC295" s="170"/>
      <c r="AD295" s="126"/>
      <c r="AE295" s="130" t="s">
        <v>120</v>
      </c>
      <c r="AF295" s="127" t="s">
        <v>895</v>
      </c>
      <c r="AG295" s="131"/>
      <c r="AH295" s="131"/>
      <c r="AI295" s="126"/>
      <c r="AJ295" s="130" t="s">
        <v>861</v>
      </c>
      <c r="AK295" s="126"/>
      <c r="AL295" s="126"/>
      <c r="AM295" s="130"/>
      <c r="AN295" s="126"/>
      <c r="AO295" s="132"/>
      <c r="AP295" s="126"/>
      <c r="AQ295" s="126"/>
      <c r="AR295" s="130"/>
      <c r="AS295" s="126"/>
      <c r="AT295" s="127"/>
      <c r="AU295" s="127">
        <v>43453.379109722198</v>
      </c>
      <c r="AV295" s="127"/>
      <c r="AW295" s="127"/>
      <c r="AX295" s="127"/>
      <c r="AY295" s="127"/>
      <c r="AZ295" s="133">
        <v>43384</v>
      </c>
      <c r="BA29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5" s="135">
        <f>COUNTIFS(_05preva_view43[Site ID],_05preva_view43[[#This Row],[Site ID]],_05preva_view43[Prevalidation Status],"Under Prevalidation")</f>
        <v>0</v>
      </c>
      <c r="BC295" s="157" t="e">
        <f ca="1">HYPERLINK(CheckPath(_05preva_view43[[#This Row],[File Path]],_05preva_view43[[#This Row],[File Path]],_05preva_view43[[#This Row],[Folder Path3]]),CheckPath(_05preva_view43[[#This Row],[File Path]],"Open File","No File"))</f>
        <v>#VALUE!</v>
      </c>
      <c r="BD295" s="136" t="str">
        <f>CONCATENATE(_05preva_view43[[#This Row],[Site ID]]," (",_05preva_view43[[#This Row],[tenant id]],") Application",IF(_05preva_view43[[#This Row],[Colo Rev]]&gt;0," Rev "&amp;_05preva_view43[[#This Row],[Colo Rev]],""),".xlsx")</f>
        <v>AYYN_0529 (YGN00500) Application Rev 0.xlsx</v>
      </c>
      <c r="BE295" s="64" t="e">
        <f t="shared" ca="1" si="6"/>
        <v>#VALUE!</v>
      </c>
      <c r="BF295" s="104" t="e">
        <f ca="1">LEFT(CELL("filename",A280),_05preva_view43[[#This Row],[Find Process &amp; Database]]-1)</f>
        <v>#VALUE!</v>
      </c>
      <c r="BG295" s="104" t="e">
        <f ca="1">_05preva_view43[Folder Path1]&amp;"Process &amp; Database\Documentation\Colo Applications"</f>
        <v>#VALUE!</v>
      </c>
      <c r="BH295" s="104" t="e">
        <f ca="1">_05preva_view43[Folder Path2]&amp;"\Colo App "&amp;_05preva_view43[[#This Row],[Operator]]&amp;"\"</f>
        <v>#VALUE!</v>
      </c>
      <c r="BI295" s="63" t="e">
        <f ca="1">_05preva_view43[[#This Row],[Folder Path3]]&amp;_05preva_view43[[#This Row],[File Name]]</f>
        <v>#VALUE!</v>
      </c>
      <c r="BJ295" s="104"/>
      <c r="BK295" s="3"/>
      <c r="BL295" s="3"/>
      <c r="CJ295" s="5"/>
      <c r="CK295" s="5"/>
      <c r="CL295" s="3"/>
      <c r="CN295" s="5"/>
      <c r="CR295" s="3"/>
      <c r="CS295" s="3"/>
      <c r="CT295" s="5"/>
      <c r="CV295" s="3"/>
      <c r="DR295" s="5"/>
      <c r="DT295" s="3"/>
      <c r="EF295" s="7"/>
      <c r="EG295" s="7"/>
      <c r="EJ295" s="4"/>
      <c r="EK295" s="4"/>
      <c r="EU295" s="2"/>
      <c r="EV295" s="2"/>
    </row>
    <row r="296" spans="1:152">
      <c r="A296" s="125">
        <v>655</v>
      </c>
      <c r="B296" s="126" t="s">
        <v>926</v>
      </c>
      <c r="C296" s="126" t="s">
        <v>116</v>
      </c>
      <c r="D296" s="126" t="s">
        <v>117</v>
      </c>
      <c r="E296" s="126" t="s">
        <v>927</v>
      </c>
      <c r="F296" s="126" t="s">
        <v>40</v>
      </c>
      <c r="G296" s="126" t="s">
        <v>118</v>
      </c>
      <c r="H296" s="126"/>
      <c r="I296" s="126" t="s">
        <v>118</v>
      </c>
      <c r="J296" s="126"/>
      <c r="K296" s="127">
        <v>43353</v>
      </c>
      <c r="L296" s="128"/>
      <c r="M296" s="128">
        <v>3</v>
      </c>
      <c r="N296" s="126">
        <v>6</v>
      </c>
      <c r="O296" s="126" t="s">
        <v>119</v>
      </c>
      <c r="P296" s="129" t="s">
        <v>263</v>
      </c>
      <c r="Q296" s="129" t="s">
        <v>264</v>
      </c>
      <c r="R296" s="126" t="s">
        <v>27</v>
      </c>
      <c r="S296" s="126"/>
      <c r="T296" s="130" t="s">
        <v>120</v>
      </c>
      <c r="U296" s="126" t="s">
        <v>900</v>
      </c>
      <c r="V296" s="130" t="s">
        <v>120</v>
      </c>
      <c r="W296" s="126"/>
      <c r="X296" s="130"/>
      <c r="Y296" s="126"/>
      <c r="Z296" s="165"/>
      <c r="AA296" s="158"/>
      <c r="AB296" s="158"/>
      <c r="AC296" s="170"/>
      <c r="AD296" s="126"/>
      <c r="AE296" s="130" t="s">
        <v>120</v>
      </c>
      <c r="AF296" s="127" t="s">
        <v>895</v>
      </c>
      <c r="AG296" s="131"/>
      <c r="AH296" s="131"/>
      <c r="AI296" s="126"/>
      <c r="AJ296" s="130"/>
      <c r="AK296" s="126"/>
      <c r="AL296" s="126"/>
      <c r="AM296" s="130"/>
      <c r="AN296" s="126"/>
      <c r="AO296" s="132"/>
      <c r="AP296" s="126"/>
      <c r="AQ296" s="126"/>
      <c r="AR296" s="130"/>
      <c r="AS296" s="126"/>
      <c r="AT296" s="127"/>
      <c r="AU296" s="127">
        <v>43417.673058101798</v>
      </c>
      <c r="AV296" s="127"/>
      <c r="AW296" s="127"/>
      <c r="AX296" s="127">
        <v>43417.688162036997</v>
      </c>
      <c r="AY296" s="127">
        <v>43417.684590162004</v>
      </c>
      <c r="AZ296" s="133">
        <v>43353</v>
      </c>
      <c r="BA29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6" s="135">
        <f>COUNTIFS(_05preva_view43[Site ID],_05preva_view43[[#This Row],[Site ID]],_05preva_view43[Prevalidation Status],"Under Prevalidation")</f>
        <v>0</v>
      </c>
      <c r="BC296" s="157" t="e">
        <f ca="1">HYPERLINK(CheckPath(_05preva_view43[[#This Row],[File Path]],_05preva_view43[[#This Row],[File Path]],_05preva_view43[[#This Row],[Folder Path3]]),CheckPath(_05preva_view43[[#This Row],[File Path]],"Open File","No File"))</f>
        <v>#VALUE!</v>
      </c>
      <c r="BD296" s="136" t="str">
        <f>CONCATENATE(_05preva_view43[[#This Row],[Site ID]]," (",_05preva_view43[[#This Row],[tenant id]],") Application",IF(_05preva_view43[[#This Row],[Colo Rev]]&gt;0," Rev "&amp;_05preva_view43[[#This Row],[Colo Rev]],""),".xlsx")</f>
        <v>ANNP_0256 (NPW2249) Application.xlsx</v>
      </c>
      <c r="BE296" s="64" t="e">
        <f t="shared" ca="1" si="6"/>
        <v>#VALUE!</v>
      </c>
      <c r="BF296" s="104" t="e">
        <f ca="1">LEFT(CELL("filename",A281),_05preva_view43[[#This Row],[Find Process &amp; Database]]-1)</f>
        <v>#VALUE!</v>
      </c>
      <c r="BG296" s="104" t="e">
        <f ca="1">_05preva_view43[Folder Path1]&amp;"Process &amp; Database\Documentation\Colo Applications"</f>
        <v>#VALUE!</v>
      </c>
      <c r="BH296" s="104" t="e">
        <f ca="1">_05preva_view43[Folder Path2]&amp;"\Colo App "&amp;_05preva_view43[[#This Row],[Operator]]&amp;"\"</f>
        <v>#VALUE!</v>
      </c>
      <c r="BI296" s="63" t="e">
        <f ca="1">_05preva_view43[[#This Row],[Folder Path3]]&amp;_05preva_view43[[#This Row],[File Name]]</f>
        <v>#VALUE!</v>
      </c>
      <c r="BJ296" s="104"/>
      <c r="BK296" s="3"/>
      <c r="BL296" s="3"/>
      <c r="CJ296" s="5"/>
      <c r="CK296" s="5"/>
      <c r="CL296" s="3"/>
      <c r="CN296" s="5"/>
      <c r="CR296" s="3"/>
      <c r="CS296" s="3"/>
      <c r="CT296" s="5"/>
      <c r="CV296" s="3"/>
      <c r="DR296" s="5"/>
      <c r="DT296" s="3"/>
      <c r="EF296" s="7"/>
      <c r="EG296" s="7"/>
      <c r="EJ296" s="4"/>
      <c r="EK296" s="4"/>
      <c r="EU296" s="2"/>
      <c r="EV296" s="2"/>
    </row>
    <row r="297" spans="1:152">
      <c r="A297" s="125">
        <v>648</v>
      </c>
      <c r="B297" s="126" t="s">
        <v>901</v>
      </c>
      <c r="C297" s="126" t="s">
        <v>116</v>
      </c>
      <c r="D297" s="126" t="s">
        <v>163</v>
      </c>
      <c r="E297" s="126" t="s">
        <v>902</v>
      </c>
      <c r="F297" s="126" t="s">
        <v>40</v>
      </c>
      <c r="G297" s="126" t="s">
        <v>1579</v>
      </c>
      <c r="H297" s="126" t="s">
        <v>1575</v>
      </c>
      <c r="I297" s="126" t="s">
        <v>118</v>
      </c>
      <c r="J297" s="126"/>
      <c r="K297" s="127">
        <v>43350</v>
      </c>
      <c r="L297" s="128"/>
      <c r="M297" s="128">
        <v>3</v>
      </c>
      <c r="N297" s="126">
        <v>6</v>
      </c>
      <c r="O297" s="126" t="s">
        <v>119</v>
      </c>
      <c r="P297" s="129" t="s">
        <v>339</v>
      </c>
      <c r="Q297" s="129" t="s">
        <v>903</v>
      </c>
      <c r="R297" s="126" t="s">
        <v>24</v>
      </c>
      <c r="S297" s="126"/>
      <c r="T297" s="130" t="s">
        <v>120</v>
      </c>
      <c r="U297" s="126" t="s">
        <v>900</v>
      </c>
      <c r="V297" s="130" t="s">
        <v>120</v>
      </c>
      <c r="W297" s="126"/>
      <c r="X297" s="130" t="s">
        <v>120</v>
      </c>
      <c r="Y297" s="126"/>
      <c r="Z297" s="165" t="s">
        <v>861</v>
      </c>
      <c r="AA297" s="158"/>
      <c r="AB297" s="158"/>
      <c r="AC297" s="170" t="s">
        <v>123</v>
      </c>
      <c r="AD297" s="126"/>
      <c r="AE297" s="130" t="s">
        <v>120</v>
      </c>
      <c r="AF297" s="127" t="s">
        <v>895</v>
      </c>
      <c r="AG297" s="131"/>
      <c r="AH297" s="131"/>
      <c r="AI297" s="126" t="s">
        <v>904</v>
      </c>
      <c r="AJ297" s="130" t="s">
        <v>120</v>
      </c>
      <c r="AK297" s="126" t="s">
        <v>123</v>
      </c>
      <c r="AL297" s="126"/>
      <c r="AM297" s="130"/>
      <c r="AN297" s="126"/>
      <c r="AO297" s="132"/>
      <c r="AP297" s="126"/>
      <c r="AQ297" s="126"/>
      <c r="AR297" s="130"/>
      <c r="AS297" s="126"/>
      <c r="AT297" s="127">
        <v>43417.622355671301</v>
      </c>
      <c r="AU297" s="127">
        <v>43417.673049305602</v>
      </c>
      <c r="AV297" s="127"/>
      <c r="AW297" s="127">
        <v>43417.7298373843</v>
      </c>
      <c r="AX297" s="127">
        <v>43417.688155439799</v>
      </c>
      <c r="AY297" s="127">
        <v>43417.684582291702</v>
      </c>
      <c r="AZ297" s="133">
        <v>43350</v>
      </c>
      <c r="BA29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7" s="135">
        <f>COUNTIFS(_05preva_view43[Site ID],_05preva_view43[[#This Row],[Site ID]],_05preva_view43[Prevalidation Status],"Under Prevalidation")</f>
        <v>0</v>
      </c>
      <c r="BC297" s="157" t="e">
        <f ca="1">HYPERLINK(CheckPath(_05preva_view43[[#This Row],[File Path]],_05preva_view43[[#This Row],[File Path]],_05preva_view43[[#This Row],[Folder Path3]]),CheckPath(_05preva_view43[[#This Row],[File Path]],"Open File","No File"))</f>
        <v>#VALUE!</v>
      </c>
      <c r="BD297" s="136" t="str">
        <f>CONCATENATE(_05preva_view43[[#This Row],[Site ID]]," (",_05preva_view43[[#This Row],[tenant id]],") Application",IF(_05preva_view43[[#This Row],[Colo Rev]]&gt;0," Rev "&amp;_05preva_view43[[#This Row],[Colo Rev]],""),".xlsx")</f>
        <v>ACAY_0154 (AYW5603) Application.xlsx</v>
      </c>
      <c r="BE297" s="64" t="e">
        <f t="shared" ca="1" si="6"/>
        <v>#VALUE!</v>
      </c>
      <c r="BF297" s="104" t="e">
        <f ca="1">LEFT(CELL("filename",A282),_05preva_view43[[#This Row],[Find Process &amp; Database]]-1)</f>
        <v>#VALUE!</v>
      </c>
      <c r="BG297" s="104" t="e">
        <f ca="1">_05preva_view43[Folder Path1]&amp;"Process &amp; Database\Documentation\Colo Applications"</f>
        <v>#VALUE!</v>
      </c>
      <c r="BH297" s="104" t="e">
        <f ca="1">_05preva_view43[Folder Path2]&amp;"\Colo App "&amp;_05preva_view43[[#This Row],[Operator]]&amp;"\"</f>
        <v>#VALUE!</v>
      </c>
      <c r="BI297" s="63" t="e">
        <f ca="1">_05preva_view43[[#This Row],[Folder Path3]]&amp;_05preva_view43[[#This Row],[File Name]]</f>
        <v>#VALUE!</v>
      </c>
      <c r="BJ297" s="104"/>
      <c r="BK297" s="3"/>
      <c r="BL297" s="3"/>
      <c r="CJ297" s="5"/>
      <c r="CK297" s="5"/>
      <c r="CL297" s="3"/>
      <c r="CN297" s="5"/>
      <c r="CR297" s="3"/>
      <c r="CS297" s="3"/>
      <c r="CT297" s="5"/>
      <c r="CV297" s="3"/>
      <c r="DR297" s="5"/>
      <c r="DT297" s="3"/>
      <c r="EF297" s="7"/>
      <c r="EG297" s="7"/>
      <c r="EJ297" s="4"/>
      <c r="EK297" s="4"/>
      <c r="EU297" s="2"/>
      <c r="EV297" s="2"/>
    </row>
    <row r="298" spans="1:152">
      <c r="A298" s="125">
        <v>649</v>
      </c>
      <c r="B298" s="126" t="s">
        <v>905</v>
      </c>
      <c r="C298" s="126" t="s">
        <v>116</v>
      </c>
      <c r="D298" s="126" t="s">
        <v>163</v>
      </c>
      <c r="E298" s="126" t="s">
        <v>906</v>
      </c>
      <c r="F298" s="126" t="s">
        <v>40</v>
      </c>
      <c r="G298" s="126" t="s">
        <v>1579</v>
      </c>
      <c r="H298" s="126" t="s">
        <v>1575</v>
      </c>
      <c r="I298" s="126" t="s">
        <v>118</v>
      </c>
      <c r="J298" s="126"/>
      <c r="K298" s="127">
        <v>43350</v>
      </c>
      <c r="L298" s="128"/>
      <c r="M298" s="128">
        <v>3</v>
      </c>
      <c r="N298" s="126">
        <v>6</v>
      </c>
      <c r="O298" s="126" t="s">
        <v>119</v>
      </c>
      <c r="P298" s="129" t="s">
        <v>339</v>
      </c>
      <c r="Q298" s="129" t="s">
        <v>903</v>
      </c>
      <c r="R298" s="126" t="s">
        <v>24</v>
      </c>
      <c r="S298" s="126"/>
      <c r="T298" s="130" t="s">
        <v>120</v>
      </c>
      <c r="U298" s="126" t="s">
        <v>900</v>
      </c>
      <c r="V298" s="130" t="s">
        <v>120</v>
      </c>
      <c r="W298" s="126"/>
      <c r="X298" s="130" t="s">
        <v>120</v>
      </c>
      <c r="Y298" s="126"/>
      <c r="Z298" s="165" t="s">
        <v>861</v>
      </c>
      <c r="AA298" s="158"/>
      <c r="AB298" s="158"/>
      <c r="AC298" s="170" t="s">
        <v>123</v>
      </c>
      <c r="AD298" s="126"/>
      <c r="AE298" s="130" t="s">
        <v>120</v>
      </c>
      <c r="AF298" s="127" t="s">
        <v>715</v>
      </c>
      <c r="AG298" s="131"/>
      <c r="AH298" s="131"/>
      <c r="AI298" s="126" t="s">
        <v>907</v>
      </c>
      <c r="AJ298" s="130" t="s">
        <v>120</v>
      </c>
      <c r="AK298" s="126" t="s">
        <v>123</v>
      </c>
      <c r="AL298" s="126"/>
      <c r="AM298" s="130"/>
      <c r="AN298" s="126"/>
      <c r="AO298" s="132"/>
      <c r="AP298" s="126"/>
      <c r="AQ298" s="126"/>
      <c r="AR298" s="130"/>
      <c r="AS298" s="126"/>
      <c r="AT298" s="127">
        <v>43417.622356828702</v>
      </c>
      <c r="AU298" s="127">
        <v>43417.673049999998</v>
      </c>
      <c r="AV298" s="127"/>
      <c r="AW298" s="127">
        <v>43417.729837847197</v>
      </c>
      <c r="AX298" s="127">
        <v>43417.688155787</v>
      </c>
      <c r="AY298" s="127">
        <v>43417.684582870403</v>
      </c>
      <c r="AZ298" s="133">
        <v>43350</v>
      </c>
      <c r="BA29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8" s="135">
        <f>COUNTIFS(_05preva_view43[Site ID],_05preva_view43[[#This Row],[Site ID]],_05preva_view43[Prevalidation Status],"Under Prevalidation")</f>
        <v>0</v>
      </c>
      <c r="BC298" s="157" t="e">
        <f ca="1">HYPERLINK(CheckPath(_05preva_view43[[#This Row],[File Path]],_05preva_view43[[#This Row],[File Path]],_05preva_view43[[#This Row],[Folder Path3]]),CheckPath(_05preva_view43[[#This Row],[File Path]],"Open File","No File"))</f>
        <v>#VALUE!</v>
      </c>
      <c r="BD298" s="136" t="str">
        <f>CONCATENATE(_05preva_view43[[#This Row],[Site ID]]," (",_05preva_view43[[#This Row],[tenant id]],") Application",IF(_05preva_view43[[#This Row],[Colo Rev]]&gt;0," Rev "&amp;_05preva_view43[[#This Row],[Colo Rev]],""),".xlsx")</f>
        <v>ACAY_0056 (AYW5611) Application.xlsx</v>
      </c>
      <c r="BE298" s="64" t="e">
        <f t="shared" ca="1" si="6"/>
        <v>#VALUE!</v>
      </c>
      <c r="BF298" s="104" t="e">
        <f ca="1">LEFT(CELL("filename",A283),_05preva_view43[[#This Row],[Find Process &amp; Database]]-1)</f>
        <v>#VALUE!</v>
      </c>
      <c r="BG298" s="104" t="e">
        <f ca="1">_05preva_view43[Folder Path1]&amp;"Process &amp; Database\Documentation\Colo Applications"</f>
        <v>#VALUE!</v>
      </c>
      <c r="BH298" s="104" t="e">
        <f ca="1">_05preva_view43[Folder Path2]&amp;"\Colo App "&amp;_05preva_view43[[#This Row],[Operator]]&amp;"\"</f>
        <v>#VALUE!</v>
      </c>
      <c r="BI298" s="63" t="e">
        <f ca="1">_05preva_view43[[#This Row],[Folder Path3]]&amp;_05preva_view43[[#This Row],[File Name]]</f>
        <v>#VALUE!</v>
      </c>
      <c r="BJ298" s="104"/>
      <c r="BK298" s="3"/>
      <c r="BL298" s="3"/>
      <c r="CJ298" s="5"/>
      <c r="CK298" s="5"/>
      <c r="CL298" s="3"/>
      <c r="CN298" s="5"/>
      <c r="CR298" s="3"/>
      <c r="CS298" s="3"/>
      <c r="CT298" s="5"/>
      <c r="CV298" s="3"/>
      <c r="DR298" s="5"/>
      <c r="DT298" s="3"/>
      <c r="EF298" s="7"/>
      <c r="EG298" s="7"/>
      <c r="EJ298" s="4"/>
      <c r="EK298" s="4"/>
      <c r="EU298" s="2"/>
      <c r="EV298" s="2"/>
    </row>
    <row r="299" spans="1:152">
      <c r="A299" s="125">
        <v>650</v>
      </c>
      <c r="B299" s="126" t="s">
        <v>908</v>
      </c>
      <c r="C299" s="126" t="s">
        <v>116</v>
      </c>
      <c r="D299" s="126" t="s">
        <v>163</v>
      </c>
      <c r="E299" s="126" t="s">
        <v>909</v>
      </c>
      <c r="F299" s="126" t="s">
        <v>40</v>
      </c>
      <c r="G299" s="126" t="s">
        <v>118</v>
      </c>
      <c r="H299" s="126"/>
      <c r="I299" s="126" t="s">
        <v>118</v>
      </c>
      <c r="J299" s="126"/>
      <c r="K299" s="127">
        <v>43350</v>
      </c>
      <c r="L299" s="128"/>
      <c r="M299" s="128">
        <v>3</v>
      </c>
      <c r="N299" s="126">
        <v>6</v>
      </c>
      <c r="O299" s="126" t="s">
        <v>119</v>
      </c>
      <c r="P299" s="129" t="s">
        <v>880</v>
      </c>
      <c r="Q299" s="129" t="s">
        <v>910</v>
      </c>
      <c r="R299" s="126" t="s">
        <v>27</v>
      </c>
      <c r="S299" s="126"/>
      <c r="T299" s="130" t="s">
        <v>120</v>
      </c>
      <c r="U299" s="126" t="s">
        <v>900</v>
      </c>
      <c r="V299" s="130" t="s">
        <v>120</v>
      </c>
      <c r="W299" s="126"/>
      <c r="X299" s="130" t="s">
        <v>120</v>
      </c>
      <c r="Y299" s="126"/>
      <c r="Z299" s="165"/>
      <c r="AA299" s="158"/>
      <c r="AB299" s="158"/>
      <c r="AC299" s="170" t="s">
        <v>123</v>
      </c>
      <c r="AD299" s="126"/>
      <c r="AE299" s="130" t="s">
        <v>120</v>
      </c>
      <c r="AF299" s="127" t="s">
        <v>715</v>
      </c>
      <c r="AG299" s="131"/>
      <c r="AH299" s="131"/>
      <c r="AI299" s="126" t="s">
        <v>911</v>
      </c>
      <c r="AJ299" s="130" t="s">
        <v>120</v>
      </c>
      <c r="AK299" s="126" t="s">
        <v>123</v>
      </c>
      <c r="AL299" s="126"/>
      <c r="AM299" s="130"/>
      <c r="AN299" s="126"/>
      <c r="AO299" s="132"/>
      <c r="AP299" s="126"/>
      <c r="AQ299" s="126"/>
      <c r="AR299" s="130"/>
      <c r="AS299" s="126"/>
      <c r="AT299" s="127">
        <v>43417.622357175896</v>
      </c>
      <c r="AU299" s="127">
        <v>43417.673051620397</v>
      </c>
      <c r="AV299" s="127"/>
      <c r="AW299" s="127">
        <v>43417.729838541702</v>
      </c>
      <c r="AX299" s="127">
        <v>43417.6881571759</v>
      </c>
      <c r="AY299" s="127">
        <v>43417.6845853009</v>
      </c>
      <c r="AZ299" s="133">
        <v>43350</v>
      </c>
      <c r="BA29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9" s="135">
        <f>COUNTIFS(_05preva_view43[Site ID],_05preva_view43[[#This Row],[Site ID]],_05preva_view43[Prevalidation Status],"Under Prevalidation")</f>
        <v>0</v>
      </c>
      <c r="BC299" s="157" t="e">
        <f ca="1">HYPERLINK(CheckPath(_05preva_view43[[#This Row],[File Path]],_05preva_view43[[#This Row],[File Path]],_05preva_view43[[#This Row],[Folder Path3]]),CheckPath(_05preva_view43[[#This Row],[File Path]],"Open File","No File"))</f>
        <v>#VALUE!</v>
      </c>
      <c r="BD299" s="136" t="str">
        <f>CONCATENATE(_05preva_view43[[#This Row],[Site ID]]," (",_05preva_view43[[#This Row],[tenant id]],") Application",IF(_05preva_view43[[#This Row],[Colo Rev]]&gt;0," Rev "&amp;_05preva_view43[[#This Row],[Colo Rev]],""),".xlsx")</f>
        <v>ACAY_0138 (AYW5612) Application.xlsx</v>
      </c>
      <c r="BE299" s="64" t="e">
        <f t="shared" ca="1" si="6"/>
        <v>#VALUE!</v>
      </c>
      <c r="BF299" s="104" t="e">
        <f ca="1">LEFT(CELL("filename",A284),_05preva_view43[[#This Row],[Find Process &amp; Database]]-1)</f>
        <v>#VALUE!</v>
      </c>
      <c r="BG299" s="104" t="e">
        <f ca="1">_05preva_view43[Folder Path1]&amp;"Process &amp; Database\Documentation\Colo Applications"</f>
        <v>#VALUE!</v>
      </c>
      <c r="BH299" s="104" t="e">
        <f ca="1">_05preva_view43[Folder Path2]&amp;"\Colo App "&amp;_05preva_view43[[#This Row],[Operator]]&amp;"\"</f>
        <v>#VALUE!</v>
      </c>
      <c r="BI299" s="63" t="e">
        <f ca="1">_05preva_view43[[#This Row],[Folder Path3]]&amp;_05preva_view43[[#This Row],[File Name]]</f>
        <v>#VALUE!</v>
      </c>
      <c r="BJ299" s="104"/>
      <c r="BK299" s="3"/>
      <c r="BL299" s="3"/>
      <c r="CJ299" s="5"/>
      <c r="CK299" s="5"/>
      <c r="CL299" s="3"/>
      <c r="CN299" s="5"/>
      <c r="CR299" s="3"/>
      <c r="CS299" s="3"/>
      <c r="CT299" s="5"/>
      <c r="CV299" s="3"/>
      <c r="DR299" s="5"/>
      <c r="DT299" s="3"/>
      <c r="EF299" s="7"/>
      <c r="EG299" s="7"/>
      <c r="EJ299" s="4"/>
      <c r="EK299" s="4"/>
      <c r="EU299" s="2"/>
      <c r="EV299" s="2"/>
    </row>
    <row r="300" spans="1:152">
      <c r="A300" s="125">
        <v>651</v>
      </c>
      <c r="B300" s="126" t="s">
        <v>912</v>
      </c>
      <c r="C300" s="126" t="s">
        <v>116</v>
      </c>
      <c r="D300" s="126" t="s">
        <v>117</v>
      </c>
      <c r="E300" s="126" t="s">
        <v>913</v>
      </c>
      <c r="F300" s="126" t="s">
        <v>40</v>
      </c>
      <c r="G300" s="126" t="s">
        <v>118</v>
      </c>
      <c r="H300" s="126"/>
      <c r="I300" s="126" t="s">
        <v>118</v>
      </c>
      <c r="J300" s="126"/>
      <c r="K300" s="127">
        <v>43350</v>
      </c>
      <c r="L300" s="128"/>
      <c r="M300" s="128">
        <v>3</v>
      </c>
      <c r="N300" s="126">
        <v>6</v>
      </c>
      <c r="O300" s="126" t="s">
        <v>119</v>
      </c>
      <c r="P300" s="129" t="s">
        <v>256</v>
      </c>
      <c r="Q300" s="129" t="s">
        <v>257</v>
      </c>
      <c r="R300" s="126" t="s">
        <v>27</v>
      </c>
      <c r="S300" s="126"/>
      <c r="T300" s="130" t="s">
        <v>120</v>
      </c>
      <c r="U300" s="126" t="s">
        <v>900</v>
      </c>
      <c r="V300" s="130" t="s">
        <v>120</v>
      </c>
      <c r="W300" s="126"/>
      <c r="X300" s="130" t="s">
        <v>120</v>
      </c>
      <c r="Y300" s="126"/>
      <c r="Z300" s="165"/>
      <c r="AA300" s="158"/>
      <c r="AB300" s="158"/>
      <c r="AC300" s="170" t="s">
        <v>123</v>
      </c>
      <c r="AD300" s="126"/>
      <c r="AE300" s="130" t="s">
        <v>120</v>
      </c>
      <c r="AF300" s="127" t="s">
        <v>715</v>
      </c>
      <c r="AG300" s="131"/>
      <c r="AH300" s="131"/>
      <c r="AI300" s="126" t="s">
        <v>911</v>
      </c>
      <c r="AJ300" s="130" t="s">
        <v>120</v>
      </c>
      <c r="AK300" s="126" t="s">
        <v>123</v>
      </c>
      <c r="AL300" s="126"/>
      <c r="AM300" s="130"/>
      <c r="AN300" s="126"/>
      <c r="AO300" s="132"/>
      <c r="AP300" s="126"/>
      <c r="AQ300" s="126"/>
      <c r="AR300" s="130"/>
      <c r="AS300" s="126"/>
      <c r="AT300" s="127">
        <v>43417.622357523098</v>
      </c>
      <c r="AU300" s="127">
        <v>43417.6730523148</v>
      </c>
      <c r="AV300" s="127"/>
      <c r="AW300" s="127">
        <v>43417.729839236097</v>
      </c>
      <c r="AX300" s="127">
        <v>43417.688157638899</v>
      </c>
      <c r="AY300" s="127">
        <v>43417.684586921299</v>
      </c>
      <c r="AZ300" s="133">
        <v>43350</v>
      </c>
      <c r="BA30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0" s="135">
        <f>COUNTIFS(_05preva_view43[Site ID],_05preva_view43[[#This Row],[Site ID]],_05preva_view43[Prevalidation Status],"Under Prevalidation")</f>
        <v>0</v>
      </c>
      <c r="BC300" s="157" t="e">
        <f ca="1">HYPERLINK(CheckPath(_05preva_view43[[#This Row],[File Path]],_05preva_view43[[#This Row],[File Path]],_05preva_view43[[#This Row],[Folder Path3]]),CheckPath(_05preva_view43[[#This Row],[File Path]],"Open File","No File"))</f>
        <v>#VALUE!</v>
      </c>
      <c r="BD300" s="136" t="str">
        <f>CONCATENATE(_05preva_view43[[#This Row],[Site ID]]," (",_05preva_view43[[#This Row],[tenant id]],") Application",IF(_05preva_view43[[#This Row],[Colo Rev]]&gt;0," Rev "&amp;_05preva_view43[[#This Row],[Colo Rev]],""),".xlsx")</f>
        <v>ACBA_0256 (BAW5598) Application.xlsx</v>
      </c>
      <c r="BE300" s="64" t="e">
        <f t="shared" ca="1" si="6"/>
        <v>#VALUE!</v>
      </c>
      <c r="BF300" s="104" t="e">
        <f ca="1">LEFT(CELL("filename",A285),_05preva_view43[[#This Row],[Find Process &amp; Database]]-1)</f>
        <v>#VALUE!</v>
      </c>
      <c r="BG300" s="104" t="e">
        <f ca="1">_05preva_view43[Folder Path1]&amp;"Process &amp; Database\Documentation\Colo Applications"</f>
        <v>#VALUE!</v>
      </c>
      <c r="BH300" s="104" t="e">
        <f ca="1">_05preva_view43[Folder Path2]&amp;"\Colo App "&amp;_05preva_view43[[#This Row],[Operator]]&amp;"\"</f>
        <v>#VALUE!</v>
      </c>
      <c r="BI300" s="63" t="e">
        <f ca="1">_05preva_view43[[#This Row],[Folder Path3]]&amp;_05preva_view43[[#This Row],[File Name]]</f>
        <v>#VALUE!</v>
      </c>
      <c r="BJ300" s="104"/>
      <c r="BK300" s="3"/>
      <c r="BL300" s="3"/>
      <c r="CJ300" s="5"/>
      <c r="CK300" s="5"/>
      <c r="CL300" s="3"/>
      <c r="CN300" s="5"/>
      <c r="CR300" s="3"/>
      <c r="CS300" s="3"/>
      <c r="CT300" s="5"/>
      <c r="CV300" s="3"/>
      <c r="DR300" s="5"/>
      <c r="DT300" s="3"/>
      <c r="EF300" s="7"/>
      <c r="EG300" s="7"/>
      <c r="EJ300" s="4"/>
      <c r="EK300" s="4"/>
      <c r="EU300" s="2"/>
      <c r="EV300" s="2"/>
    </row>
    <row r="301" spans="1:152">
      <c r="A301" s="125">
        <v>652</v>
      </c>
      <c r="B301" s="126" t="s">
        <v>914</v>
      </c>
      <c r="C301" s="126" t="s">
        <v>116</v>
      </c>
      <c r="D301" s="126" t="s">
        <v>163</v>
      </c>
      <c r="E301" s="126" t="s">
        <v>915</v>
      </c>
      <c r="F301" s="126" t="s">
        <v>40</v>
      </c>
      <c r="G301" s="126" t="s">
        <v>1579</v>
      </c>
      <c r="H301" s="126" t="s">
        <v>1575</v>
      </c>
      <c r="I301" s="126" t="s">
        <v>118</v>
      </c>
      <c r="J301" s="126"/>
      <c r="K301" s="127">
        <v>43350</v>
      </c>
      <c r="L301" s="128"/>
      <c r="M301" s="128">
        <v>3</v>
      </c>
      <c r="N301" s="126">
        <v>6</v>
      </c>
      <c r="O301" s="126" t="s">
        <v>119</v>
      </c>
      <c r="P301" s="129" t="s">
        <v>910</v>
      </c>
      <c r="Q301" s="129" t="s">
        <v>916</v>
      </c>
      <c r="R301" s="126" t="s">
        <v>24</v>
      </c>
      <c r="S301" s="126"/>
      <c r="T301" s="130" t="s">
        <v>120</v>
      </c>
      <c r="U301" s="126" t="s">
        <v>917</v>
      </c>
      <c r="V301" s="130" t="s">
        <v>120</v>
      </c>
      <c r="W301" s="126"/>
      <c r="X301" s="130" t="s">
        <v>120</v>
      </c>
      <c r="Y301" s="126"/>
      <c r="Z301" s="165" t="s">
        <v>861</v>
      </c>
      <c r="AA301" s="158"/>
      <c r="AB301" s="158"/>
      <c r="AC301" s="170" t="s">
        <v>123</v>
      </c>
      <c r="AD301" s="126"/>
      <c r="AE301" s="130" t="s">
        <v>120</v>
      </c>
      <c r="AF301" s="127" t="s">
        <v>715</v>
      </c>
      <c r="AG301" s="131"/>
      <c r="AH301" s="131"/>
      <c r="AI301" s="126" t="s">
        <v>918</v>
      </c>
      <c r="AJ301" s="130" t="s">
        <v>120</v>
      </c>
      <c r="AK301" s="126" t="s">
        <v>123</v>
      </c>
      <c r="AL301" s="126" t="s">
        <v>532</v>
      </c>
      <c r="AM301" s="130"/>
      <c r="AN301" s="126"/>
      <c r="AO301" s="132"/>
      <c r="AP301" s="126"/>
      <c r="AQ301" s="126"/>
      <c r="AR301" s="130"/>
      <c r="AS301" s="126"/>
      <c r="AT301" s="127">
        <v>43417.622359027802</v>
      </c>
      <c r="AU301" s="127">
        <v>43417.673053819402</v>
      </c>
      <c r="AV301" s="127"/>
      <c r="AW301" s="127">
        <v>43417.729839930602</v>
      </c>
      <c r="AX301" s="127">
        <v>43417.6881587963</v>
      </c>
      <c r="AY301" s="127">
        <v>43417.684587268501</v>
      </c>
      <c r="AZ301" s="133">
        <v>43350</v>
      </c>
      <c r="BA30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1" s="135">
        <f>COUNTIFS(_05preva_view43[Site ID],_05preva_view43[[#This Row],[Site ID]],_05preva_view43[Prevalidation Status],"Under Prevalidation")</f>
        <v>0</v>
      </c>
      <c r="BC301" s="157" t="e">
        <f ca="1">HYPERLINK(CheckPath(_05preva_view43[[#This Row],[File Path]],_05preva_view43[[#This Row],[File Path]],_05preva_view43[[#This Row],[Folder Path3]]),CheckPath(_05preva_view43[[#This Row],[File Path]],"Open File","No File"))</f>
        <v>#VALUE!</v>
      </c>
      <c r="BD301" s="136" t="str">
        <f>CONCATENATE(_05preva_view43[[#This Row],[Site ID]]," (",_05preva_view43[[#This Row],[tenant id]],") Application",IF(_05preva_view43[[#This Row],[Colo Rev]]&gt;0," Rev "&amp;_05preva_view43[[#This Row],[Colo Rev]],""),".xlsx")</f>
        <v>ASMO_0161 (MOW6321) Application.xlsx</v>
      </c>
      <c r="BE301" s="64" t="e">
        <f t="shared" ca="1" si="6"/>
        <v>#VALUE!</v>
      </c>
      <c r="BF301" s="104" t="e">
        <f ca="1">LEFT(CELL("filename",A286),_05preva_view43[[#This Row],[Find Process &amp; Database]]-1)</f>
        <v>#VALUE!</v>
      </c>
      <c r="BG301" s="104" t="e">
        <f ca="1">_05preva_view43[Folder Path1]&amp;"Process &amp; Database\Documentation\Colo Applications"</f>
        <v>#VALUE!</v>
      </c>
      <c r="BH301" s="104" t="e">
        <f ca="1">_05preva_view43[Folder Path2]&amp;"\Colo App "&amp;_05preva_view43[[#This Row],[Operator]]&amp;"\"</f>
        <v>#VALUE!</v>
      </c>
      <c r="BI301" s="63" t="e">
        <f ca="1">_05preva_view43[[#This Row],[Folder Path3]]&amp;_05preva_view43[[#This Row],[File Name]]</f>
        <v>#VALUE!</v>
      </c>
      <c r="BJ301" s="104"/>
      <c r="BK301" s="3"/>
      <c r="BL301" s="3"/>
      <c r="CJ301" s="5"/>
      <c r="CK301" s="5"/>
      <c r="CL301" s="3"/>
      <c r="CN301" s="5"/>
      <c r="CR301" s="3"/>
      <c r="CS301" s="3"/>
      <c r="CT301" s="5"/>
      <c r="CV301" s="3"/>
      <c r="DR301" s="5"/>
      <c r="DT301" s="3"/>
      <c r="EF301" s="7"/>
      <c r="EG301" s="7"/>
      <c r="EJ301" s="4"/>
      <c r="EK301" s="4"/>
      <c r="EU301" s="2"/>
      <c r="EV301" s="2"/>
    </row>
    <row r="302" spans="1:152">
      <c r="A302" s="125">
        <v>653</v>
      </c>
      <c r="B302" s="126" t="s">
        <v>919</v>
      </c>
      <c r="C302" s="126" t="s">
        <v>116</v>
      </c>
      <c r="D302" s="126" t="s">
        <v>117</v>
      </c>
      <c r="E302" s="126" t="s">
        <v>920</v>
      </c>
      <c r="F302" s="126" t="s">
        <v>40</v>
      </c>
      <c r="G302" s="126" t="s">
        <v>1579</v>
      </c>
      <c r="H302" s="126" t="s">
        <v>1575</v>
      </c>
      <c r="I302" s="126" t="s">
        <v>118</v>
      </c>
      <c r="J302" s="126"/>
      <c r="K302" s="127">
        <v>43350</v>
      </c>
      <c r="L302" s="128"/>
      <c r="M302" s="128">
        <v>3</v>
      </c>
      <c r="N302" s="126">
        <v>6</v>
      </c>
      <c r="O302" s="126" t="s">
        <v>119</v>
      </c>
      <c r="P302" s="129" t="s">
        <v>264</v>
      </c>
      <c r="Q302" s="129" t="s">
        <v>350</v>
      </c>
      <c r="R302" s="126" t="s">
        <v>24</v>
      </c>
      <c r="S302" s="126"/>
      <c r="T302" s="130" t="s">
        <v>120</v>
      </c>
      <c r="U302" s="126" t="s">
        <v>900</v>
      </c>
      <c r="V302" s="130" t="s">
        <v>120</v>
      </c>
      <c r="W302" s="126"/>
      <c r="X302" s="130" t="s">
        <v>120</v>
      </c>
      <c r="Y302" s="126"/>
      <c r="Z302" s="165" t="s">
        <v>861</v>
      </c>
      <c r="AA302" s="158"/>
      <c r="AB302" s="158"/>
      <c r="AC302" s="170" t="s">
        <v>123</v>
      </c>
      <c r="AD302" s="126"/>
      <c r="AE302" s="130" t="s">
        <v>120</v>
      </c>
      <c r="AF302" s="127" t="s">
        <v>715</v>
      </c>
      <c r="AG302" s="131"/>
      <c r="AH302" s="131"/>
      <c r="AI302" s="126" t="s">
        <v>921</v>
      </c>
      <c r="AJ302" s="130" t="s">
        <v>861</v>
      </c>
      <c r="AK302" s="126"/>
      <c r="AL302" s="126"/>
      <c r="AM302" s="130"/>
      <c r="AN302" s="126"/>
      <c r="AO302" s="132"/>
      <c r="AP302" s="126"/>
      <c r="AQ302" s="126"/>
      <c r="AR302" s="130"/>
      <c r="AS302" s="126"/>
      <c r="AT302" s="127">
        <v>43417.622359606503</v>
      </c>
      <c r="AU302" s="127">
        <v>43417.6730545139</v>
      </c>
      <c r="AV302" s="127"/>
      <c r="AW302" s="127"/>
      <c r="AX302" s="127">
        <v>43417.6881601852</v>
      </c>
      <c r="AY302" s="127">
        <v>43417.684589236102</v>
      </c>
      <c r="AZ302" s="133">
        <v>43350</v>
      </c>
      <c r="BA30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2" s="135">
        <f>COUNTIFS(_05preva_view43[Site ID],_05preva_view43[[#This Row],[Site ID]],_05preva_view43[Prevalidation Status],"Under Prevalidation")</f>
        <v>0</v>
      </c>
      <c r="BC302" s="157" t="e">
        <f ca="1">HYPERLINK(CheckPath(_05preva_view43[[#This Row],[File Path]],_05preva_view43[[#This Row],[File Path]],_05preva_view43[[#This Row],[Folder Path3]]),CheckPath(_05preva_view43[[#This Row],[File Path]],"Open File","No File"))</f>
        <v>#VALUE!</v>
      </c>
      <c r="BD302" s="136" t="str">
        <f>CONCATENATE(_05preva_view43[[#This Row],[Site ID]]," (",_05preva_view43[[#This Row],[tenant id]],") Application",IF(_05preva_view43[[#This Row],[Colo Rev]]&gt;0," Rev "&amp;_05preva_view43[[#This Row],[Colo Rev]],""),".xlsx")</f>
        <v>ACBA_0104 (BAW5607) Application.xlsx</v>
      </c>
      <c r="BE302" s="64" t="e">
        <f t="shared" ca="1" si="6"/>
        <v>#VALUE!</v>
      </c>
      <c r="BF302" s="104" t="e">
        <f ca="1">LEFT(CELL("filename",A287),_05preva_view43[[#This Row],[Find Process &amp; Database]]-1)</f>
        <v>#VALUE!</v>
      </c>
      <c r="BG302" s="104" t="e">
        <f ca="1">_05preva_view43[Folder Path1]&amp;"Process &amp; Database\Documentation\Colo Applications"</f>
        <v>#VALUE!</v>
      </c>
      <c r="BH302" s="104" t="e">
        <f ca="1">_05preva_view43[Folder Path2]&amp;"\Colo App "&amp;_05preva_view43[[#This Row],[Operator]]&amp;"\"</f>
        <v>#VALUE!</v>
      </c>
      <c r="BI302" s="63" t="e">
        <f ca="1">_05preva_view43[[#This Row],[Folder Path3]]&amp;_05preva_view43[[#This Row],[File Name]]</f>
        <v>#VALUE!</v>
      </c>
      <c r="BJ302" s="104"/>
      <c r="BK302" s="3"/>
      <c r="BL302" s="3"/>
      <c r="CJ302" s="5"/>
      <c r="CK302" s="5"/>
      <c r="CL302" s="3"/>
      <c r="CN302" s="5"/>
      <c r="CR302" s="3"/>
      <c r="CS302" s="3"/>
      <c r="CT302" s="5"/>
      <c r="CV302" s="3"/>
      <c r="DR302" s="5"/>
      <c r="DT302" s="3"/>
      <c r="EF302" s="7"/>
      <c r="EG302" s="7"/>
      <c r="EJ302" s="4"/>
      <c r="EK302" s="4"/>
      <c r="EU302" s="2"/>
      <c r="EV302" s="2"/>
    </row>
    <row r="303" spans="1:152">
      <c r="A303" s="125">
        <v>654</v>
      </c>
      <c r="B303" s="126" t="s">
        <v>922</v>
      </c>
      <c r="C303" s="126" t="s">
        <v>116</v>
      </c>
      <c r="D303" s="126" t="s">
        <v>117</v>
      </c>
      <c r="E303" s="126" t="s">
        <v>923</v>
      </c>
      <c r="F303" s="126" t="s">
        <v>40</v>
      </c>
      <c r="G303" s="126" t="s">
        <v>1579</v>
      </c>
      <c r="H303" s="126" t="s">
        <v>1575</v>
      </c>
      <c r="I303" s="126" t="s">
        <v>118</v>
      </c>
      <c r="J303" s="126"/>
      <c r="K303" s="127">
        <v>43350</v>
      </c>
      <c r="L303" s="128"/>
      <c r="M303" s="128">
        <v>3</v>
      </c>
      <c r="N303" s="126">
        <v>6</v>
      </c>
      <c r="O303" s="126" t="s">
        <v>119</v>
      </c>
      <c r="P303" s="129" t="s">
        <v>339</v>
      </c>
      <c r="Q303" s="129" t="s">
        <v>903</v>
      </c>
      <c r="R303" s="126" t="s">
        <v>24</v>
      </c>
      <c r="S303" s="126"/>
      <c r="T303" s="130" t="s">
        <v>120</v>
      </c>
      <c r="U303" s="126" t="s">
        <v>900</v>
      </c>
      <c r="V303" s="130" t="s">
        <v>120</v>
      </c>
      <c r="W303" s="126"/>
      <c r="X303" s="130" t="s">
        <v>120</v>
      </c>
      <c r="Y303" s="126"/>
      <c r="Z303" s="165" t="s">
        <v>861</v>
      </c>
      <c r="AA303" s="158"/>
      <c r="AB303" s="158"/>
      <c r="AC303" s="170" t="s">
        <v>123</v>
      </c>
      <c r="AD303" s="126"/>
      <c r="AE303" s="130" t="s">
        <v>120</v>
      </c>
      <c r="AF303" s="127" t="s">
        <v>924</v>
      </c>
      <c r="AG303" s="131"/>
      <c r="AH303" s="131"/>
      <c r="AI303" s="126" t="s">
        <v>925</v>
      </c>
      <c r="AJ303" s="130" t="s">
        <v>861</v>
      </c>
      <c r="AK303" s="126"/>
      <c r="AL303" s="126"/>
      <c r="AM303" s="130"/>
      <c r="AN303" s="126"/>
      <c r="AO303" s="132"/>
      <c r="AP303" s="126"/>
      <c r="AQ303" s="126"/>
      <c r="AR303" s="130"/>
      <c r="AS303" s="126"/>
      <c r="AT303" s="127">
        <v>43417.622361226902</v>
      </c>
      <c r="AU303" s="127">
        <v>43417.673056597203</v>
      </c>
      <c r="AV303" s="127"/>
      <c r="AW303" s="127"/>
      <c r="AX303" s="127">
        <v>43417.688161689803</v>
      </c>
      <c r="AY303" s="127">
        <v>43417.684589583303</v>
      </c>
      <c r="AZ303" s="133">
        <v>43350</v>
      </c>
      <c r="BA30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3" s="135">
        <f>COUNTIFS(_05preva_view43[Site ID],_05preva_view43[[#This Row],[Site ID]],_05preva_view43[Prevalidation Status],"Under Prevalidation")</f>
        <v>0</v>
      </c>
      <c r="BC303" s="157" t="e">
        <f ca="1">HYPERLINK(CheckPath(_05preva_view43[[#This Row],[File Path]],_05preva_view43[[#This Row],[File Path]],_05preva_view43[[#This Row],[Folder Path3]]),CheckPath(_05preva_view43[[#This Row],[File Path]],"Open File","No File"))</f>
        <v>#VALUE!</v>
      </c>
      <c r="BD303" s="136" t="str">
        <f>CONCATENATE(_05preva_view43[[#This Row],[Site ID]]," (",_05preva_view43[[#This Row],[tenant id]],") Application",IF(_05preva_view43[[#This Row],[Colo Rev]]&gt;0," Rev "&amp;_05preva_view43[[#This Row],[Colo Rev]],""),".xlsx")</f>
        <v>ACBA_0099 (BAW5608) Application.xlsx</v>
      </c>
      <c r="BE303" s="64" t="e">
        <f t="shared" ca="1" si="6"/>
        <v>#VALUE!</v>
      </c>
      <c r="BF303" s="104" t="e">
        <f ca="1">LEFT(CELL("filename",A288),_05preva_view43[[#This Row],[Find Process &amp; Database]]-1)</f>
        <v>#VALUE!</v>
      </c>
      <c r="BG303" s="104" t="e">
        <f ca="1">_05preva_view43[Folder Path1]&amp;"Process &amp; Database\Documentation\Colo Applications"</f>
        <v>#VALUE!</v>
      </c>
      <c r="BH303" s="104" t="e">
        <f ca="1">_05preva_view43[Folder Path2]&amp;"\Colo App "&amp;_05preva_view43[[#This Row],[Operator]]&amp;"\"</f>
        <v>#VALUE!</v>
      </c>
      <c r="BI303" s="63" t="e">
        <f ca="1">_05preva_view43[[#This Row],[Folder Path3]]&amp;_05preva_view43[[#This Row],[File Name]]</f>
        <v>#VALUE!</v>
      </c>
      <c r="BJ303" s="104"/>
      <c r="BK303" s="3"/>
      <c r="BL303" s="3"/>
      <c r="CJ303" s="5"/>
      <c r="CK303" s="5"/>
      <c r="CL303" s="3"/>
      <c r="CN303" s="5"/>
      <c r="CR303" s="3"/>
      <c r="CS303" s="3"/>
      <c r="CT303" s="5"/>
      <c r="CV303" s="3"/>
      <c r="DR303" s="5"/>
      <c r="DT303" s="3"/>
      <c r="EF303" s="7"/>
      <c r="EG303" s="7"/>
      <c r="EJ303" s="4"/>
      <c r="EK303" s="4"/>
      <c r="EU303" s="2"/>
      <c r="EV303" s="2"/>
    </row>
    <row r="304" spans="1:152">
      <c r="A304" s="125">
        <v>275</v>
      </c>
      <c r="B304" s="126" t="s">
        <v>891</v>
      </c>
      <c r="C304" s="126" t="s">
        <v>116</v>
      </c>
      <c r="D304" s="126" t="s">
        <v>127</v>
      </c>
      <c r="E304" s="126" t="s">
        <v>892</v>
      </c>
      <c r="F304" s="126" t="s">
        <v>41</v>
      </c>
      <c r="G304" s="126" t="s">
        <v>118</v>
      </c>
      <c r="H304" s="126"/>
      <c r="I304" s="126" t="s">
        <v>118</v>
      </c>
      <c r="J304" s="126"/>
      <c r="K304" s="127">
        <v>43327</v>
      </c>
      <c r="L304" s="128"/>
      <c r="M304" s="128">
        <v>2.5</v>
      </c>
      <c r="N304" s="126">
        <v>3</v>
      </c>
      <c r="O304" s="126" t="s">
        <v>119</v>
      </c>
      <c r="P304" s="129" t="s">
        <v>893</v>
      </c>
      <c r="Q304" s="129" t="s">
        <v>894</v>
      </c>
      <c r="R304" s="126" t="s">
        <v>24</v>
      </c>
      <c r="S304" s="126"/>
      <c r="T304" s="130" t="s">
        <v>120</v>
      </c>
      <c r="U304" s="126"/>
      <c r="V304" s="130" t="s">
        <v>120</v>
      </c>
      <c r="W304" s="126"/>
      <c r="X304" s="130" t="s">
        <v>120</v>
      </c>
      <c r="Y304" s="126"/>
      <c r="Z304" s="165"/>
      <c r="AA304" s="158"/>
      <c r="AB304" s="158"/>
      <c r="AC304" s="170"/>
      <c r="AD304" s="126" t="s">
        <v>1316</v>
      </c>
      <c r="AE304" s="130" t="s">
        <v>120</v>
      </c>
      <c r="AF304" s="127" t="s">
        <v>895</v>
      </c>
      <c r="AG304" s="131"/>
      <c r="AH304" s="131"/>
      <c r="AI304" s="126" t="s">
        <v>896</v>
      </c>
      <c r="AJ304" s="130" t="s">
        <v>861</v>
      </c>
      <c r="AK304" s="126"/>
      <c r="AL304" s="126"/>
      <c r="AM304" s="130" t="s">
        <v>861</v>
      </c>
      <c r="AN304" s="126"/>
      <c r="AO304" s="132"/>
      <c r="AP304" s="126" t="s">
        <v>861</v>
      </c>
      <c r="AQ304" s="126"/>
      <c r="AR304" s="130" t="s">
        <v>1866</v>
      </c>
      <c r="AS304" s="126" t="s">
        <v>1867</v>
      </c>
      <c r="AT304" s="127">
        <v>43417.622354629602</v>
      </c>
      <c r="AU304" s="127">
        <v>43417.673047453703</v>
      </c>
      <c r="AV304" s="127"/>
      <c r="AW304" s="127"/>
      <c r="AX304" s="127">
        <v>43424.368673379598</v>
      </c>
      <c r="AY304" s="127">
        <v>43462.484713888902</v>
      </c>
      <c r="AZ304" s="133">
        <v>43462.484713888902</v>
      </c>
      <c r="BA304" s="134">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B304" s="135">
        <f>COUNTIFS(_05preva_view43[Site ID],_05preva_view43[[#This Row],[Site ID]],_05preva_view43[Prevalidation Status],"Under Prevalidation")</f>
        <v>0</v>
      </c>
      <c r="BC304" s="157" t="e">
        <f ca="1">HYPERLINK(CheckPath(_05preva_view43[[#This Row],[File Path]],_05preva_view43[[#This Row],[File Path]],_05preva_view43[[#This Row],[Folder Path3]]),CheckPath(_05preva_view43[[#This Row],[File Path]],"Open File","No File"))</f>
        <v>#VALUE!</v>
      </c>
      <c r="BD304" s="136" t="str">
        <f>CONCATENATE(_05preva_view43[[#This Row],[Site ID]]," (",_05preva_view43[[#This Row],[tenant id]],") Application",IF(_05preva_view43[[#This Row],[Colo Rev]]&gt;0," Rev "&amp;_05preva_view43[[#This Row],[Colo Rev]],""),".xlsx")</f>
        <v>ANMD_0011 (MDYAMTZ017) Application.xlsx</v>
      </c>
      <c r="BE304" s="64" t="e">
        <f t="shared" ca="1" si="6"/>
        <v>#VALUE!</v>
      </c>
      <c r="BF304" s="104" t="e">
        <f ca="1">LEFT(CELL("filename",A289),_05preva_view43[[#This Row],[Find Process &amp; Database]]-1)</f>
        <v>#VALUE!</v>
      </c>
      <c r="BG304" s="104" t="e">
        <f ca="1">_05preva_view43[Folder Path1]&amp;"Process &amp; Database\Documentation\Colo Applications"</f>
        <v>#VALUE!</v>
      </c>
      <c r="BH304" s="104" t="e">
        <f ca="1">_05preva_view43[Folder Path2]&amp;"\Colo App "&amp;_05preva_view43[[#This Row],[Operator]]&amp;"\"</f>
        <v>#VALUE!</v>
      </c>
      <c r="BI304" s="63" t="e">
        <f ca="1">_05preva_view43[[#This Row],[Folder Path3]]&amp;_05preva_view43[[#This Row],[File Name]]</f>
        <v>#VALUE!</v>
      </c>
      <c r="BJ304" s="104"/>
      <c r="BK304" s="3"/>
      <c r="BL304" s="3"/>
      <c r="CJ304" s="5"/>
      <c r="CK304" s="5"/>
      <c r="CL304" s="3"/>
      <c r="CN304" s="5"/>
      <c r="CR304" s="3"/>
      <c r="CS304" s="3"/>
      <c r="CT304" s="5"/>
      <c r="CV304" s="3"/>
      <c r="DR304" s="5"/>
      <c r="DT304" s="3"/>
      <c r="EF304" s="7"/>
      <c r="EG304" s="7"/>
      <c r="EJ304" s="4"/>
      <c r="EK304" s="4"/>
      <c r="EU304" s="2"/>
      <c r="EV304" s="2"/>
    </row>
    <row r="305" spans="1:152">
      <c r="A305" s="125">
        <v>276</v>
      </c>
      <c r="B305" s="126" t="s">
        <v>897</v>
      </c>
      <c r="C305" s="126" t="s">
        <v>116</v>
      </c>
      <c r="D305" s="126" t="s">
        <v>127</v>
      </c>
      <c r="E305" s="126" t="s">
        <v>898</v>
      </c>
      <c r="F305" s="126" t="s">
        <v>41</v>
      </c>
      <c r="G305" s="126" t="s">
        <v>1576</v>
      </c>
      <c r="H305" s="126" t="s">
        <v>1580</v>
      </c>
      <c r="I305" s="126" t="s">
        <v>118</v>
      </c>
      <c r="J305" s="126"/>
      <c r="K305" s="127">
        <v>43327</v>
      </c>
      <c r="L305" s="128"/>
      <c r="M305" s="128">
        <v>2.5</v>
      </c>
      <c r="N305" s="126">
        <v>3</v>
      </c>
      <c r="O305" s="126" t="s">
        <v>119</v>
      </c>
      <c r="P305" s="129" t="s">
        <v>334</v>
      </c>
      <c r="Q305" s="129" t="s">
        <v>736</v>
      </c>
      <c r="R305" s="126" t="s">
        <v>24</v>
      </c>
      <c r="S305" s="126" t="s">
        <v>899</v>
      </c>
      <c r="T305" s="130" t="s">
        <v>120</v>
      </c>
      <c r="U305" s="126" t="s">
        <v>900</v>
      </c>
      <c r="V305" s="130" t="s">
        <v>120</v>
      </c>
      <c r="W305" s="126"/>
      <c r="X305" s="130" t="s">
        <v>120</v>
      </c>
      <c r="Y305" s="126"/>
      <c r="Z305" s="165"/>
      <c r="AA305" s="158"/>
      <c r="AB305" s="158"/>
      <c r="AC305" s="170" t="s">
        <v>123</v>
      </c>
      <c r="AD305" s="126"/>
      <c r="AE305" s="130"/>
      <c r="AF305" s="127"/>
      <c r="AG305" s="131"/>
      <c r="AH305" s="131"/>
      <c r="AI305" s="126"/>
      <c r="AJ305" s="130"/>
      <c r="AK305" s="126"/>
      <c r="AL305" s="126"/>
      <c r="AM305" s="130"/>
      <c r="AN305" s="126"/>
      <c r="AO305" s="132"/>
      <c r="AP305" s="126"/>
      <c r="AQ305" s="126"/>
      <c r="AR305" s="130"/>
      <c r="AS305" s="126"/>
      <c r="AT305" s="127"/>
      <c r="AU305" s="127"/>
      <c r="AV305" s="127"/>
      <c r="AW305" s="127"/>
      <c r="AX305" s="127"/>
      <c r="AY305" s="127"/>
      <c r="AZ305" s="133">
        <v>43327</v>
      </c>
      <c r="BA30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5" s="135">
        <f>COUNTIFS(_05preva_view43[Site ID],_05preva_view43[[#This Row],[Site ID]],_05preva_view43[Prevalidation Status],"Under Prevalidation")</f>
        <v>0</v>
      </c>
      <c r="BC305" s="157" t="e">
        <f ca="1">HYPERLINK(CheckPath(_05preva_view43[[#This Row],[File Path]],_05preva_view43[[#This Row],[File Path]],_05preva_view43[[#This Row],[Folder Path3]]),CheckPath(_05preva_view43[[#This Row],[File Path]],"Open File","No File"))</f>
        <v>#VALUE!</v>
      </c>
      <c r="BD305" s="136" t="str">
        <f>CONCATENATE(_05preva_view43[[#This Row],[Site ID]]," (",_05preva_view43[[#This Row],[tenant id]],") Application",IF(_05preva_view43[[#This Row],[Colo Rev]]&gt;0," Rev "&amp;_05preva_view43[[#This Row],[Colo Rev]],""),".xlsx")</f>
        <v>ANMD_0097 (MDYCMTZ034) Application.xlsx</v>
      </c>
      <c r="BE305" s="64" t="e">
        <f t="shared" ca="1" si="6"/>
        <v>#VALUE!</v>
      </c>
      <c r="BF305" s="104" t="e">
        <f ca="1">LEFT(CELL("filename",A290),_05preva_view43[[#This Row],[Find Process &amp; Database]]-1)</f>
        <v>#VALUE!</v>
      </c>
      <c r="BG305" s="104" t="e">
        <f ca="1">_05preva_view43[Folder Path1]&amp;"Process &amp; Database\Documentation\Colo Applications"</f>
        <v>#VALUE!</v>
      </c>
      <c r="BH305" s="104" t="e">
        <f ca="1">_05preva_view43[Folder Path2]&amp;"\Colo App "&amp;_05preva_view43[[#This Row],[Operator]]&amp;"\"</f>
        <v>#VALUE!</v>
      </c>
      <c r="BI305" s="63" t="e">
        <f ca="1">_05preva_view43[[#This Row],[Folder Path3]]&amp;_05preva_view43[[#This Row],[File Name]]</f>
        <v>#VALUE!</v>
      </c>
      <c r="BJ305" s="104"/>
      <c r="BK305" s="3"/>
      <c r="BL305" s="3"/>
      <c r="CJ305" s="5"/>
      <c r="CK305" s="5"/>
      <c r="CL305" s="3"/>
      <c r="CN305" s="5"/>
      <c r="CR305" s="3"/>
      <c r="CS305" s="3"/>
      <c r="CT305" s="5"/>
      <c r="CV305" s="3"/>
      <c r="DR305" s="5"/>
      <c r="DT305" s="3"/>
      <c r="EF305" s="7"/>
      <c r="EG305" s="7"/>
      <c r="EJ305" s="4"/>
      <c r="EK305" s="4"/>
      <c r="EU305" s="2"/>
      <c r="EV305" s="2"/>
    </row>
    <row r="306" spans="1:152">
      <c r="A306" s="125">
        <v>266</v>
      </c>
      <c r="B306" s="126" t="s">
        <v>863</v>
      </c>
      <c r="C306" s="126" t="s">
        <v>116</v>
      </c>
      <c r="D306" s="126" t="s">
        <v>163</v>
      </c>
      <c r="E306" s="126" t="s">
        <v>864</v>
      </c>
      <c r="F306" s="126" t="s">
        <v>34</v>
      </c>
      <c r="G306" s="126" t="s">
        <v>1574</v>
      </c>
      <c r="H306" s="126" t="s">
        <v>1575</v>
      </c>
      <c r="I306" s="126" t="s">
        <v>118</v>
      </c>
      <c r="J306" s="126"/>
      <c r="K306" s="127">
        <v>43318</v>
      </c>
      <c r="L306" s="128"/>
      <c r="M306" s="128">
        <v>2</v>
      </c>
      <c r="N306" s="126"/>
      <c r="O306" s="126" t="s">
        <v>119</v>
      </c>
      <c r="P306" s="129" t="s">
        <v>276</v>
      </c>
      <c r="Q306" s="129" t="s">
        <v>277</v>
      </c>
      <c r="R306" s="126" t="s">
        <v>24</v>
      </c>
      <c r="S306" s="126"/>
      <c r="T306" s="130" t="s">
        <v>120</v>
      </c>
      <c r="U306" s="126" t="s">
        <v>865</v>
      </c>
      <c r="V306" s="130" t="s">
        <v>120</v>
      </c>
      <c r="W306" s="126"/>
      <c r="X306" s="130" t="s">
        <v>120</v>
      </c>
      <c r="Y306" s="126"/>
      <c r="Z306" s="165" t="s">
        <v>265</v>
      </c>
      <c r="AA306" s="158"/>
      <c r="AB306" s="158"/>
      <c r="AC306" s="170"/>
      <c r="AD306" s="126" t="s">
        <v>866</v>
      </c>
      <c r="AE306" s="130" t="s">
        <v>120</v>
      </c>
      <c r="AF306" s="127" t="s">
        <v>867</v>
      </c>
      <c r="AG306" s="131"/>
      <c r="AH306" s="131"/>
      <c r="AI306" s="126" t="s">
        <v>868</v>
      </c>
      <c r="AJ306" s="130" t="s">
        <v>120</v>
      </c>
      <c r="AK306" s="126"/>
      <c r="AL306" s="126"/>
      <c r="AM306" s="130"/>
      <c r="AN306" s="126"/>
      <c r="AO306" s="132"/>
      <c r="AP306" s="126"/>
      <c r="AQ306" s="126"/>
      <c r="AR306" s="130"/>
      <c r="AS306" s="126"/>
      <c r="AT306" s="127"/>
      <c r="AU306" s="127">
        <v>43453.379096643497</v>
      </c>
      <c r="AV306" s="127"/>
      <c r="AW306" s="127"/>
      <c r="AX306" s="127"/>
      <c r="AY306" s="127"/>
      <c r="AZ306" s="133"/>
      <c r="BA30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6" s="135">
        <f>COUNTIFS(_05preva_view43[Site ID],_05preva_view43[[#This Row],[Site ID]],_05preva_view43[Prevalidation Status],"Under Prevalidation")</f>
        <v>0</v>
      </c>
      <c r="BC306" s="157" t="e">
        <f ca="1">HYPERLINK(CheckPath(_05preva_view43[[#This Row],[File Path]],_05preva_view43[[#This Row],[File Path]],_05preva_view43[[#This Row],[Folder Path3]]),CheckPath(_05preva_view43[[#This Row],[File Path]],"Open File","No File"))</f>
        <v>#VALUE!</v>
      </c>
      <c r="BD306" s="136" t="str">
        <f>CONCATENATE(_05preva_view43[[#This Row],[Site ID]]," (",_05preva_view43[[#This Row],[tenant id]],") Application",IF(_05preva_view43[[#This Row],[Colo Rev]]&gt;0," Rev "&amp;_05preva_view43[[#This Row],[Colo Rev]],""),".xlsx")</f>
        <v>AYYN_0021 (YGN0821) Application.xlsx</v>
      </c>
      <c r="BE306" s="64" t="e">
        <f t="shared" ca="1" si="6"/>
        <v>#VALUE!</v>
      </c>
      <c r="BF306" s="104" t="e">
        <f ca="1">LEFT(CELL("filename",A291),_05preva_view43[[#This Row],[Find Process &amp; Database]]-1)</f>
        <v>#VALUE!</v>
      </c>
      <c r="BG306" s="104" t="e">
        <f ca="1">_05preva_view43[Folder Path1]&amp;"Process &amp; Database\Documentation\Colo Applications"</f>
        <v>#VALUE!</v>
      </c>
      <c r="BH306" s="104" t="e">
        <f ca="1">_05preva_view43[Folder Path2]&amp;"\Colo App "&amp;_05preva_view43[[#This Row],[Operator]]&amp;"\"</f>
        <v>#VALUE!</v>
      </c>
      <c r="BI306" s="63" t="e">
        <f ca="1">_05preva_view43[[#This Row],[Folder Path3]]&amp;_05preva_view43[[#This Row],[File Name]]</f>
        <v>#VALUE!</v>
      </c>
      <c r="BJ306" s="104"/>
      <c r="BK306" s="3"/>
      <c r="BL306" s="3"/>
      <c r="CJ306" s="5"/>
      <c r="CK306" s="5"/>
      <c r="CL306" s="3"/>
      <c r="CN306" s="5"/>
      <c r="CR306" s="3"/>
      <c r="CS306" s="3"/>
      <c r="CT306" s="5"/>
      <c r="CV306" s="3"/>
      <c r="DR306" s="5"/>
      <c r="DT306" s="3"/>
      <c r="EF306" s="7"/>
      <c r="EG306" s="7"/>
      <c r="EJ306" s="4"/>
      <c r="EK306" s="4"/>
      <c r="EU306" s="2"/>
      <c r="EV306" s="2"/>
    </row>
    <row r="307" spans="1:152">
      <c r="A307" s="125">
        <v>267</v>
      </c>
      <c r="B307" s="126" t="s">
        <v>869</v>
      </c>
      <c r="C307" s="126" t="s">
        <v>116</v>
      </c>
      <c r="D307" s="126" t="s">
        <v>163</v>
      </c>
      <c r="E307" s="126" t="s">
        <v>870</v>
      </c>
      <c r="F307" s="126" t="s">
        <v>34</v>
      </c>
      <c r="G307" s="126" t="s">
        <v>118</v>
      </c>
      <c r="H307" s="126"/>
      <c r="I307" s="126" t="s">
        <v>118</v>
      </c>
      <c r="J307" s="126"/>
      <c r="K307" s="127">
        <v>43318</v>
      </c>
      <c r="L307" s="128"/>
      <c r="M307" s="128"/>
      <c r="N307" s="126"/>
      <c r="O307" s="126" t="s">
        <v>119</v>
      </c>
      <c r="P307" s="129" t="s">
        <v>858</v>
      </c>
      <c r="Q307" s="129" t="s">
        <v>284</v>
      </c>
      <c r="R307" s="126" t="s">
        <v>26</v>
      </c>
      <c r="S307" s="126" t="s">
        <v>871</v>
      </c>
      <c r="T307" s="130" t="s">
        <v>144</v>
      </c>
      <c r="U307" s="126" t="s">
        <v>872</v>
      </c>
      <c r="V307" s="130" t="s">
        <v>120</v>
      </c>
      <c r="W307" s="126"/>
      <c r="X307" s="130" t="s">
        <v>120</v>
      </c>
      <c r="Y307" s="126"/>
      <c r="Z307" s="165" t="s">
        <v>125</v>
      </c>
      <c r="AA307" s="158"/>
      <c r="AB307" s="158"/>
      <c r="AC307" s="170"/>
      <c r="AD307" s="126" t="s">
        <v>873</v>
      </c>
      <c r="AE307" s="130" t="s">
        <v>120</v>
      </c>
      <c r="AF307" s="127" t="s">
        <v>867</v>
      </c>
      <c r="AG307" s="131"/>
      <c r="AH307" s="131"/>
      <c r="AI307" s="126" t="s">
        <v>874</v>
      </c>
      <c r="AJ307" s="130" t="s">
        <v>120</v>
      </c>
      <c r="AK307" s="126"/>
      <c r="AL307" s="126"/>
      <c r="AM307" s="130"/>
      <c r="AN307" s="126"/>
      <c r="AO307" s="132"/>
      <c r="AP307" s="126"/>
      <c r="AQ307" s="126"/>
      <c r="AR307" s="130"/>
      <c r="AS307" s="126"/>
      <c r="AT307" s="127"/>
      <c r="AU307" s="127">
        <v>43453.379097569399</v>
      </c>
      <c r="AV307" s="127"/>
      <c r="AW307" s="127"/>
      <c r="AX307" s="127"/>
      <c r="AY307" s="127"/>
      <c r="AZ307" s="133">
        <v>43318</v>
      </c>
      <c r="BA30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7" s="135">
        <f>COUNTIFS(_05preva_view43[Site ID],_05preva_view43[[#This Row],[Site ID]],_05preva_view43[Prevalidation Status],"Under Prevalidation")</f>
        <v>0</v>
      </c>
      <c r="BC307" s="157" t="e">
        <f ca="1">HYPERLINK(CheckPath(_05preva_view43[[#This Row],[File Path]],_05preva_view43[[#This Row],[File Path]],_05preva_view43[[#This Row],[Folder Path3]]),CheckPath(_05preva_view43[[#This Row],[File Path]],"Open File","No File"))</f>
        <v>#VALUE!</v>
      </c>
      <c r="BD307" s="136" t="str">
        <f>CONCATENATE(_05preva_view43[[#This Row],[Site ID]]," (",_05preva_view43[[#This Row],[tenant id]],") Application",IF(_05preva_view43[[#This Row],[Colo Rev]]&gt;0," Rev "&amp;_05preva_view43[[#This Row],[Colo Rev]],""),".xlsx")</f>
        <v>AYYN_0530 (YGN1353) Application.xlsx</v>
      </c>
      <c r="BE307" s="64" t="e">
        <f t="shared" ca="1" si="6"/>
        <v>#VALUE!</v>
      </c>
      <c r="BF307" s="104" t="e">
        <f ca="1">LEFT(CELL("filename",A292),_05preva_view43[[#This Row],[Find Process &amp; Database]]-1)</f>
        <v>#VALUE!</v>
      </c>
      <c r="BG307" s="104" t="e">
        <f ca="1">_05preva_view43[Folder Path1]&amp;"Process &amp; Database\Documentation\Colo Applications"</f>
        <v>#VALUE!</v>
      </c>
      <c r="BH307" s="104" t="e">
        <f ca="1">_05preva_view43[Folder Path2]&amp;"\Colo App "&amp;_05preva_view43[[#This Row],[Operator]]&amp;"\"</f>
        <v>#VALUE!</v>
      </c>
      <c r="BI307" s="63" t="e">
        <f ca="1">_05preva_view43[[#This Row],[Folder Path3]]&amp;_05preva_view43[[#This Row],[File Name]]</f>
        <v>#VALUE!</v>
      </c>
      <c r="BJ307" s="104"/>
      <c r="BK307" s="3"/>
      <c r="BL307" s="3"/>
      <c r="CJ307" s="5"/>
      <c r="CK307" s="5"/>
      <c r="CL307" s="3"/>
      <c r="CN307" s="5"/>
      <c r="CR307" s="3"/>
      <c r="CS307" s="3"/>
      <c r="CT307" s="5"/>
      <c r="CV307" s="3"/>
      <c r="DR307" s="5"/>
      <c r="DT307" s="3"/>
      <c r="EF307" s="7"/>
      <c r="EG307" s="7"/>
      <c r="EJ307" s="4"/>
      <c r="EK307" s="4"/>
      <c r="EU307" s="2"/>
      <c r="EV307" s="2"/>
    </row>
    <row r="308" spans="1:152">
      <c r="A308" s="125">
        <v>268</v>
      </c>
      <c r="B308" s="126" t="s">
        <v>875</v>
      </c>
      <c r="C308" s="126" t="s">
        <v>331</v>
      </c>
      <c r="D308" s="126" t="s">
        <v>127</v>
      </c>
      <c r="E308" s="126" t="s">
        <v>876</v>
      </c>
      <c r="F308" s="126" t="s">
        <v>34</v>
      </c>
      <c r="G308" s="126" t="s">
        <v>1582</v>
      </c>
      <c r="H308" s="126" t="s">
        <v>1580</v>
      </c>
      <c r="I308" s="126" t="s">
        <v>118</v>
      </c>
      <c r="J308" s="126"/>
      <c r="K308" s="127">
        <v>43318</v>
      </c>
      <c r="L308" s="128"/>
      <c r="M308" s="128">
        <v>2</v>
      </c>
      <c r="N308" s="126"/>
      <c r="O308" s="126" t="s">
        <v>119</v>
      </c>
      <c r="P308" s="129" t="s">
        <v>291</v>
      </c>
      <c r="Q308" s="129" t="s">
        <v>292</v>
      </c>
      <c r="R308" s="126" t="s">
        <v>24</v>
      </c>
      <c r="S308" s="126"/>
      <c r="T308" s="130" t="s">
        <v>120</v>
      </c>
      <c r="U308" s="126" t="s">
        <v>865</v>
      </c>
      <c r="V308" s="130" t="s">
        <v>120</v>
      </c>
      <c r="W308" s="126"/>
      <c r="X308" s="130" t="s">
        <v>120</v>
      </c>
      <c r="Y308" s="126"/>
      <c r="Z308" s="165" t="s">
        <v>265</v>
      </c>
      <c r="AA308" s="158"/>
      <c r="AB308" s="158"/>
      <c r="AC308" s="170"/>
      <c r="AD308" s="126" t="s">
        <v>877</v>
      </c>
      <c r="AE308" s="130" t="s">
        <v>120</v>
      </c>
      <c r="AF308" s="127" t="s">
        <v>867</v>
      </c>
      <c r="AG308" s="131"/>
      <c r="AH308" s="131"/>
      <c r="AI308" s="126" t="s">
        <v>868</v>
      </c>
      <c r="AJ308" s="130" t="s">
        <v>120</v>
      </c>
      <c r="AK308" s="126"/>
      <c r="AL308" s="126"/>
      <c r="AM308" s="130"/>
      <c r="AN308" s="126"/>
      <c r="AO308" s="132"/>
      <c r="AP308" s="126"/>
      <c r="AQ308" s="126"/>
      <c r="AR308" s="130"/>
      <c r="AS308" s="126"/>
      <c r="AT308" s="127"/>
      <c r="AU308" s="127">
        <v>43453.379098032397</v>
      </c>
      <c r="AV308" s="127"/>
      <c r="AW308" s="127"/>
      <c r="AX308" s="127"/>
      <c r="AY308" s="127"/>
      <c r="AZ308" s="133"/>
      <c r="BA30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8" s="135">
        <f>COUNTIFS(_05preva_view43[Site ID],_05preva_view43[[#This Row],[Site ID]],_05preva_view43[Prevalidation Status],"Under Prevalidation")</f>
        <v>0</v>
      </c>
      <c r="BC308" s="157" t="e">
        <f ca="1">HYPERLINK(CheckPath(_05preva_view43[[#This Row],[File Path]],_05preva_view43[[#This Row],[File Path]],_05preva_view43[[#This Row],[Folder Path3]]),CheckPath(_05preva_view43[[#This Row],[File Path]],"Open File","No File"))</f>
        <v>#VALUE!</v>
      </c>
      <c r="BD308" s="136" t="str">
        <f>CONCATENATE(_05preva_view43[[#This Row],[Site ID]]," (",_05preva_view43[[#This Row],[tenant id]],") Application",IF(_05preva_view43[[#This Row],[Colo Rev]]&gt;0," Rev "&amp;_05preva_view43[[#This Row],[Colo Rev]],""),".xlsx")</f>
        <v>1-01-05018-005 (SGG0351) Application.xlsx</v>
      </c>
      <c r="BE308" s="64" t="e">
        <f t="shared" ca="1" si="6"/>
        <v>#VALUE!</v>
      </c>
      <c r="BF308" s="104" t="e">
        <f ca="1">LEFT(CELL("filename",A293),_05preva_view43[[#This Row],[Find Process &amp; Database]]-1)</f>
        <v>#VALUE!</v>
      </c>
      <c r="BG308" s="104" t="e">
        <f ca="1">_05preva_view43[Folder Path1]&amp;"Process &amp; Database\Documentation\Colo Applications"</f>
        <v>#VALUE!</v>
      </c>
      <c r="BH308" s="104" t="e">
        <f ca="1">_05preva_view43[Folder Path2]&amp;"\Colo App "&amp;_05preva_view43[[#This Row],[Operator]]&amp;"\"</f>
        <v>#VALUE!</v>
      </c>
      <c r="BI308" s="63" t="e">
        <f ca="1">_05preva_view43[[#This Row],[Folder Path3]]&amp;_05preva_view43[[#This Row],[File Name]]</f>
        <v>#VALUE!</v>
      </c>
      <c r="BJ308" s="104"/>
      <c r="BK308" s="3"/>
      <c r="BL308" s="3"/>
      <c r="CJ308" s="5"/>
      <c r="CK308" s="5"/>
      <c r="CL308" s="3"/>
      <c r="CN308" s="5"/>
      <c r="CR308" s="3"/>
      <c r="CS308" s="3"/>
      <c r="CT308" s="5"/>
      <c r="CV308" s="3"/>
      <c r="DR308" s="5"/>
      <c r="DT308" s="3"/>
      <c r="EF308" s="7"/>
      <c r="EG308" s="7"/>
      <c r="EJ308" s="4"/>
      <c r="EK308" s="4"/>
      <c r="EU308" s="2"/>
      <c r="EV308" s="2"/>
    </row>
    <row r="309" spans="1:152">
      <c r="A309" s="125">
        <v>269</v>
      </c>
      <c r="B309" s="126" t="s">
        <v>878</v>
      </c>
      <c r="C309" s="126" t="s">
        <v>116</v>
      </c>
      <c r="D309" s="126" t="s">
        <v>163</v>
      </c>
      <c r="E309" s="126" t="s">
        <v>879</v>
      </c>
      <c r="F309" s="126" t="s">
        <v>34</v>
      </c>
      <c r="G309" s="126" t="s">
        <v>1574</v>
      </c>
      <c r="H309" s="126" t="s">
        <v>1575</v>
      </c>
      <c r="I309" s="126" t="s">
        <v>118</v>
      </c>
      <c r="J309" s="126"/>
      <c r="K309" s="127">
        <v>43318</v>
      </c>
      <c r="L309" s="128"/>
      <c r="M309" s="128">
        <v>2</v>
      </c>
      <c r="N309" s="126"/>
      <c r="O309" s="126" t="s">
        <v>119</v>
      </c>
      <c r="P309" s="129" t="s">
        <v>736</v>
      </c>
      <c r="Q309" s="129" t="s">
        <v>880</v>
      </c>
      <c r="R309" s="126" t="s">
        <v>24</v>
      </c>
      <c r="S309" s="126"/>
      <c r="T309" s="130" t="s">
        <v>120</v>
      </c>
      <c r="U309" s="126" t="s">
        <v>865</v>
      </c>
      <c r="V309" s="130" t="s">
        <v>120</v>
      </c>
      <c r="W309" s="126"/>
      <c r="X309" s="130" t="s">
        <v>120</v>
      </c>
      <c r="Y309" s="126"/>
      <c r="Z309" s="165" t="s">
        <v>125</v>
      </c>
      <c r="AA309" s="158"/>
      <c r="AB309" s="158"/>
      <c r="AC309" s="170" t="s">
        <v>123</v>
      </c>
      <c r="AD309" s="126" t="s">
        <v>881</v>
      </c>
      <c r="AE309" s="130" t="s">
        <v>120</v>
      </c>
      <c r="AF309" s="127" t="s">
        <v>867</v>
      </c>
      <c r="AG309" s="131"/>
      <c r="AH309" s="131"/>
      <c r="AI309" s="126" t="s">
        <v>868</v>
      </c>
      <c r="AJ309" s="130" t="s">
        <v>120</v>
      </c>
      <c r="AK309" s="126"/>
      <c r="AL309" s="126"/>
      <c r="AM309" s="130"/>
      <c r="AN309" s="126"/>
      <c r="AO309" s="132"/>
      <c r="AP309" s="126"/>
      <c r="AQ309" s="126"/>
      <c r="AR309" s="130"/>
      <c r="AS309" s="126"/>
      <c r="AT309" s="127"/>
      <c r="AU309" s="127">
        <v>43453.379098726902</v>
      </c>
      <c r="AV309" s="127"/>
      <c r="AW309" s="127"/>
      <c r="AX309" s="127"/>
      <c r="AY309" s="127"/>
      <c r="AZ309" s="133">
        <v>43318</v>
      </c>
      <c r="BA30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9" s="135">
        <f>COUNTIFS(_05preva_view43[Site ID],_05preva_view43[[#This Row],[Site ID]],_05preva_view43[Prevalidation Status],"Under Prevalidation")</f>
        <v>0</v>
      </c>
      <c r="BC309" s="157" t="e">
        <f ca="1">HYPERLINK(CheckPath(_05preva_view43[[#This Row],[File Path]],_05preva_view43[[#This Row],[File Path]],_05preva_view43[[#This Row],[Folder Path3]]),CheckPath(_05preva_view43[[#This Row],[File Path]],"Open File","No File"))</f>
        <v>#VALUE!</v>
      </c>
      <c r="BD309" s="136" t="str">
        <f>CONCATENATE(_05preva_view43[[#This Row],[Site ID]]," (",_05preva_view43[[#This Row],[tenant id]],") Application",IF(_05preva_view43[[#This Row],[Colo Rev]]&gt;0," Rev "&amp;_05preva_view43[[#This Row],[Colo Rev]],""),".xlsx")</f>
        <v>AYYN_0323 (YGN1545) Application.xlsx</v>
      </c>
      <c r="BE309" s="64" t="e">
        <f t="shared" ca="1" si="6"/>
        <v>#VALUE!</v>
      </c>
      <c r="BF309" s="104" t="e">
        <f ca="1">LEFT(CELL("filename",A294),_05preva_view43[[#This Row],[Find Process &amp; Database]]-1)</f>
        <v>#VALUE!</v>
      </c>
      <c r="BG309" s="104" t="e">
        <f ca="1">_05preva_view43[Folder Path1]&amp;"Process &amp; Database\Documentation\Colo Applications"</f>
        <v>#VALUE!</v>
      </c>
      <c r="BH309" s="104" t="e">
        <f ca="1">_05preva_view43[Folder Path2]&amp;"\Colo App "&amp;_05preva_view43[[#This Row],[Operator]]&amp;"\"</f>
        <v>#VALUE!</v>
      </c>
      <c r="BI309" s="63" t="e">
        <f ca="1">_05preva_view43[[#This Row],[Folder Path3]]&amp;_05preva_view43[[#This Row],[File Name]]</f>
        <v>#VALUE!</v>
      </c>
      <c r="BJ309" s="104"/>
      <c r="BK309" s="3"/>
      <c r="BL309" s="3"/>
      <c r="CJ309" s="5"/>
      <c r="CK309" s="5"/>
      <c r="CL309" s="3"/>
      <c r="CN309" s="5"/>
      <c r="CR309" s="3"/>
      <c r="CS309" s="3"/>
      <c r="CT309" s="5"/>
      <c r="CV309" s="3"/>
      <c r="DR309" s="5"/>
      <c r="DT309" s="3"/>
      <c r="EF309" s="7"/>
      <c r="EG309" s="7"/>
      <c r="EJ309" s="4"/>
      <c r="EK309" s="4"/>
      <c r="EU309" s="2"/>
      <c r="EV309" s="2"/>
    </row>
    <row r="310" spans="1:152">
      <c r="A310" s="125">
        <v>270</v>
      </c>
      <c r="B310" s="126" t="s">
        <v>882</v>
      </c>
      <c r="C310" s="126" t="s">
        <v>116</v>
      </c>
      <c r="D310" s="126" t="s">
        <v>117</v>
      </c>
      <c r="E310" s="126" t="s">
        <v>883</v>
      </c>
      <c r="F310" s="126" t="s">
        <v>34</v>
      </c>
      <c r="G310" s="126" t="s">
        <v>1574</v>
      </c>
      <c r="H310" s="126" t="s">
        <v>1575</v>
      </c>
      <c r="I310" s="126" t="s">
        <v>118</v>
      </c>
      <c r="J310" s="126"/>
      <c r="K310" s="127">
        <v>43318</v>
      </c>
      <c r="L310" s="128"/>
      <c r="M310" s="128"/>
      <c r="N310" s="126"/>
      <c r="O310" s="126" t="s">
        <v>119</v>
      </c>
      <c r="P310" s="129" t="s">
        <v>264</v>
      </c>
      <c r="Q310" s="129" t="s">
        <v>350</v>
      </c>
      <c r="R310" s="126" t="s">
        <v>24</v>
      </c>
      <c r="S310" s="126"/>
      <c r="T310" s="130" t="s">
        <v>120</v>
      </c>
      <c r="U310" s="126" t="s">
        <v>865</v>
      </c>
      <c r="V310" s="130" t="s">
        <v>120</v>
      </c>
      <c r="W310" s="126"/>
      <c r="X310" s="130" t="s">
        <v>120</v>
      </c>
      <c r="Y310" s="126"/>
      <c r="Z310" s="165" t="s">
        <v>265</v>
      </c>
      <c r="AA310" s="158"/>
      <c r="AB310" s="158"/>
      <c r="AC310" s="170"/>
      <c r="AD310" s="126" t="s">
        <v>877</v>
      </c>
      <c r="AE310" s="130" t="s">
        <v>120</v>
      </c>
      <c r="AF310" s="127" t="s">
        <v>867</v>
      </c>
      <c r="AG310" s="131"/>
      <c r="AH310" s="131"/>
      <c r="AI310" s="126" t="s">
        <v>868</v>
      </c>
      <c r="AJ310" s="130" t="s">
        <v>120</v>
      </c>
      <c r="AK310" s="126"/>
      <c r="AL310" s="126"/>
      <c r="AM310" s="130"/>
      <c r="AN310" s="126"/>
      <c r="AO310" s="132"/>
      <c r="AP310" s="126"/>
      <c r="AQ310" s="126"/>
      <c r="AR310" s="130"/>
      <c r="AS310" s="126"/>
      <c r="AT310" s="127"/>
      <c r="AU310" s="127">
        <v>43453.379099421298</v>
      </c>
      <c r="AV310" s="127"/>
      <c r="AW310" s="127"/>
      <c r="AX310" s="127"/>
      <c r="AY310" s="127"/>
      <c r="AZ310" s="133"/>
      <c r="BA31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0" s="135">
        <f>COUNTIFS(_05preva_view43[Site ID],_05preva_view43[[#This Row],[Site ID]],_05preva_view43[Prevalidation Status],"Under Prevalidation")</f>
        <v>0</v>
      </c>
      <c r="BC310" s="157" t="e">
        <f ca="1">HYPERLINK(CheckPath(_05preva_view43[[#This Row],[File Path]],_05preva_view43[[#This Row],[File Path]],_05preva_view43[[#This Row],[Folder Path3]]),CheckPath(_05preva_view43[[#This Row],[File Path]],"Open File","No File"))</f>
        <v>#VALUE!</v>
      </c>
      <c r="BD310" s="136" t="str">
        <f>CONCATENATE(_05preva_view43[[#This Row],[Site ID]]," (",_05preva_view43[[#This Row],[tenant id]],") Application",IF(_05preva_view43[[#This Row],[Colo Rev]]&gt;0," Rev "&amp;_05preva_view43[[#This Row],[Colo Rev]],""),".xlsx")</f>
        <v>ANMG_0076 (MGY0061) Application.xlsx</v>
      </c>
      <c r="BE310" s="64" t="e">
        <f t="shared" ca="1" si="6"/>
        <v>#VALUE!</v>
      </c>
      <c r="BF310" s="104" t="e">
        <f ca="1">LEFT(CELL("filename",A295),_05preva_view43[[#This Row],[Find Process &amp; Database]]-1)</f>
        <v>#VALUE!</v>
      </c>
      <c r="BG310" s="104" t="e">
        <f ca="1">_05preva_view43[Folder Path1]&amp;"Process &amp; Database\Documentation\Colo Applications"</f>
        <v>#VALUE!</v>
      </c>
      <c r="BH310" s="104" t="e">
        <f ca="1">_05preva_view43[Folder Path2]&amp;"\Colo App "&amp;_05preva_view43[[#This Row],[Operator]]&amp;"\"</f>
        <v>#VALUE!</v>
      </c>
      <c r="BI310" s="63" t="e">
        <f ca="1">_05preva_view43[[#This Row],[Folder Path3]]&amp;_05preva_view43[[#This Row],[File Name]]</f>
        <v>#VALUE!</v>
      </c>
      <c r="BJ310" s="104"/>
      <c r="BK310" s="3"/>
      <c r="BL310" s="3"/>
      <c r="CJ310" s="5"/>
      <c r="CK310" s="5"/>
      <c r="CL310" s="3"/>
      <c r="CN310" s="5"/>
      <c r="CR310" s="3"/>
      <c r="CS310" s="3"/>
      <c r="CT310" s="5"/>
      <c r="CV310" s="3"/>
      <c r="DR310" s="5"/>
      <c r="DT310" s="3"/>
      <c r="EF310" s="7"/>
      <c r="EG310" s="7"/>
      <c r="EJ310" s="4"/>
      <c r="EK310" s="4"/>
      <c r="EU310" s="2"/>
      <c r="EV310" s="2"/>
    </row>
    <row r="311" spans="1:152">
      <c r="A311" s="125">
        <v>271</v>
      </c>
      <c r="B311" s="126" t="s">
        <v>1909</v>
      </c>
      <c r="C311" s="126" t="s">
        <v>116</v>
      </c>
      <c r="D311" s="126" t="s">
        <v>163</v>
      </c>
      <c r="E311" s="126" t="s">
        <v>1910</v>
      </c>
      <c r="F311" s="126" t="s">
        <v>34</v>
      </c>
      <c r="G311" s="126" t="s">
        <v>118</v>
      </c>
      <c r="H311" s="126"/>
      <c r="I311" s="126" t="s">
        <v>118</v>
      </c>
      <c r="J311" s="126"/>
      <c r="K311" s="127">
        <v>43307</v>
      </c>
      <c r="L311" s="128"/>
      <c r="M311" s="128"/>
      <c r="N311" s="126"/>
      <c r="O311" s="126" t="s">
        <v>119</v>
      </c>
      <c r="P311" s="129" t="s">
        <v>1911</v>
      </c>
      <c r="Q311" s="129" t="s">
        <v>264</v>
      </c>
      <c r="R311" s="126" t="s">
        <v>1912</v>
      </c>
      <c r="S311" s="126"/>
      <c r="T311" s="130" t="s">
        <v>120</v>
      </c>
      <c r="U311" s="126"/>
      <c r="V311" s="130" t="s">
        <v>120</v>
      </c>
      <c r="W311" s="126"/>
      <c r="X311" s="130" t="s">
        <v>120</v>
      </c>
      <c r="Y311" s="126"/>
      <c r="Z311" s="165" t="s">
        <v>144</v>
      </c>
      <c r="AA311" s="158"/>
      <c r="AB311" s="158"/>
      <c r="AC311" s="170"/>
      <c r="AD311" s="126" t="s">
        <v>144</v>
      </c>
      <c r="AE311" s="130" t="s">
        <v>120</v>
      </c>
      <c r="AF311" s="127"/>
      <c r="AG311" s="131"/>
      <c r="AH311" s="131"/>
      <c r="AI311" s="126"/>
      <c r="AJ311" s="130" t="s">
        <v>120</v>
      </c>
      <c r="AK311" s="126"/>
      <c r="AL311" s="126"/>
      <c r="AM311" s="130"/>
      <c r="AN311" s="126"/>
      <c r="AO311" s="132"/>
      <c r="AP311" s="126"/>
      <c r="AQ311" s="126"/>
      <c r="AR311" s="130"/>
      <c r="AS311" s="126"/>
      <c r="AT311" s="127"/>
      <c r="AU311" s="127">
        <v>43453.379100115701</v>
      </c>
      <c r="AV311" s="127"/>
      <c r="AW311" s="127"/>
      <c r="AX311" s="127"/>
      <c r="AY311" s="127"/>
      <c r="AZ311" s="133"/>
      <c r="BA31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1" s="135">
        <f>COUNTIFS(_05preva_view43[Site ID],_05preva_view43[[#This Row],[Site ID]],_05preva_view43[Prevalidation Status],"Under Prevalidation")</f>
        <v>0</v>
      </c>
      <c r="BC311" s="157" t="e">
        <f ca="1">HYPERLINK(CheckPath(_05preva_view43[[#This Row],[File Path]],_05preva_view43[[#This Row],[File Path]],_05preva_view43[[#This Row],[Folder Path3]]),CheckPath(_05preva_view43[[#This Row],[File Path]],"Open File","No File"))</f>
        <v>#VALUE!</v>
      </c>
      <c r="BD311" s="136" t="str">
        <f>CONCATENATE(_05preva_view43[[#This Row],[Site ID]]," (",_05preva_view43[[#This Row],[tenant id]],") Application",IF(_05preva_view43[[#This Row],[Colo Rev]]&gt;0," Rev "&amp;_05preva_view43[[#This Row],[Colo Rev]],""),".xlsx")</f>
        <v>AYYN_0499 (YGN1337) Application.xlsx</v>
      </c>
      <c r="BE311" s="64" t="e">
        <f t="shared" ca="1" si="6"/>
        <v>#VALUE!</v>
      </c>
      <c r="BF311" s="104" t="e">
        <f ca="1">LEFT(CELL("filename",A296),_05preva_view43[[#This Row],[Find Process &amp; Database]]-1)</f>
        <v>#VALUE!</v>
      </c>
      <c r="BG311" s="104" t="e">
        <f ca="1">_05preva_view43[Folder Path1]&amp;"Process &amp; Database\Documentation\Colo Applications"</f>
        <v>#VALUE!</v>
      </c>
      <c r="BH311" s="104" t="e">
        <f ca="1">_05preva_view43[Folder Path2]&amp;"\Colo App "&amp;_05preva_view43[[#This Row],[Operator]]&amp;"\"</f>
        <v>#VALUE!</v>
      </c>
      <c r="BI311" s="63" t="e">
        <f ca="1">_05preva_view43[[#This Row],[Folder Path3]]&amp;_05preva_view43[[#This Row],[File Name]]</f>
        <v>#VALUE!</v>
      </c>
      <c r="BJ311" s="104"/>
      <c r="BK311" s="3"/>
      <c r="BL311" s="3"/>
      <c r="CJ311" s="5"/>
      <c r="CK311" s="5"/>
      <c r="CL311" s="3"/>
      <c r="CN311" s="5"/>
      <c r="CR311" s="3"/>
      <c r="CS311" s="3"/>
      <c r="CT311" s="5"/>
      <c r="CV311" s="3"/>
      <c r="DR311" s="5"/>
      <c r="DT311" s="3"/>
      <c r="EF311" s="7"/>
      <c r="EG311" s="7"/>
      <c r="EJ311" s="4"/>
      <c r="EK311" s="4"/>
      <c r="EU311" s="2"/>
      <c r="EV311" s="2"/>
    </row>
    <row r="312" spans="1:152">
      <c r="A312" s="125">
        <v>272</v>
      </c>
      <c r="B312" s="126" t="s">
        <v>884</v>
      </c>
      <c r="C312" s="126" t="s">
        <v>116</v>
      </c>
      <c r="D312" s="126" t="s">
        <v>163</v>
      </c>
      <c r="E312" s="126" t="s">
        <v>885</v>
      </c>
      <c r="F312" s="126" t="s">
        <v>34</v>
      </c>
      <c r="G312" s="126" t="s">
        <v>118</v>
      </c>
      <c r="H312" s="126"/>
      <c r="I312" s="126" t="s">
        <v>118</v>
      </c>
      <c r="J312" s="126"/>
      <c r="K312" s="127">
        <v>43307</v>
      </c>
      <c r="L312" s="128"/>
      <c r="M312" s="128"/>
      <c r="N312" s="126"/>
      <c r="O312" s="126" t="s">
        <v>119</v>
      </c>
      <c r="P312" s="129" t="s">
        <v>263</v>
      </c>
      <c r="Q312" s="129" t="s">
        <v>264</v>
      </c>
      <c r="R312" s="126" t="s">
        <v>26</v>
      </c>
      <c r="S312" s="126" t="s">
        <v>886</v>
      </c>
      <c r="T312" s="130" t="s">
        <v>265</v>
      </c>
      <c r="U312" s="126"/>
      <c r="V312" s="130" t="s">
        <v>144</v>
      </c>
      <c r="W312" s="126" t="s">
        <v>888</v>
      </c>
      <c r="X312" s="130" t="s">
        <v>120</v>
      </c>
      <c r="Y312" s="126"/>
      <c r="Z312" s="165" t="s">
        <v>265</v>
      </c>
      <c r="AA312" s="158"/>
      <c r="AB312" s="158"/>
      <c r="AC312" s="170"/>
      <c r="AD312" s="126" t="s">
        <v>887</v>
      </c>
      <c r="AE312" s="130" t="s">
        <v>144</v>
      </c>
      <c r="AF312" s="127"/>
      <c r="AG312" s="131"/>
      <c r="AH312" s="131"/>
      <c r="AI312" s="126"/>
      <c r="AJ312" s="130" t="s">
        <v>120</v>
      </c>
      <c r="AK312" s="126"/>
      <c r="AL312" s="126"/>
      <c r="AM312" s="130"/>
      <c r="AN312" s="126"/>
      <c r="AO312" s="132"/>
      <c r="AP312" s="126"/>
      <c r="AQ312" s="126"/>
      <c r="AR312" s="130"/>
      <c r="AS312" s="126"/>
      <c r="AT312" s="127"/>
      <c r="AU312" s="127"/>
      <c r="AV312" s="127"/>
      <c r="AW312" s="127"/>
      <c r="AX312" s="127"/>
      <c r="AY312" s="127"/>
      <c r="AZ312" s="133">
        <v>43307</v>
      </c>
      <c r="BA31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2" s="135">
        <f>COUNTIFS(_05preva_view43[Site ID],_05preva_view43[[#This Row],[Site ID]],_05preva_view43[Prevalidation Status],"Under Prevalidation")</f>
        <v>0</v>
      </c>
      <c r="BC312" s="157" t="e">
        <f ca="1">HYPERLINK(CheckPath(_05preva_view43[[#This Row],[File Path]],_05preva_view43[[#This Row],[File Path]],_05preva_view43[[#This Row],[Folder Path3]]),CheckPath(_05preva_view43[[#This Row],[File Path]],"Open File","No File"))</f>
        <v>#VALUE!</v>
      </c>
      <c r="BD312" s="136" t="str">
        <f>CONCATENATE(_05preva_view43[[#This Row],[Site ID]]," (",_05preva_view43[[#This Row],[tenant id]],") Application",IF(_05preva_view43[[#This Row],[Colo Rev]]&gt;0," Rev "&amp;_05preva_view43[[#This Row],[Colo Rev]],""),".xlsx")</f>
        <v>ASMO_0254 (MON0014) Application.xlsx</v>
      </c>
      <c r="BE312" s="64" t="e">
        <f t="shared" ca="1" si="6"/>
        <v>#VALUE!</v>
      </c>
      <c r="BF312" s="104" t="e">
        <f ca="1">LEFT(CELL("filename",A297),_05preva_view43[[#This Row],[Find Process &amp; Database]]-1)</f>
        <v>#VALUE!</v>
      </c>
      <c r="BG312" s="104" t="e">
        <f ca="1">_05preva_view43[Folder Path1]&amp;"Process &amp; Database\Documentation\Colo Applications"</f>
        <v>#VALUE!</v>
      </c>
      <c r="BH312" s="104" t="e">
        <f ca="1">_05preva_view43[Folder Path2]&amp;"\Colo App "&amp;_05preva_view43[[#This Row],[Operator]]&amp;"\"</f>
        <v>#VALUE!</v>
      </c>
      <c r="BI312" s="63" t="e">
        <f ca="1">_05preva_view43[[#This Row],[Folder Path3]]&amp;_05preva_view43[[#This Row],[File Name]]</f>
        <v>#VALUE!</v>
      </c>
      <c r="BJ312" s="104"/>
      <c r="BK312" s="3"/>
      <c r="BL312" s="3"/>
      <c r="CJ312" s="5"/>
      <c r="CK312" s="5"/>
      <c r="CL312" s="3"/>
      <c r="CN312" s="5"/>
      <c r="CR312" s="3"/>
      <c r="CS312" s="3"/>
      <c r="CT312" s="5"/>
      <c r="CV312" s="3"/>
      <c r="DR312" s="5"/>
      <c r="DT312" s="3"/>
      <c r="EF312" s="7"/>
      <c r="EG312" s="7"/>
      <c r="EJ312" s="4"/>
      <c r="EK312" s="4"/>
      <c r="EU312" s="2"/>
      <c r="EV312" s="2"/>
    </row>
    <row r="313" spans="1:152">
      <c r="A313" s="125">
        <v>273</v>
      </c>
      <c r="B313" s="126" t="s">
        <v>889</v>
      </c>
      <c r="C313" s="126" t="s">
        <v>116</v>
      </c>
      <c r="D313" s="126" t="s">
        <v>117</v>
      </c>
      <c r="E313" s="126" t="s">
        <v>890</v>
      </c>
      <c r="F313" s="126" t="s">
        <v>34</v>
      </c>
      <c r="G313" s="126" t="s">
        <v>1574</v>
      </c>
      <c r="H313" s="126" t="s">
        <v>1575</v>
      </c>
      <c r="I313" s="126" t="s">
        <v>118</v>
      </c>
      <c r="J313" s="126"/>
      <c r="K313" s="127">
        <v>43307</v>
      </c>
      <c r="L313" s="128"/>
      <c r="M313" s="128">
        <v>2</v>
      </c>
      <c r="N313" s="126"/>
      <c r="O313" s="126" t="s">
        <v>119</v>
      </c>
      <c r="P313" s="129" t="s">
        <v>291</v>
      </c>
      <c r="Q313" s="129" t="s">
        <v>292</v>
      </c>
      <c r="R313" s="126" t="s">
        <v>24</v>
      </c>
      <c r="S313" s="126"/>
      <c r="T313" s="130" t="s">
        <v>120</v>
      </c>
      <c r="U313" s="126"/>
      <c r="V313" s="130" t="s">
        <v>120</v>
      </c>
      <c r="W313" s="126"/>
      <c r="X313" s="130" t="s">
        <v>120</v>
      </c>
      <c r="Y313" s="126"/>
      <c r="Z313" s="165" t="s">
        <v>265</v>
      </c>
      <c r="AA313" s="158"/>
      <c r="AB313" s="158"/>
      <c r="AC313" s="170"/>
      <c r="AD313" s="126" t="s">
        <v>265</v>
      </c>
      <c r="AE313" s="130" t="s">
        <v>120</v>
      </c>
      <c r="AF313" s="127"/>
      <c r="AG313" s="131"/>
      <c r="AH313" s="131"/>
      <c r="AI313" s="126"/>
      <c r="AJ313" s="130" t="s">
        <v>120</v>
      </c>
      <c r="AK313" s="126"/>
      <c r="AL313" s="126"/>
      <c r="AM313" s="130"/>
      <c r="AN313" s="126"/>
      <c r="AO313" s="132"/>
      <c r="AP313" s="126"/>
      <c r="AQ313" s="126"/>
      <c r="AR313" s="130"/>
      <c r="AS313" s="126"/>
      <c r="AT313" s="127"/>
      <c r="AU313" s="127">
        <v>43453.379102199098</v>
      </c>
      <c r="AV313" s="127"/>
      <c r="AW313" s="127"/>
      <c r="AX313" s="127"/>
      <c r="AY313" s="127"/>
      <c r="AZ313" s="133"/>
      <c r="BA31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3" s="135">
        <f>COUNTIFS(_05preva_view43[Site ID],_05preva_view43[[#This Row],[Site ID]],_05preva_view43[Prevalidation Status],"Under Prevalidation")</f>
        <v>0</v>
      </c>
      <c r="BC313" s="157" t="e">
        <f ca="1">HYPERLINK(CheckPath(_05preva_view43[[#This Row],[File Path]],_05preva_view43[[#This Row],[File Path]],_05preva_view43[[#This Row],[Folder Path3]]),CheckPath(_05preva_view43[[#This Row],[File Path]],"Open File","No File"))</f>
        <v>#VALUE!</v>
      </c>
      <c r="BD313" s="136" t="str">
        <f>CONCATENATE(_05preva_view43[[#This Row],[Site ID]]," (",_05preva_view43[[#This Row],[tenant id]],") Application",IF(_05preva_view43[[#This Row],[Colo Rev]]&gt;0," Rev "&amp;_05preva_view43[[#This Row],[Colo Rev]],""),".xlsx")</f>
        <v>ANNP_0329 (NPW0281) Application.xlsx</v>
      </c>
      <c r="BE313" s="64" t="e">
        <f t="shared" ca="1" si="6"/>
        <v>#VALUE!</v>
      </c>
      <c r="BF313" s="104" t="e">
        <f ca="1">LEFT(CELL("filename",A298),_05preva_view43[[#This Row],[Find Process &amp; Database]]-1)</f>
        <v>#VALUE!</v>
      </c>
      <c r="BG313" s="104" t="e">
        <f ca="1">_05preva_view43[Folder Path1]&amp;"Process &amp; Database\Documentation\Colo Applications"</f>
        <v>#VALUE!</v>
      </c>
      <c r="BH313" s="104" t="e">
        <f ca="1">_05preva_view43[Folder Path2]&amp;"\Colo App "&amp;_05preva_view43[[#This Row],[Operator]]&amp;"\"</f>
        <v>#VALUE!</v>
      </c>
      <c r="BI313" s="63" t="e">
        <f ca="1">_05preva_view43[[#This Row],[Folder Path3]]&amp;_05preva_view43[[#This Row],[File Name]]</f>
        <v>#VALUE!</v>
      </c>
      <c r="BJ313" s="104"/>
      <c r="BK313" s="3"/>
      <c r="BL313" s="3"/>
      <c r="CJ313" s="5"/>
      <c r="CK313" s="5"/>
      <c r="CL313" s="3"/>
      <c r="CN313" s="5"/>
      <c r="CR313" s="3"/>
      <c r="CS313" s="3"/>
      <c r="CT313" s="5"/>
      <c r="CV313" s="3"/>
      <c r="DR313" s="5"/>
      <c r="DT313" s="3"/>
      <c r="EF313" s="7"/>
      <c r="EG313" s="7"/>
      <c r="EJ313" s="4"/>
      <c r="EK313" s="4"/>
      <c r="EU313" s="2"/>
      <c r="EV313" s="2"/>
    </row>
    <row r="314" spans="1:152">
      <c r="A314" s="125">
        <v>265</v>
      </c>
      <c r="B314" s="126" t="s">
        <v>353</v>
      </c>
      <c r="C314" s="126" t="s">
        <v>116</v>
      </c>
      <c r="D314" s="126" t="s">
        <v>127</v>
      </c>
      <c r="E314" s="126" t="s">
        <v>857</v>
      </c>
      <c r="F314" s="126" t="s">
        <v>40</v>
      </c>
      <c r="G314" s="126" t="s">
        <v>1579</v>
      </c>
      <c r="H314" s="126" t="s">
        <v>1575</v>
      </c>
      <c r="I314" s="126" t="s">
        <v>118</v>
      </c>
      <c r="J314" s="126"/>
      <c r="K314" s="127">
        <v>43299</v>
      </c>
      <c r="L314" s="128"/>
      <c r="M314" s="128">
        <v>3</v>
      </c>
      <c r="N314" s="126">
        <v>6.5</v>
      </c>
      <c r="O314" s="126" t="s">
        <v>119</v>
      </c>
      <c r="P314" s="129" t="s">
        <v>858</v>
      </c>
      <c r="Q314" s="129" t="s">
        <v>284</v>
      </c>
      <c r="R314" s="126" t="s">
        <v>24</v>
      </c>
      <c r="S314" s="126"/>
      <c r="T314" s="130" t="s">
        <v>120</v>
      </c>
      <c r="U314" s="126" t="s">
        <v>859</v>
      </c>
      <c r="V314" s="130" t="s">
        <v>120</v>
      </c>
      <c r="W314" s="126"/>
      <c r="X314" s="130" t="s">
        <v>120</v>
      </c>
      <c r="Y314" s="126" t="s">
        <v>860</v>
      </c>
      <c r="Z314" s="165" t="s">
        <v>861</v>
      </c>
      <c r="AA314" s="158"/>
      <c r="AB314" s="158"/>
      <c r="AC314" s="170" t="s">
        <v>123</v>
      </c>
      <c r="AD314" s="126"/>
      <c r="AE314" s="130" t="s">
        <v>120</v>
      </c>
      <c r="AF314" s="127"/>
      <c r="AG314" s="131"/>
      <c r="AH314" s="131"/>
      <c r="AI314" s="126"/>
      <c r="AJ314" s="130" t="s">
        <v>120</v>
      </c>
      <c r="AK314" s="126" t="s">
        <v>240</v>
      </c>
      <c r="AL314" s="126" t="s">
        <v>862</v>
      </c>
      <c r="AM314" s="130"/>
      <c r="AN314" s="126"/>
      <c r="AO314" s="132"/>
      <c r="AP314" s="126"/>
      <c r="AQ314" s="126"/>
      <c r="AR314" s="130"/>
      <c r="AS314" s="126"/>
      <c r="AT314" s="127">
        <v>43417.622354282401</v>
      </c>
      <c r="AU314" s="127">
        <v>43417.673046759301</v>
      </c>
      <c r="AV314" s="127"/>
      <c r="AW314" s="127">
        <v>43417.729836574101</v>
      </c>
      <c r="AX314" s="127">
        <v>43417.688153472198</v>
      </c>
      <c r="AY314" s="127">
        <v>43417.684579629597</v>
      </c>
      <c r="AZ314" s="133">
        <v>43299</v>
      </c>
      <c r="BA31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4" s="135">
        <f>COUNTIFS(_05preva_view43[Site ID],_05preva_view43[[#This Row],[Site ID]],_05preva_view43[Prevalidation Status],"Under Prevalidation")</f>
        <v>0</v>
      </c>
      <c r="BC314" s="157" t="e">
        <f ca="1">HYPERLINK(CheckPath(_05preva_view43[[#This Row],[File Path]],_05preva_view43[[#This Row],[File Path]],_05preva_view43[[#This Row],[Folder Path3]]),CheckPath(_05preva_view43[[#This Row],[File Path]],"Open File","No File"))</f>
        <v>#VALUE!</v>
      </c>
      <c r="BD314" s="136" t="str">
        <f>CONCATENATE(_05preva_view43[[#This Row],[Site ID]]," (",_05preva_view43[[#This Row],[tenant id]],") Application",IF(_05preva_view43[[#This Row],[Colo Rev]]&gt;0," Rev "&amp;_05preva_view43[[#This Row],[Colo Rev]],""),".xlsx")</f>
        <v>ANMD_0080 (MAW2380) Application.xlsx</v>
      </c>
      <c r="BE314" s="64" t="e">
        <f t="shared" ca="1" si="6"/>
        <v>#VALUE!</v>
      </c>
      <c r="BF314" s="104" t="e">
        <f ca="1">LEFT(CELL("filename",A299),_05preva_view43[[#This Row],[Find Process &amp; Database]]-1)</f>
        <v>#VALUE!</v>
      </c>
      <c r="BG314" s="104" t="e">
        <f ca="1">_05preva_view43[Folder Path1]&amp;"Process &amp; Database\Documentation\Colo Applications"</f>
        <v>#VALUE!</v>
      </c>
      <c r="BH314" s="104" t="e">
        <f ca="1">_05preva_view43[Folder Path2]&amp;"\Colo App "&amp;_05preva_view43[[#This Row],[Operator]]&amp;"\"</f>
        <v>#VALUE!</v>
      </c>
      <c r="BI314" s="63" t="e">
        <f ca="1">_05preva_view43[[#This Row],[Folder Path3]]&amp;_05preva_view43[[#This Row],[File Name]]</f>
        <v>#VALUE!</v>
      </c>
      <c r="BJ314" s="104"/>
      <c r="BK314" s="3"/>
      <c r="BL314" s="3"/>
      <c r="CJ314" s="5"/>
      <c r="CK314" s="5"/>
      <c r="CL314" s="3"/>
      <c r="CN314" s="5"/>
      <c r="CR314" s="3"/>
      <c r="CS314" s="3"/>
      <c r="CT314" s="5"/>
      <c r="CV314" s="3"/>
      <c r="DR314" s="5"/>
      <c r="DT314" s="3"/>
      <c r="EF314" s="7"/>
      <c r="EG314" s="7"/>
      <c r="EJ314" s="4"/>
      <c r="EK314" s="4"/>
      <c r="EU314" s="2"/>
      <c r="EV314" s="2"/>
    </row>
    <row r="315" spans="1:152">
      <c r="A315" s="125">
        <v>259</v>
      </c>
      <c r="B315" s="126" t="s">
        <v>342</v>
      </c>
      <c r="C315" s="126" t="s">
        <v>116</v>
      </c>
      <c r="D315" s="126" t="s">
        <v>127</v>
      </c>
      <c r="E315" s="126" t="s">
        <v>849</v>
      </c>
      <c r="F315" s="126" t="s">
        <v>40</v>
      </c>
      <c r="G315" s="126" t="s">
        <v>118</v>
      </c>
      <c r="H315" s="126"/>
      <c r="I315" s="126" t="s">
        <v>118</v>
      </c>
      <c r="J315" s="126"/>
      <c r="K315" s="127">
        <v>43298</v>
      </c>
      <c r="L315" s="128"/>
      <c r="M315" s="128">
        <v>3</v>
      </c>
      <c r="N315" s="126">
        <v>6</v>
      </c>
      <c r="O315" s="126" t="s">
        <v>119</v>
      </c>
      <c r="P315" s="129"/>
      <c r="Q315" s="129"/>
      <c r="R315" s="126" t="s">
        <v>27</v>
      </c>
      <c r="S315" s="126"/>
      <c r="T315" s="130" t="s">
        <v>120</v>
      </c>
      <c r="U315" s="126" t="s">
        <v>850</v>
      </c>
      <c r="V315" s="130" t="s">
        <v>120</v>
      </c>
      <c r="W315" s="126"/>
      <c r="X315" s="130" t="s">
        <v>120</v>
      </c>
      <c r="Y315" s="126" t="s">
        <v>404</v>
      </c>
      <c r="Z315" s="165" t="s">
        <v>125</v>
      </c>
      <c r="AA315" s="158"/>
      <c r="AB315" s="158"/>
      <c r="AC315" s="170" t="s">
        <v>123</v>
      </c>
      <c r="AD315" s="126" t="s">
        <v>405</v>
      </c>
      <c r="AE315" s="130" t="s">
        <v>125</v>
      </c>
      <c r="AF315" s="127"/>
      <c r="AG315" s="131"/>
      <c r="AH315" s="131"/>
      <c r="AI315" s="126" t="s">
        <v>851</v>
      </c>
      <c r="AJ315" s="130"/>
      <c r="AK315" s="126"/>
      <c r="AL315" s="126"/>
      <c r="AM315" s="130"/>
      <c r="AN315" s="126"/>
      <c r="AO315" s="132"/>
      <c r="AP315" s="126"/>
      <c r="AQ315" s="126"/>
      <c r="AR315" s="130"/>
      <c r="AS315" s="126"/>
      <c r="AT315" s="127"/>
      <c r="AU315" s="127"/>
      <c r="AV315" s="127"/>
      <c r="AW315" s="127"/>
      <c r="AX315" s="127"/>
      <c r="AY315" s="127"/>
      <c r="AZ315" s="133"/>
      <c r="BA31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5" s="135">
        <f>COUNTIFS(_05preva_view43[Site ID],_05preva_view43[[#This Row],[Site ID]],_05preva_view43[Prevalidation Status],"Under Prevalidation")</f>
        <v>0</v>
      </c>
      <c r="BC315" s="157" t="e">
        <f ca="1">HYPERLINK(CheckPath(_05preva_view43[[#This Row],[File Path]],_05preva_view43[[#This Row],[File Path]],_05preva_view43[[#This Row],[Folder Path3]]),CheckPath(_05preva_view43[[#This Row],[File Path]],"Open File","No File"))</f>
        <v>#VALUE!</v>
      </c>
      <c r="BD315" s="136" t="str">
        <f>CONCATENATE(_05preva_view43[[#This Row],[Site ID]]," (",_05preva_view43[[#This Row],[tenant id]],") Application",IF(_05preva_view43[[#This Row],[Colo Rev]]&gt;0," Rev "&amp;_05preva_view43[[#This Row],[Colo Rev]],""),".xlsx")</f>
        <v>ANMD_0122 (MAW2969) Application.xlsx</v>
      </c>
      <c r="BE315" s="64" t="e">
        <f t="shared" ca="1" si="6"/>
        <v>#VALUE!</v>
      </c>
      <c r="BF315" s="104" t="e">
        <f ca="1">LEFT(CELL("filename",A300),_05preva_view43[[#This Row],[Find Process &amp; Database]]-1)</f>
        <v>#VALUE!</v>
      </c>
      <c r="BG315" s="104" t="e">
        <f ca="1">_05preva_view43[Folder Path1]&amp;"Process &amp; Database\Documentation\Colo Applications"</f>
        <v>#VALUE!</v>
      </c>
      <c r="BH315" s="104" t="e">
        <f ca="1">_05preva_view43[Folder Path2]&amp;"\Colo App "&amp;_05preva_view43[[#This Row],[Operator]]&amp;"\"</f>
        <v>#VALUE!</v>
      </c>
      <c r="BI315" s="63" t="e">
        <f ca="1">_05preva_view43[[#This Row],[Folder Path3]]&amp;_05preva_view43[[#This Row],[File Name]]</f>
        <v>#VALUE!</v>
      </c>
      <c r="BJ315" s="104"/>
      <c r="BK315" s="3"/>
      <c r="BL315" s="3"/>
      <c r="CJ315" s="5"/>
      <c r="CK315" s="5"/>
      <c r="CL315" s="3"/>
      <c r="CN315" s="5"/>
      <c r="CR315" s="3"/>
      <c r="CS315" s="3"/>
      <c r="CT315" s="5"/>
      <c r="CV315" s="3"/>
      <c r="DR315" s="5"/>
      <c r="DT315" s="3"/>
      <c r="EF315" s="7"/>
      <c r="EG315" s="7"/>
      <c r="EJ315" s="4"/>
      <c r="EK315" s="4"/>
      <c r="EU315" s="2"/>
      <c r="EV315" s="2"/>
    </row>
    <row r="316" spans="1:152">
      <c r="A316" s="125">
        <v>260</v>
      </c>
      <c r="B316" s="126" t="s">
        <v>852</v>
      </c>
      <c r="C316" s="126" t="s">
        <v>116</v>
      </c>
      <c r="D316" s="126" t="s">
        <v>127</v>
      </c>
      <c r="E316" s="126" t="s">
        <v>853</v>
      </c>
      <c r="F316" s="126" t="s">
        <v>40</v>
      </c>
      <c r="G316" s="126" t="s">
        <v>118</v>
      </c>
      <c r="H316" s="126"/>
      <c r="I316" s="126" t="s">
        <v>118</v>
      </c>
      <c r="J316" s="126"/>
      <c r="K316" s="127">
        <v>43298</v>
      </c>
      <c r="L316" s="128"/>
      <c r="M316" s="128">
        <v>3</v>
      </c>
      <c r="N316" s="126">
        <v>6</v>
      </c>
      <c r="O316" s="126" t="s">
        <v>119</v>
      </c>
      <c r="P316" s="129"/>
      <c r="Q316" s="129"/>
      <c r="R316" s="126" t="s">
        <v>27</v>
      </c>
      <c r="S316" s="126"/>
      <c r="T316" s="130" t="s">
        <v>120</v>
      </c>
      <c r="U316" s="126" t="s">
        <v>850</v>
      </c>
      <c r="V316" s="130" t="s">
        <v>120</v>
      </c>
      <c r="W316" s="126"/>
      <c r="X316" s="130" t="s">
        <v>120</v>
      </c>
      <c r="Y316" s="126" t="s">
        <v>404</v>
      </c>
      <c r="Z316" s="165" t="s">
        <v>120</v>
      </c>
      <c r="AA316" s="158"/>
      <c r="AB316" s="158"/>
      <c r="AC316" s="170" t="s">
        <v>123</v>
      </c>
      <c r="AD316" s="126"/>
      <c r="AE316" s="130" t="s">
        <v>125</v>
      </c>
      <c r="AF316" s="127"/>
      <c r="AG316" s="131"/>
      <c r="AH316" s="131"/>
      <c r="AI316" s="126" t="s">
        <v>854</v>
      </c>
      <c r="AJ316" s="130"/>
      <c r="AK316" s="126"/>
      <c r="AL316" s="126"/>
      <c r="AM316" s="130"/>
      <c r="AN316" s="126"/>
      <c r="AO316" s="132"/>
      <c r="AP316" s="126"/>
      <c r="AQ316" s="126"/>
      <c r="AR316" s="130"/>
      <c r="AS316" s="126"/>
      <c r="AT316" s="127"/>
      <c r="AU316" s="127"/>
      <c r="AV316" s="127"/>
      <c r="AW316" s="127"/>
      <c r="AX316" s="127"/>
      <c r="AY316" s="127"/>
      <c r="AZ316" s="133"/>
      <c r="BA31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6" s="135">
        <f>COUNTIFS(_05preva_view43[Site ID],_05preva_view43[[#This Row],[Site ID]],_05preva_view43[Prevalidation Status],"Under Prevalidation")</f>
        <v>0</v>
      </c>
      <c r="BC316" s="157" t="e">
        <f ca="1">HYPERLINK(CheckPath(_05preva_view43[[#This Row],[File Path]],_05preva_view43[[#This Row],[File Path]],_05preva_view43[[#This Row],[Folder Path3]]),CheckPath(_05preva_view43[[#This Row],[File Path]],"Open File","No File"))</f>
        <v>#VALUE!</v>
      </c>
      <c r="BD316" s="136" t="str">
        <f>CONCATENATE(_05preva_view43[[#This Row],[Site ID]]," (",_05preva_view43[[#This Row],[tenant id]],") Application",IF(_05preva_view43[[#This Row],[Colo Rev]]&gt;0," Rev "&amp;_05preva_view43[[#This Row],[Colo Rev]],""),".xlsx")</f>
        <v>ANMD_0181 (MAW2836) Application.xlsx</v>
      </c>
      <c r="BE316" s="64" t="e">
        <f t="shared" ca="1" si="6"/>
        <v>#VALUE!</v>
      </c>
      <c r="BF316" s="104" t="e">
        <f ca="1">LEFT(CELL("filename",A301),_05preva_view43[[#This Row],[Find Process &amp; Database]]-1)</f>
        <v>#VALUE!</v>
      </c>
      <c r="BG316" s="104" t="e">
        <f ca="1">_05preva_view43[Folder Path1]&amp;"Process &amp; Database\Documentation\Colo Applications"</f>
        <v>#VALUE!</v>
      </c>
      <c r="BH316" s="104" t="e">
        <f ca="1">_05preva_view43[Folder Path2]&amp;"\Colo App "&amp;_05preva_view43[[#This Row],[Operator]]&amp;"\"</f>
        <v>#VALUE!</v>
      </c>
      <c r="BI316" s="63" t="e">
        <f ca="1">_05preva_view43[[#This Row],[Folder Path3]]&amp;_05preva_view43[[#This Row],[File Name]]</f>
        <v>#VALUE!</v>
      </c>
      <c r="BJ316" s="104"/>
      <c r="BK316" s="3"/>
      <c r="BL316" s="3"/>
      <c r="CJ316" s="5"/>
      <c r="CK316" s="5"/>
      <c r="CL316" s="3"/>
      <c r="CN316" s="5"/>
      <c r="CR316" s="3"/>
      <c r="CS316" s="3"/>
      <c r="CT316" s="5"/>
      <c r="CV316" s="3"/>
      <c r="DR316" s="5"/>
      <c r="DT316" s="3"/>
      <c r="EF316" s="7"/>
      <c r="EG316" s="7"/>
      <c r="EJ316" s="4"/>
      <c r="EK316" s="4"/>
      <c r="EU316" s="2"/>
      <c r="EV316" s="2"/>
    </row>
    <row r="317" spans="1:152">
      <c r="A317" s="125">
        <v>261</v>
      </c>
      <c r="B317" s="126" t="s">
        <v>855</v>
      </c>
      <c r="C317" s="126" t="s">
        <v>116</v>
      </c>
      <c r="D317" s="126" t="s">
        <v>117</v>
      </c>
      <c r="E317" s="126" t="s">
        <v>856</v>
      </c>
      <c r="F317" s="126" t="s">
        <v>40</v>
      </c>
      <c r="G317" s="126" t="s">
        <v>1579</v>
      </c>
      <c r="H317" s="126" t="s">
        <v>1580</v>
      </c>
      <c r="I317" s="126" t="s">
        <v>118</v>
      </c>
      <c r="J317" s="126"/>
      <c r="K317" s="127">
        <v>43298</v>
      </c>
      <c r="L317" s="128"/>
      <c r="M317" s="128">
        <v>3</v>
      </c>
      <c r="N317" s="126">
        <v>6</v>
      </c>
      <c r="O317" s="126" t="s">
        <v>119</v>
      </c>
      <c r="P317" s="129"/>
      <c r="Q317" s="129"/>
      <c r="R317" s="126" t="s">
        <v>24</v>
      </c>
      <c r="S317" s="126"/>
      <c r="T317" s="130" t="s">
        <v>120</v>
      </c>
      <c r="U317" s="126" t="s">
        <v>850</v>
      </c>
      <c r="V317" s="130" t="s">
        <v>120</v>
      </c>
      <c r="W317" s="126"/>
      <c r="X317" s="130" t="s">
        <v>120</v>
      </c>
      <c r="Y317" s="126" t="s">
        <v>404</v>
      </c>
      <c r="Z317" s="165" t="s">
        <v>120</v>
      </c>
      <c r="AA317" s="158"/>
      <c r="AB317" s="158"/>
      <c r="AC317" s="170" t="s">
        <v>123</v>
      </c>
      <c r="AD317" s="126"/>
      <c r="AE317" s="130" t="s">
        <v>125</v>
      </c>
      <c r="AF317" s="127"/>
      <c r="AG317" s="131"/>
      <c r="AH317" s="131"/>
      <c r="AI317" s="126" t="s">
        <v>854</v>
      </c>
      <c r="AJ317" s="130"/>
      <c r="AK317" s="126"/>
      <c r="AL317" s="126"/>
      <c r="AM317" s="130"/>
      <c r="AN317" s="126"/>
      <c r="AO317" s="132"/>
      <c r="AP317" s="126"/>
      <c r="AQ317" s="126"/>
      <c r="AR317" s="130"/>
      <c r="AS317" s="126"/>
      <c r="AT317" s="127"/>
      <c r="AU317" s="127"/>
      <c r="AV317" s="127"/>
      <c r="AW317" s="127"/>
      <c r="AX317" s="127"/>
      <c r="AY317" s="127"/>
      <c r="AZ317" s="133"/>
      <c r="BA31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7" s="135">
        <f>COUNTIFS(_05preva_view43[Site ID],_05preva_view43[[#This Row],[Site ID]],_05preva_view43[Prevalidation Status],"Under Prevalidation")</f>
        <v>0</v>
      </c>
      <c r="BC317" s="157" t="e">
        <f ca="1">HYPERLINK(CheckPath(_05preva_view43[[#This Row],[File Path]],_05preva_view43[[#This Row],[File Path]],_05preva_view43[[#This Row],[Folder Path3]]),CheckPath(_05preva_view43[[#This Row],[File Path]],"Open File","No File"))</f>
        <v>#VALUE!</v>
      </c>
      <c r="BD317" s="136" t="str">
        <f>CONCATENATE(_05preva_view43[[#This Row],[Site ID]]," (",_05preva_view43[[#This Row],[tenant id]],") Application",IF(_05preva_view43[[#This Row],[Colo Rev]]&gt;0," Rev "&amp;_05preva_view43[[#This Row],[Colo Rev]],""),".xlsx")</f>
        <v>ANSH_0044 (SHW1986) Application.xlsx</v>
      </c>
      <c r="BE317" s="64" t="e">
        <f t="shared" ca="1" si="6"/>
        <v>#VALUE!</v>
      </c>
      <c r="BF317" s="104" t="e">
        <f ca="1">LEFT(CELL("filename",A302),_05preva_view43[[#This Row],[Find Process &amp; Database]]-1)</f>
        <v>#VALUE!</v>
      </c>
      <c r="BG317" s="104" t="e">
        <f ca="1">_05preva_view43[Folder Path1]&amp;"Process &amp; Database\Documentation\Colo Applications"</f>
        <v>#VALUE!</v>
      </c>
      <c r="BH317" s="104" t="e">
        <f ca="1">_05preva_view43[Folder Path2]&amp;"\Colo App "&amp;_05preva_view43[[#This Row],[Operator]]&amp;"\"</f>
        <v>#VALUE!</v>
      </c>
      <c r="BI317" s="63" t="e">
        <f ca="1">_05preva_view43[[#This Row],[Folder Path3]]&amp;_05preva_view43[[#This Row],[File Name]]</f>
        <v>#VALUE!</v>
      </c>
      <c r="BJ317" s="104"/>
      <c r="BK317" s="3"/>
      <c r="BL317" s="3"/>
      <c r="CJ317" s="5"/>
      <c r="CK317" s="5"/>
      <c r="CL317" s="3"/>
      <c r="CN317" s="5"/>
      <c r="CR317" s="3"/>
      <c r="CS317" s="3"/>
      <c r="CT317" s="5"/>
      <c r="CV317" s="3"/>
      <c r="DR317" s="5"/>
      <c r="DT317" s="3"/>
      <c r="EF317" s="7"/>
      <c r="EG317" s="7"/>
      <c r="EJ317" s="4"/>
      <c r="EK317" s="4"/>
      <c r="EU317" s="2"/>
      <c r="EV317" s="2"/>
    </row>
    <row r="318" spans="1:152">
      <c r="A318" s="125">
        <v>258</v>
      </c>
      <c r="B318" s="126" t="s">
        <v>843</v>
      </c>
      <c r="C318" s="126" t="s">
        <v>116</v>
      </c>
      <c r="D318" s="126" t="s">
        <v>163</v>
      </c>
      <c r="E318" s="126" t="s">
        <v>844</v>
      </c>
      <c r="F318" s="126" t="s">
        <v>41</v>
      </c>
      <c r="G318" s="126" t="s">
        <v>1576</v>
      </c>
      <c r="H318" s="126" t="s">
        <v>1580</v>
      </c>
      <c r="I318" s="126" t="s">
        <v>118</v>
      </c>
      <c r="J318" s="126"/>
      <c r="K318" s="127">
        <v>43290</v>
      </c>
      <c r="L318" s="128"/>
      <c r="M318" s="128">
        <v>1.9</v>
      </c>
      <c r="N318" s="126">
        <v>3</v>
      </c>
      <c r="O318" s="126" t="s">
        <v>119</v>
      </c>
      <c r="P318" s="129" t="s">
        <v>845</v>
      </c>
      <c r="Q318" s="129" t="s">
        <v>846</v>
      </c>
      <c r="R318" s="126" t="s">
        <v>24</v>
      </c>
      <c r="S318" s="126"/>
      <c r="T318" s="130" t="s">
        <v>120</v>
      </c>
      <c r="U318" s="126" t="s">
        <v>812</v>
      </c>
      <c r="V318" s="130" t="s">
        <v>120</v>
      </c>
      <c r="W318" s="126"/>
      <c r="X318" s="130" t="s">
        <v>120</v>
      </c>
      <c r="Y318" s="126" t="s">
        <v>120</v>
      </c>
      <c r="Z318" s="165" t="s">
        <v>120</v>
      </c>
      <c r="AA318" s="158"/>
      <c r="AB318" s="158"/>
      <c r="AC318" s="170" t="s">
        <v>123</v>
      </c>
      <c r="AD318" s="126" t="s">
        <v>364</v>
      </c>
      <c r="AE318" s="130" t="s">
        <v>265</v>
      </c>
      <c r="AF318" s="127" t="s">
        <v>815</v>
      </c>
      <c r="AG318" s="131"/>
      <c r="AH318" s="131"/>
      <c r="AI318" s="126" t="s">
        <v>848</v>
      </c>
      <c r="AJ318" s="130" t="s">
        <v>120</v>
      </c>
      <c r="AK318" s="126" t="s">
        <v>240</v>
      </c>
      <c r="AL318" s="126" t="s">
        <v>847</v>
      </c>
      <c r="AM318" s="130"/>
      <c r="AN318" s="126"/>
      <c r="AO318" s="132"/>
      <c r="AP318" s="126"/>
      <c r="AQ318" s="126"/>
      <c r="AR318" s="130"/>
      <c r="AS318" s="126"/>
      <c r="AT318" s="127"/>
      <c r="AU318" s="127">
        <v>43453.3790934028</v>
      </c>
      <c r="AV318" s="127"/>
      <c r="AW318" s="127"/>
      <c r="AX318" s="127"/>
      <c r="AY318" s="127"/>
      <c r="AZ318" s="133">
        <v>43290</v>
      </c>
      <c r="BA31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8" s="135">
        <f>COUNTIFS(_05preva_view43[Site ID],_05preva_view43[[#This Row],[Site ID]],_05preva_view43[Prevalidation Status],"Under Prevalidation")</f>
        <v>0</v>
      </c>
      <c r="BC318" s="157" t="e">
        <f ca="1">HYPERLINK(CheckPath(_05preva_view43[[#This Row],[File Path]],_05preva_view43[[#This Row],[File Path]],_05preva_view43[[#This Row],[Folder Path3]]),CheckPath(_05preva_view43[[#This Row],[File Path]],"Open File","No File"))</f>
        <v>#VALUE!</v>
      </c>
      <c r="BD318" s="136" t="str">
        <f>CONCATENATE(_05preva_view43[[#This Row],[Site ID]]," (",_05preva_view43[[#This Row],[tenant id]],") Application",IF(_05preva_view43[[#This Row],[Colo Rev]]&gt;0," Rev "&amp;_05preva_view43[[#This Row],[Colo Rev]],""),".xlsx")</f>
        <v>AYYN_0413 (YGNTKTA008) Application.xlsx</v>
      </c>
      <c r="BE318" s="64" t="e">
        <f t="shared" ca="1" si="6"/>
        <v>#VALUE!</v>
      </c>
      <c r="BF318" s="104" t="e">
        <f ca="1">LEFT(CELL("filename",A303),_05preva_view43[[#This Row],[Find Process &amp; Database]]-1)</f>
        <v>#VALUE!</v>
      </c>
      <c r="BG318" s="104" t="e">
        <f ca="1">_05preva_view43[Folder Path1]&amp;"Process &amp; Database\Documentation\Colo Applications"</f>
        <v>#VALUE!</v>
      </c>
      <c r="BH318" s="104" t="e">
        <f ca="1">_05preva_view43[Folder Path2]&amp;"\Colo App "&amp;_05preva_view43[[#This Row],[Operator]]&amp;"\"</f>
        <v>#VALUE!</v>
      </c>
      <c r="BI318" s="63" t="e">
        <f ca="1">_05preva_view43[[#This Row],[Folder Path3]]&amp;_05preva_view43[[#This Row],[File Name]]</f>
        <v>#VALUE!</v>
      </c>
      <c r="BJ318" s="104"/>
      <c r="BK318" s="3"/>
      <c r="BL318" s="3"/>
      <c r="CJ318" s="5"/>
      <c r="CK318" s="5"/>
      <c r="CL318" s="3"/>
      <c r="CN318" s="5"/>
      <c r="CR318" s="3"/>
      <c r="CS318" s="3"/>
      <c r="CT318" s="5"/>
      <c r="CV318" s="3"/>
      <c r="DR318" s="5"/>
      <c r="DT318" s="3"/>
      <c r="EF318" s="7"/>
      <c r="EG318" s="7"/>
      <c r="EJ318" s="4"/>
      <c r="EK318" s="4"/>
      <c r="EU318" s="2"/>
      <c r="EV318" s="2"/>
    </row>
    <row r="319" spans="1:152">
      <c r="A319" s="125">
        <v>256</v>
      </c>
      <c r="B319" s="126" t="s">
        <v>207</v>
      </c>
      <c r="C319" s="126" t="s">
        <v>116</v>
      </c>
      <c r="D319" s="126" t="s">
        <v>127</v>
      </c>
      <c r="E319" s="126" t="s">
        <v>831</v>
      </c>
      <c r="F319" s="126" t="s">
        <v>41</v>
      </c>
      <c r="G319" s="126" t="s">
        <v>1576</v>
      </c>
      <c r="H319" s="126" t="s">
        <v>1580</v>
      </c>
      <c r="I319" s="126" t="s">
        <v>118</v>
      </c>
      <c r="J319" s="126"/>
      <c r="K319" s="127">
        <v>43286</v>
      </c>
      <c r="L319" s="128"/>
      <c r="M319" s="128">
        <v>2.5</v>
      </c>
      <c r="N319" s="126">
        <v>3</v>
      </c>
      <c r="O319" s="126" t="s">
        <v>119</v>
      </c>
      <c r="P319" s="129" t="s">
        <v>832</v>
      </c>
      <c r="Q319" s="129" t="s">
        <v>833</v>
      </c>
      <c r="R319" s="126" t="s">
        <v>24</v>
      </c>
      <c r="S319" s="126" t="s">
        <v>834</v>
      </c>
      <c r="T319" s="130" t="s">
        <v>120</v>
      </c>
      <c r="U319" s="126" t="s">
        <v>835</v>
      </c>
      <c r="V319" s="130" t="s">
        <v>125</v>
      </c>
      <c r="W319" s="126" t="s">
        <v>836</v>
      </c>
      <c r="X319" s="130" t="s">
        <v>120</v>
      </c>
      <c r="Y319" s="126" t="s">
        <v>120</v>
      </c>
      <c r="Z319" s="165" t="s">
        <v>120</v>
      </c>
      <c r="AA319" s="158"/>
      <c r="AB319" s="158"/>
      <c r="AC319" s="170" t="s">
        <v>123</v>
      </c>
      <c r="AD319" s="126"/>
      <c r="AE319" s="130" t="s">
        <v>265</v>
      </c>
      <c r="AF319" s="127" t="s">
        <v>815</v>
      </c>
      <c r="AG319" s="131"/>
      <c r="AH319" s="131"/>
      <c r="AI319" s="126" t="s">
        <v>816</v>
      </c>
      <c r="AJ319" s="130"/>
      <c r="AK319" s="126"/>
      <c r="AL319" s="126"/>
      <c r="AM319" s="130"/>
      <c r="AN319" s="126"/>
      <c r="AO319" s="132"/>
      <c r="AP319" s="126"/>
      <c r="AQ319" s="126"/>
      <c r="AR319" s="130"/>
      <c r="AS319" s="126"/>
      <c r="AT319" s="127"/>
      <c r="AU319" s="127">
        <v>43453.3790920139</v>
      </c>
      <c r="AV319" s="127"/>
      <c r="AW319" s="127"/>
      <c r="AX319" s="127"/>
      <c r="AY319" s="127"/>
      <c r="AZ319" s="133">
        <v>43286</v>
      </c>
      <c r="BA31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9" s="135">
        <f>COUNTIFS(_05preva_view43[Site ID],_05preva_view43[[#This Row],[Site ID]],_05preva_view43[Prevalidation Status],"Under Prevalidation")</f>
        <v>0</v>
      </c>
      <c r="BC319" s="157" t="e">
        <f ca="1">HYPERLINK(CheckPath(_05preva_view43[[#This Row],[File Path]],_05preva_view43[[#This Row],[File Path]],_05preva_view43[[#This Row],[Folder Path3]]),CheckPath(_05preva_view43[[#This Row],[File Path]],"Open File","No File"))</f>
        <v>#VALUE!</v>
      </c>
      <c r="BD319" s="136" t="str">
        <f>CONCATENATE(_05preva_view43[[#This Row],[Site ID]]," (",_05preva_view43[[#This Row],[tenant id]],") Application",IF(_05preva_view43[[#This Row],[Colo Rev]]&gt;0," Rev "&amp;_05preva_view43[[#This Row],[Colo Rev]],""),".xlsx")</f>
        <v>ANMD_0273 (MDYAMTZ023) Application.xlsx</v>
      </c>
      <c r="BE319" s="64" t="e">
        <f t="shared" ca="1" si="6"/>
        <v>#VALUE!</v>
      </c>
      <c r="BF319" s="104" t="e">
        <f ca="1">LEFT(CELL("filename",A304),_05preva_view43[[#This Row],[Find Process &amp; Database]]-1)</f>
        <v>#VALUE!</v>
      </c>
      <c r="BG319" s="104" t="e">
        <f ca="1">_05preva_view43[Folder Path1]&amp;"Process &amp; Database\Documentation\Colo Applications"</f>
        <v>#VALUE!</v>
      </c>
      <c r="BH319" s="104" t="e">
        <f ca="1">_05preva_view43[Folder Path2]&amp;"\Colo App "&amp;_05preva_view43[[#This Row],[Operator]]&amp;"\"</f>
        <v>#VALUE!</v>
      </c>
      <c r="BI319" s="63" t="e">
        <f ca="1">_05preva_view43[[#This Row],[Folder Path3]]&amp;_05preva_view43[[#This Row],[File Name]]</f>
        <v>#VALUE!</v>
      </c>
      <c r="BJ319" s="104"/>
      <c r="BK319" s="3"/>
      <c r="BL319" s="3"/>
      <c r="CJ319" s="5"/>
      <c r="CK319" s="5"/>
      <c r="CL319" s="3"/>
      <c r="CN319" s="5"/>
      <c r="CR319" s="3"/>
      <c r="CS319" s="3"/>
      <c r="CT319" s="5"/>
      <c r="CV319" s="3"/>
      <c r="DR319" s="5"/>
      <c r="DT319" s="3"/>
      <c r="EF319" s="7"/>
      <c r="EG319" s="7"/>
      <c r="EJ319" s="4"/>
      <c r="EK319" s="4"/>
      <c r="EU319" s="2"/>
      <c r="EV319" s="2"/>
    </row>
    <row r="320" spans="1:152">
      <c r="A320" s="125">
        <v>255</v>
      </c>
      <c r="B320" s="126" t="s">
        <v>828</v>
      </c>
      <c r="C320" s="126" t="s">
        <v>116</v>
      </c>
      <c r="D320" s="126" t="s">
        <v>127</v>
      </c>
      <c r="E320" s="126" t="s">
        <v>829</v>
      </c>
      <c r="F320" s="126" t="s">
        <v>41</v>
      </c>
      <c r="G320" s="126"/>
      <c r="H320" s="126"/>
      <c r="I320" s="126"/>
      <c r="J320" s="126"/>
      <c r="K320" s="127">
        <v>43286</v>
      </c>
      <c r="L320" s="128"/>
      <c r="M320" s="128">
        <v>2.5</v>
      </c>
      <c r="N320" s="126">
        <v>3</v>
      </c>
      <c r="O320" s="126" t="s">
        <v>119</v>
      </c>
      <c r="P320" s="129" t="s">
        <v>284</v>
      </c>
      <c r="Q320" s="129" t="s">
        <v>339</v>
      </c>
      <c r="R320" s="126" t="s">
        <v>27</v>
      </c>
      <c r="S320" s="126"/>
      <c r="T320" s="130" t="s">
        <v>120</v>
      </c>
      <c r="U320" s="126" t="s">
        <v>830</v>
      </c>
      <c r="V320" s="130" t="s">
        <v>120</v>
      </c>
      <c r="W320" s="126" t="s">
        <v>712</v>
      </c>
      <c r="X320" s="130" t="s">
        <v>120</v>
      </c>
      <c r="Y320" s="126" t="s">
        <v>120</v>
      </c>
      <c r="Z320" s="165" t="s">
        <v>120</v>
      </c>
      <c r="AA320" s="158"/>
      <c r="AB320" s="158"/>
      <c r="AC320" s="170" t="s">
        <v>123</v>
      </c>
      <c r="AD320" s="126" t="s">
        <v>364</v>
      </c>
      <c r="AE320" s="130" t="s">
        <v>265</v>
      </c>
      <c r="AF320" s="127" t="s">
        <v>815</v>
      </c>
      <c r="AG320" s="131"/>
      <c r="AH320" s="131"/>
      <c r="AI320" s="126" t="s">
        <v>816</v>
      </c>
      <c r="AJ320" s="130"/>
      <c r="AK320" s="126"/>
      <c r="AL320" s="126"/>
      <c r="AM320" s="130"/>
      <c r="AN320" s="126"/>
      <c r="AO320" s="132"/>
      <c r="AP320" s="126"/>
      <c r="AQ320" s="126"/>
      <c r="AR320" s="130"/>
      <c r="AS320" s="126"/>
      <c r="AT320" s="127"/>
      <c r="AU320" s="127">
        <v>43453.379091319403</v>
      </c>
      <c r="AV320" s="127"/>
      <c r="AW320" s="127"/>
      <c r="AX320" s="127"/>
      <c r="AY320" s="127"/>
      <c r="AZ320" s="133">
        <v>43286</v>
      </c>
      <c r="BA32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0" s="135">
        <f>COUNTIFS(_05preva_view43[Site ID],_05preva_view43[[#This Row],[Site ID]],_05preva_view43[Prevalidation Status],"Under Prevalidation")</f>
        <v>0</v>
      </c>
      <c r="BC320" s="157" t="e">
        <f ca="1">HYPERLINK(CheckPath(_05preva_view43[[#This Row],[File Path]],_05preva_view43[[#This Row],[File Path]],_05preva_view43[[#This Row],[Folder Path3]]),CheckPath(_05preva_view43[[#This Row],[File Path]],"Open File","No File"))</f>
        <v>#VALUE!</v>
      </c>
      <c r="BD320" s="136" t="str">
        <f>CONCATENATE(_05preva_view43[[#This Row],[Site ID]]," (",_05preva_view43[[#This Row],[tenant id]],") Application",IF(_05preva_view43[[#This Row],[Colo Rev]]&gt;0," Rev "&amp;_05preva_view43[[#This Row],[Colo Rev]],""),".xlsx")</f>
        <v>ANMD_0078 (MDYAMTZ006) Application.xlsx</v>
      </c>
      <c r="BE320" s="64" t="e">
        <f t="shared" ca="1" si="6"/>
        <v>#VALUE!</v>
      </c>
      <c r="BF320" s="104" t="e">
        <f ca="1">LEFT(CELL("filename",A305),_05preva_view43[[#This Row],[Find Process &amp; Database]]-1)</f>
        <v>#VALUE!</v>
      </c>
      <c r="BG320" s="104" t="e">
        <f ca="1">_05preva_view43[Folder Path1]&amp;"Process &amp; Database\Documentation\Colo Applications"</f>
        <v>#VALUE!</v>
      </c>
      <c r="BH320" s="104" t="e">
        <f ca="1">_05preva_view43[Folder Path2]&amp;"\Colo App "&amp;_05preva_view43[[#This Row],[Operator]]&amp;"\"</f>
        <v>#VALUE!</v>
      </c>
      <c r="BI320" s="63" t="e">
        <f ca="1">_05preva_view43[[#This Row],[Folder Path3]]&amp;_05preva_view43[[#This Row],[File Name]]</f>
        <v>#VALUE!</v>
      </c>
      <c r="BJ320" s="104"/>
      <c r="BK320" s="3"/>
      <c r="BL320" s="3"/>
      <c r="CJ320" s="5"/>
      <c r="CK320" s="5"/>
      <c r="CL320" s="3"/>
      <c r="CN320" s="5"/>
      <c r="CR320" s="3"/>
      <c r="CS320" s="3"/>
      <c r="CT320" s="5"/>
      <c r="CV320" s="3"/>
      <c r="DR320" s="5"/>
      <c r="DT320" s="3"/>
      <c r="EF320" s="7"/>
      <c r="EG320" s="7"/>
      <c r="EJ320" s="4"/>
      <c r="EK320" s="4"/>
      <c r="EU320" s="2"/>
      <c r="EV320" s="2"/>
    </row>
    <row r="321" spans="1:152">
      <c r="A321" s="125">
        <v>254</v>
      </c>
      <c r="B321" s="126" t="s">
        <v>825</v>
      </c>
      <c r="C321" s="126" t="s">
        <v>116</v>
      </c>
      <c r="D321" s="126" t="s">
        <v>163</v>
      </c>
      <c r="E321" s="126" t="s">
        <v>826</v>
      </c>
      <c r="F321" s="126" t="s">
        <v>41</v>
      </c>
      <c r="G321" s="126" t="s">
        <v>118</v>
      </c>
      <c r="H321" s="126"/>
      <c r="I321" s="126" t="s">
        <v>118</v>
      </c>
      <c r="J321" s="126"/>
      <c r="K321" s="127">
        <v>43283</v>
      </c>
      <c r="L321" s="128"/>
      <c r="M321" s="128">
        <v>2</v>
      </c>
      <c r="N321" s="126">
        <v>3</v>
      </c>
      <c r="O321" s="126" t="s">
        <v>119</v>
      </c>
      <c r="P321" s="129" t="s">
        <v>363</v>
      </c>
      <c r="Q321" s="129" t="s">
        <v>284</v>
      </c>
      <c r="R321" s="126" t="s">
        <v>26</v>
      </c>
      <c r="S321" s="126"/>
      <c r="T321" s="130" t="s">
        <v>144</v>
      </c>
      <c r="U321" s="126" t="s">
        <v>827</v>
      </c>
      <c r="V321" s="130" t="s">
        <v>120</v>
      </c>
      <c r="W321" s="126"/>
      <c r="X321" s="130" t="s">
        <v>120</v>
      </c>
      <c r="Y321" s="126" t="s">
        <v>120</v>
      </c>
      <c r="Z321" s="165" t="s">
        <v>120</v>
      </c>
      <c r="AA321" s="158"/>
      <c r="AB321" s="158"/>
      <c r="AC321" s="170" t="s">
        <v>123</v>
      </c>
      <c r="AD321" s="126"/>
      <c r="AE321" s="130" t="s">
        <v>120</v>
      </c>
      <c r="AF321" s="127" t="s">
        <v>815</v>
      </c>
      <c r="AG321" s="131"/>
      <c r="AH321" s="131"/>
      <c r="AI321" s="126" t="s">
        <v>816</v>
      </c>
      <c r="AJ321" s="130" t="s">
        <v>120</v>
      </c>
      <c r="AK321" s="126" t="s">
        <v>240</v>
      </c>
      <c r="AL321" s="126"/>
      <c r="AM321" s="130"/>
      <c r="AN321" s="126"/>
      <c r="AO321" s="132"/>
      <c r="AP321" s="126"/>
      <c r="AQ321" s="126"/>
      <c r="AR321" s="130"/>
      <c r="AS321" s="126"/>
      <c r="AT321" s="127"/>
      <c r="AU321" s="127">
        <v>43453.379090509297</v>
      </c>
      <c r="AV321" s="127"/>
      <c r="AW321" s="127"/>
      <c r="AX321" s="127"/>
      <c r="AY321" s="127"/>
      <c r="AZ321" s="133">
        <v>43283</v>
      </c>
      <c r="BA32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1" s="135">
        <f>COUNTIFS(_05preva_view43[Site ID],_05preva_view43[[#This Row],[Site ID]],_05preva_view43[Prevalidation Status],"Under Prevalidation")</f>
        <v>0</v>
      </c>
      <c r="BC321" s="157" t="e">
        <f ca="1">HYPERLINK(CheckPath(_05preva_view43[[#This Row],[File Path]],_05preva_view43[[#This Row],[File Path]],_05preva_view43[[#This Row],[Folder Path3]]),CheckPath(_05preva_view43[[#This Row],[File Path]],"Open File","No File"))</f>
        <v>#VALUE!</v>
      </c>
      <c r="BD321" s="136" t="str">
        <f>CONCATENATE(_05preva_view43[[#This Row],[Site ID]]," (",_05preva_view43[[#This Row],[tenant id]],") Application",IF(_05preva_view43[[#This Row],[Colo Rev]]&gt;0," Rev "&amp;_05preva_view43[[#This Row],[Colo Rev]],""),".xlsx")</f>
        <v>AYYN_0339 (YGNMYGE008) Application.xlsx</v>
      </c>
      <c r="BE321" s="64" t="e">
        <f t="shared" ca="1" si="6"/>
        <v>#VALUE!</v>
      </c>
      <c r="BF321" s="104" t="e">
        <f ca="1">LEFT(CELL("filename",A306),_05preva_view43[[#This Row],[Find Process &amp; Database]]-1)</f>
        <v>#VALUE!</v>
      </c>
      <c r="BG321" s="104" t="e">
        <f ca="1">_05preva_view43[Folder Path1]&amp;"Process &amp; Database\Documentation\Colo Applications"</f>
        <v>#VALUE!</v>
      </c>
      <c r="BH321" s="104" t="e">
        <f ca="1">_05preva_view43[Folder Path2]&amp;"\Colo App "&amp;_05preva_view43[[#This Row],[Operator]]&amp;"\"</f>
        <v>#VALUE!</v>
      </c>
      <c r="BI321" s="63" t="e">
        <f ca="1">_05preva_view43[[#This Row],[Folder Path3]]&amp;_05preva_view43[[#This Row],[File Name]]</f>
        <v>#VALUE!</v>
      </c>
      <c r="BJ321" s="104"/>
      <c r="BK321" s="3"/>
      <c r="BL321" s="3"/>
      <c r="CJ321" s="5"/>
      <c r="CK321" s="5"/>
      <c r="CL321" s="3"/>
      <c r="CN321" s="5"/>
      <c r="CR321" s="3"/>
      <c r="CS321" s="3"/>
      <c r="CT321" s="5"/>
      <c r="CV321" s="3"/>
      <c r="DR321" s="5"/>
      <c r="DT321" s="3"/>
      <c r="EF321" s="7"/>
      <c r="EG321" s="7"/>
      <c r="EJ321" s="4"/>
      <c r="EK321" s="4"/>
      <c r="EU321" s="2"/>
      <c r="EV321" s="2"/>
    </row>
    <row r="322" spans="1:152">
      <c r="A322" s="125">
        <v>252</v>
      </c>
      <c r="B322" s="126" t="s">
        <v>821</v>
      </c>
      <c r="C322" s="126" t="s">
        <v>116</v>
      </c>
      <c r="D322" s="126" t="s">
        <v>163</v>
      </c>
      <c r="E322" s="126" t="s">
        <v>822</v>
      </c>
      <c r="F322" s="126" t="s">
        <v>41</v>
      </c>
      <c r="G322" s="126" t="s">
        <v>118</v>
      </c>
      <c r="H322" s="126"/>
      <c r="I322" s="126" t="s">
        <v>118</v>
      </c>
      <c r="J322" s="126"/>
      <c r="K322" s="127">
        <v>43277</v>
      </c>
      <c r="L322" s="128"/>
      <c r="M322" s="128">
        <v>1.9</v>
      </c>
      <c r="N322" s="126">
        <v>3</v>
      </c>
      <c r="O322" s="126" t="s">
        <v>119</v>
      </c>
      <c r="P322" s="129" t="s">
        <v>823</v>
      </c>
      <c r="Q322" s="129" t="s">
        <v>824</v>
      </c>
      <c r="R322" s="126" t="s">
        <v>24</v>
      </c>
      <c r="S322" s="126"/>
      <c r="T322" s="130" t="s">
        <v>120</v>
      </c>
      <c r="U322" s="126" t="s">
        <v>812</v>
      </c>
      <c r="V322" s="130" t="s">
        <v>120</v>
      </c>
      <c r="W322" s="126"/>
      <c r="X322" s="130" t="s">
        <v>120</v>
      </c>
      <c r="Y322" s="126" t="s">
        <v>120</v>
      </c>
      <c r="Z322" s="165" t="s">
        <v>120</v>
      </c>
      <c r="AA322" s="158"/>
      <c r="AB322" s="158"/>
      <c r="AC322" s="170" t="s">
        <v>123</v>
      </c>
      <c r="AD322" s="126" t="s">
        <v>813</v>
      </c>
      <c r="AE322" s="130" t="s">
        <v>120</v>
      </c>
      <c r="AF322" s="127" t="s">
        <v>815</v>
      </c>
      <c r="AG322" s="131"/>
      <c r="AH322" s="131"/>
      <c r="AI322" s="126" t="s">
        <v>816</v>
      </c>
      <c r="AJ322" s="130" t="s">
        <v>120</v>
      </c>
      <c r="AK322" s="126" t="s">
        <v>240</v>
      </c>
      <c r="AL322" s="126"/>
      <c r="AM322" s="130"/>
      <c r="AN322" s="126"/>
      <c r="AO322" s="132"/>
      <c r="AP322" s="126"/>
      <c r="AQ322" s="126"/>
      <c r="AR322" s="130"/>
      <c r="AS322" s="126"/>
      <c r="AT322" s="127"/>
      <c r="AU322" s="127">
        <v>43453.379089930597</v>
      </c>
      <c r="AV322" s="127"/>
      <c r="AW322" s="127"/>
      <c r="AX322" s="127"/>
      <c r="AY322" s="127"/>
      <c r="AZ322" s="133">
        <v>43277</v>
      </c>
      <c r="BA32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2" s="135">
        <f>COUNTIFS(_05preva_view43[Site ID],_05preva_view43[[#This Row],[Site ID]],_05preva_view43[Prevalidation Status],"Under Prevalidation")</f>
        <v>0</v>
      </c>
      <c r="BC322" s="157" t="e">
        <f ca="1">HYPERLINK(CheckPath(_05preva_view43[[#This Row],[File Path]],_05preva_view43[[#This Row],[File Path]],_05preva_view43[[#This Row],[Folder Path3]]),CheckPath(_05preva_view43[[#This Row],[File Path]],"Open File","No File"))</f>
        <v>#VALUE!</v>
      </c>
      <c r="BD322" s="136" t="str">
        <f>CONCATENATE(_05preva_view43[[#This Row],[Site ID]]," (",_05preva_view43[[#This Row],[tenant id]],") Application",IF(_05preva_view43[[#This Row],[Colo Rev]]&gt;0," Rev "&amp;_05preva_view43[[#This Row],[Colo Rev]],""),".xlsx")</f>
        <v>AYYN_0141 (YGNLTHA011) Application.xlsx</v>
      </c>
      <c r="BE322" s="64" t="e">
        <f t="shared" ca="1" si="6"/>
        <v>#VALUE!</v>
      </c>
      <c r="BF322" s="104" t="e">
        <f ca="1">LEFT(CELL("filename",A307),_05preva_view43[[#This Row],[Find Process &amp; Database]]-1)</f>
        <v>#VALUE!</v>
      </c>
      <c r="BG322" s="104" t="e">
        <f ca="1">_05preva_view43[Folder Path1]&amp;"Process &amp; Database\Documentation\Colo Applications"</f>
        <v>#VALUE!</v>
      </c>
      <c r="BH322" s="104" t="e">
        <f ca="1">_05preva_view43[Folder Path2]&amp;"\Colo App "&amp;_05preva_view43[[#This Row],[Operator]]&amp;"\"</f>
        <v>#VALUE!</v>
      </c>
      <c r="BI322" s="63" t="e">
        <f ca="1">_05preva_view43[[#This Row],[Folder Path3]]&amp;_05preva_view43[[#This Row],[File Name]]</f>
        <v>#VALUE!</v>
      </c>
      <c r="BJ322" s="104"/>
      <c r="BK322" s="3"/>
      <c r="BL322" s="3"/>
      <c r="CJ322" s="5"/>
      <c r="CK322" s="5"/>
      <c r="CL322" s="3"/>
      <c r="CN322" s="5"/>
      <c r="CR322" s="3"/>
      <c r="CS322" s="3"/>
      <c r="CT322" s="5"/>
      <c r="CV322" s="3"/>
      <c r="DR322" s="5"/>
      <c r="DT322" s="3"/>
      <c r="EF322" s="7"/>
      <c r="EG322" s="7"/>
      <c r="EJ322" s="4"/>
      <c r="EK322" s="4"/>
      <c r="EU322" s="2"/>
      <c r="EV322" s="2"/>
    </row>
    <row r="323" spans="1:152">
      <c r="A323" s="125">
        <v>246</v>
      </c>
      <c r="B323" s="126" t="s">
        <v>797</v>
      </c>
      <c r="C323" s="126" t="s">
        <v>116</v>
      </c>
      <c r="D323" s="126" t="s">
        <v>163</v>
      </c>
      <c r="E323" s="126" t="s">
        <v>798</v>
      </c>
      <c r="F323" s="126" t="s">
        <v>40</v>
      </c>
      <c r="G323" s="126" t="s">
        <v>1579</v>
      </c>
      <c r="H323" s="126" t="s">
        <v>1575</v>
      </c>
      <c r="I323" s="126" t="s">
        <v>118</v>
      </c>
      <c r="J323" s="126"/>
      <c r="K323" s="127">
        <v>43273</v>
      </c>
      <c r="L323" s="128"/>
      <c r="M323" s="128">
        <v>3</v>
      </c>
      <c r="N323" s="126">
        <v>6</v>
      </c>
      <c r="O323" s="126" t="s">
        <v>119</v>
      </c>
      <c r="P323" s="129"/>
      <c r="Q323" s="129"/>
      <c r="R323" s="126" t="s">
        <v>24</v>
      </c>
      <c r="S323" s="126"/>
      <c r="T323" s="130" t="s">
        <v>120</v>
      </c>
      <c r="U323" s="126" t="s">
        <v>799</v>
      </c>
      <c r="V323" s="130" t="s">
        <v>120</v>
      </c>
      <c r="W323" s="126"/>
      <c r="X323" s="130" t="s">
        <v>120</v>
      </c>
      <c r="Y323" s="126" t="s">
        <v>404</v>
      </c>
      <c r="Z323" s="165" t="s">
        <v>120</v>
      </c>
      <c r="AA323" s="158"/>
      <c r="AB323" s="158"/>
      <c r="AC323" s="170" t="s">
        <v>123</v>
      </c>
      <c r="AD323" s="126"/>
      <c r="AE323" s="130" t="s">
        <v>125</v>
      </c>
      <c r="AF323" s="127"/>
      <c r="AG323" s="131"/>
      <c r="AH323" s="131"/>
      <c r="AI323" s="126" t="s">
        <v>387</v>
      </c>
      <c r="AJ323" s="130" t="s">
        <v>120</v>
      </c>
      <c r="AK323" s="126" t="s">
        <v>123</v>
      </c>
      <c r="AL323" s="126" t="s">
        <v>768</v>
      </c>
      <c r="AM323" s="130"/>
      <c r="AN323" s="126"/>
      <c r="AO323" s="132"/>
      <c r="AP323" s="126"/>
      <c r="AQ323" s="126"/>
      <c r="AR323" s="130"/>
      <c r="AS323" s="126"/>
      <c r="AT323" s="127"/>
      <c r="AU323" s="127"/>
      <c r="AV323" s="127"/>
      <c r="AW323" s="127"/>
      <c r="AX323" s="127"/>
      <c r="AY323" s="127"/>
      <c r="AZ323" s="133"/>
      <c r="BA32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3" s="135">
        <f>COUNTIFS(_05preva_view43[Site ID],_05preva_view43[[#This Row],[Site ID]],_05preva_view43[Prevalidation Status],"Under Prevalidation")</f>
        <v>0</v>
      </c>
      <c r="BC323" s="157" t="e">
        <f ca="1">HYPERLINK(CheckPath(_05preva_view43[[#This Row],[File Path]],_05preva_view43[[#This Row],[File Path]],_05preva_view43[[#This Row],[Folder Path3]]),CheckPath(_05preva_view43[[#This Row],[File Path]],"Open File","No File"))</f>
        <v>#VALUE!</v>
      </c>
      <c r="BD323" s="136" t="str">
        <f>CONCATENATE(_05preva_view43[[#This Row],[Site ID]]," (",_05preva_view43[[#This Row],[tenant id]],") Application",IF(_05preva_view43[[#This Row],[Colo Rev]]&gt;0," Rev "&amp;_05preva_view43[[#This Row],[Colo Rev]],""),".xlsx")</f>
        <v>ACAY_3003 (AYW5573) Application.xlsx</v>
      </c>
      <c r="BE323" s="64" t="e">
        <f t="shared" ca="1" si="6"/>
        <v>#VALUE!</v>
      </c>
      <c r="BF323" s="104" t="e">
        <f ca="1">LEFT(CELL("filename",A308),_05preva_view43[[#This Row],[Find Process &amp; Database]]-1)</f>
        <v>#VALUE!</v>
      </c>
      <c r="BG323" s="104" t="e">
        <f ca="1">_05preva_view43[Folder Path1]&amp;"Process &amp; Database\Documentation\Colo Applications"</f>
        <v>#VALUE!</v>
      </c>
      <c r="BH323" s="104" t="e">
        <f ca="1">_05preva_view43[Folder Path2]&amp;"\Colo App "&amp;_05preva_view43[[#This Row],[Operator]]&amp;"\"</f>
        <v>#VALUE!</v>
      </c>
      <c r="BI323" s="63" t="e">
        <f ca="1">_05preva_view43[[#This Row],[Folder Path3]]&amp;_05preva_view43[[#This Row],[File Name]]</f>
        <v>#VALUE!</v>
      </c>
      <c r="BJ323" s="104"/>
      <c r="BK323" s="3"/>
      <c r="BL323" s="3"/>
      <c r="CJ323" s="5"/>
      <c r="CK323" s="5"/>
      <c r="CL323" s="3"/>
      <c r="CN323" s="5"/>
      <c r="CR323" s="3"/>
      <c r="CS323" s="3"/>
      <c r="CT323" s="5"/>
      <c r="CV323" s="3"/>
      <c r="DR323" s="5"/>
      <c r="DT323" s="3"/>
      <c r="EF323" s="7"/>
      <c r="EG323" s="7"/>
      <c r="EJ323" s="4"/>
      <c r="EK323" s="4"/>
      <c r="EU323" s="2"/>
      <c r="EV323" s="2"/>
    </row>
    <row r="324" spans="1:152">
      <c r="A324" s="125">
        <v>247</v>
      </c>
      <c r="B324" s="126" t="s">
        <v>800</v>
      </c>
      <c r="C324" s="126" t="s">
        <v>116</v>
      </c>
      <c r="D324" s="126" t="s">
        <v>163</v>
      </c>
      <c r="E324" s="126" t="s">
        <v>801</v>
      </c>
      <c r="F324" s="126" t="s">
        <v>40</v>
      </c>
      <c r="G324" s="126" t="s">
        <v>118</v>
      </c>
      <c r="H324" s="126"/>
      <c r="I324" s="126" t="s">
        <v>118</v>
      </c>
      <c r="J324" s="126"/>
      <c r="K324" s="127">
        <v>43273</v>
      </c>
      <c r="L324" s="128"/>
      <c r="M324" s="128">
        <v>3</v>
      </c>
      <c r="N324" s="126">
        <v>6</v>
      </c>
      <c r="O324" s="126" t="s">
        <v>119</v>
      </c>
      <c r="P324" s="129"/>
      <c r="Q324" s="129"/>
      <c r="R324" s="126" t="s">
        <v>26</v>
      </c>
      <c r="S324" s="126"/>
      <c r="T324" s="130" t="s">
        <v>120</v>
      </c>
      <c r="U324" s="126" t="s">
        <v>802</v>
      </c>
      <c r="V324" s="130" t="s">
        <v>144</v>
      </c>
      <c r="W324" s="126" t="s">
        <v>803</v>
      </c>
      <c r="X324" s="130" t="s">
        <v>120</v>
      </c>
      <c r="Y324" s="126" t="s">
        <v>404</v>
      </c>
      <c r="Z324" s="165" t="s">
        <v>120</v>
      </c>
      <c r="AA324" s="158"/>
      <c r="AB324" s="158"/>
      <c r="AC324" s="170" t="s">
        <v>123</v>
      </c>
      <c r="AD324" s="126"/>
      <c r="AE324" s="130" t="s">
        <v>125</v>
      </c>
      <c r="AF324" s="127"/>
      <c r="AG324" s="131"/>
      <c r="AH324" s="131"/>
      <c r="AI324" s="126" t="s">
        <v>245</v>
      </c>
      <c r="AJ324" s="130" t="s">
        <v>120</v>
      </c>
      <c r="AK324" s="126" t="s">
        <v>240</v>
      </c>
      <c r="AL324" s="126" t="s">
        <v>470</v>
      </c>
      <c r="AM324" s="130"/>
      <c r="AN324" s="126"/>
      <c r="AO324" s="132"/>
      <c r="AP324" s="126"/>
      <c r="AQ324" s="126"/>
      <c r="AR324" s="130"/>
      <c r="AS324" s="126"/>
      <c r="AT324" s="127"/>
      <c r="AU324" s="127"/>
      <c r="AV324" s="127"/>
      <c r="AW324" s="127"/>
      <c r="AX324" s="127"/>
      <c r="AY324" s="127"/>
      <c r="AZ324" s="133">
        <v>43273</v>
      </c>
      <c r="BA32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4" s="135">
        <f>COUNTIFS(_05preva_view43[Site ID],_05preva_view43[[#This Row],[Site ID]],_05preva_view43[Prevalidation Status],"Under Prevalidation")</f>
        <v>0</v>
      </c>
      <c r="BC324" s="157" t="e">
        <f ca="1">HYPERLINK(CheckPath(_05preva_view43[[#This Row],[File Path]],_05preva_view43[[#This Row],[File Path]],_05preva_view43[[#This Row],[Folder Path3]]),CheckPath(_05preva_view43[[#This Row],[File Path]],"Open File","No File"))</f>
        <v>#VALUE!</v>
      </c>
      <c r="BD324" s="136" t="str">
        <f>CONCATENATE(_05preva_view43[[#This Row],[Site ID]]," (",_05preva_view43[[#This Row],[tenant id]],") Application",IF(_05preva_view43[[#This Row],[Colo Rev]]&gt;0," Rev "&amp;_05preva_view43[[#This Row],[Colo Rev]],""),".xlsx")</f>
        <v>ASMO_0253 (MOW6291) Application.xlsx</v>
      </c>
      <c r="BE324" s="64" t="e">
        <f t="shared" ca="1" si="6"/>
        <v>#VALUE!</v>
      </c>
      <c r="BF324" s="104" t="e">
        <f ca="1">LEFT(CELL("filename",A309),_05preva_view43[[#This Row],[Find Process &amp; Database]]-1)</f>
        <v>#VALUE!</v>
      </c>
      <c r="BG324" s="104" t="e">
        <f ca="1">_05preva_view43[Folder Path1]&amp;"Process &amp; Database\Documentation\Colo Applications"</f>
        <v>#VALUE!</v>
      </c>
      <c r="BH324" s="104" t="e">
        <f ca="1">_05preva_view43[Folder Path2]&amp;"\Colo App "&amp;_05preva_view43[[#This Row],[Operator]]&amp;"\"</f>
        <v>#VALUE!</v>
      </c>
      <c r="BI324" s="63" t="e">
        <f ca="1">_05preva_view43[[#This Row],[Folder Path3]]&amp;_05preva_view43[[#This Row],[File Name]]</f>
        <v>#VALUE!</v>
      </c>
      <c r="BJ324" s="104"/>
      <c r="BK324" s="3"/>
      <c r="BL324" s="3"/>
      <c r="CJ324" s="5"/>
      <c r="CK324" s="5"/>
      <c r="CL324" s="3"/>
      <c r="CN324" s="5"/>
      <c r="CR324" s="3"/>
      <c r="CS324" s="3"/>
      <c r="CT324" s="5"/>
      <c r="CV324" s="3"/>
      <c r="DR324" s="5"/>
      <c r="DT324" s="3"/>
      <c r="EF324" s="7"/>
      <c r="EG324" s="7"/>
      <c r="EJ324" s="4"/>
      <c r="EK324" s="4"/>
      <c r="EU324" s="2"/>
      <c r="EV324" s="2"/>
    </row>
    <row r="325" spans="1:152">
      <c r="A325" s="125">
        <v>248</v>
      </c>
      <c r="B325" s="126" t="s">
        <v>804</v>
      </c>
      <c r="C325" s="126" t="s">
        <v>116</v>
      </c>
      <c r="D325" s="126" t="s">
        <v>117</v>
      </c>
      <c r="E325" s="126" t="s">
        <v>805</v>
      </c>
      <c r="F325" s="126" t="s">
        <v>40</v>
      </c>
      <c r="G325" s="126" t="s">
        <v>118</v>
      </c>
      <c r="H325" s="126"/>
      <c r="I325" s="126" t="s">
        <v>118</v>
      </c>
      <c r="J325" s="126"/>
      <c r="K325" s="127">
        <v>43273</v>
      </c>
      <c r="L325" s="128"/>
      <c r="M325" s="128">
        <v>3</v>
      </c>
      <c r="N325" s="126">
        <v>6</v>
      </c>
      <c r="O325" s="126" t="s">
        <v>119</v>
      </c>
      <c r="P325" s="129"/>
      <c r="Q325" s="129"/>
      <c r="R325" s="126" t="s">
        <v>24</v>
      </c>
      <c r="S325" s="126"/>
      <c r="T325" s="130" t="s">
        <v>120</v>
      </c>
      <c r="U325" s="126" t="s">
        <v>782</v>
      </c>
      <c r="V325" s="130" t="s">
        <v>120</v>
      </c>
      <c r="W325" s="126"/>
      <c r="X325" s="130" t="s">
        <v>120</v>
      </c>
      <c r="Y325" s="126" t="s">
        <v>404</v>
      </c>
      <c r="Z325" s="165" t="s">
        <v>120</v>
      </c>
      <c r="AA325" s="158"/>
      <c r="AB325" s="158"/>
      <c r="AC325" s="170" t="s">
        <v>123</v>
      </c>
      <c r="AD325" s="126"/>
      <c r="AE325" s="130" t="s">
        <v>125</v>
      </c>
      <c r="AF325" s="127"/>
      <c r="AG325" s="131"/>
      <c r="AH325" s="131"/>
      <c r="AI325" s="126" t="s">
        <v>387</v>
      </c>
      <c r="AJ325" s="130" t="s">
        <v>120</v>
      </c>
      <c r="AK325" s="126" t="s">
        <v>123</v>
      </c>
      <c r="AL325" s="126" t="s">
        <v>768</v>
      </c>
      <c r="AM325" s="130"/>
      <c r="AN325" s="126"/>
      <c r="AO325" s="132"/>
      <c r="AP325" s="126"/>
      <c r="AQ325" s="126"/>
      <c r="AR325" s="130"/>
      <c r="AS325" s="126"/>
      <c r="AT325" s="127"/>
      <c r="AU325" s="127"/>
      <c r="AV325" s="127"/>
      <c r="AW325" s="127"/>
      <c r="AX325" s="127"/>
      <c r="AY325" s="127"/>
      <c r="AZ325" s="133"/>
      <c r="BA32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5" s="135">
        <f>COUNTIFS(_05preva_view43[Site ID],_05preva_view43[[#This Row],[Site ID]],_05preva_view43[Prevalidation Status],"Under Prevalidation")</f>
        <v>0</v>
      </c>
      <c r="BC325" s="157" t="e">
        <f ca="1">HYPERLINK(CheckPath(_05preva_view43[[#This Row],[File Path]],_05preva_view43[[#This Row],[File Path]],_05preva_view43[[#This Row],[Folder Path3]]),CheckPath(_05preva_view43[[#This Row],[File Path]],"Open File","No File"))</f>
        <v>#VALUE!</v>
      </c>
      <c r="BD325" s="136" t="str">
        <f>CONCATENATE(_05preva_view43[[#This Row],[Site ID]]," (",_05preva_view43[[#This Row],[tenant id]],") Application",IF(_05preva_view43[[#This Row],[Colo Rev]]&gt;0," Rev "&amp;_05preva_view43[[#This Row],[Colo Rev]],""),".xlsx")</f>
        <v>ANMG_0027 (MWW3486) Application.xlsx</v>
      </c>
      <c r="BE325" s="64" t="e">
        <f t="shared" ca="1" si="6"/>
        <v>#VALUE!</v>
      </c>
      <c r="BF325" s="104" t="e">
        <f ca="1">LEFT(CELL("filename",A310),_05preva_view43[[#This Row],[Find Process &amp; Database]]-1)</f>
        <v>#VALUE!</v>
      </c>
      <c r="BG325" s="104" t="e">
        <f ca="1">_05preva_view43[Folder Path1]&amp;"Process &amp; Database\Documentation\Colo Applications"</f>
        <v>#VALUE!</v>
      </c>
      <c r="BH325" s="104" t="e">
        <f ca="1">_05preva_view43[Folder Path2]&amp;"\Colo App "&amp;_05preva_view43[[#This Row],[Operator]]&amp;"\"</f>
        <v>#VALUE!</v>
      </c>
      <c r="BI325" s="63" t="e">
        <f ca="1">_05preva_view43[[#This Row],[Folder Path3]]&amp;_05preva_view43[[#This Row],[File Name]]</f>
        <v>#VALUE!</v>
      </c>
      <c r="BJ325" s="104"/>
      <c r="BK325" s="3"/>
      <c r="BL325" s="3"/>
      <c r="CJ325" s="5"/>
      <c r="CK325" s="5"/>
      <c r="CL325" s="3"/>
      <c r="CN325" s="5"/>
      <c r="CR325" s="3"/>
      <c r="CS325" s="3"/>
      <c r="CT325" s="5"/>
      <c r="CV325" s="3"/>
      <c r="DR325" s="5"/>
      <c r="DT325" s="3"/>
      <c r="EF325" s="7"/>
      <c r="EG325" s="7"/>
      <c r="EJ325" s="4"/>
      <c r="EK325" s="4"/>
      <c r="EU325" s="2"/>
      <c r="EV325" s="2"/>
    </row>
    <row r="326" spans="1:152">
      <c r="A326" s="125">
        <v>249</v>
      </c>
      <c r="B326" s="126" t="s">
        <v>806</v>
      </c>
      <c r="C326" s="126" t="s">
        <v>116</v>
      </c>
      <c r="D326" s="126" t="s">
        <v>117</v>
      </c>
      <c r="E326" s="126" t="s">
        <v>807</v>
      </c>
      <c r="F326" s="126" t="s">
        <v>40</v>
      </c>
      <c r="G326" s="126" t="s">
        <v>1579</v>
      </c>
      <c r="H326" s="126" t="s">
        <v>1580</v>
      </c>
      <c r="I326" s="126" t="s">
        <v>118</v>
      </c>
      <c r="J326" s="126"/>
      <c r="K326" s="127">
        <v>43273</v>
      </c>
      <c r="L326" s="128"/>
      <c r="M326" s="128">
        <v>3</v>
      </c>
      <c r="N326" s="126">
        <v>6</v>
      </c>
      <c r="O326" s="126" t="s">
        <v>119</v>
      </c>
      <c r="P326" s="129"/>
      <c r="Q326" s="129"/>
      <c r="R326" s="126" t="s">
        <v>24</v>
      </c>
      <c r="S326" s="126"/>
      <c r="T326" s="130" t="s">
        <v>120</v>
      </c>
      <c r="U326" s="126" t="s">
        <v>799</v>
      </c>
      <c r="V326" s="130" t="s">
        <v>120</v>
      </c>
      <c r="W326" s="126"/>
      <c r="X326" s="130" t="s">
        <v>120</v>
      </c>
      <c r="Y326" s="126" t="s">
        <v>404</v>
      </c>
      <c r="Z326" s="165" t="s">
        <v>120</v>
      </c>
      <c r="AA326" s="158"/>
      <c r="AB326" s="158"/>
      <c r="AC326" s="170" t="s">
        <v>123</v>
      </c>
      <c r="AD326" s="126"/>
      <c r="AE326" s="130" t="s">
        <v>125</v>
      </c>
      <c r="AF326" s="127"/>
      <c r="AG326" s="131"/>
      <c r="AH326" s="131"/>
      <c r="AI326" s="126" t="s">
        <v>242</v>
      </c>
      <c r="AJ326" s="130" t="s">
        <v>120</v>
      </c>
      <c r="AK326" s="126" t="s">
        <v>123</v>
      </c>
      <c r="AL326" s="126" t="s">
        <v>768</v>
      </c>
      <c r="AM326" s="130"/>
      <c r="AN326" s="126"/>
      <c r="AO326" s="132"/>
      <c r="AP326" s="126"/>
      <c r="AQ326" s="126"/>
      <c r="AR326" s="130"/>
      <c r="AS326" s="126"/>
      <c r="AT326" s="127"/>
      <c r="AU326" s="127"/>
      <c r="AV326" s="127"/>
      <c r="AW326" s="127"/>
      <c r="AX326" s="127"/>
      <c r="AY326" s="127"/>
      <c r="AZ326" s="133"/>
      <c r="BA32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6" s="135">
        <f>COUNTIFS(_05preva_view43[Site ID],_05preva_view43[[#This Row],[Site ID]],_05preva_view43[Prevalidation Status],"Under Prevalidation")</f>
        <v>0</v>
      </c>
      <c r="BC326" s="157" t="e">
        <f ca="1">HYPERLINK(CheckPath(_05preva_view43[[#This Row],[File Path]],_05preva_view43[[#This Row],[File Path]],_05preva_view43[[#This Row],[Folder Path3]]),CheckPath(_05preva_view43[[#This Row],[File Path]],"Open File","No File"))</f>
        <v>#VALUE!</v>
      </c>
      <c r="BD326" s="136" t="str">
        <f>CONCATENATE(_05preva_view43[[#This Row],[Site ID]]," (",_05preva_view43[[#This Row],[tenant id]],") Application",IF(_05preva_view43[[#This Row],[Colo Rev]]&gt;0," Rev "&amp;_05preva_view43[[#This Row],[Colo Rev]],""),".xlsx")</f>
        <v>ANSH_0013 (SHW1978) Application.xlsx</v>
      </c>
      <c r="BE326" s="64" t="e">
        <f t="shared" ca="1" si="6"/>
        <v>#VALUE!</v>
      </c>
      <c r="BF326" s="104" t="e">
        <f ca="1">LEFT(CELL("filename",A311),_05preva_view43[[#This Row],[Find Process &amp; Database]]-1)</f>
        <v>#VALUE!</v>
      </c>
      <c r="BG326" s="104" t="e">
        <f ca="1">_05preva_view43[Folder Path1]&amp;"Process &amp; Database\Documentation\Colo Applications"</f>
        <v>#VALUE!</v>
      </c>
      <c r="BH326" s="104" t="e">
        <f ca="1">_05preva_view43[Folder Path2]&amp;"\Colo App "&amp;_05preva_view43[[#This Row],[Operator]]&amp;"\"</f>
        <v>#VALUE!</v>
      </c>
      <c r="BI326" s="63" t="e">
        <f ca="1">_05preva_view43[[#This Row],[Folder Path3]]&amp;_05preva_view43[[#This Row],[File Name]]</f>
        <v>#VALUE!</v>
      </c>
      <c r="BJ326" s="104"/>
      <c r="BK326" s="3"/>
      <c r="BL326" s="3"/>
      <c r="CJ326" s="5"/>
      <c r="CK326" s="5"/>
      <c r="CL326" s="3"/>
      <c r="CN326" s="5"/>
      <c r="CR326" s="3"/>
      <c r="CS326" s="3"/>
      <c r="CT326" s="5"/>
      <c r="CV326" s="3"/>
      <c r="DR326" s="5"/>
      <c r="DT326" s="3"/>
      <c r="EF326" s="7"/>
      <c r="EG326" s="7"/>
      <c r="EJ326" s="4"/>
      <c r="EK326" s="4"/>
      <c r="EU326" s="2"/>
      <c r="EV326" s="2"/>
    </row>
    <row r="327" spans="1:152">
      <c r="A327" s="125">
        <v>250</v>
      </c>
      <c r="B327" s="126" t="s">
        <v>808</v>
      </c>
      <c r="C327" s="126" t="s">
        <v>116</v>
      </c>
      <c r="D327" s="126" t="s">
        <v>163</v>
      </c>
      <c r="E327" s="126" t="s">
        <v>809</v>
      </c>
      <c r="F327" s="126" t="s">
        <v>41</v>
      </c>
      <c r="G327" s="126" t="s">
        <v>1576</v>
      </c>
      <c r="H327" s="126" t="s">
        <v>1580</v>
      </c>
      <c r="I327" s="126" t="s">
        <v>118</v>
      </c>
      <c r="J327" s="126"/>
      <c r="K327" s="127">
        <v>43273</v>
      </c>
      <c r="L327" s="128"/>
      <c r="M327" s="128">
        <v>1.9</v>
      </c>
      <c r="N327" s="126">
        <v>3</v>
      </c>
      <c r="O327" s="126" t="s">
        <v>119</v>
      </c>
      <c r="P327" s="129" t="s">
        <v>810</v>
      </c>
      <c r="Q327" s="129" t="s">
        <v>811</v>
      </c>
      <c r="R327" s="126" t="s">
        <v>24</v>
      </c>
      <c r="S327" s="126"/>
      <c r="T327" s="130" t="s">
        <v>120</v>
      </c>
      <c r="U327" s="126" t="s">
        <v>812</v>
      </c>
      <c r="V327" s="130" t="s">
        <v>120</v>
      </c>
      <c r="W327" s="126"/>
      <c r="X327" s="130" t="s">
        <v>120</v>
      </c>
      <c r="Y327" s="126" t="s">
        <v>120</v>
      </c>
      <c r="Z327" s="165" t="s">
        <v>120</v>
      </c>
      <c r="AA327" s="158"/>
      <c r="AB327" s="158"/>
      <c r="AC327" s="170" t="s">
        <v>123</v>
      </c>
      <c r="AD327" s="126" t="s">
        <v>813</v>
      </c>
      <c r="AE327" s="130" t="s">
        <v>120</v>
      </c>
      <c r="AF327" s="127" t="s">
        <v>815</v>
      </c>
      <c r="AG327" s="131"/>
      <c r="AH327" s="131"/>
      <c r="AI327" s="126" t="s">
        <v>816</v>
      </c>
      <c r="AJ327" s="130" t="s">
        <v>120</v>
      </c>
      <c r="AK327" s="126" t="s">
        <v>240</v>
      </c>
      <c r="AL327" s="126" t="s">
        <v>814</v>
      </c>
      <c r="AM327" s="130"/>
      <c r="AN327" s="126"/>
      <c r="AO327" s="132"/>
      <c r="AP327" s="126"/>
      <c r="AQ327" s="126"/>
      <c r="AR327" s="130"/>
      <c r="AS327" s="126"/>
      <c r="AT327" s="127"/>
      <c r="AU327" s="127">
        <v>43453.3790876157</v>
      </c>
      <c r="AV327" s="127"/>
      <c r="AW327" s="127"/>
      <c r="AX327" s="127"/>
      <c r="AY327" s="127"/>
      <c r="AZ327" s="133">
        <v>43273</v>
      </c>
      <c r="BA32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7" s="135">
        <f>COUNTIFS(_05preva_view43[Site ID],_05preva_view43[[#This Row],[Site ID]],_05preva_view43[Prevalidation Status],"Under Prevalidation")</f>
        <v>0</v>
      </c>
      <c r="BC327" s="157" t="e">
        <f ca="1">HYPERLINK(CheckPath(_05preva_view43[[#This Row],[File Path]],_05preva_view43[[#This Row],[File Path]],_05preva_view43[[#This Row],[Folder Path3]]),CheckPath(_05preva_view43[[#This Row],[File Path]],"Open File","No File"))</f>
        <v>#VALUE!</v>
      </c>
      <c r="BD327" s="136" t="str">
        <f>CONCATENATE(_05preva_view43[[#This Row],[Site ID]]," (",_05preva_view43[[#This Row],[tenant id]],") Application",IF(_05preva_view43[[#This Row],[Colo Rev]]&gt;0," Rev "&amp;_05preva_view43[[#This Row],[Colo Rev]],""),".xlsx")</f>
        <v>AYYN_0419 (YGNKTDA015) Application.xlsx</v>
      </c>
      <c r="BE327" s="64" t="e">
        <f t="shared" ca="1" si="6"/>
        <v>#VALUE!</v>
      </c>
      <c r="BF327" s="104" t="e">
        <f ca="1">LEFT(CELL("filename",A312),_05preva_view43[[#This Row],[Find Process &amp; Database]]-1)</f>
        <v>#VALUE!</v>
      </c>
      <c r="BG327" s="104" t="e">
        <f ca="1">_05preva_view43[Folder Path1]&amp;"Process &amp; Database\Documentation\Colo Applications"</f>
        <v>#VALUE!</v>
      </c>
      <c r="BH327" s="104" t="e">
        <f ca="1">_05preva_view43[Folder Path2]&amp;"\Colo App "&amp;_05preva_view43[[#This Row],[Operator]]&amp;"\"</f>
        <v>#VALUE!</v>
      </c>
      <c r="BI327" s="63" t="e">
        <f ca="1">_05preva_view43[[#This Row],[Folder Path3]]&amp;_05preva_view43[[#This Row],[File Name]]</f>
        <v>#VALUE!</v>
      </c>
      <c r="BJ327" s="104"/>
      <c r="BK327" s="3"/>
      <c r="BL327" s="3"/>
      <c r="CJ327" s="5"/>
      <c r="CK327" s="5"/>
      <c r="CL327" s="3"/>
      <c r="CN327" s="5"/>
      <c r="CR327" s="3"/>
      <c r="CS327" s="3"/>
      <c r="CT327" s="5"/>
      <c r="CV327" s="3"/>
      <c r="DR327" s="5"/>
      <c r="DT327" s="3"/>
      <c r="EF327" s="7"/>
      <c r="EG327" s="7"/>
      <c r="EJ327" s="4"/>
      <c r="EK327" s="4"/>
      <c r="EU327" s="2"/>
      <c r="EV327" s="2"/>
    </row>
    <row r="328" spans="1:152">
      <c r="A328" s="125">
        <v>251</v>
      </c>
      <c r="B328" s="126" t="s">
        <v>817</v>
      </c>
      <c r="C328" s="126" t="s">
        <v>116</v>
      </c>
      <c r="D328" s="126" t="s">
        <v>163</v>
      </c>
      <c r="E328" s="126" t="s">
        <v>818</v>
      </c>
      <c r="F328" s="126" t="s">
        <v>34</v>
      </c>
      <c r="G328" s="126" t="s">
        <v>1574</v>
      </c>
      <c r="H328" s="126" t="s">
        <v>1575</v>
      </c>
      <c r="I328" s="126" t="s">
        <v>118</v>
      </c>
      <c r="J328" s="126"/>
      <c r="K328" s="127">
        <v>43267</v>
      </c>
      <c r="L328" s="128"/>
      <c r="M328" s="128">
        <v>2</v>
      </c>
      <c r="N328" s="126">
        <v>6</v>
      </c>
      <c r="O328" s="126" t="s">
        <v>119</v>
      </c>
      <c r="P328" s="129" t="s">
        <v>338</v>
      </c>
      <c r="Q328" s="129" t="s">
        <v>339</v>
      </c>
      <c r="R328" s="126" t="s">
        <v>24</v>
      </c>
      <c r="S328" s="126"/>
      <c r="T328" s="130" t="s">
        <v>120</v>
      </c>
      <c r="U328" s="126" t="s">
        <v>819</v>
      </c>
      <c r="V328" s="130" t="s">
        <v>120</v>
      </c>
      <c r="W328" s="126"/>
      <c r="X328" s="130" t="s">
        <v>120</v>
      </c>
      <c r="Y328" s="126" t="s">
        <v>120</v>
      </c>
      <c r="Z328" s="165" t="s">
        <v>120</v>
      </c>
      <c r="AA328" s="158"/>
      <c r="AB328" s="158"/>
      <c r="AC328" s="170" t="s">
        <v>123</v>
      </c>
      <c r="AD328" s="126"/>
      <c r="AE328" s="130" t="s">
        <v>120</v>
      </c>
      <c r="AF328" s="127" t="s">
        <v>695</v>
      </c>
      <c r="AG328" s="131"/>
      <c r="AH328" s="131">
        <v>2</v>
      </c>
      <c r="AI328" s="126" t="s">
        <v>820</v>
      </c>
      <c r="AJ328" s="130" t="s">
        <v>120</v>
      </c>
      <c r="AK328" s="126" t="s">
        <v>123</v>
      </c>
      <c r="AL328" s="126"/>
      <c r="AM328" s="130"/>
      <c r="AN328" s="126"/>
      <c r="AO328" s="132"/>
      <c r="AP328" s="126"/>
      <c r="AQ328" s="126"/>
      <c r="AR328" s="130"/>
      <c r="AS328" s="126"/>
      <c r="AT328" s="127">
        <v>43417.626841782403</v>
      </c>
      <c r="AU328" s="127">
        <v>43417.673045254603</v>
      </c>
      <c r="AV328" s="127">
        <v>43417.680086458298</v>
      </c>
      <c r="AW328" s="127">
        <v>43417.711250578701</v>
      </c>
      <c r="AX328" s="127">
        <v>43417.688152893497</v>
      </c>
      <c r="AY328" s="127">
        <v>43417.6845791667</v>
      </c>
      <c r="AZ328" s="133">
        <v>43454.726610648097</v>
      </c>
      <c r="BA328" s="134">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B328" s="135">
        <f>COUNTIFS(_05preva_view43[Site ID],_05preva_view43[[#This Row],[Site ID]],_05preva_view43[Prevalidation Status],"Under Prevalidation")</f>
        <v>0</v>
      </c>
      <c r="BC328" s="157" t="e">
        <f ca="1">HYPERLINK(CheckPath(_05preva_view43[[#This Row],[File Path]],_05preva_view43[[#This Row],[File Path]],_05preva_view43[[#This Row],[Folder Path3]]),CheckPath(_05preva_view43[[#This Row],[File Path]],"Open File","No File"))</f>
        <v>#VALUE!</v>
      </c>
      <c r="BD328" s="136" t="str">
        <f>CONCATENATE(_05preva_view43[[#This Row],[Site ID]]," (",_05preva_view43[[#This Row],[tenant id]],") Application",IF(_05preva_view43[[#This Row],[Colo Rev]]&gt;0," Rev "&amp;_05preva_view43[[#This Row],[Colo Rev]],""),".xlsx")</f>
        <v>AYYN_0100 (YGN0496) Application.xlsx</v>
      </c>
      <c r="BE328" s="64" t="e">
        <f t="shared" ca="1" si="6"/>
        <v>#VALUE!</v>
      </c>
      <c r="BF328" s="104" t="e">
        <f ca="1">LEFT(CELL("filename",A313),_05preva_view43[[#This Row],[Find Process &amp; Database]]-1)</f>
        <v>#VALUE!</v>
      </c>
      <c r="BG328" s="104" t="e">
        <f ca="1">_05preva_view43[Folder Path1]&amp;"Process &amp; Database\Documentation\Colo Applications"</f>
        <v>#VALUE!</v>
      </c>
      <c r="BH328" s="104" t="e">
        <f ca="1">_05preva_view43[Folder Path2]&amp;"\Colo App "&amp;_05preva_view43[[#This Row],[Operator]]&amp;"\"</f>
        <v>#VALUE!</v>
      </c>
      <c r="BI328" s="63" t="e">
        <f ca="1">_05preva_view43[[#This Row],[Folder Path3]]&amp;_05preva_view43[[#This Row],[File Name]]</f>
        <v>#VALUE!</v>
      </c>
      <c r="BJ328" s="104"/>
      <c r="BK328" s="3"/>
      <c r="BL328" s="3"/>
      <c r="CJ328" s="5"/>
      <c r="CK328" s="5"/>
      <c r="CL328" s="3"/>
      <c r="CN328" s="5"/>
      <c r="CR328" s="3"/>
      <c r="CS328" s="3"/>
      <c r="CT328" s="5"/>
      <c r="CV328" s="3"/>
      <c r="DR328" s="5"/>
      <c r="DT328" s="3"/>
      <c r="EF328" s="7"/>
      <c r="EG328" s="7"/>
      <c r="EJ328" s="4"/>
      <c r="EK328" s="4"/>
      <c r="EU328" s="2"/>
      <c r="EV328" s="2"/>
    </row>
    <row r="329" spans="1:152">
      <c r="A329" s="125">
        <v>244</v>
      </c>
      <c r="B329" s="126" t="s">
        <v>616</v>
      </c>
      <c r="C329" s="126" t="s">
        <v>116</v>
      </c>
      <c r="D329" s="126" t="s">
        <v>127</v>
      </c>
      <c r="E329" s="126" t="s">
        <v>792</v>
      </c>
      <c r="F329" s="126" t="s">
        <v>41</v>
      </c>
      <c r="G329" s="126" t="s">
        <v>1576</v>
      </c>
      <c r="H329" s="126" t="s">
        <v>1580</v>
      </c>
      <c r="I329" s="126" t="s">
        <v>118</v>
      </c>
      <c r="J329" s="126"/>
      <c r="K329" s="127">
        <v>43265</v>
      </c>
      <c r="L329" s="128"/>
      <c r="M329" s="128">
        <v>2</v>
      </c>
      <c r="N329" s="126">
        <v>5</v>
      </c>
      <c r="O329" s="126" t="s">
        <v>119</v>
      </c>
      <c r="P329" s="129" t="s">
        <v>793</v>
      </c>
      <c r="Q329" s="129" t="s">
        <v>794</v>
      </c>
      <c r="R329" s="126" t="s">
        <v>24</v>
      </c>
      <c r="S329" s="126" t="s">
        <v>795</v>
      </c>
      <c r="T329" s="130" t="s">
        <v>120</v>
      </c>
      <c r="U329" s="126" t="s">
        <v>796</v>
      </c>
      <c r="V329" s="130" t="s">
        <v>120</v>
      </c>
      <c r="W329" s="126"/>
      <c r="X329" s="130" t="s">
        <v>120</v>
      </c>
      <c r="Y329" s="126" t="s">
        <v>120</v>
      </c>
      <c r="Z329" s="165" t="s">
        <v>120</v>
      </c>
      <c r="AA329" s="158"/>
      <c r="AB329" s="158"/>
      <c r="AC329" s="170" t="s">
        <v>123</v>
      </c>
      <c r="AD329" s="126" t="s">
        <v>364</v>
      </c>
      <c r="AE329" s="130" t="s">
        <v>120</v>
      </c>
      <c r="AF329" s="127" t="s">
        <v>618</v>
      </c>
      <c r="AG329" s="131"/>
      <c r="AH329" s="131">
        <v>2</v>
      </c>
      <c r="AI329" s="126" t="s">
        <v>512</v>
      </c>
      <c r="AJ329" s="130"/>
      <c r="AK329" s="126"/>
      <c r="AL329" s="126"/>
      <c r="AM329" s="130"/>
      <c r="AN329" s="126"/>
      <c r="AO329" s="132"/>
      <c r="AP329" s="126"/>
      <c r="AQ329" s="126"/>
      <c r="AR329" s="130"/>
      <c r="AS329" s="126"/>
      <c r="AT329" s="127"/>
      <c r="AU329" s="127">
        <v>43453.379085185203</v>
      </c>
      <c r="AV329" s="127"/>
      <c r="AW329" s="127"/>
      <c r="AX329" s="127"/>
      <c r="AY329" s="127"/>
      <c r="AZ329" s="133">
        <v>43265</v>
      </c>
      <c r="BA32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9" s="135">
        <f>COUNTIFS(_05preva_view43[Site ID],_05preva_view43[[#This Row],[Site ID]],_05preva_view43[Prevalidation Status],"Under Prevalidation")</f>
        <v>0</v>
      </c>
      <c r="BC329" s="157" t="e">
        <f ca="1">HYPERLINK(CheckPath(_05preva_view43[[#This Row],[File Path]],_05preva_view43[[#This Row],[File Path]],_05preva_view43[[#This Row],[Folder Path3]]),CheckPath(_05preva_view43[[#This Row],[File Path]],"Open File","No File"))</f>
        <v>#VALUE!</v>
      </c>
      <c r="BD329" s="136" t="str">
        <f>CONCATENATE(_05preva_view43[[#This Row],[Site ID]]," (",_05preva_view43[[#This Row],[tenant id]],") Application",IF(_05preva_view43[[#This Row],[Colo Rev]]&gt;0," Rev "&amp;_05preva_view43[[#This Row],[Colo Rev]],""),".xlsx")</f>
        <v>ANMD_0118 (MDYMHAM042) Application.xlsx</v>
      </c>
      <c r="BE329" s="64" t="e">
        <f t="shared" ca="1" si="6"/>
        <v>#VALUE!</v>
      </c>
      <c r="BF329" s="104" t="e">
        <f ca="1">LEFT(CELL("filename",A314),_05preva_view43[[#This Row],[Find Process &amp; Database]]-1)</f>
        <v>#VALUE!</v>
      </c>
      <c r="BG329" s="104" t="e">
        <f ca="1">_05preva_view43[Folder Path1]&amp;"Process &amp; Database\Documentation\Colo Applications"</f>
        <v>#VALUE!</v>
      </c>
      <c r="BH329" s="104" t="e">
        <f ca="1">_05preva_view43[Folder Path2]&amp;"\Colo App "&amp;_05preva_view43[[#This Row],[Operator]]&amp;"\"</f>
        <v>#VALUE!</v>
      </c>
      <c r="BI329" s="63" t="e">
        <f ca="1">_05preva_view43[[#This Row],[Folder Path3]]&amp;_05preva_view43[[#This Row],[File Name]]</f>
        <v>#VALUE!</v>
      </c>
      <c r="BJ329" s="104"/>
      <c r="BK329" s="3"/>
      <c r="BL329" s="3"/>
      <c r="CJ329" s="5"/>
      <c r="CK329" s="5"/>
      <c r="CL329" s="3"/>
      <c r="CN329" s="5"/>
      <c r="CR329" s="3"/>
      <c r="CS329" s="3"/>
      <c r="CT329" s="5"/>
      <c r="CV329" s="3"/>
      <c r="DR329" s="5"/>
      <c r="DT329" s="3"/>
      <c r="EF329" s="7"/>
      <c r="EG329" s="7"/>
      <c r="EJ329" s="4"/>
      <c r="EK329" s="4"/>
      <c r="EU329" s="2"/>
      <c r="EV329" s="2"/>
    </row>
    <row r="330" spans="1:152">
      <c r="A330" s="125">
        <v>242</v>
      </c>
      <c r="B330" s="126" t="s">
        <v>786</v>
      </c>
      <c r="C330" s="126" t="s">
        <v>116</v>
      </c>
      <c r="D330" s="126" t="s">
        <v>127</v>
      </c>
      <c r="E330" s="126" t="s">
        <v>787</v>
      </c>
      <c r="F330" s="126" t="s">
        <v>41</v>
      </c>
      <c r="G330" s="126" t="s">
        <v>118</v>
      </c>
      <c r="H330" s="126"/>
      <c r="I330" s="126" t="s">
        <v>118</v>
      </c>
      <c r="J330" s="126"/>
      <c r="K330" s="127">
        <v>43263</v>
      </c>
      <c r="L330" s="128"/>
      <c r="M330" s="128">
        <v>2</v>
      </c>
      <c r="N330" s="126">
        <v>5</v>
      </c>
      <c r="O330" s="126" t="s">
        <v>119</v>
      </c>
      <c r="P330" s="129" t="s">
        <v>285</v>
      </c>
      <c r="Q330" s="129" t="s">
        <v>263</v>
      </c>
      <c r="R330" s="126" t="s">
        <v>24</v>
      </c>
      <c r="S330" s="126" t="s">
        <v>788</v>
      </c>
      <c r="T330" s="130" t="s">
        <v>120</v>
      </c>
      <c r="U330" s="126" t="s">
        <v>789</v>
      </c>
      <c r="V330" s="130" t="s">
        <v>120</v>
      </c>
      <c r="W330" s="126"/>
      <c r="X330" s="130" t="s">
        <v>120</v>
      </c>
      <c r="Y330" s="126" t="s">
        <v>120</v>
      </c>
      <c r="Z330" s="165" t="s">
        <v>120</v>
      </c>
      <c r="AA330" s="158"/>
      <c r="AB330" s="158"/>
      <c r="AC330" s="170" t="s">
        <v>123</v>
      </c>
      <c r="AD330" s="126" t="s">
        <v>364</v>
      </c>
      <c r="AE330" s="130" t="s">
        <v>120</v>
      </c>
      <c r="AF330" s="127" t="s">
        <v>790</v>
      </c>
      <c r="AG330" s="131"/>
      <c r="AH330" s="131"/>
      <c r="AI330" s="126" t="s">
        <v>791</v>
      </c>
      <c r="AJ330" s="130"/>
      <c r="AK330" s="126"/>
      <c r="AL330" s="126"/>
      <c r="AM330" s="130"/>
      <c r="AN330" s="126"/>
      <c r="AO330" s="132"/>
      <c r="AP330" s="126"/>
      <c r="AQ330" s="126"/>
      <c r="AR330" s="130"/>
      <c r="AS330" s="126"/>
      <c r="AT330" s="127"/>
      <c r="AU330" s="127">
        <v>43453.379084490698</v>
      </c>
      <c r="AV330" s="127"/>
      <c r="AW330" s="127"/>
      <c r="AX330" s="127"/>
      <c r="AY330" s="127"/>
      <c r="AZ330" s="133">
        <v>43263</v>
      </c>
      <c r="BA33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0" s="135">
        <f>COUNTIFS(_05preva_view43[Site ID],_05preva_view43[[#This Row],[Site ID]],_05preva_view43[Prevalidation Status],"Under Prevalidation")</f>
        <v>0</v>
      </c>
      <c r="BC330" s="157" t="e">
        <f ca="1">HYPERLINK(CheckPath(_05preva_view43[[#This Row],[File Path]],_05preva_view43[[#This Row],[File Path]],_05preva_view43[[#This Row],[Folder Path3]]),CheckPath(_05preva_view43[[#This Row],[File Path]],"Open File","No File"))</f>
        <v>#VALUE!</v>
      </c>
      <c r="BD330" s="136" t="str">
        <f>CONCATENATE(_05preva_view43[[#This Row],[Site ID]]," (",_05preva_view43[[#This Row],[tenant id]],") Application",IF(_05preva_view43[[#This Row],[Colo Rev]]&gt;0," Rev "&amp;_05preva_view43[[#This Row],[Colo Rev]],""),".xlsx")</f>
        <v>ANMD_0089 (MDYCMTN019_2) Application.xlsx</v>
      </c>
      <c r="BE330" s="64" t="e">
        <f t="shared" ca="1" si="6"/>
        <v>#VALUE!</v>
      </c>
      <c r="BF330" s="104" t="e">
        <f ca="1">LEFT(CELL("filename",A315),_05preva_view43[[#This Row],[Find Process &amp; Database]]-1)</f>
        <v>#VALUE!</v>
      </c>
      <c r="BG330" s="104" t="e">
        <f ca="1">_05preva_view43[Folder Path1]&amp;"Process &amp; Database\Documentation\Colo Applications"</f>
        <v>#VALUE!</v>
      </c>
      <c r="BH330" s="104" t="e">
        <f ca="1">_05preva_view43[Folder Path2]&amp;"\Colo App "&amp;_05preva_view43[[#This Row],[Operator]]&amp;"\"</f>
        <v>#VALUE!</v>
      </c>
      <c r="BI330" s="63" t="e">
        <f ca="1">_05preva_view43[[#This Row],[Folder Path3]]&amp;_05preva_view43[[#This Row],[File Name]]</f>
        <v>#VALUE!</v>
      </c>
      <c r="BJ330" s="104"/>
      <c r="BK330" s="3"/>
      <c r="BL330" s="3"/>
      <c r="CJ330" s="5"/>
      <c r="CK330" s="5"/>
      <c r="CL330" s="3"/>
      <c r="CN330" s="5"/>
      <c r="CR330" s="3"/>
      <c r="CS330" s="3"/>
      <c r="CT330" s="5"/>
      <c r="CV330" s="3"/>
      <c r="DR330" s="5"/>
      <c r="DT330" s="3"/>
      <c r="EF330" s="7"/>
      <c r="EG330" s="7"/>
      <c r="EJ330" s="4"/>
      <c r="EK330" s="4"/>
      <c r="EU330" s="2"/>
      <c r="EV330" s="2"/>
    </row>
    <row r="331" spans="1:152">
      <c r="A331" s="125">
        <v>239</v>
      </c>
      <c r="B331" s="126" t="s">
        <v>780</v>
      </c>
      <c r="C331" s="126" t="s">
        <v>116</v>
      </c>
      <c r="D331" s="126" t="s">
        <v>117</v>
      </c>
      <c r="E331" s="126" t="s">
        <v>781</v>
      </c>
      <c r="F331" s="126" t="s">
        <v>40</v>
      </c>
      <c r="G331" s="126" t="s">
        <v>118</v>
      </c>
      <c r="H331" s="126"/>
      <c r="I331" s="126" t="s">
        <v>118</v>
      </c>
      <c r="J331" s="126"/>
      <c r="K331" s="127">
        <v>43257</v>
      </c>
      <c r="L331" s="128"/>
      <c r="M331" s="128">
        <v>3</v>
      </c>
      <c r="N331" s="126">
        <v>6</v>
      </c>
      <c r="O331" s="126" t="s">
        <v>119</v>
      </c>
      <c r="P331" s="129"/>
      <c r="Q331" s="129"/>
      <c r="R331" s="126" t="s">
        <v>24</v>
      </c>
      <c r="S331" s="126"/>
      <c r="T331" s="130" t="s">
        <v>120</v>
      </c>
      <c r="U331" s="126" t="s">
        <v>782</v>
      </c>
      <c r="V331" s="130" t="s">
        <v>120</v>
      </c>
      <c r="W331" s="126"/>
      <c r="X331" s="130" t="s">
        <v>120</v>
      </c>
      <c r="Y331" s="126" t="s">
        <v>404</v>
      </c>
      <c r="Z331" s="165" t="s">
        <v>120</v>
      </c>
      <c r="AA331" s="158"/>
      <c r="AB331" s="158"/>
      <c r="AC331" s="170" t="s">
        <v>123</v>
      </c>
      <c r="AD331" s="126" t="s">
        <v>409</v>
      </c>
      <c r="AE331" s="130" t="s">
        <v>125</v>
      </c>
      <c r="AF331" s="127"/>
      <c r="AG331" s="131"/>
      <c r="AH331" s="131"/>
      <c r="AI331" s="126" t="s">
        <v>533</v>
      </c>
      <c r="AJ331" s="130" t="s">
        <v>120</v>
      </c>
      <c r="AK331" s="126" t="s">
        <v>123</v>
      </c>
      <c r="AL331" s="126" t="s">
        <v>783</v>
      </c>
      <c r="AM331" s="130"/>
      <c r="AN331" s="126"/>
      <c r="AO331" s="132"/>
      <c r="AP331" s="126"/>
      <c r="AQ331" s="126"/>
      <c r="AR331" s="130"/>
      <c r="AS331" s="126"/>
      <c r="AT331" s="127"/>
      <c r="AU331" s="127"/>
      <c r="AV331" s="127"/>
      <c r="AW331" s="127"/>
      <c r="AX331" s="127"/>
      <c r="AY331" s="127"/>
      <c r="AZ331" s="133"/>
      <c r="BA33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1" s="135">
        <f>COUNTIFS(_05preva_view43[Site ID],_05preva_view43[[#This Row],[Site ID]],_05preva_view43[Prevalidation Status],"Under Prevalidation")</f>
        <v>0</v>
      </c>
      <c r="BC331" s="157" t="e">
        <f ca="1">HYPERLINK(CheckPath(_05preva_view43[[#This Row],[File Path]],_05preva_view43[[#This Row],[File Path]],_05preva_view43[[#This Row],[Folder Path3]]),CheckPath(_05preva_view43[[#This Row],[File Path]],"Open File","No File"))</f>
        <v>#VALUE!</v>
      </c>
      <c r="BD331" s="136" t="str">
        <f>CONCATENATE(_05preva_view43[[#This Row],[Site ID]]," (",_05preva_view43[[#This Row],[tenant id]],") Application",IF(_05preva_view43[[#This Row],[Colo Rev]]&gt;0," Rev "&amp;_05preva_view43[[#This Row],[Colo Rev]],""),".xlsx")</f>
        <v>ANMG_0011 (MWW3525) Application.xlsx</v>
      </c>
      <c r="BE331" s="64" t="e">
        <f t="shared" ca="1" si="6"/>
        <v>#VALUE!</v>
      </c>
      <c r="BF331" s="104" t="e">
        <f ca="1">LEFT(CELL("filename",A316),_05preva_view43[[#This Row],[Find Process &amp; Database]]-1)</f>
        <v>#VALUE!</v>
      </c>
      <c r="BG331" s="104" t="e">
        <f ca="1">_05preva_view43[Folder Path1]&amp;"Process &amp; Database\Documentation\Colo Applications"</f>
        <v>#VALUE!</v>
      </c>
      <c r="BH331" s="104" t="e">
        <f ca="1">_05preva_view43[Folder Path2]&amp;"\Colo App "&amp;_05preva_view43[[#This Row],[Operator]]&amp;"\"</f>
        <v>#VALUE!</v>
      </c>
      <c r="BI331" s="63" t="e">
        <f ca="1">_05preva_view43[[#This Row],[Folder Path3]]&amp;_05preva_view43[[#This Row],[File Name]]</f>
        <v>#VALUE!</v>
      </c>
      <c r="BJ331" s="104"/>
      <c r="BK331" s="3"/>
      <c r="BL331" s="3"/>
      <c r="CJ331" s="5"/>
      <c r="CK331" s="5"/>
      <c r="CL331" s="3"/>
      <c r="CN331" s="5"/>
      <c r="CR331" s="3"/>
      <c r="CS331" s="3"/>
      <c r="CT331" s="5"/>
      <c r="CV331" s="3"/>
      <c r="DR331" s="5"/>
      <c r="DT331" s="3"/>
      <c r="EF331" s="7"/>
      <c r="EG331" s="7"/>
      <c r="EJ331" s="4"/>
      <c r="EK331" s="4"/>
      <c r="EU331" s="2"/>
      <c r="EV331" s="2"/>
    </row>
    <row r="332" spans="1:152">
      <c r="A332" s="125">
        <v>240</v>
      </c>
      <c r="B332" s="126" t="s">
        <v>784</v>
      </c>
      <c r="C332" s="126" t="s">
        <v>116</v>
      </c>
      <c r="D332" s="126" t="s">
        <v>117</v>
      </c>
      <c r="E332" s="126" t="s">
        <v>785</v>
      </c>
      <c r="F332" s="126" t="s">
        <v>40</v>
      </c>
      <c r="G332" s="126" t="s">
        <v>1579</v>
      </c>
      <c r="H332" s="126" t="s">
        <v>1580</v>
      </c>
      <c r="I332" s="126" t="s">
        <v>118</v>
      </c>
      <c r="J332" s="126"/>
      <c r="K332" s="127">
        <v>43257</v>
      </c>
      <c r="L332" s="128"/>
      <c r="M332" s="128">
        <v>3</v>
      </c>
      <c r="N332" s="126">
        <v>6</v>
      </c>
      <c r="O332" s="126" t="s">
        <v>119</v>
      </c>
      <c r="P332" s="129"/>
      <c r="Q332" s="129"/>
      <c r="R332" s="126" t="s">
        <v>24</v>
      </c>
      <c r="S332" s="126"/>
      <c r="T332" s="130" t="s">
        <v>120</v>
      </c>
      <c r="U332" s="126" t="s">
        <v>782</v>
      </c>
      <c r="V332" s="130" t="s">
        <v>125</v>
      </c>
      <c r="W332" s="126" t="s">
        <v>246</v>
      </c>
      <c r="X332" s="130" t="s">
        <v>120</v>
      </c>
      <c r="Y332" s="126" t="s">
        <v>404</v>
      </c>
      <c r="Z332" s="165" t="s">
        <v>120</v>
      </c>
      <c r="AA332" s="158"/>
      <c r="AB332" s="158"/>
      <c r="AC332" s="170" t="s">
        <v>123</v>
      </c>
      <c r="AD332" s="126" t="s">
        <v>409</v>
      </c>
      <c r="AE332" s="130" t="s">
        <v>125</v>
      </c>
      <c r="AF332" s="127"/>
      <c r="AG332" s="131"/>
      <c r="AH332" s="131"/>
      <c r="AI332" s="126" t="s">
        <v>440</v>
      </c>
      <c r="AJ332" s="130" t="s">
        <v>120</v>
      </c>
      <c r="AK332" s="126" t="s">
        <v>123</v>
      </c>
      <c r="AL332" s="126" t="s">
        <v>777</v>
      </c>
      <c r="AM332" s="130"/>
      <c r="AN332" s="126"/>
      <c r="AO332" s="132"/>
      <c r="AP332" s="126"/>
      <c r="AQ332" s="126"/>
      <c r="AR332" s="130"/>
      <c r="AS332" s="126"/>
      <c r="AT332" s="127"/>
      <c r="AU332" s="127"/>
      <c r="AV332" s="127"/>
      <c r="AW332" s="127"/>
      <c r="AX332" s="127"/>
      <c r="AY332" s="127"/>
      <c r="AZ332" s="133"/>
      <c r="BA33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2" s="135">
        <f>COUNTIFS(_05preva_view43[Site ID],_05preva_view43[[#This Row],[Site ID]],_05preva_view43[Prevalidation Status],"Under Prevalidation")</f>
        <v>0</v>
      </c>
      <c r="BC332" s="157" t="e">
        <f ca="1">HYPERLINK(CheckPath(_05preva_view43[[#This Row],[File Path]],_05preva_view43[[#This Row],[File Path]],_05preva_view43[[#This Row],[Folder Path3]]),CheckPath(_05preva_view43[[#This Row],[File Path]],"Open File","No File"))</f>
        <v>#VALUE!</v>
      </c>
      <c r="BD332" s="136" t="str">
        <f>CONCATENATE(_05preva_view43[[#This Row],[Site ID]]," (",_05preva_view43[[#This Row],[tenant id]],") Application",IF(_05preva_view43[[#This Row],[Colo Rev]]&gt;0," Rev "&amp;_05preva_view43[[#This Row],[Colo Rev]],""),".xlsx")</f>
        <v>ANMG_0113 (MWW3516) Application.xlsx</v>
      </c>
      <c r="BE332" s="64" t="e">
        <f t="shared" ca="1" si="6"/>
        <v>#VALUE!</v>
      </c>
      <c r="BF332" s="104" t="e">
        <f ca="1">LEFT(CELL("filename",A317),_05preva_view43[[#This Row],[Find Process &amp; Database]]-1)</f>
        <v>#VALUE!</v>
      </c>
      <c r="BG332" s="104" t="e">
        <f ca="1">_05preva_view43[Folder Path1]&amp;"Process &amp; Database\Documentation\Colo Applications"</f>
        <v>#VALUE!</v>
      </c>
      <c r="BH332" s="104" t="e">
        <f ca="1">_05preva_view43[Folder Path2]&amp;"\Colo App "&amp;_05preva_view43[[#This Row],[Operator]]&amp;"\"</f>
        <v>#VALUE!</v>
      </c>
      <c r="BI332" s="63" t="e">
        <f ca="1">_05preva_view43[[#This Row],[Folder Path3]]&amp;_05preva_view43[[#This Row],[File Name]]</f>
        <v>#VALUE!</v>
      </c>
      <c r="BJ332" s="104"/>
      <c r="BK332" s="3"/>
      <c r="BL332" s="3"/>
      <c r="CJ332" s="5"/>
      <c r="CK332" s="5"/>
      <c r="CL332" s="3"/>
      <c r="CN332" s="5"/>
      <c r="CR332" s="3"/>
      <c r="CS332" s="3"/>
      <c r="CT332" s="5"/>
      <c r="CV332" s="3"/>
      <c r="DR332" s="5"/>
      <c r="DT332" s="3"/>
      <c r="EF332" s="7"/>
      <c r="EG332" s="7"/>
      <c r="EJ332" s="4"/>
      <c r="EK332" s="4"/>
      <c r="EU332" s="2"/>
      <c r="EV332" s="2"/>
    </row>
    <row r="333" spans="1:152">
      <c r="A333" s="125">
        <v>241</v>
      </c>
      <c r="B333" s="126" t="s">
        <v>400</v>
      </c>
      <c r="C333" s="126" t="s">
        <v>116</v>
      </c>
      <c r="D333" s="126" t="s">
        <v>163</v>
      </c>
      <c r="E333" s="126" t="s">
        <v>401</v>
      </c>
      <c r="F333" s="126" t="s">
        <v>40</v>
      </c>
      <c r="G333" s="126" t="s">
        <v>118</v>
      </c>
      <c r="H333" s="126"/>
      <c r="I333" s="126" t="s">
        <v>118</v>
      </c>
      <c r="J333" s="126"/>
      <c r="K333" s="127">
        <v>43257</v>
      </c>
      <c r="L333" s="128"/>
      <c r="M333" s="128">
        <v>3</v>
      </c>
      <c r="N333" s="126">
        <v>6</v>
      </c>
      <c r="O333" s="126" t="s">
        <v>119</v>
      </c>
      <c r="P333" s="129"/>
      <c r="Q333" s="129"/>
      <c r="R333" s="126" t="s">
        <v>24</v>
      </c>
      <c r="S333" s="126"/>
      <c r="T333" s="130" t="s">
        <v>120</v>
      </c>
      <c r="U333" s="126" t="s">
        <v>782</v>
      </c>
      <c r="V333" s="130" t="s">
        <v>120</v>
      </c>
      <c r="W333" s="126"/>
      <c r="X333" s="130" t="s">
        <v>120</v>
      </c>
      <c r="Y333" s="126" t="s">
        <v>404</v>
      </c>
      <c r="Z333" s="165" t="s">
        <v>120</v>
      </c>
      <c r="AA333" s="158"/>
      <c r="AB333" s="158"/>
      <c r="AC333" s="170" t="s">
        <v>123</v>
      </c>
      <c r="AD333" s="126" t="s">
        <v>409</v>
      </c>
      <c r="AE333" s="130" t="s">
        <v>125</v>
      </c>
      <c r="AF333" s="127"/>
      <c r="AG333" s="131"/>
      <c r="AH333" s="131"/>
      <c r="AI333" s="126" t="s">
        <v>681</v>
      </c>
      <c r="AJ333" s="130" t="s">
        <v>120</v>
      </c>
      <c r="AK333" s="126" t="s">
        <v>123</v>
      </c>
      <c r="AL333" s="126"/>
      <c r="AM333" s="130"/>
      <c r="AN333" s="126"/>
      <c r="AO333" s="132"/>
      <c r="AP333" s="126"/>
      <c r="AQ333" s="126"/>
      <c r="AR333" s="130"/>
      <c r="AS333" s="126"/>
      <c r="AT333" s="127"/>
      <c r="AU333" s="127"/>
      <c r="AV333" s="127"/>
      <c r="AW333" s="127"/>
      <c r="AX333" s="127"/>
      <c r="AY333" s="127"/>
      <c r="AZ333" s="133"/>
      <c r="BA33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3" s="135">
        <f>COUNTIFS(_05preva_view43[Site ID],_05preva_view43[[#This Row],[Site ID]],_05preva_view43[Prevalidation Status],"Under Prevalidation")</f>
        <v>0</v>
      </c>
      <c r="BC333" s="157" t="e">
        <f ca="1">HYPERLINK(CheckPath(_05preva_view43[[#This Row],[File Path]],_05preva_view43[[#This Row],[File Path]],_05preva_view43[[#This Row],[Folder Path3]]),CheckPath(_05preva_view43[[#This Row],[File Path]],"Open File","No File"))</f>
        <v>#VALUE!</v>
      </c>
      <c r="BD333" s="136" t="str">
        <f>CONCATENATE(_05preva_view43[[#This Row],[Site ID]]," (",_05preva_view43[[#This Row],[tenant id]],") Application",IF(_05preva_view43[[#This Row],[Colo Rev]]&gt;0," Rev "&amp;_05preva_view43[[#This Row],[Colo Rev]],""),".xlsx")</f>
        <v>AYYN_0517 (YAW7769) Application.xlsx</v>
      </c>
      <c r="BE333" s="64" t="e">
        <f t="shared" ca="1" si="6"/>
        <v>#VALUE!</v>
      </c>
      <c r="BF333" s="104" t="e">
        <f ca="1">LEFT(CELL("filename",A318),_05preva_view43[[#This Row],[Find Process &amp; Database]]-1)</f>
        <v>#VALUE!</v>
      </c>
      <c r="BG333" s="104" t="e">
        <f ca="1">_05preva_view43[Folder Path1]&amp;"Process &amp; Database\Documentation\Colo Applications"</f>
        <v>#VALUE!</v>
      </c>
      <c r="BH333" s="104" t="e">
        <f ca="1">_05preva_view43[Folder Path2]&amp;"\Colo App "&amp;_05preva_view43[[#This Row],[Operator]]&amp;"\"</f>
        <v>#VALUE!</v>
      </c>
      <c r="BI333" s="63" t="e">
        <f ca="1">_05preva_view43[[#This Row],[Folder Path3]]&amp;_05preva_view43[[#This Row],[File Name]]</f>
        <v>#VALUE!</v>
      </c>
      <c r="BJ333" s="104"/>
      <c r="BK333" s="3"/>
      <c r="BL333" s="3"/>
      <c r="CJ333" s="5"/>
      <c r="CK333" s="5"/>
      <c r="CL333" s="3"/>
      <c r="CN333" s="5"/>
      <c r="CR333" s="3"/>
      <c r="CS333" s="3"/>
      <c r="CT333" s="5"/>
      <c r="CV333" s="3"/>
      <c r="DR333" s="5"/>
      <c r="DT333" s="3"/>
      <c r="EF333" s="7"/>
      <c r="EG333" s="7"/>
      <c r="EJ333" s="4"/>
      <c r="EK333" s="4"/>
      <c r="EU333" s="2"/>
      <c r="EV333" s="2"/>
    </row>
    <row r="334" spans="1:152">
      <c r="A334" s="125">
        <v>225</v>
      </c>
      <c r="B334" s="126" t="s">
        <v>734</v>
      </c>
      <c r="C334" s="126" t="s">
        <v>116</v>
      </c>
      <c r="D334" s="126" t="s">
        <v>127</v>
      </c>
      <c r="E334" s="126" t="s">
        <v>735</v>
      </c>
      <c r="F334" s="126" t="s">
        <v>41</v>
      </c>
      <c r="G334" s="126" t="s">
        <v>1576</v>
      </c>
      <c r="H334" s="126" t="s">
        <v>1580</v>
      </c>
      <c r="I334" s="126" t="s">
        <v>118</v>
      </c>
      <c r="J334" s="126"/>
      <c r="K334" s="127">
        <v>43250</v>
      </c>
      <c r="L334" s="128"/>
      <c r="M334" s="128">
        <v>2</v>
      </c>
      <c r="N334" s="126">
        <v>3</v>
      </c>
      <c r="O334" s="126" t="s">
        <v>119</v>
      </c>
      <c r="P334" s="129" t="s">
        <v>338</v>
      </c>
      <c r="Q334" s="129" t="s">
        <v>736</v>
      </c>
      <c r="R334" s="126" t="s">
        <v>24</v>
      </c>
      <c r="S334" s="126" t="s">
        <v>737</v>
      </c>
      <c r="T334" s="130" t="s">
        <v>120</v>
      </c>
      <c r="U334" s="126" t="s">
        <v>738</v>
      </c>
      <c r="V334" s="130" t="s">
        <v>120</v>
      </c>
      <c r="W334" s="126" t="s">
        <v>740</v>
      </c>
      <c r="X334" s="130" t="s">
        <v>120</v>
      </c>
      <c r="Y334" s="126" t="s">
        <v>120</v>
      </c>
      <c r="Z334" s="165" t="s">
        <v>120</v>
      </c>
      <c r="AA334" s="158"/>
      <c r="AB334" s="158"/>
      <c r="AC334" s="170" t="s">
        <v>123</v>
      </c>
      <c r="AD334" s="126" t="s">
        <v>364</v>
      </c>
      <c r="AE334" s="130" t="s">
        <v>265</v>
      </c>
      <c r="AF334" s="127"/>
      <c r="AG334" s="131"/>
      <c r="AH334" s="131"/>
      <c r="AI334" s="126" t="s">
        <v>739</v>
      </c>
      <c r="AJ334" s="130"/>
      <c r="AK334" s="126"/>
      <c r="AL334" s="126"/>
      <c r="AM334" s="130"/>
      <c r="AN334" s="126"/>
      <c r="AO334" s="132"/>
      <c r="AP334" s="126"/>
      <c r="AQ334" s="126"/>
      <c r="AR334" s="130"/>
      <c r="AS334" s="126"/>
      <c r="AT334" s="127"/>
      <c r="AU334" s="127">
        <v>43453.379072685202</v>
      </c>
      <c r="AV334" s="127"/>
      <c r="AW334" s="127"/>
      <c r="AX334" s="127"/>
      <c r="AY334" s="127"/>
      <c r="AZ334" s="133">
        <v>43250</v>
      </c>
      <c r="BA33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4" s="135">
        <f>COUNTIFS(_05preva_view43[Site ID],_05preva_view43[[#This Row],[Site ID]],_05preva_view43[Prevalidation Status],"Under Prevalidation")</f>
        <v>0</v>
      </c>
      <c r="BC334" s="157" t="e">
        <f ca="1">HYPERLINK(CheckPath(_05preva_view43[[#This Row],[File Path]],_05preva_view43[[#This Row],[File Path]],_05preva_view43[[#This Row],[Folder Path3]]),CheckPath(_05preva_view43[[#This Row],[File Path]],"Open File","No File"))</f>
        <v>#VALUE!</v>
      </c>
      <c r="BD334" s="136" t="str">
        <f>CONCATENATE(_05preva_view43[[#This Row],[Site ID]]," (",_05preva_view43[[#This Row],[tenant id]],") Application",IF(_05preva_view43[[#This Row],[Colo Rev]]&gt;0," Rev "&amp;_05preva_view43[[#This Row],[Colo Rev]],""),".xlsx")</f>
        <v>ANMD_0091 (MDYCMTN004) Application.xlsx</v>
      </c>
      <c r="BE334" s="64" t="e">
        <f t="shared" ca="1" si="6"/>
        <v>#VALUE!</v>
      </c>
      <c r="BF334" s="104" t="e">
        <f ca="1">LEFT(CELL("filename",A319),_05preva_view43[[#This Row],[Find Process &amp; Database]]-1)</f>
        <v>#VALUE!</v>
      </c>
      <c r="BG334" s="104" t="e">
        <f ca="1">_05preva_view43[Folder Path1]&amp;"Process &amp; Database\Documentation\Colo Applications"</f>
        <v>#VALUE!</v>
      </c>
      <c r="BH334" s="104" t="e">
        <f ca="1">_05preva_view43[Folder Path2]&amp;"\Colo App "&amp;_05preva_view43[[#This Row],[Operator]]&amp;"\"</f>
        <v>#VALUE!</v>
      </c>
      <c r="BI334" s="63" t="e">
        <f ca="1">_05preva_view43[[#This Row],[Folder Path3]]&amp;_05preva_view43[[#This Row],[File Name]]</f>
        <v>#VALUE!</v>
      </c>
      <c r="BJ334" s="104"/>
      <c r="BK334" s="3"/>
      <c r="BL334" s="3"/>
      <c r="CJ334" s="5"/>
      <c r="CK334" s="5"/>
      <c r="CL334" s="3"/>
      <c r="CN334" s="5"/>
      <c r="CR334" s="3"/>
      <c r="CS334" s="3"/>
      <c r="CT334" s="5"/>
      <c r="CV334" s="3"/>
      <c r="DR334" s="5"/>
      <c r="DT334" s="3"/>
      <c r="EF334" s="7"/>
      <c r="EG334" s="7"/>
      <c r="EJ334" s="4"/>
      <c r="EK334" s="4"/>
      <c r="EU334" s="2"/>
      <c r="EV334" s="2"/>
    </row>
    <row r="335" spans="1:152">
      <c r="A335" s="125">
        <v>226</v>
      </c>
      <c r="B335" s="126" t="s">
        <v>741</v>
      </c>
      <c r="C335" s="126" t="s">
        <v>116</v>
      </c>
      <c r="D335" s="126" t="s">
        <v>127</v>
      </c>
      <c r="E335" s="126" t="s">
        <v>742</v>
      </c>
      <c r="F335" s="126" t="s">
        <v>41</v>
      </c>
      <c r="G335" s="126" t="s">
        <v>118</v>
      </c>
      <c r="H335" s="126"/>
      <c r="I335" s="126" t="s">
        <v>118</v>
      </c>
      <c r="J335" s="126"/>
      <c r="K335" s="127">
        <v>43250</v>
      </c>
      <c r="L335" s="128"/>
      <c r="M335" s="128">
        <v>2</v>
      </c>
      <c r="N335" s="126">
        <v>3</v>
      </c>
      <c r="O335" s="126" t="s">
        <v>119</v>
      </c>
      <c r="P335" s="129" t="s">
        <v>338</v>
      </c>
      <c r="Q335" s="129" t="s">
        <v>736</v>
      </c>
      <c r="R335" s="126" t="s">
        <v>26</v>
      </c>
      <c r="S335" s="126"/>
      <c r="T335" s="130" t="s">
        <v>144</v>
      </c>
      <c r="U335" s="126" t="s">
        <v>743</v>
      </c>
      <c r="V335" s="130" t="s">
        <v>120</v>
      </c>
      <c r="W335" s="126"/>
      <c r="X335" s="130" t="s">
        <v>120</v>
      </c>
      <c r="Y335" s="126" t="s">
        <v>120</v>
      </c>
      <c r="Z335" s="165" t="s">
        <v>120</v>
      </c>
      <c r="AA335" s="158"/>
      <c r="AB335" s="158"/>
      <c r="AC335" s="170" t="s">
        <v>123</v>
      </c>
      <c r="AD335" s="126" t="s">
        <v>364</v>
      </c>
      <c r="AE335" s="130"/>
      <c r="AF335" s="127"/>
      <c r="AG335" s="131"/>
      <c r="AH335" s="131"/>
      <c r="AI335" s="126" t="s">
        <v>744</v>
      </c>
      <c r="AJ335" s="130"/>
      <c r="AK335" s="126"/>
      <c r="AL335" s="126"/>
      <c r="AM335" s="130"/>
      <c r="AN335" s="126"/>
      <c r="AO335" s="132"/>
      <c r="AP335" s="126"/>
      <c r="AQ335" s="126"/>
      <c r="AR335" s="130"/>
      <c r="AS335" s="126"/>
      <c r="AT335" s="127"/>
      <c r="AU335" s="127"/>
      <c r="AV335" s="127"/>
      <c r="AW335" s="127"/>
      <c r="AX335" s="127"/>
      <c r="AY335" s="127"/>
      <c r="AZ335" s="133">
        <v>43250</v>
      </c>
      <c r="BA33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5" s="135">
        <f>COUNTIFS(_05preva_view43[Site ID],_05preva_view43[[#This Row],[Site ID]],_05preva_view43[Prevalidation Status],"Under Prevalidation")</f>
        <v>0</v>
      </c>
      <c r="BC335" s="157" t="e">
        <f ca="1">HYPERLINK(CheckPath(_05preva_view43[[#This Row],[File Path]],_05preva_view43[[#This Row],[File Path]],_05preva_view43[[#This Row],[Folder Path3]]),CheckPath(_05preva_view43[[#This Row],[File Path]],"Open File","No File"))</f>
        <v>#VALUE!</v>
      </c>
      <c r="BD335" s="136" t="str">
        <f>CONCATENATE(_05preva_view43[[#This Row],[Site ID]]," (",_05preva_view43[[#This Row],[tenant id]],") Application",IF(_05preva_view43[[#This Row],[Colo Rev]]&gt;0," Rev "&amp;_05preva_view43[[#This Row],[Colo Rev]],""),".xlsx")</f>
        <v>ANMD_0093 (MDYCMTN035) Application.xlsx</v>
      </c>
      <c r="BE335" s="64" t="e">
        <f t="shared" ca="1" si="6"/>
        <v>#VALUE!</v>
      </c>
      <c r="BF335" s="104" t="e">
        <f ca="1">LEFT(CELL("filename",A320),_05preva_view43[[#This Row],[Find Process &amp; Database]]-1)</f>
        <v>#VALUE!</v>
      </c>
      <c r="BG335" s="104" t="e">
        <f ca="1">_05preva_view43[Folder Path1]&amp;"Process &amp; Database\Documentation\Colo Applications"</f>
        <v>#VALUE!</v>
      </c>
      <c r="BH335" s="104" t="e">
        <f ca="1">_05preva_view43[Folder Path2]&amp;"\Colo App "&amp;_05preva_view43[[#This Row],[Operator]]&amp;"\"</f>
        <v>#VALUE!</v>
      </c>
      <c r="BI335" s="63" t="e">
        <f ca="1">_05preva_view43[[#This Row],[Folder Path3]]&amp;_05preva_view43[[#This Row],[File Name]]</f>
        <v>#VALUE!</v>
      </c>
      <c r="BJ335" s="104"/>
      <c r="BK335" s="3"/>
      <c r="BL335" s="3"/>
      <c r="CJ335" s="5"/>
      <c r="CK335" s="5"/>
      <c r="CL335" s="3"/>
      <c r="CN335" s="5"/>
      <c r="CR335" s="3"/>
      <c r="CS335" s="3"/>
      <c r="CT335" s="5"/>
      <c r="CV335" s="3"/>
      <c r="DR335" s="5"/>
      <c r="DT335" s="3"/>
      <c r="EF335" s="7"/>
      <c r="EG335" s="7"/>
      <c r="EJ335" s="4"/>
      <c r="EK335" s="4"/>
      <c r="EU335" s="2"/>
      <c r="EV335" s="2"/>
    </row>
    <row r="336" spans="1:152">
      <c r="A336" s="125">
        <v>227</v>
      </c>
      <c r="B336" s="126" t="s">
        <v>745</v>
      </c>
      <c r="C336" s="126" t="s">
        <v>116</v>
      </c>
      <c r="D336" s="126" t="s">
        <v>127</v>
      </c>
      <c r="E336" s="126" t="s">
        <v>746</v>
      </c>
      <c r="F336" s="126" t="s">
        <v>41</v>
      </c>
      <c r="G336" s="126" t="s">
        <v>1576</v>
      </c>
      <c r="H336" s="126" t="s">
        <v>1580</v>
      </c>
      <c r="I336" s="126" t="s">
        <v>118</v>
      </c>
      <c r="J336" s="126"/>
      <c r="K336" s="127">
        <v>43250</v>
      </c>
      <c r="L336" s="128"/>
      <c r="M336" s="128">
        <v>2</v>
      </c>
      <c r="N336" s="126">
        <v>3</v>
      </c>
      <c r="O336" s="126" t="s">
        <v>119</v>
      </c>
      <c r="P336" s="129" t="s">
        <v>736</v>
      </c>
      <c r="Q336" s="129" t="s">
        <v>747</v>
      </c>
      <c r="R336" s="126" t="s">
        <v>24</v>
      </c>
      <c r="S336" s="126" t="s">
        <v>748</v>
      </c>
      <c r="T336" s="130" t="s">
        <v>120</v>
      </c>
      <c r="U336" s="126" t="s">
        <v>738</v>
      </c>
      <c r="V336" s="130" t="s">
        <v>120</v>
      </c>
      <c r="W336" s="126"/>
      <c r="X336" s="130" t="s">
        <v>120</v>
      </c>
      <c r="Y336" s="126" t="s">
        <v>120</v>
      </c>
      <c r="Z336" s="165" t="s">
        <v>120</v>
      </c>
      <c r="AA336" s="158"/>
      <c r="AB336" s="158"/>
      <c r="AC336" s="170" t="s">
        <v>123</v>
      </c>
      <c r="AD336" s="126" t="s">
        <v>364</v>
      </c>
      <c r="AE336" s="130" t="s">
        <v>265</v>
      </c>
      <c r="AF336" s="127"/>
      <c r="AG336" s="131"/>
      <c r="AH336" s="131"/>
      <c r="AI336" s="126" t="s">
        <v>749</v>
      </c>
      <c r="AJ336" s="130"/>
      <c r="AK336" s="126"/>
      <c r="AL336" s="126"/>
      <c r="AM336" s="130"/>
      <c r="AN336" s="126"/>
      <c r="AO336" s="132"/>
      <c r="AP336" s="126"/>
      <c r="AQ336" s="126"/>
      <c r="AR336" s="130"/>
      <c r="AS336" s="126"/>
      <c r="AT336" s="127"/>
      <c r="AU336" s="127">
        <v>43453.379073726901</v>
      </c>
      <c r="AV336" s="127"/>
      <c r="AW336" s="127"/>
      <c r="AX336" s="127"/>
      <c r="AY336" s="127"/>
      <c r="AZ336" s="133">
        <v>43250</v>
      </c>
      <c r="BA33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6" s="135">
        <f>COUNTIFS(_05preva_view43[Site ID],_05preva_view43[[#This Row],[Site ID]],_05preva_view43[Prevalidation Status],"Under Prevalidation")</f>
        <v>0</v>
      </c>
      <c r="BC336" s="157" t="e">
        <f ca="1">HYPERLINK(CheckPath(_05preva_view43[[#This Row],[File Path]],_05preva_view43[[#This Row],[File Path]],_05preva_view43[[#This Row],[Folder Path3]]),CheckPath(_05preva_view43[[#This Row],[File Path]],"Open File","No File"))</f>
        <v>#VALUE!</v>
      </c>
      <c r="BD336" s="136" t="str">
        <f>CONCATENATE(_05preva_view43[[#This Row],[Site ID]]," (",_05preva_view43[[#This Row],[tenant id]],") Application",IF(_05preva_view43[[#This Row],[Colo Rev]]&gt;0," Rev "&amp;_05preva_view43[[#This Row],[Colo Rev]],""),".xlsx")</f>
        <v>ANMD_0105 (MDYCMTZ023) Application.xlsx</v>
      </c>
      <c r="BE336" s="64" t="e">
        <f t="shared" ref="BE336:BE399" ca="1" si="7">FIND("Process &amp; Database\",CELL("filename",$A$1))</f>
        <v>#VALUE!</v>
      </c>
      <c r="BF336" s="104" t="e">
        <f ca="1">LEFT(CELL("filename",A321),_05preva_view43[[#This Row],[Find Process &amp; Database]]-1)</f>
        <v>#VALUE!</v>
      </c>
      <c r="BG336" s="104" t="e">
        <f ca="1">_05preva_view43[Folder Path1]&amp;"Process &amp; Database\Documentation\Colo Applications"</f>
        <v>#VALUE!</v>
      </c>
      <c r="BH336" s="104" t="e">
        <f ca="1">_05preva_view43[Folder Path2]&amp;"\Colo App "&amp;_05preva_view43[[#This Row],[Operator]]&amp;"\"</f>
        <v>#VALUE!</v>
      </c>
      <c r="BI336" s="63" t="e">
        <f ca="1">_05preva_view43[[#This Row],[Folder Path3]]&amp;_05preva_view43[[#This Row],[File Name]]</f>
        <v>#VALUE!</v>
      </c>
      <c r="BJ336" s="104"/>
      <c r="BK336" s="3"/>
      <c r="BL336" s="3"/>
      <c r="CJ336" s="5"/>
      <c r="CK336" s="5"/>
      <c r="CL336" s="3"/>
      <c r="CN336" s="5"/>
      <c r="CR336" s="3"/>
      <c r="CS336" s="3"/>
      <c r="CT336" s="5"/>
      <c r="CV336" s="3"/>
      <c r="DR336" s="5"/>
      <c r="DT336" s="3"/>
      <c r="EF336" s="7"/>
      <c r="EG336" s="7"/>
      <c r="EJ336" s="4"/>
      <c r="EK336" s="4"/>
      <c r="EU336" s="2"/>
      <c r="EV336" s="2"/>
    </row>
    <row r="337" spans="1:152">
      <c r="A337" s="125">
        <v>229</v>
      </c>
      <c r="B337" s="126" t="s">
        <v>750</v>
      </c>
      <c r="C337" s="126" t="s">
        <v>116</v>
      </c>
      <c r="D337" s="126" t="s">
        <v>163</v>
      </c>
      <c r="E337" s="126" t="s">
        <v>751</v>
      </c>
      <c r="F337" s="126" t="s">
        <v>40</v>
      </c>
      <c r="G337" s="126" t="s">
        <v>1579</v>
      </c>
      <c r="H337" s="126" t="s">
        <v>1575</v>
      </c>
      <c r="I337" s="126" t="s">
        <v>118</v>
      </c>
      <c r="J337" s="126"/>
      <c r="K337" s="127">
        <v>43250</v>
      </c>
      <c r="L337" s="128"/>
      <c r="M337" s="128">
        <v>3</v>
      </c>
      <c r="N337" s="126">
        <v>6</v>
      </c>
      <c r="O337" s="126" t="s">
        <v>119</v>
      </c>
      <c r="P337" s="129"/>
      <c r="Q337" s="129"/>
      <c r="R337" s="126" t="s">
        <v>24</v>
      </c>
      <c r="S337" s="126"/>
      <c r="T337" s="130" t="s">
        <v>120</v>
      </c>
      <c r="U337" s="126" t="s">
        <v>752</v>
      </c>
      <c r="V337" s="130" t="s">
        <v>120</v>
      </c>
      <c r="W337" s="126"/>
      <c r="X337" s="130" t="s">
        <v>120</v>
      </c>
      <c r="Y337" s="126" t="s">
        <v>120</v>
      </c>
      <c r="Z337" s="165" t="s">
        <v>120</v>
      </c>
      <c r="AA337" s="158"/>
      <c r="AB337" s="158"/>
      <c r="AC337" s="170" t="s">
        <v>123</v>
      </c>
      <c r="AD337" s="126"/>
      <c r="AE337" s="130" t="s">
        <v>125</v>
      </c>
      <c r="AF337" s="127"/>
      <c r="AG337" s="131"/>
      <c r="AH337" s="131"/>
      <c r="AI337" s="126" t="s">
        <v>384</v>
      </c>
      <c r="AJ337" s="130" t="s">
        <v>120</v>
      </c>
      <c r="AK337" s="126" t="s">
        <v>123</v>
      </c>
      <c r="AL337" s="126"/>
      <c r="AM337" s="130"/>
      <c r="AN337" s="126"/>
      <c r="AO337" s="132"/>
      <c r="AP337" s="126"/>
      <c r="AQ337" s="126"/>
      <c r="AR337" s="130"/>
      <c r="AS337" s="126"/>
      <c r="AT337" s="127"/>
      <c r="AU337" s="127"/>
      <c r="AV337" s="127"/>
      <c r="AW337" s="127"/>
      <c r="AX337" s="127"/>
      <c r="AY337" s="127"/>
      <c r="AZ337" s="133"/>
      <c r="BA33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7" s="135">
        <f>COUNTIFS(_05preva_view43[Site ID],_05preva_view43[[#This Row],[Site ID]],_05preva_view43[Prevalidation Status],"Under Prevalidation")</f>
        <v>0</v>
      </c>
      <c r="BC337" s="157" t="e">
        <f ca="1">HYPERLINK(CheckPath(_05preva_view43[[#This Row],[File Path]],_05preva_view43[[#This Row],[File Path]],_05preva_view43[[#This Row],[Folder Path3]]),CheckPath(_05preva_view43[[#This Row],[File Path]],"Open File","No File"))</f>
        <v>#VALUE!</v>
      </c>
      <c r="BD337" s="136" t="str">
        <f>CONCATENATE(_05preva_view43[[#This Row],[Site ID]]," (",_05preva_view43[[#This Row],[tenant id]],") Application",IF(_05preva_view43[[#This Row],[Colo Rev]]&gt;0," Rev "&amp;_05preva_view43[[#This Row],[Colo Rev]],""),".xlsx")</f>
        <v>AYYN_0520 (YAM7610) Application.xlsx</v>
      </c>
      <c r="BE337" s="64" t="e">
        <f t="shared" ca="1" si="7"/>
        <v>#VALUE!</v>
      </c>
      <c r="BF337" s="104" t="e">
        <f ca="1">LEFT(CELL("filename",A322),_05preva_view43[[#This Row],[Find Process &amp; Database]]-1)</f>
        <v>#VALUE!</v>
      </c>
      <c r="BG337" s="104" t="e">
        <f ca="1">_05preva_view43[Folder Path1]&amp;"Process &amp; Database\Documentation\Colo Applications"</f>
        <v>#VALUE!</v>
      </c>
      <c r="BH337" s="104" t="e">
        <f ca="1">_05preva_view43[Folder Path2]&amp;"\Colo App "&amp;_05preva_view43[[#This Row],[Operator]]&amp;"\"</f>
        <v>#VALUE!</v>
      </c>
      <c r="BI337" s="63" t="e">
        <f ca="1">_05preva_view43[[#This Row],[Folder Path3]]&amp;_05preva_view43[[#This Row],[File Name]]</f>
        <v>#VALUE!</v>
      </c>
      <c r="BJ337" s="104"/>
      <c r="BK337" s="3"/>
      <c r="BL337" s="3"/>
      <c r="CJ337" s="5"/>
      <c r="CK337" s="5"/>
      <c r="CL337" s="3"/>
      <c r="CN337" s="5"/>
      <c r="CR337" s="3"/>
      <c r="CS337" s="3"/>
      <c r="CT337" s="5"/>
      <c r="CV337" s="3"/>
      <c r="DR337" s="5"/>
      <c r="DT337" s="3"/>
      <c r="EF337" s="7"/>
      <c r="EG337" s="7"/>
      <c r="EJ337" s="4"/>
      <c r="EK337" s="4"/>
      <c r="EU337" s="2"/>
      <c r="EV337" s="2"/>
    </row>
    <row r="338" spans="1:152">
      <c r="A338" s="125">
        <v>230</v>
      </c>
      <c r="B338" s="126" t="s">
        <v>753</v>
      </c>
      <c r="C338" s="126" t="s">
        <v>116</v>
      </c>
      <c r="D338" s="126" t="s">
        <v>163</v>
      </c>
      <c r="E338" s="126" t="s">
        <v>754</v>
      </c>
      <c r="F338" s="126" t="s">
        <v>40</v>
      </c>
      <c r="G338" s="126" t="s">
        <v>1579</v>
      </c>
      <c r="H338" s="126" t="s">
        <v>1575</v>
      </c>
      <c r="I338" s="126" t="s">
        <v>118</v>
      </c>
      <c r="J338" s="126"/>
      <c r="K338" s="127">
        <v>43250</v>
      </c>
      <c r="L338" s="128"/>
      <c r="M338" s="128">
        <v>3</v>
      </c>
      <c r="N338" s="126">
        <v>6</v>
      </c>
      <c r="O338" s="126" t="s">
        <v>119</v>
      </c>
      <c r="P338" s="129"/>
      <c r="Q338" s="129"/>
      <c r="R338" s="126" t="s">
        <v>24</v>
      </c>
      <c r="S338" s="126"/>
      <c r="T338" s="130" t="s">
        <v>120</v>
      </c>
      <c r="U338" s="126" t="s">
        <v>738</v>
      </c>
      <c r="V338" s="130" t="s">
        <v>120</v>
      </c>
      <c r="W338" s="126"/>
      <c r="X338" s="130" t="s">
        <v>120</v>
      </c>
      <c r="Y338" s="126" t="s">
        <v>755</v>
      </c>
      <c r="Z338" s="165" t="s">
        <v>120</v>
      </c>
      <c r="AA338" s="158"/>
      <c r="AB338" s="158"/>
      <c r="AC338" s="170" t="s">
        <v>123</v>
      </c>
      <c r="AD338" s="126" t="s">
        <v>409</v>
      </c>
      <c r="AE338" s="130" t="s">
        <v>120</v>
      </c>
      <c r="AF338" s="127" t="s">
        <v>241</v>
      </c>
      <c r="AG338" s="131"/>
      <c r="AH338" s="131">
        <v>3.5</v>
      </c>
      <c r="AI338" s="126" t="s">
        <v>242</v>
      </c>
      <c r="AJ338" s="130" t="s">
        <v>120</v>
      </c>
      <c r="AK338" s="126" t="s">
        <v>123</v>
      </c>
      <c r="AL338" s="126" t="s">
        <v>139</v>
      </c>
      <c r="AM338" s="130"/>
      <c r="AN338" s="126"/>
      <c r="AO338" s="132"/>
      <c r="AP338" s="126"/>
      <c r="AQ338" s="126"/>
      <c r="AR338" s="130"/>
      <c r="AS338" s="126"/>
      <c r="AT338" s="127"/>
      <c r="AU338" s="127">
        <v>43453.379074884302</v>
      </c>
      <c r="AV338" s="127"/>
      <c r="AW338" s="127"/>
      <c r="AX338" s="127"/>
      <c r="AY338" s="127"/>
      <c r="AZ338" s="133">
        <v>43250</v>
      </c>
      <c r="BA33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8" s="135">
        <f>COUNTIFS(_05preva_view43[Site ID],_05preva_view43[[#This Row],[Site ID]],_05preva_view43[Prevalidation Status],"Under Prevalidation")</f>
        <v>0</v>
      </c>
      <c r="BC338" s="157" t="e">
        <f ca="1">HYPERLINK(CheckPath(_05preva_view43[[#This Row],[File Path]],_05preva_view43[[#This Row],[File Path]],_05preva_view43[[#This Row],[Folder Path3]]),CheckPath(_05preva_view43[[#This Row],[File Path]],"Open File","No File"))</f>
        <v>#VALUE!</v>
      </c>
      <c r="BD338" s="136" t="str">
        <f>CONCATENATE(_05preva_view43[[#This Row],[Site ID]]," (",_05preva_view43[[#This Row],[tenant id]],") Application",IF(_05preva_view43[[#This Row],[Colo Rev]]&gt;0," Rev "&amp;_05preva_view43[[#This Row],[Colo Rev]],""),".xlsx")</f>
        <v>AYYN_0110 (YAW7657) Application.xlsx</v>
      </c>
      <c r="BE338" s="64" t="e">
        <f t="shared" ca="1" si="7"/>
        <v>#VALUE!</v>
      </c>
      <c r="BF338" s="104" t="e">
        <f ca="1">LEFT(CELL("filename",A323),_05preva_view43[[#This Row],[Find Process &amp; Database]]-1)</f>
        <v>#VALUE!</v>
      </c>
      <c r="BG338" s="104" t="e">
        <f ca="1">_05preva_view43[Folder Path1]&amp;"Process &amp; Database\Documentation\Colo Applications"</f>
        <v>#VALUE!</v>
      </c>
      <c r="BH338" s="104" t="e">
        <f ca="1">_05preva_view43[Folder Path2]&amp;"\Colo App "&amp;_05preva_view43[[#This Row],[Operator]]&amp;"\"</f>
        <v>#VALUE!</v>
      </c>
      <c r="BI338" s="63" t="e">
        <f ca="1">_05preva_view43[[#This Row],[Folder Path3]]&amp;_05preva_view43[[#This Row],[File Name]]</f>
        <v>#VALUE!</v>
      </c>
      <c r="BJ338" s="104"/>
      <c r="BK338" s="3"/>
      <c r="BL338" s="3"/>
      <c r="CJ338" s="5"/>
      <c r="CK338" s="5"/>
      <c r="CL338" s="3"/>
      <c r="CN338" s="5"/>
      <c r="CR338" s="3"/>
      <c r="CS338" s="3"/>
      <c r="CT338" s="5"/>
      <c r="CV338" s="3"/>
      <c r="DR338" s="5"/>
      <c r="DT338" s="3"/>
      <c r="EF338" s="7"/>
      <c r="EG338" s="7"/>
      <c r="EJ338" s="4"/>
      <c r="EK338" s="4"/>
      <c r="EU338" s="2"/>
      <c r="EV338" s="2"/>
    </row>
    <row r="339" spans="1:152">
      <c r="A339" s="125">
        <v>231</v>
      </c>
      <c r="B339" s="126" t="s">
        <v>756</v>
      </c>
      <c r="C339" s="126" t="s">
        <v>116</v>
      </c>
      <c r="D339" s="126" t="s">
        <v>127</v>
      </c>
      <c r="E339" s="126" t="s">
        <v>757</v>
      </c>
      <c r="F339" s="126" t="s">
        <v>40</v>
      </c>
      <c r="G339" s="126" t="s">
        <v>118</v>
      </c>
      <c r="H339" s="126"/>
      <c r="I339" s="126" t="s">
        <v>118</v>
      </c>
      <c r="J339" s="126"/>
      <c r="K339" s="127">
        <v>43250</v>
      </c>
      <c r="L339" s="128"/>
      <c r="M339" s="128">
        <v>3</v>
      </c>
      <c r="N339" s="126">
        <v>6</v>
      </c>
      <c r="O339" s="126" t="s">
        <v>119</v>
      </c>
      <c r="P339" s="129"/>
      <c r="Q339" s="129"/>
      <c r="R339" s="126" t="s">
        <v>26</v>
      </c>
      <c r="S339" s="126"/>
      <c r="T339" s="130" t="s">
        <v>144</v>
      </c>
      <c r="U339" s="126" t="s">
        <v>758</v>
      </c>
      <c r="V339" s="130" t="s">
        <v>120</v>
      </c>
      <c r="W339" s="126"/>
      <c r="X339" s="130"/>
      <c r="Y339" s="126" t="s">
        <v>673</v>
      </c>
      <c r="Z339" s="165"/>
      <c r="AA339" s="158"/>
      <c r="AB339" s="158"/>
      <c r="AC339" s="170"/>
      <c r="AD339" s="126"/>
      <c r="AE339" s="130" t="s">
        <v>120</v>
      </c>
      <c r="AF339" s="127" t="s">
        <v>467</v>
      </c>
      <c r="AG339" s="131"/>
      <c r="AH339" s="131">
        <v>3.5</v>
      </c>
      <c r="AI339" s="126" t="s">
        <v>440</v>
      </c>
      <c r="AJ339" s="130"/>
      <c r="AK339" s="126"/>
      <c r="AL339" s="126"/>
      <c r="AM339" s="130"/>
      <c r="AN339" s="126"/>
      <c r="AO339" s="132"/>
      <c r="AP339" s="126"/>
      <c r="AQ339" s="126"/>
      <c r="AR339" s="130"/>
      <c r="AS339" s="126"/>
      <c r="AT339" s="127"/>
      <c r="AU339" s="127">
        <v>43453.379076620397</v>
      </c>
      <c r="AV339" s="127"/>
      <c r="AW339" s="127"/>
      <c r="AX339" s="127"/>
      <c r="AY339" s="127"/>
      <c r="AZ339" s="133">
        <v>43250</v>
      </c>
      <c r="BA33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9" s="135">
        <f>COUNTIFS(_05preva_view43[Site ID],_05preva_view43[[#This Row],[Site ID]],_05preva_view43[Prevalidation Status],"Under Prevalidation")</f>
        <v>0</v>
      </c>
      <c r="BC339" s="157" t="e">
        <f ca="1">HYPERLINK(CheckPath(_05preva_view43[[#This Row],[File Path]],_05preva_view43[[#This Row],[File Path]],_05preva_view43[[#This Row],[Folder Path3]]),CheckPath(_05preva_view43[[#This Row],[File Path]],"Open File","No File"))</f>
        <v>#VALUE!</v>
      </c>
      <c r="BD339" s="136" t="str">
        <f>CONCATENATE(_05preva_view43[[#This Row],[Site ID]]," (",_05preva_view43[[#This Row],[tenant id]],") Application",IF(_05preva_view43[[#This Row],[Colo Rev]]&gt;0," Rev "&amp;_05preva_view43[[#This Row],[Colo Rev]],""),".xlsx")</f>
        <v>ANSG_0446 (SAW0353) Application.xlsx</v>
      </c>
      <c r="BE339" s="64" t="e">
        <f t="shared" ca="1" si="7"/>
        <v>#VALUE!</v>
      </c>
      <c r="BF339" s="104" t="e">
        <f ca="1">LEFT(CELL("filename",A324),_05preva_view43[[#This Row],[Find Process &amp; Database]]-1)</f>
        <v>#VALUE!</v>
      </c>
      <c r="BG339" s="104" t="e">
        <f ca="1">_05preva_view43[Folder Path1]&amp;"Process &amp; Database\Documentation\Colo Applications"</f>
        <v>#VALUE!</v>
      </c>
      <c r="BH339" s="104" t="e">
        <f ca="1">_05preva_view43[Folder Path2]&amp;"\Colo App "&amp;_05preva_view43[[#This Row],[Operator]]&amp;"\"</f>
        <v>#VALUE!</v>
      </c>
      <c r="BI339" s="63" t="e">
        <f ca="1">_05preva_view43[[#This Row],[Folder Path3]]&amp;_05preva_view43[[#This Row],[File Name]]</f>
        <v>#VALUE!</v>
      </c>
      <c r="BJ339" s="104"/>
      <c r="BK339" s="3"/>
      <c r="BL339" s="3"/>
      <c r="CJ339" s="5"/>
      <c r="CK339" s="5"/>
      <c r="CL339" s="3"/>
      <c r="CN339" s="5"/>
      <c r="CR339" s="3"/>
      <c r="CS339" s="3"/>
      <c r="CT339" s="5"/>
      <c r="CV339" s="3"/>
      <c r="DR339" s="5"/>
      <c r="DT339" s="3"/>
      <c r="EF339" s="7"/>
      <c r="EG339" s="7"/>
      <c r="EJ339" s="4"/>
      <c r="EK339" s="4"/>
      <c r="EU339" s="2"/>
      <c r="EV339" s="2"/>
    </row>
    <row r="340" spans="1:152">
      <c r="A340" s="125">
        <v>232</v>
      </c>
      <c r="B340" s="126" t="s">
        <v>727</v>
      </c>
      <c r="C340" s="126" t="s">
        <v>116</v>
      </c>
      <c r="D340" s="126" t="s">
        <v>117</v>
      </c>
      <c r="E340" s="126" t="s">
        <v>759</v>
      </c>
      <c r="F340" s="126" t="s">
        <v>40</v>
      </c>
      <c r="G340" s="126" t="s">
        <v>118</v>
      </c>
      <c r="H340" s="126"/>
      <c r="I340" s="126" t="s">
        <v>118</v>
      </c>
      <c r="J340" s="126"/>
      <c r="K340" s="127">
        <v>43250</v>
      </c>
      <c r="L340" s="128"/>
      <c r="M340" s="128">
        <v>3</v>
      </c>
      <c r="N340" s="126">
        <v>6</v>
      </c>
      <c r="O340" s="126" t="s">
        <v>119</v>
      </c>
      <c r="P340" s="129"/>
      <c r="Q340" s="129"/>
      <c r="R340" s="126" t="s">
        <v>24</v>
      </c>
      <c r="S340" s="126"/>
      <c r="T340" s="130" t="s">
        <v>120</v>
      </c>
      <c r="U340" s="126" t="s">
        <v>760</v>
      </c>
      <c r="V340" s="130" t="s">
        <v>120</v>
      </c>
      <c r="W340" s="126"/>
      <c r="X340" s="130" t="s">
        <v>120</v>
      </c>
      <c r="Y340" s="126" t="s">
        <v>120</v>
      </c>
      <c r="Z340" s="165" t="s">
        <v>120</v>
      </c>
      <c r="AA340" s="158"/>
      <c r="AB340" s="158"/>
      <c r="AC340" s="170" t="s">
        <v>123</v>
      </c>
      <c r="AD340" s="126" t="s">
        <v>409</v>
      </c>
      <c r="AE340" s="130" t="s">
        <v>120</v>
      </c>
      <c r="AF340" s="127" t="s">
        <v>467</v>
      </c>
      <c r="AG340" s="131"/>
      <c r="AH340" s="131">
        <v>3.5</v>
      </c>
      <c r="AI340" s="126" t="s">
        <v>245</v>
      </c>
      <c r="AJ340" s="130" t="s">
        <v>120</v>
      </c>
      <c r="AK340" s="126" t="s">
        <v>240</v>
      </c>
      <c r="AL340" s="126" t="s">
        <v>470</v>
      </c>
      <c r="AM340" s="130"/>
      <c r="AN340" s="126"/>
      <c r="AO340" s="132"/>
      <c r="AP340" s="126"/>
      <c r="AQ340" s="126"/>
      <c r="AR340" s="130"/>
      <c r="AS340" s="126"/>
      <c r="AT340" s="127"/>
      <c r="AU340" s="127">
        <v>43453.379077546299</v>
      </c>
      <c r="AV340" s="127"/>
      <c r="AW340" s="127"/>
      <c r="AX340" s="127"/>
      <c r="AY340" s="127"/>
      <c r="AZ340" s="133">
        <v>43250</v>
      </c>
      <c r="BA34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0" s="135">
        <f>COUNTIFS(_05preva_view43[Site ID],_05preva_view43[[#This Row],[Site ID]],_05preva_view43[Prevalidation Status],"Under Prevalidation")</f>
        <v>0</v>
      </c>
      <c r="BC340" s="157" t="e">
        <f ca="1">HYPERLINK(CheckPath(_05preva_view43[[#This Row],[File Path]],_05preva_view43[[#This Row],[File Path]],_05preva_view43[[#This Row],[Folder Path3]]),CheckPath(_05preva_view43[[#This Row],[File Path]],"Open File","No File"))</f>
        <v>#VALUE!</v>
      </c>
      <c r="BD340" s="136" t="str">
        <f>CONCATENATE(_05preva_view43[[#This Row],[Site ID]]," (",_05preva_view43[[#This Row],[tenant id]],") Application",IF(_05preva_view43[[#This Row],[Colo Rev]]&gt;0," Rev "&amp;_05preva_view43[[#This Row],[Colo Rev]],""),".xlsx")</f>
        <v>ANNP_0210 (NPW2259) Application.xlsx</v>
      </c>
      <c r="BE340" s="64" t="e">
        <f t="shared" ca="1" si="7"/>
        <v>#VALUE!</v>
      </c>
      <c r="BF340" s="104" t="e">
        <f ca="1">LEFT(CELL("filename",A325),_05preva_view43[[#This Row],[Find Process &amp; Database]]-1)</f>
        <v>#VALUE!</v>
      </c>
      <c r="BG340" s="104" t="e">
        <f ca="1">_05preva_view43[Folder Path1]&amp;"Process &amp; Database\Documentation\Colo Applications"</f>
        <v>#VALUE!</v>
      </c>
      <c r="BH340" s="104" t="e">
        <f ca="1">_05preva_view43[Folder Path2]&amp;"\Colo App "&amp;_05preva_view43[[#This Row],[Operator]]&amp;"\"</f>
        <v>#VALUE!</v>
      </c>
      <c r="BI340" s="63" t="e">
        <f ca="1">_05preva_view43[[#This Row],[Folder Path3]]&amp;_05preva_view43[[#This Row],[File Name]]</f>
        <v>#VALUE!</v>
      </c>
      <c r="BJ340" s="104"/>
      <c r="BK340" s="3"/>
      <c r="BL340" s="3"/>
      <c r="CJ340" s="5"/>
      <c r="CK340" s="5"/>
      <c r="CL340" s="3"/>
      <c r="CN340" s="5"/>
      <c r="CR340" s="3"/>
      <c r="CS340" s="3"/>
      <c r="CT340" s="5"/>
      <c r="CV340" s="3"/>
      <c r="DR340" s="5"/>
      <c r="DT340" s="3"/>
      <c r="EF340" s="7"/>
      <c r="EG340" s="7"/>
      <c r="EJ340" s="4"/>
      <c r="EK340" s="4"/>
      <c r="EU340" s="2"/>
      <c r="EV340" s="2"/>
    </row>
    <row r="341" spans="1:152">
      <c r="A341" s="125">
        <v>233</v>
      </c>
      <c r="B341" s="126" t="s">
        <v>761</v>
      </c>
      <c r="C341" s="126" t="s">
        <v>116</v>
      </c>
      <c r="D341" s="126" t="s">
        <v>163</v>
      </c>
      <c r="E341" s="126" t="s">
        <v>762</v>
      </c>
      <c r="F341" s="126" t="s">
        <v>40</v>
      </c>
      <c r="G341" s="126" t="s">
        <v>118</v>
      </c>
      <c r="H341" s="126"/>
      <c r="I341" s="126" t="s">
        <v>118</v>
      </c>
      <c r="J341" s="126"/>
      <c r="K341" s="127">
        <v>43250</v>
      </c>
      <c r="L341" s="128"/>
      <c r="M341" s="128">
        <v>3</v>
      </c>
      <c r="N341" s="126">
        <v>6</v>
      </c>
      <c r="O341" s="126" t="s">
        <v>119</v>
      </c>
      <c r="P341" s="129"/>
      <c r="Q341" s="129"/>
      <c r="R341" s="126" t="s">
        <v>27</v>
      </c>
      <c r="S341" s="126"/>
      <c r="T341" s="130" t="s">
        <v>120</v>
      </c>
      <c r="U341" s="126" t="s">
        <v>763</v>
      </c>
      <c r="V341" s="130" t="s">
        <v>120</v>
      </c>
      <c r="W341" s="126"/>
      <c r="X341" s="130" t="s">
        <v>120</v>
      </c>
      <c r="Y341" s="126" t="s">
        <v>120</v>
      </c>
      <c r="Z341" s="165" t="s">
        <v>120</v>
      </c>
      <c r="AA341" s="158"/>
      <c r="AB341" s="158"/>
      <c r="AC341" s="170" t="s">
        <v>123</v>
      </c>
      <c r="AD341" s="126" t="s">
        <v>764</v>
      </c>
      <c r="AE341" s="130" t="s">
        <v>125</v>
      </c>
      <c r="AF341" s="127"/>
      <c r="AG341" s="131"/>
      <c r="AH341" s="131"/>
      <c r="AI341" s="126" t="s">
        <v>765</v>
      </c>
      <c r="AJ341" s="130" t="s">
        <v>120</v>
      </c>
      <c r="AK341" s="126" t="s">
        <v>240</v>
      </c>
      <c r="AL341" s="126"/>
      <c r="AM341" s="130"/>
      <c r="AN341" s="126"/>
      <c r="AO341" s="132"/>
      <c r="AP341" s="126"/>
      <c r="AQ341" s="126"/>
      <c r="AR341" s="130"/>
      <c r="AS341" s="126"/>
      <c r="AT341" s="127"/>
      <c r="AU341" s="127"/>
      <c r="AV341" s="127"/>
      <c r="AW341" s="127"/>
      <c r="AX341" s="127"/>
      <c r="AY341" s="127"/>
      <c r="AZ341" s="133"/>
      <c r="BA34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1" s="135">
        <f>COUNTIFS(_05preva_view43[Site ID],_05preva_view43[[#This Row],[Site ID]],_05preva_view43[Prevalidation Status],"Under Prevalidation")</f>
        <v>0</v>
      </c>
      <c r="BC341" s="157" t="e">
        <f ca="1">HYPERLINK(CheckPath(_05preva_view43[[#This Row],[File Path]],_05preva_view43[[#This Row],[File Path]],_05preva_view43[[#This Row],[Folder Path3]]),CheckPath(_05preva_view43[[#This Row],[File Path]],"Open File","No File"))</f>
        <v>#VALUE!</v>
      </c>
      <c r="BD341" s="136" t="str">
        <f>CONCATENATE(_05preva_view43[[#This Row],[Site ID]]," (",_05preva_view43[[#This Row],[tenant id]],") Application",IF(_05preva_view43[[#This Row],[Colo Rev]]&gt;0," Rev "&amp;_05preva_view43[[#This Row],[Colo Rev]],""),".xlsx")</f>
        <v>AYYN_0441 (YAW4463) Application.xlsx</v>
      </c>
      <c r="BE341" s="64" t="e">
        <f t="shared" ca="1" si="7"/>
        <v>#VALUE!</v>
      </c>
      <c r="BF341" s="104" t="e">
        <f ca="1">LEFT(CELL("filename",A326),_05preva_view43[[#This Row],[Find Process &amp; Database]]-1)</f>
        <v>#VALUE!</v>
      </c>
      <c r="BG341" s="104" t="e">
        <f ca="1">_05preva_view43[Folder Path1]&amp;"Process &amp; Database\Documentation\Colo Applications"</f>
        <v>#VALUE!</v>
      </c>
      <c r="BH341" s="104" t="e">
        <f ca="1">_05preva_view43[Folder Path2]&amp;"\Colo App "&amp;_05preva_view43[[#This Row],[Operator]]&amp;"\"</f>
        <v>#VALUE!</v>
      </c>
      <c r="BI341" s="63" t="e">
        <f ca="1">_05preva_view43[[#This Row],[Folder Path3]]&amp;_05preva_view43[[#This Row],[File Name]]</f>
        <v>#VALUE!</v>
      </c>
      <c r="BJ341" s="104"/>
      <c r="BK341" s="3"/>
      <c r="BL341" s="3"/>
      <c r="CJ341" s="5"/>
      <c r="CK341" s="5"/>
      <c r="CL341" s="3"/>
      <c r="CN341" s="5"/>
      <c r="CR341" s="3"/>
      <c r="CS341" s="3"/>
      <c r="CT341" s="5"/>
      <c r="CV341" s="3"/>
      <c r="DR341" s="5"/>
      <c r="DT341" s="3"/>
      <c r="EF341" s="7"/>
      <c r="EG341" s="7"/>
      <c r="EJ341" s="4"/>
      <c r="EK341" s="4"/>
      <c r="EU341" s="2"/>
      <c r="EV341" s="2"/>
    </row>
    <row r="342" spans="1:152">
      <c r="A342" s="125">
        <v>234</v>
      </c>
      <c r="B342" s="126" t="s">
        <v>766</v>
      </c>
      <c r="C342" s="126" t="s">
        <v>116</v>
      </c>
      <c r="D342" s="126" t="s">
        <v>127</v>
      </c>
      <c r="E342" s="126" t="s">
        <v>767</v>
      </c>
      <c r="F342" s="126" t="s">
        <v>40</v>
      </c>
      <c r="G342" s="126" t="s">
        <v>1579</v>
      </c>
      <c r="H342" s="126" t="s">
        <v>1580</v>
      </c>
      <c r="I342" s="126" t="s">
        <v>118</v>
      </c>
      <c r="J342" s="126"/>
      <c r="K342" s="127">
        <v>43250</v>
      </c>
      <c r="L342" s="128"/>
      <c r="M342" s="128">
        <v>3</v>
      </c>
      <c r="N342" s="126">
        <v>6</v>
      </c>
      <c r="O342" s="126" t="s">
        <v>119</v>
      </c>
      <c r="P342" s="129"/>
      <c r="Q342" s="129"/>
      <c r="R342" s="126" t="s">
        <v>24</v>
      </c>
      <c r="S342" s="126"/>
      <c r="T342" s="130" t="s">
        <v>120</v>
      </c>
      <c r="U342" s="126" t="s">
        <v>738</v>
      </c>
      <c r="V342" s="130" t="s">
        <v>125</v>
      </c>
      <c r="W342" s="126" t="s">
        <v>712</v>
      </c>
      <c r="X342" s="130" t="s">
        <v>120</v>
      </c>
      <c r="Y342" s="126" t="s">
        <v>120</v>
      </c>
      <c r="Z342" s="165" t="s">
        <v>120</v>
      </c>
      <c r="AA342" s="158"/>
      <c r="AB342" s="158"/>
      <c r="AC342" s="170" t="s">
        <v>123</v>
      </c>
      <c r="AD342" s="126"/>
      <c r="AE342" s="130" t="s">
        <v>125</v>
      </c>
      <c r="AF342" s="127"/>
      <c r="AG342" s="131"/>
      <c r="AH342" s="131"/>
      <c r="AI342" s="126" t="s">
        <v>242</v>
      </c>
      <c r="AJ342" s="130" t="s">
        <v>120</v>
      </c>
      <c r="AK342" s="126" t="s">
        <v>123</v>
      </c>
      <c r="AL342" s="126" t="s">
        <v>768</v>
      </c>
      <c r="AM342" s="130"/>
      <c r="AN342" s="126"/>
      <c r="AO342" s="132"/>
      <c r="AP342" s="126"/>
      <c r="AQ342" s="126"/>
      <c r="AR342" s="130"/>
      <c r="AS342" s="126"/>
      <c r="AT342" s="127"/>
      <c r="AU342" s="127"/>
      <c r="AV342" s="127"/>
      <c r="AW342" s="127"/>
      <c r="AX342" s="127"/>
      <c r="AY342" s="127"/>
      <c r="AZ342" s="133"/>
      <c r="BA34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2" s="135">
        <f>COUNTIFS(_05preva_view43[Site ID],_05preva_view43[[#This Row],[Site ID]],_05preva_view43[Prevalidation Status],"Under Prevalidation")</f>
        <v>0</v>
      </c>
      <c r="BC342" s="157" t="e">
        <f ca="1">HYPERLINK(CheckPath(_05preva_view43[[#This Row],[File Path]],_05preva_view43[[#This Row],[File Path]],_05preva_view43[[#This Row],[Folder Path3]]),CheckPath(_05preva_view43[[#This Row],[File Path]],"Open File","No File"))</f>
        <v>#VALUE!</v>
      </c>
      <c r="BD342" s="136" t="str">
        <f>CONCATENATE(_05preva_view43[[#This Row],[Site ID]]," (",_05preva_view43[[#This Row],[tenant id]],") Application",IF(_05preva_view43[[#This Row],[Colo Rev]]&gt;0," Rev "&amp;_05preva_view43[[#This Row],[Colo Rev]],""),".xlsx")</f>
        <v>ANSG_0364 (SAW0705) Application.xlsx</v>
      </c>
      <c r="BE342" s="64" t="e">
        <f t="shared" ca="1" si="7"/>
        <v>#VALUE!</v>
      </c>
      <c r="BF342" s="104" t="e">
        <f ca="1">LEFT(CELL("filename",A327),_05preva_view43[[#This Row],[Find Process &amp; Database]]-1)</f>
        <v>#VALUE!</v>
      </c>
      <c r="BG342" s="104" t="e">
        <f ca="1">_05preva_view43[Folder Path1]&amp;"Process &amp; Database\Documentation\Colo Applications"</f>
        <v>#VALUE!</v>
      </c>
      <c r="BH342" s="104" t="e">
        <f ca="1">_05preva_view43[Folder Path2]&amp;"\Colo App "&amp;_05preva_view43[[#This Row],[Operator]]&amp;"\"</f>
        <v>#VALUE!</v>
      </c>
      <c r="BI342" s="63" t="e">
        <f ca="1">_05preva_view43[[#This Row],[Folder Path3]]&amp;_05preva_view43[[#This Row],[File Name]]</f>
        <v>#VALUE!</v>
      </c>
      <c r="BJ342" s="104"/>
      <c r="BK342" s="3"/>
      <c r="BL342" s="3"/>
      <c r="CJ342" s="5"/>
      <c r="CK342" s="5"/>
      <c r="CL342" s="3"/>
      <c r="CN342" s="5"/>
      <c r="CR342" s="3"/>
      <c r="CS342" s="3"/>
      <c r="CT342" s="5"/>
      <c r="CV342" s="3"/>
      <c r="DR342" s="5"/>
      <c r="DT342" s="3"/>
      <c r="EF342" s="7"/>
      <c r="EG342" s="7"/>
      <c r="EJ342" s="4"/>
      <c r="EK342" s="4"/>
      <c r="EU342" s="2"/>
      <c r="EV342" s="2"/>
    </row>
    <row r="343" spans="1:152">
      <c r="A343" s="125">
        <v>235</v>
      </c>
      <c r="B343" s="126" t="s">
        <v>769</v>
      </c>
      <c r="C343" s="126" t="s">
        <v>116</v>
      </c>
      <c r="D343" s="126" t="s">
        <v>163</v>
      </c>
      <c r="E343" s="126" t="s">
        <v>770</v>
      </c>
      <c r="F343" s="126" t="s">
        <v>40</v>
      </c>
      <c r="G343" s="126" t="s">
        <v>118</v>
      </c>
      <c r="H343" s="126"/>
      <c r="I343" s="126" t="s">
        <v>118</v>
      </c>
      <c r="J343" s="126"/>
      <c r="K343" s="127">
        <v>43250</v>
      </c>
      <c r="L343" s="128"/>
      <c r="M343" s="128">
        <v>3</v>
      </c>
      <c r="N343" s="126">
        <v>6</v>
      </c>
      <c r="O343" s="126" t="s">
        <v>119</v>
      </c>
      <c r="P343" s="129"/>
      <c r="Q343" s="129"/>
      <c r="R343" s="126" t="s">
        <v>24</v>
      </c>
      <c r="S343" s="126" t="s">
        <v>428</v>
      </c>
      <c r="T343" s="130" t="s">
        <v>120</v>
      </c>
      <c r="U343" s="126" t="s">
        <v>738</v>
      </c>
      <c r="V343" s="130" t="s">
        <v>120</v>
      </c>
      <c r="W343" s="126"/>
      <c r="X343" s="130" t="s">
        <v>120</v>
      </c>
      <c r="Y343" s="126" t="s">
        <v>120</v>
      </c>
      <c r="Z343" s="165" t="s">
        <v>125</v>
      </c>
      <c r="AA343" s="158"/>
      <c r="AB343" s="158"/>
      <c r="AC343" s="170" t="s">
        <v>123</v>
      </c>
      <c r="AD343" s="126" t="s">
        <v>430</v>
      </c>
      <c r="AE343" s="130" t="s">
        <v>125</v>
      </c>
      <c r="AF343" s="127"/>
      <c r="AG343" s="131"/>
      <c r="AH343" s="131"/>
      <c r="AI343" s="126" t="s">
        <v>242</v>
      </c>
      <c r="AJ343" s="130" t="s">
        <v>120</v>
      </c>
      <c r="AK343" s="126" t="s">
        <v>123</v>
      </c>
      <c r="AL343" s="126"/>
      <c r="AM343" s="130"/>
      <c r="AN343" s="126"/>
      <c r="AO343" s="132"/>
      <c r="AP343" s="126"/>
      <c r="AQ343" s="126"/>
      <c r="AR343" s="130"/>
      <c r="AS343" s="126"/>
      <c r="AT343" s="127"/>
      <c r="AU343" s="127"/>
      <c r="AV343" s="127"/>
      <c r="AW343" s="127"/>
      <c r="AX343" s="127"/>
      <c r="AY343" s="127"/>
      <c r="AZ343" s="133"/>
      <c r="BA34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3" s="135">
        <f>COUNTIFS(_05preva_view43[Site ID],_05preva_view43[[#This Row],[Site ID]],_05preva_view43[Prevalidation Status],"Under Prevalidation")</f>
        <v>0</v>
      </c>
      <c r="BC343" s="157" t="e">
        <f ca="1">HYPERLINK(CheckPath(_05preva_view43[[#This Row],[File Path]],_05preva_view43[[#This Row],[File Path]],_05preva_view43[[#This Row],[Folder Path3]]),CheckPath(_05preva_view43[[#This Row],[File Path]],"Open File","No File"))</f>
        <v>#VALUE!</v>
      </c>
      <c r="BD343" s="136" t="str">
        <f>CONCATENATE(_05preva_view43[[#This Row],[Site ID]]," (",_05preva_view43[[#This Row],[tenant id]],") Application",IF(_05preva_view43[[#This Row],[Colo Rev]]&gt;0," Rev "&amp;_05preva_view43[[#This Row],[Colo Rev]],""),".xlsx")</f>
        <v>ACAY_0102 (AYW5275) Application.xlsx</v>
      </c>
      <c r="BE343" s="64" t="e">
        <f t="shared" ca="1" si="7"/>
        <v>#VALUE!</v>
      </c>
      <c r="BF343" s="104" t="e">
        <f ca="1">LEFT(CELL("filename",A328),_05preva_view43[[#This Row],[Find Process &amp; Database]]-1)</f>
        <v>#VALUE!</v>
      </c>
      <c r="BG343" s="104" t="e">
        <f ca="1">_05preva_view43[Folder Path1]&amp;"Process &amp; Database\Documentation\Colo Applications"</f>
        <v>#VALUE!</v>
      </c>
      <c r="BH343" s="104" t="e">
        <f ca="1">_05preva_view43[Folder Path2]&amp;"\Colo App "&amp;_05preva_view43[[#This Row],[Operator]]&amp;"\"</f>
        <v>#VALUE!</v>
      </c>
      <c r="BI343" s="63" t="e">
        <f ca="1">_05preva_view43[[#This Row],[Folder Path3]]&amp;_05preva_view43[[#This Row],[File Name]]</f>
        <v>#VALUE!</v>
      </c>
      <c r="BJ343" s="104"/>
      <c r="BK343" s="3"/>
      <c r="BL343" s="3"/>
      <c r="CJ343" s="5"/>
      <c r="CK343" s="5"/>
      <c r="CL343" s="3"/>
      <c r="CN343" s="5"/>
      <c r="CR343" s="3"/>
      <c r="CS343" s="3"/>
      <c r="CT343" s="5"/>
      <c r="CV343" s="3"/>
      <c r="DR343" s="5"/>
      <c r="DT343" s="3"/>
      <c r="EF343" s="7"/>
      <c r="EG343" s="7"/>
      <c r="EJ343" s="4"/>
      <c r="EK343" s="4"/>
      <c r="EU343" s="2"/>
      <c r="EV343" s="2"/>
    </row>
    <row r="344" spans="1:152">
      <c r="A344" s="125">
        <v>236</v>
      </c>
      <c r="B344" s="126" t="s">
        <v>771</v>
      </c>
      <c r="C344" s="126" t="s">
        <v>116</v>
      </c>
      <c r="D344" s="126" t="s">
        <v>117</v>
      </c>
      <c r="E344" s="126" t="s">
        <v>772</v>
      </c>
      <c r="F344" s="126" t="s">
        <v>40</v>
      </c>
      <c r="G344" s="126" t="s">
        <v>118</v>
      </c>
      <c r="H344" s="126"/>
      <c r="I344" s="126" t="s">
        <v>118</v>
      </c>
      <c r="J344" s="126"/>
      <c r="K344" s="127">
        <v>43250</v>
      </c>
      <c r="L344" s="128"/>
      <c r="M344" s="128">
        <v>3</v>
      </c>
      <c r="N344" s="126">
        <v>6</v>
      </c>
      <c r="O344" s="126" t="s">
        <v>119</v>
      </c>
      <c r="P344" s="129"/>
      <c r="Q344" s="129"/>
      <c r="R344" s="126" t="s">
        <v>24</v>
      </c>
      <c r="S344" s="126"/>
      <c r="T344" s="130" t="s">
        <v>120</v>
      </c>
      <c r="U344" s="126" t="s">
        <v>752</v>
      </c>
      <c r="V344" s="130" t="s">
        <v>120</v>
      </c>
      <c r="W344" s="126"/>
      <c r="X344" s="130" t="s">
        <v>120</v>
      </c>
      <c r="Y344" s="126" t="s">
        <v>120</v>
      </c>
      <c r="Z344" s="165" t="s">
        <v>120</v>
      </c>
      <c r="AA344" s="158"/>
      <c r="AB344" s="158"/>
      <c r="AC344" s="170" t="s">
        <v>123</v>
      </c>
      <c r="AD344" s="126"/>
      <c r="AE344" s="130" t="s">
        <v>120</v>
      </c>
      <c r="AF344" s="127" t="s">
        <v>241</v>
      </c>
      <c r="AG344" s="131"/>
      <c r="AH344" s="131">
        <v>3.5</v>
      </c>
      <c r="AI344" s="126" t="s">
        <v>387</v>
      </c>
      <c r="AJ344" s="130" t="s">
        <v>120</v>
      </c>
      <c r="AK344" s="126" t="s">
        <v>123</v>
      </c>
      <c r="AL344" s="126"/>
      <c r="AM344" s="130"/>
      <c r="AN344" s="126"/>
      <c r="AO344" s="132"/>
      <c r="AP344" s="126"/>
      <c r="AQ344" s="126"/>
      <c r="AR344" s="130"/>
      <c r="AS344" s="126"/>
      <c r="AT344" s="127"/>
      <c r="AU344" s="127">
        <v>43453.379079976898</v>
      </c>
      <c r="AV344" s="127"/>
      <c r="AW344" s="127"/>
      <c r="AX344" s="127"/>
      <c r="AY344" s="127"/>
      <c r="AZ344" s="133">
        <v>43250</v>
      </c>
      <c r="BA34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4" s="135">
        <f>COUNTIFS(_05preva_view43[Site ID],_05preva_view43[[#This Row],[Site ID]],_05preva_view43[Prevalidation Status],"Under Prevalidation")</f>
        <v>0</v>
      </c>
      <c r="BC344" s="157" t="e">
        <f ca="1">HYPERLINK(CheckPath(_05preva_view43[[#This Row],[File Path]],_05preva_view43[[#This Row],[File Path]],_05preva_view43[[#This Row],[Folder Path3]]),CheckPath(_05preva_view43[[#This Row],[File Path]],"Open File","No File"))</f>
        <v>#VALUE!</v>
      </c>
      <c r="BD344" s="136" t="str">
        <f>CONCATENATE(_05preva_view43[[#This Row],[Site ID]]," (",_05preva_view43[[#This Row],[tenant id]],") Application",IF(_05preva_view43[[#This Row],[Colo Rev]]&gt;0," Rev "&amp;_05preva_view43[[#This Row],[Colo Rev]],""),".xlsx")</f>
        <v>ASKH_3000 (KYW6046) Application.xlsx</v>
      </c>
      <c r="BE344" s="64" t="e">
        <f t="shared" ca="1" si="7"/>
        <v>#VALUE!</v>
      </c>
      <c r="BF344" s="104" t="e">
        <f ca="1">LEFT(CELL("filename",A329),_05preva_view43[[#This Row],[Find Process &amp; Database]]-1)</f>
        <v>#VALUE!</v>
      </c>
      <c r="BG344" s="104" t="e">
        <f ca="1">_05preva_view43[Folder Path1]&amp;"Process &amp; Database\Documentation\Colo Applications"</f>
        <v>#VALUE!</v>
      </c>
      <c r="BH344" s="104" t="e">
        <f ca="1">_05preva_view43[Folder Path2]&amp;"\Colo App "&amp;_05preva_view43[[#This Row],[Operator]]&amp;"\"</f>
        <v>#VALUE!</v>
      </c>
      <c r="BI344" s="63" t="e">
        <f ca="1">_05preva_view43[[#This Row],[Folder Path3]]&amp;_05preva_view43[[#This Row],[File Name]]</f>
        <v>#VALUE!</v>
      </c>
      <c r="BJ344" s="104"/>
      <c r="BK344" s="3"/>
      <c r="BL344" s="3"/>
      <c r="CJ344" s="5"/>
      <c r="CK344" s="5"/>
      <c r="CL344" s="3"/>
      <c r="CN344" s="5"/>
      <c r="CR344" s="3"/>
      <c r="CS344" s="3"/>
      <c r="CT344" s="5"/>
      <c r="CV344" s="3"/>
      <c r="DR344" s="5"/>
      <c r="DT344" s="3"/>
      <c r="EF344" s="7"/>
      <c r="EG344" s="7"/>
      <c r="EJ344" s="4"/>
      <c r="EK344" s="4"/>
      <c r="EU344" s="2"/>
      <c r="EV344" s="2"/>
    </row>
    <row r="345" spans="1:152">
      <c r="A345" s="125">
        <v>237</v>
      </c>
      <c r="B345" s="126" t="s">
        <v>773</v>
      </c>
      <c r="C345" s="126" t="s">
        <v>116</v>
      </c>
      <c r="D345" s="126" t="s">
        <v>127</v>
      </c>
      <c r="E345" s="126" t="s">
        <v>774</v>
      </c>
      <c r="F345" s="126" t="s">
        <v>40</v>
      </c>
      <c r="G345" s="126" t="s">
        <v>1579</v>
      </c>
      <c r="H345" s="126" t="s">
        <v>1575</v>
      </c>
      <c r="I345" s="126" t="s">
        <v>118</v>
      </c>
      <c r="J345" s="126"/>
      <c r="K345" s="127">
        <v>43250</v>
      </c>
      <c r="L345" s="128"/>
      <c r="M345" s="128">
        <v>3</v>
      </c>
      <c r="N345" s="126">
        <v>6</v>
      </c>
      <c r="O345" s="126" t="s">
        <v>119</v>
      </c>
      <c r="P345" s="129"/>
      <c r="Q345" s="129"/>
      <c r="R345" s="126" t="s">
        <v>24</v>
      </c>
      <c r="S345" s="126"/>
      <c r="T345" s="130" t="s">
        <v>120</v>
      </c>
      <c r="U345" s="126" t="s">
        <v>738</v>
      </c>
      <c r="V345" s="130" t="s">
        <v>120</v>
      </c>
      <c r="W345" s="126"/>
      <c r="X345" s="130" t="s">
        <v>120</v>
      </c>
      <c r="Y345" s="126" t="s">
        <v>120</v>
      </c>
      <c r="Z345" s="165" t="s">
        <v>120</v>
      </c>
      <c r="AA345" s="158"/>
      <c r="AB345" s="158"/>
      <c r="AC345" s="170" t="s">
        <v>123</v>
      </c>
      <c r="AD345" s="126" t="s">
        <v>409</v>
      </c>
      <c r="AE345" s="130" t="s">
        <v>120</v>
      </c>
      <c r="AF345" s="127" t="s">
        <v>241</v>
      </c>
      <c r="AG345" s="131"/>
      <c r="AH345" s="131">
        <v>3.5</v>
      </c>
      <c r="AI345" s="126" t="s">
        <v>533</v>
      </c>
      <c r="AJ345" s="130" t="s">
        <v>120</v>
      </c>
      <c r="AK345" s="126" t="s">
        <v>123</v>
      </c>
      <c r="AL345" s="126" t="s">
        <v>768</v>
      </c>
      <c r="AM345" s="130"/>
      <c r="AN345" s="126"/>
      <c r="AO345" s="132"/>
      <c r="AP345" s="126"/>
      <c r="AQ345" s="126"/>
      <c r="AR345" s="130"/>
      <c r="AS345" s="126"/>
      <c r="AT345" s="127"/>
      <c r="AU345" s="127">
        <v>43453.379080787003</v>
      </c>
      <c r="AV345" s="127"/>
      <c r="AW345" s="127"/>
      <c r="AX345" s="127"/>
      <c r="AY345" s="127"/>
      <c r="AZ345" s="133">
        <v>43250</v>
      </c>
      <c r="BA34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5" s="135">
        <f>COUNTIFS(_05preva_view43[Site ID],_05preva_view43[[#This Row],[Site ID]],_05preva_view43[Prevalidation Status],"Under Prevalidation")</f>
        <v>0</v>
      </c>
      <c r="BC345" s="157" t="e">
        <f ca="1">HYPERLINK(CheckPath(_05preva_view43[[#This Row],[File Path]],_05preva_view43[[#This Row],[File Path]],_05preva_view43[[#This Row],[Folder Path3]]),CheckPath(_05preva_view43[[#This Row],[File Path]],"Open File","No File"))</f>
        <v>#VALUE!</v>
      </c>
      <c r="BD345" s="136" t="str">
        <f>CONCATENATE(_05preva_view43[[#This Row],[Site ID]]," (",_05preva_view43[[#This Row],[tenant id]],") Application",IF(_05preva_view43[[#This Row],[Colo Rev]]&gt;0," Rev "&amp;_05preva_view43[[#This Row],[Colo Rev]],""),".xlsx")</f>
        <v>ANSG_0348 (SAW0704) Application.xlsx</v>
      </c>
      <c r="BE345" s="64" t="e">
        <f t="shared" ca="1" si="7"/>
        <v>#VALUE!</v>
      </c>
      <c r="BF345" s="104" t="e">
        <f ca="1">LEFT(CELL("filename",A330),_05preva_view43[[#This Row],[Find Process &amp; Database]]-1)</f>
        <v>#VALUE!</v>
      </c>
      <c r="BG345" s="104" t="e">
        <f ca="1">_05preva_view43[Folder Path1]&amp;"Process &amp; Database\Documentation\Colo Applications"</f>
        <v>#VALUE!</v>
      </c>
      <c r="BH345" s="104" t="e">
        <f ca="1">_05preva_view43[Folder Path2]&amp;"\Colo App "&amp;_05preva_view43[[#This Row],[Operator]]&amp;"\"</f>
        <v>#VALUE!</v>
      </c>
      <c r="BI345" s="63" t="e">
        <f ca="1">_05preva_view43[[#This Row],[Folder Path3]]&amp;_05preva_view43[[#This Row],[File Name]]</f>
        <v>#VALUE!</v>
      </c>
      <c r="BJ345" s="104"/>
      <c r="BK345" s="3"/>
      <c r="BL345" s="3"/>
      <c r="CJ345" s="5"/>
      <c r="CK345" s="5"/>
      <c r="CL345" s="3"/>
      <c r="CN345" s="5"/>
      <c r="CR345" s="3"/>
      <c r="CS345" s="3"/>
      <c r="CT345" s="5"/>
      <c r="CV345" s="3"/>
      <c r="DR345" s="5"/>
      <c r="DT345" s="3"/>
      <c r="EF345" s="7"/>
      <c r="EG345" s="7"/>
      <c r="EJ345" s="4"/>
      <c r="EK345" s="4"/>
      <c r="EU345" s="2"/>
      <c r="EV345" s="2"/>
    </row>
    <row r="346" spans="1:152">
      <c r="A346" s="125">
        <v>238</v>
      </c>
      <c r="B346" s="126" t="s">
        <v>775</v>
      </c>
      <c r="C346" s="126" t="s">
        <v>116</v>
      </c>
      <c r="D346" s="126" t="s">
        <v>127</v>
      </c>
      <c r="E346" s="126" t="s">
        <v>776</v>
      </c>
      <c r="F346" s="126" t="s">
        <v>40</v>
      </c>
      <c r="G346" s="126" t="s">
        <v>118</v>
      </c>
      <c r="H346" s="126"/>
      <c r="I346" s="126" t="s">
        <v>118</v>
      </c>
      <c r="J346" s="126"/>
      <c r="K346" s="127">
        <v>43250</v>
      </c>
      <c r="L346" s="128"/>
      <c r="M346" s="128">
        <v>3</v>
      </c>
      <c r="N346" s="126">
        <v>6</v>
      </c>
      <c r="O346" s="126" t="s">
        <v>119</v>
      </c>
      <c r="P346" s="129"/>
      <c r="Q346" s="129"/>
      <c r="R346" s="126" t="s">
        <v>27</v>
      </c>
      <c r="S346" s="126"/>
      <c r="T346" s="130" t="s">
        <v>120</v>
      </c>
      <c r="U346" s="126" t="s">
        <v>738</v>
      </c>
      <c r="V346" s="130" t="s">
        <v>125</v>
      </c>
      <c r="W346" s="126" t="s">
        <v>779</v>
      </c>
      <c r="X346" s="130" t="s">
        <v>120</v>
      </c>
      <c r="Y346" s="126" t="s">
        <v>120</v>
      </c>
      <c r="Z346" s="165" t="s">
        <v>120</v>
      </c>
      <c r="AA346" s="158"/>
      <c r="AB346" s="158"/>
      <c r="AC346" s="170" t="s">
        <v>123</v>
      </c>
      <c r="AD346" s="126"/>
      <c r="AE346" s="130" t="s">
        <v>125</v>
      </c>
      <c r="AF346" s="127"/>
      <c r="AG346" s="131"/>
      <c r="AH346" s="131"/>
      <c r="AI346" s="126" t="s">
        <v>778</v>
      </c>
      <c r="AJ346" s="130" t="s">
        <v>120</v>
      </c>
      <c r="AK346" s="126" t="s">
        <v>123</v>
      </c>
      <c r="AL346" s="126" t="s">
        <v>777</v>
      </c>
      <c r="AM346" s="130"/>
      <c r="AN346" s="126"/>
      <c r="AO346" s="132"/>
      <c r="AP346" s="126"/>
      <c r="AQ346" s="126"/>
      <c r="AR346" s="130"/>
      <c r="AS346" s="126"/>
      <c r="AT346" s="127"/>
      <c r="AU346" s="127"/>
      <c r="AV346" s="127"/>
      <c r="AW346" s="127"/>
      <c r="AX346" s="127"/>
      <c r="AY346" s="127"/>
      <c r="AZ346" s="133"/>
      <c r="BA34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6" s="135">
        <f>COUNTIFS(_05preva_view43[Site ID],_05preva_view43[[#This Row],[Site ID]],_05preva_view43[Prevalidation Status],"Under Prevalidation")</f>
        <v>0</v>
      </c>
      <c r="BC346" s="157" t="e">
        <f ca="1">HYPERLINK(CheckPath(_05preva_view43[[#This Row],[File Path]],_05preva_view43[[#This Row],[File Path]],_05preva_view43[[#This Row],[Folder Path3]]),CheckPath(_05preva_view43[[#This Row],[File Path]],"Open File","No File"))</f>
        <v>#VALUE!</v>
      </c>
      <c r="BD346" s="136" t="str">
        <f>CONCATENATE(_05preva_view43[[#This Row],[Site ID]]," (",_05preva_view43[[#This Row],[tenant id]],") Application",IF(_05preva_view43[[#This Row],[Colo Rev]]&gt;0," Rev "&amp;_05preva_view43[[#This Row],[Colo Rev]],""),".xlsx")</f>
        <v>ANMD_0154 (MAW2956) Application.xlsx</v>
      </c>
      <c r="BE346" s="64" t="e">
        <f t="shared" ca="1" si="7"/>
        <v>#VALUE!</v>
      </c>
      <c r="BF346" s="104" t="e">
        <f ca="1">LEFT(CELL("filename",A331),_05preva_view43[[#This Row],[Find Process &amp; Database]]-1)</f>
        <v>#VALUE!</v>
      </c>
      <c r="BG346" s="104" t="e">
        <f ca="1">_05preva_view43[Folder Path1]&amp;"Process &amp; Database\Documentation\Colo Applications"</f>
        <v>#VALUE!</v>
      </c>
      <c r="BH346" s="104" t="e">
        <f ca="1">_05preva_view43[Folder Path2]&amp;"\Colo App "&amp;_05preva_view43[[#This Row],[Operator]]&amp;"\"</f>
        <v>#VALUE!</v>
      </c>
      <c r="BI346" s="63" t="e">
        <f ca="1">_05preva_view43[[#This Row],[Folder Path3]]&amp;_05preva_view43[[#This Row],[File Name]]</f>
        <v>#VALUE!</v>
      </c>
      <c r="BJ346" s="104"/>
      <c r="BK346" s="3"/>
      <c r="BL346" s="3"/>
      <c r="CJ346" s="5"/>
      <c r="CK346" s="5"/>
      <c r="CL346" s="3"/>
      <c r="CN346" s="5"/>
      <c r="CR346" s="3"/>
      <c r="CS346" s="3"/>
      <c r="CT346" s="5"/>
      <c r="CV346" s="3"/>
      <c r="DR346" s="5"/>
      <c r="DT346" s="3"/>
      <c r="EF346" s="7"/>
      <c r="EG346" s="7"/>
      <c r="EJ346" s="4"/>
      <c r="EK346" s="4"/>
      <c r="EU346" s="2"/>
      <c r="EV346" s="2"/>
    </row>
    <row r="347" spans="1:152">
      <c r="A347" s="125">
        <v>218</v>
      </c>
      <c r="B347" s="126" t="s">
        <v>709</v>
      </c>
      <c r="C347" s="126" t="s">
        <v>116</v>
      </c>
      <c r="D347" s="126" t="s">
        <v>117</v>
      </c>
      <c r="E347" s="126" t="s">
        <v>710</v>
      </c>
      <c r="F347" s="126" t="s">
        <v>34</v>
      </c>
      <c r="G347" s="126" t="s">
        <v>118</v>
      </c>
      <c r="H347" s="126"/>
      <c r="I347" s="126" t="s">
        <v>118</v>
      </c>
      <c r="J347" s="126"/>
      <c r="K347" s="127">
        <v>43245</v>
      </c>
      <c r="L347" s="128"/>
      <c r="M347" s="128">
        <v>2</v>
      </c>
      <c r="N347" s="126">
        <v>6</v>
      </c>
      <c r="O347" s="126" t="s">
        <v>119</v>
      </c>
      <c r="P347" s="129" t="s">
        <v>263</v>
      </c>
      <c r="Q347" s="129" t="s">
        <v>264</v>
      </c>
      <c r="R347" s="126" t="s">
        <v>26</v>
      </c>
      <c r="S347" s="126"/>
      <c r="T347" s="130" t="s">
        <v>120</v>
      </c>
      <c r="U347" s="126" t="s">
        <v>711</v>
      </c>
      <c r="V347" s="130" t="s">
        <v>125</v>
      </c>
      <c r="W347" s="126" t="s">
        <v>712</v>
      </c>
      <c r="X347" s="130" t="s">
        <v>120</v>
      </c>
      <c r="Y347" s="126" t="s">
        <v>120</v>
      </c>
      <c r="Z347" s="165" t="s">
        <v>125</v>
      </c>
      <c r="AA347" s="158"/>
      <c r="AB347" s="158"/>
      <c r="AC347" s="170" t="s">
        <v>123</v>
      </c>
      <c r="AD347" s="126" t="s">
        <v>439</v>
      </c>
      <c r="AE347" s="130"/>
      <c r="AF347" s="127"/>
      <c r="AG347" s="131"/>
      <c r="AH347" s="131"/>
      <c r="AI347" s="126"/>
      <c r="AJ347" s="130" t="s">
        <v>120</v>
      </c>
      <c r="AK347" s="126" t="s">
        <v>240</v>
      </c>
      <c r="AL347" s="126" t="s">
        <v>258</v>
      </c>
      <c r="AM347" s="130"/>
      <c r="AN347" s="126"/>
      <c r="AO347" s="132"/>
      <c r="AP347" s="126"/>
      <c r="AQ347" s="126"/>
      <c r="AR347" s="130"/>
      <c r="AS347" s="126"/>
      <c r="AT347" s="127"/>
      <c r="AU347" s="127"/>
      <c r="AV347" s="127"/>
      <c r="AW347" s="127"/>
      <c r="AX347" s="127"/>
      <c r="AY347" s="127"/>
      <c r="AZ347" s="133">
        <v>43245</v>
      </c>
      <c r="BA34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7" s="135">
        <f>COUNTIFS(_05preva_view43[Site ID],_05preva_view43[[#This Row],[Site ID]],_05preva_view43[Prevalidation Status],"Under Prevalidation")</f>
        <v>0</v>
      </c>
      <c r="BC347" s="157" t="e">
        <f ca="1">HYPERLINK(CheckPath(_05preva_view43[[#This Row],[File Path]],_05preva_view43[[#This Row],[File Path]],_05preva_view43[[#This Row],[Folder Path3]]),CheckPath(_05preva_view43[[#This Row],[File Path]],"Open File","No File"))</f>
        <v>#VALUE!</v>
      </c>
      <c r="BD347" s="136" t="str">
        <f>CONCATENATE(_05preva_view43[[#This Row],[Site ID]]," (",_05preva_view43[[#This Row],[tenant id]],") Application",IF(_05preva_view43[[#This Row],[Colo Rev]]&gt;0," Rev "&amp;_05preva_view43[[#This Row],[Colo Rev]],""),".xlsx")</f>
        <v>ANMG_0019 (MGY0017) Application.xlsx</v>
      </c>
      <c r="BE347" s="64" t="e">
        <f t="shared" ca="1" si="7"/>
        <v>#VALUE!</v>
      </c>
      <c r="BF347" s="104" t="e">
        <f ca="1">LEFT(CELL("filename",A332),_05preva_view43[[#This Row],[Find Process &amp; Database]]-1)</f>
        <v>#VALUE!</v>
      </c>
      <c r="BG347" s="104" t="e">
        <f ca="1">_05preva_view43[Folder Path1]&amp;"Process &amp; Database\Documentation\Colo Applications"</f>
        <v>#VALUE!</v>
      </c>
      <c r="BH347" s="104" t="e">
        <f ca="1">_05preva_view43[Folder Path2]&amp;"\Colo App "&amp;_05preva_view43[[#This Row],[Operator]]&amp;"\"</f>
        <v>#VALUE!</v>
      </c>
      <c r="BI347" s="63" t="e">
        <f ca="1">_05preva_view43[[#This Row],[Folder Path3]]&amp;_05preva_view43[[#This Row],[File Name]]</f>
        <v>#VALUE!</v>
      </c>
      <c r="BJ347" s="104"/>
      <c r="BK347" s="3"/>
      <c r="BL347" s="3"/>
      <c r="CJ347" s="5"/>
      <c r="CK347" s="5"/>
      <c r="CL347" s="3"/>
      <c r="CN347" s="5"/>
      <c r="CR347" s="3"/>
      <c r="CS347" s="3"/>
      <c r="CT347" s="5"/>
      <c r="CV347" s="3"/>
      <c r="DR347" s="5"/>
      <c r="DT347" s="3"/>
      <c r="EF347" s="7"/>
      <c r="EG347" s="7"/>
      <c r="EJ347" s="4"/>
      <c r="EK347" s="4"/>
      <c r="EU347" s="2"/>
      <c r="EV347" s="2"/>
    </row>
    <row r="348" spans="1:152">
      <c r="A348" s="125">
        <v>219</v>
      </c>
      <c r="B348" s="126" t="s">
        <v>713</v>
      </c>
      <c r="C348" s="126" t="s">
        <v>116</v>
      </c>
      <c r="D348" s="126" t="s">
        <v>117</v>
      </c>
      <c r="E348" s="126" t="s">
        <v>714</v>
      </c>
      <c r="F348" s="126" t="s">
        <v>34</v>
      </c>
      <c r="G348" s="126"/>
      <c r="H348" s="126"/>
      <c r="I348" s="126"/>
      <c r="J348" s="126"/>
      <c r="K348" s="127">
        <v>43245</v>
      </c>
      <c r="L348" s="128"/>
      <c r="M348" s="128">
        <v>2</v>
      </c>
      <c r="N348" s="126">
        <v>6</v>
      </c>
      <c r="O348" s="126" t="s">
        <v>119</v>
      </c>
      <c r="P348" s="129" t="s">
        <v>264</v>
      </c>
      <c r="Q348" s="129" t="s">
        <v>350</v>
      </c>
      <c r="R348" s="126" t="s">
        <v>27</v>
      </c>
      <c r="S348" s="126"/>
      <c r="T348" s="130" t="s">
        <v>120</v>
      </c>
      <c r="U348" s="126" t="s">
        <v>711</v>
      </c>
      <c r="V348" s="130" t="s">
        <v>120</v>
      </c>
      <c r="W348" s="126"/>
      <c r="X348" s="130" t="s">
        <v>120</v>
      </c>
      <c r="Y348" s="126" t="s">
        <v>120</v>
      </c>
      <c r="Z348" s="165" t="s">
        <v>120</v>
      </c>
      <c r="AA348" s="158"/>
      <c r="AB348" s="158"/>
      <c r="AC348" s="170" t="s">
        <v>123</v>
      </c>
      <c r="AD348" s="126"/>
      <c r="AE348" s="130" t="s">
        <v>120</v>
      </c>
      <c r="AF348" s="127" t="s">
        <v>715</v>
      </c>
      <c r="AG348" s="131"/>
      <c r="AH348" s="131">
        <v>2</v>
      </c>
      <c r="AI348" s="126" t="s">
        <v>716</v>
      </c>
      <c r="AJ348" s="130" t="s">
        <v>120</v>
      </c>
      <c r="AK348" s="126" t="s">
        <v>123</v>
      </c>
      <c r="AL348" s="126"/>
      <c r="AM348" s="130"/>
      <c r="AN348" s="126"/>
      <c r="AO348" s="132"/>
      <c r="AP348" s="126"/>
      <c r="AQ348" s="126"/>
      <c r="AR348" s="130"/>
      <c r="AS348" s="126"/>
      <c r="AT348" s="127"/>
      <c r="AU348" s="127">
        <v>43453.3790689815</v>
      </c>
      <c r="AV348" s="127"/>
      <c r="AW348" s="127"/>
      <c r="AX348" s="127"/>
      <c r="AY348" s="127"/>
      <c r="AZ348" s="133">
        <v>43245</v>
      </c>
      <c r="BA34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8" s="135">
        <f>COUNTIFS(_05preva_view43[Site ID],_05preva_view43[[#This Row],[Site ID]],_05preva_view43[Prevalidation Status],"Under Prevalidation")</f>
        <v>0</v>
      </c>
      <c r="BC348" s="157" t="e">
        <f ca="1">HYPERLINK(CheckPath(_05preva_view43[[#This Row],[File Path]],_05preva_view43[[#This Row],[File Path]],_05preva_view43[[#This Row],[Folder Path3]]),CheckPath(_05preva_view43[[#This Row],[File Path]],"Open File","No File"))</f>
        <v>#VALUE!</v>
      </c>
      <c r="BD348" s="136" t="str">
        <f>CONCATENATE(_05preva_view43[[#This Row],[Site ID]]," (",_05preva_view43[[#This Row],[tenant id]],") Application",IF(_05preva_view43[[#This Row],[Colo Rev]]&gt;0," Rev "&amp;_05preva_view43[[#This Row],[Colo Rev]],""),".xlsx")</f>
        <v>ANMG_0058 (MGY0063) Application.xlsx</v>
      </c>
      <c r="BE348" s="64" t="e">
        <f t="shared" ca="1" si="7"/>
        <v>#VALUE!</v>
      </c>
      <c r="BF348" s="104" t="e">
        <f ca="1">LEFT(CELL("filename",A333),_05preva_view43[[#This Row],[Find Process &amp; Database]]-1)</f>
        <v>#VALUE!</v>
      </c>
      <c r="BG348" s="104" t="e">
        <f ca="1">_05preva_view43[Folder Path1]&amp;"Process &amp; Database\Documentation\Colo Applications"</f>
        <v>#VALUE!</v>
      </c>
      <c r="BH348" s="104" t="e">
        <f ca="1">_05preva_view43[Folder Path2]&amp;"\Colo App "&amp;_05preva_view43[[#This Row],[Operator]]&amp;"\"</f>
        <v>#VALUE!</v>
      </c>
      <c r="BI348" s="63" t="e">
        <f ca="1">_05preva_view43[[#This Row],[Folder Path3]]&amp;_05preva_view43[[#This Row],[File Name]]</f>
        <v>#VALUE!</v>
      </c>
      <c r="BJ348" s="104"/>
      <c r="BK348" s="3"/>
      <c r="BL348" s="3"/>
      <c r="CJ348" s="5"/>
      <c r="CK348" s="5"/>
      <c r="CL348" s="3"/>
      <c r="CN348" s="5"/>
      <c r="CR348" s="3"/>
      <c r="CS348" s="3"/>
      <c r="CT348" s="5"/>
      <c r="CV348" s="3"/>
      <c r="DR348" s="5"/>
      <c r="DT348" s="3"/>
      <c r="EF348" s="7"/>
      <c r="EG348" s="7"/>
      <c r="EJ348" s="4"/>
      <c r="EK348" s="4"/>
      <c r="EU348" s="2"/>
      <c r="EV348" s="2"/>
    </row>
    <row r="349" spans="1:152">
      <c r="A349" s="125">
        <v>220</v>
      </c>
      <c r="B349" s="126" t="s">
        <v>717</v>
      </c>
      <c r="C349" s="126" t="s">
        <v>116</v>
      </c>
      <c r="D349" s="126" t="s">
        <v>117</v>
      </c>
      <c r="E349" s="126" t="s">
        <v>718</v>
      </c>
      <c r="F349" s="126" t="s">
        <v>34</v>
      </c>
      <c r="G349" s="126" t="s">
        <v>118</v>
      </c>
      <c r="H349" s="126"/>
      <c r="I349" s="126" t="s">
        <v>118</v>
      </c>
      <c r="J349" s="126"/>
      <c r="K349" s="127">
        <v>43245</v>
      </c>
      <c r="L349" s="128"/>
      <c r="M349" s="128">
        <v>2</v>
      </c>
      <c r="N349" s="126">
        <v>6</v>
      </c>
      <c r="O349" s="126" t="s">
        <v>119</v>
      </c>
      <c r="P349" s="129" t="s">
        <v>276</v>
      </c>
      <c r="Q349" s="129" t="s">
        <v>277</v>
      </c>
      <c r="R349" s="126" t="s">
        <v>26</v>
      </c>
      <c r="S349" s="126"/>
      <c r="T349" s="130" t="s">
        <v>120</v>
      </c>
      <c r="U349" s="126" t="s">
        <v>711</v>
      </c>
      <c r="V349" s="130" t="s">
        <v>144</v>
      </c>
      <c r="W349" s="126" t="s">
        <v>246</v>
      </c>
      <c r="X349" s="130" t="s">
        <v>120</v>
      </c>
      <c r="Y349" s="126" t="s">
        <v>719</v>
      </c>
      <c r="Z349" s="165" t="s">
        <v>120</v>
      </c>
      <c r="AA349" s="158"/>
      <c r="AB349" s="158"/>
      <c r="AC349" s="170" t="s">
        <v>123</v>
      </c>
      <c r="AD349" s="126"/>
      <c r="AE349" s="130"/>
      <c r="AF349" s="127"/>
      <c r="AG349" s="131"/>
      <c r="AH349" s="131"/>
      <c r="AI349" s="126"/>
      <c r="AJ349" s="130"/>
      <c r="AK349" s="126"/>
      <c r="AL349" s="126"/>
      <c r="AM349" s="130"/>
      <c r="AN349" s="126"/>
      <c r="AO349" s="132"/>
      <c r="AP349" s="126"/>
      <c r="AQ349" s="126"/>
      <c r="AR349" s="130"/>
      <c r="AS349" s="126"/>
      <c r="AT349" s="127"/>
      <c r="AU349" s="127"/>
      <c r="AV349" s="127"/>
      <c r="AW349" s="127"/>
      <c r="AX349" s="127"/>
      <c r="AY349" s="127"/>
      <c r="AZ349" s="133">
        <v>43245</v>
      </c>
      <c r="BA34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9" s="135">
        <f>COUNTIFS(_05preva_view43[Site ID],_05preva_view43[[#This Row],[Site ID]],_05preva_view43[Prevalidation Status],"Under Prevalidation")</f>
        <v>0</v>
      </c>
      <c r="BC349" s="157" t="e">
        <f ca="1">HYPERLINK(CheckPath(_05preva_view43[[#This Row],[File Path]],_05preva_view43[[#This Row],[File Path]],_05preva_view43[[#This Row],[Folder Path3]]),CheckPath(_05preva_view43[[#This Row],[File Path]],"Open File","No File"))</f>
        <v>#VALUE!</v>
      </c>
      <c r="BD349" s="136" t="str">
        <f>CONCATENATE(_05preva_view43[[#This Row],[Site ID]]," (",_05preva_view43[[#This Row],[tenant id]],") Application",IF(_05preva_view43[[#This Row],[Colo Rev]]&gt;0," Rev "&amp;_05preva_view43[[#This Row],[Colo Rev]],""),".xlsx")</f>
        <v>ANMG_0122 (MGY0103) Application.xlsx</v>
      </c>
      <c r="BE349" s="64" t="e">
        <f t="shared" ca="1" si="7"/>
        <v>#VALUE!</v>
      </c>
      <c r="BF349" s="104" t="e">
        <f ca="1">LEFT(CELL("filename",A334),_05preva_view43[[#This Row],[Find Process &amp; Database]]-1)</f>
        <v>#VALUE!</v>
      </c>
      <c r="BG349" s="104" t="e">
        <f ca="1">_05preva_view43[Folder Path1]&amp;"Process &amp; Database\Documentation\Colo Applications"</f>
        <v>#VALUE!</v>
      </c>
      <c r="BH349" s="104" t="e">
        <f ca="1">_05preva_view43[Folder Path2]&amp;"\Colo App "&amp;_05preva_view43[[#This Row],[Operator]]&amp;"\"</f>
        <v>#VALUE!</v>
      </c>
      <c r="BI349" s="63" t="e">
        <f ca="1">_05preva_view43[[#This Row],[Folder Path3]]&amp;_05preva_view43[[#This Row],[File Name]]</f>
        <v>#VALUE!</v>
      </c>
      <c r="BJ349" s="104"/>
      <c r="BK349" s="3"/>
      <c r="BL349" s="3"/>
      <c r="CJ349" s="5"/>
      <c r="CK349" s="5"/>
      <c r="CL349" s="3"/>
      <c r="CN349" s="5"/>
      <c r="CR349" s="3"/>
      <c r="CS349" s="3"/>
      <c r="CT349" s="5"/>
      <c r="CV349" s="3"/>
      <c r="DR349" s="5"/>
      <c r="DT349" s="3"/>
      <c r="EF349" s="7"/>
      <c r="EG349" s="7"/>
      <c r="EJ349" s="4"/>
      <c r="EK349" s="4"/>
      <c r="EU349" s="2"/>
      <c r="EV349" s="2"/>
    </row>
    <row r="350" spans="1:152">
      <c r="A350" s="125">
        <v>221</v>
      </c>
      <c r="B350" s="126" t="s">
        <v>720</v>
      </c>
      <c r="C350" s="126" t="s">
        <v>116</v>
      </c>
      <c r="D350" s="126" t="s">
        <v>117</v>
      </c>
      <c r="E350" s="126" t="s">
        <v>721</v>
      </c>
      <c r="F350" s="126" t="s">
        <v>34</v>
      </c>
      <c r="G350" s="126" t="s">
        <v>1574</v>
      </c>
      <c r="H350" s="126" t="s">
        <v>1575</v>
      </c>
      <c r="I350" s="126" t="s">
        <v>118</v>
      </c>
      <c r="J350" s="126"/>
      <c r="K350" s="127">
        <v>43245</v>
      </c>
      <c r="L350" s="128"/>
      <c r="M350" s="128">
        <v>2</v>
      </c>
      <c r="N350" s="126">
        <v>6</v>
      </c>
      <c r="O350" s="126" t="s">
        <v>119</v>
      </c>
      <c r="P350" s="129" t="s">
        <v>263</v>
      </c>
      <c r="Q350" s="129" t="s">
        <v>264</v>
      </c>
      <c r="R350" s="126" t="s">
        <v>24</v>
      </c>
      <c r="S350" s="126"/>
      <c r="T350" s="130" t="s">
        <v>120</v>
      </c>
      <c r="U350" s="126" t="s">
        <v>711</v>
      </c>
      <c r="V350" s="130" t="s">
        <v>120</v>
      </c>
      <c r="W350" s="126"/>
      <c r="X350" s="130" t="s">
        <v>120</v>
      </c>
      <c r="Y350" s="126" t="s">
        <v>120</v>
      </c>
      <c r="Z350" s="165" t="s">
        <v>120</v>
      </c>
      <c r="AA350" s="158"/>
      <c r="AB350" s="158"/>
      <c r="AC350" s="170" t="s">
        <v>123</v>
      </c>
      <c r="AD350" s="126"/>
      <c r="AE350" s="130" t="s">
        <v>120</v>
      </c>
      <c r="AF350" s="127" t="s">
        <v>722</v>
      </c>
      <c r="AG350" s="131"/>
      <c r="AH350" s="131">
        <v>1.5</v>
      </c>
      <c r="AI350" s="126" t="s">
        <v>723</v>
      </c>
      <c r="AJ350" s="130" t="s">
        <v>120</v>
      </c>
      <c r="AK350" s="126" t="s">
        <v>123</v>
      </c>
      <c r="AL350" s="126"/>
      <c r="AM350" s="130"/>
      <c r="AN350" s="126"/>
      <c r="AO350" s="132"/>
      <c r="AP350" s="126"/>
      <c r="AQ350" s="126"/>
      <c r="AR350" s="130"/>
      <c r="AS350" s="126"/>
      <c r="AT350" s="127"/>
      <c r="AU350" s="127">
        <v>43453.379071064803</v>
      </c>
      <c r="AV350" s="127"/>
      <c r="AW350" s="127"/>
      <c r="AX350" s="127"/>
      <c r="AY350" s="127"/>
      <c r="AZ350" s="133">
        <v>43245</v>
      </c>
      <c r="BA35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0" s="135">
        <f>COUNTIFS(_05preva_view43[Site ID],_05preva_view43[[#This Row],[Site ID]],_05preva_view43[Prevalidation Status],"Under Prevalidation")</f>
        <v>0</v>
      </c>
      <c r="BC350" s="157" t="e">
        <f ca="1">HYPERLINK(CheckPath(_05preva_view43[[#This Row],[File Path]],_05preva_view43[[#This Row],[File Path]],_05preva_view43[[#This Row],[Folder Path3]]),CheckPath(_05preva_view43[[#This Row],[File Path]],"Open File","No File"))</f>
        <v>#VALUE!</v>
      </c>
      <c r="BD350" s="136" t="str">
        <f>CONCATENATE(_05preva_view43[[#This Row],[Site ID]]," (",_05preva_view43[[#This Row],[tenant id]],") Application",IF(_05preva_view43[[#This Row],[Colo Rev]]&gt;0," Rev "&amp;_05preva_view43[[#This Row],[Colo Rev]],""),".xlsx")</f>
        <v>ANNP_0391 (NPW0266) Application.xlsx</v>
      </c>
      <c r="BE350" s="64" t="e">
        <f t="shared" ca="1" si="7"/>
        <v>#VALUE!</v>
      </c>
      <c r="BF350" s="104" t="e">
        <f ca="1">LEFT(CELL("filename",A335),_05preva_view43[[#This Row],[Find Process &amp; Database]]-1)</f>
        <v>#VALUE!</v>
      </c>
      <c r="BG350" s="104" t="e">
        <f ca="1">_05preva_view43[Folder Path1]&amp;"Process &amp; Database\Documentation\Colo Applications"</f>
        <v>#VALUE!</v>
      </c>
      <c r="BH350" s="104" t="e">
        <f ca="1">_05preva_view43[Folder Path2]&amp;"\Colo App "&amp;_05preva_view43[[#This Row],[Operator]]&amp;"\"</f>
        <v>#VALUE!</v>
      </c>
      <c r="BI350" s="63" t="e">
        <f ca="1">_05preva_view43[[#This Row],[Folder Path3]]&amp;_05preva_view43[[#This Row],[File Name]]</f>
        <v>#VALUE!</v>
      </c>
      <c r="BJ350" s="104"/>
      <c r="BK350" s="3"/>
      <c r="BL350" s="3"/>
      <c r="CJ350" s="5"/>
      <c r="CK350" s="5"/>
      <c r="CL350" s="3"/>
      <c r="CN350" s="5"/>
      <c r="CR350" s="3"/>
      <c r="CS350" s="3"/>
      <c r="CT350" s="5"/>
      <c r="CV350" s="3"/>
      <c r="DR350" s="5"/>
      <c r="DT350" s="3"/>
      <c r="EF350" s="7"/>
      <c r="EG350" s="7"/>
      <c r="EJ350" s="4"/>
      <c r="EK350" s="4"/>
      <c r="EU350" s="2"/>
      <c r="EV350" s="2"/>
    </row>
    <row r="351" spans="1:152">
      <c r="A351" s="125">
        <v>222</v>
      </c>
      <c r="B351" s="126" t="s">
        <v>724</v>
      </c>
      <c r="C351" s="126" t="s">
        <v>116</v>
      </c>
      <c r="D351" s="126" t="s">
        <v>117</v>
      </c>
      <c r="E351" s="126" t="s">
        <v>725</v>
      </c>
      <c r="F351" s="126" t="s">
        <v>34</v>
      </c>
      <c r="G351" s="126" t="s">
        <v>118</v>
      </c>
      <c r="H351" s="126"/>
      <c r="I351" s="126" t="s">
        <v>118</v>
      </c>
      <c r="J351" s="126"/>
      <c r="K351" s="127">
        <v>43245</v>
      </c>
      <c r="L351" s="128"/>
      <c r="M351" s="128">
        <v>2</v>
      </c>
      <c r="N351" s="126">
        <v>6</v>
      </c>
      <c r="O351" s="126" t="s">
        <v>119</v>
      </c>
      <c r="P351" s="129" t="s">
        <v>263</v>
      </c>
      <c r="Q351" s="129" t="s">
        <v>264</v>
      </c>
      <c r="R351" s="126" t="s">
        <v>26</v>
      </c>
      <c r="S351" s="126"/>
      <c r="T351" s="130" t="s">
        <v>120</v>
      </c>
      <c r="U351" s="126" t="s">
        <v>711</v>
      </c>
      <c r="V351" s="130" t="s">
        <v>144</v>
      </c>
      <c r="W351" s="126" t="s">
        <v>726</v>
      </c>
      <c r="X351" s="130" t="s">
        <v>120</v>
      </c>
      <c r="Y351" s="126" t="s">
        <v>120</v>
      </c>
      <c r="Z351" s="165" t="s">
        <v>120</v>
      </c>
      <c r="AA351" s="158"/>
      <c r="AB351" s="158"/>
      <c r="AC351" s="170" t="s">
        <v>123</v>
      </c>
      <c r="AD351" s="126"/>
      <c r="AE351" s="130"/>
      <c r="AF351" s="127"/>
      <c r="AG351" s="131"/>
      <c r="AH351" s="131"/>
      <c r="AI351" s="126"/>
      <c r="AJ351" s="130" t="s">
        <v>120</v>
      </c>
      <c r="AK351" s="126" t="s">
        <v>123</v>
      </c>
      <c r="AL351" s="126"/>
      <c r="AM351" s="130"/>
      <c r="AN351" s="126"/>
      <c r="AO351" s="132"/>
      <c r="AP351" s="126"/>
      <c r="AQ351" s="126"/>
      <c r="AR351" s="130"/>
      <c r="AS351" s="126"/>
      <c r="AT351" s="127"/>
      <c r="AU351" s="127"/>
      <c r="AV351" s="127"/>
      <c r="AW351" s="127"/>
      <c r="AX351" s="127"/>
      <c r="AY351" s="127"/>
      <c r="AZ351" s="133">
        <v>43245</v>
      </c>
      <c r="BA35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1" s="135">
        <f>COUNTIFS(_05preva_view43[Site ID],_05preva_view43[[#This Row],[Site ID]],_05preva_view43[Prevalidation Status],"Under Prevalidation")</f>
        <v>0</v>
      </c>
      <c r="BC351" s="157" t="e">
        <f ca="1">HYPERLINK(CheckPath(_05preva_view43[[#This Row],[File Path]],_05preva_view43[[#This Row],[File Path]],_05preva_view43[[#This Row],[Folder Path3]]),CheckPath(_05preva_view43[[#This Row],[File Path]],"Open File","No File"))</f>
        <v>#VALUE!</v>
      </c>
      <c r="BD351" s="136" t="str">
        <f>CONCATENATE(_05preva_view43[[#This Row],[Site ID]]," (",_05preva_view43[[#This Row],[tenant id]],") Application",IF(_05preva_view43[[#This Row],[Colo Rev]]&gt;0," Rev "&amp;_05preva_view43[[#This Row],[Colo Rev]],""),".xlsx")</f>
        <v>ANNP_0226 (NPW0268) Application.xlsx</v>
      </c>
      <c r="BE351" s="64" t="e">
        <f t="shared" ca="1" si="7"/>
        <v>#VALUE!</v>
      </c>
      <c r="BF351" s="104" t="e">
        <f ca="1">LEFT(CELL("filename",A336),_05preva_view43[[#This Row],[Find Process &amp; Database]]-1)</f>
        <v>#VALUE!</v>
      </c>
      <c r="BG351" s="104" t="e">
        <f ca="1">_05preva_view43[Folder Path1]&amp;"Process &amp; Database\Documentation\Colo Applications"</f>
        <v>#VALUE!</v>
      </c>
      <c r="BH351" s="104" t="e">
        <f ca="1">_05preva_view43[Folder Path2]&amp;"\Colo App "&amp;_05preva_view43[[#This Row],[Operator]]&amp;"\"</f>
        <v>#VALUE!</v>
      </c>
      <c r="BI351" s="63" t="e">
        <f ca="1">_05preva_view43[[#This Row],[Folder Path3]]&amp;_05preva_view43[[#This Row],[File Name]]</f>
        <v>#VALUE!</v>
      </c>
      <c r="BJ351" s="104"/>
      <c r="BK351" s="3"/>
      <c r="BL351" s="3"/>
      <c r="CJ351" s="5"/>
      <c r="CK351" s="5"/>
      <c r="CL351" s="3"/>
      <c r="CN351" s="5"/>
      <c r="CR351" s="3"/>
      <c r="CS351" s="3"/>
      <c r="CT351" s="5"/>
      <c r="CV351" s="3"/>
      <c r="DR351" s="5"/>
      <c r="DT351" s="3"/>
      <c r="EF351" s="7"/>
      <c r="EG351" s="7"/>
      <c r="EJ351" s="4"/>
      <c r="EK351" s="4"/>
      <c r="EU351" s="2"/>
      <c r="EV351" s="2"/>
    </row>
    <row r="352" spans="1:152">
      <c r="A352" s="125">
        <v>223</v>
      </c>
      <c r="B352" s="126" t="s">
        <v>727</v>
      </c>
      <c r="C352" s="126" t="s">
        <v>116</v>
      </c>
      <c r="D352" s="126" t="s">
        <v>117</v>
      </c>
      <c r="E352" s="126" t="s">
        <v>728</v>
      </c>
      <c r="F352" s="126" t="s">
        <v>34</v>
      </c>
      <c r="G352" s="126"/>
      <c r="H352" s="126"/>
      <c r="I352" s="126"/>
      <c r="J352" s="126"/>
      <c r="K352" s="127">
        <v>43245</v>
      </c>
      <c r="L352" s="128"/>
      <c r="M352" s="128">
        <v>2</v>
      </c>
      <c r="N352" s="126">
        <v>6</v>
      </c>
      <c r="O352" s="126" t="s">
        <v>119</v>
      </c>
      <c r="P352" s="129" t="s">
        <v>263</v>
      </c>
      <c r="Q352" s="129" t="s">
        <v>264</v>
      </c>
      <c r="R352" s="126" t="s">
        <v>27</v>
      </c>
      <c r="S352" s="126"/>
      <c r="T352" s="130" t="s">
        <v>120</v>
      </c>
      <c r="U352" s="126" t="s">
        <v>711</v>
      </c>
      <c r="V352" s="130" t="s">
        <v>120</v>
      </c>
      <c r="W352" s="126"/>
      <c r="X352" s="130" t="s">
        <v>120</v>
      </c>
      <c r="Y352" s="126" t="s">
        <v>120</v>
      </c>
      <c r="Z352" s="165" t="s">
        <v>120</v>
      </c>
      <c r="AA352" s="158"/>
      <c r="AB352" s="158"/>
      <c r="AC352" s="170" t="s">
        <v>123</v>
      </c>
      <c r="AD352" s="126"/>
      <c r="AE352" s="130" t="s">
        <v>125</v>
      </c>
      <c r="AF352" s="127" t="s">
        <v>729</v>
      </c>
      <c r="AG352" s="131"/>
      <c r="AH352" s="131">
        <v>2</v>
      </c>
      <c r="AI352" s="126" t="s">
        <v>730</v>
      </c>
      <c r="AJ352" s="130"/>
      <c r="AK352" s="126" t="s">
        <v>240</v>
      </c>
      <c r="AL352" s="126" t="s">
        <v>470</v>
      </c>
      <c r="AM352" s="130"/>
      <c r="AN352" s="126"/>
      <c r="AO352" s="132"/>
      <c r="AP352" s="126"/>
      <c r="AQ352" s="126"/>
      <c r="AR352" s="130"/>
      <c r="AS352" s="126"/>
      <c r="AT352" s="127"/>
      <c r="AU352" s="127"/>
      <c r="AV352" s="127"/>
      <c r="AW352" s="127"/>
      <c r="AX352" s="127"/>
      <c r="AY352" s="127"/>
      <c r="AZ352" s="133">
        <v>43245</v>
      </c>
      <c r="BA35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2" s="135">
        <f>COUNTIFS(_05preva_view43[Site ID],_05preva_view43[[#This Row],[Site ID]],_05preva_view43[Prevalidation Status],"Under Prevalidation")</f>
        <v>0</v>
      </c>
      <c r="BC352" s="157" t="e">
        <f ca="1">HYPERLINK(CheckPath(_05preva_view43[[#This Row],[File Path]],_05preva_view43[[#This Row],[File Path]],_05preva_view43[[#This Row],[Folder Path3]]),CheckPath(_05preva_view43[[#This Row],[File Path]],"Open File","No File"))</f>
        <v>#VALUE!</v>
      </c>
      <c r="BD352" s="136" t="str">
        <f>CONCATENATE(_05preva_view43[[#This Row],[Site ID]]," (",_05preva_view43[[#This Row],[tenant id]],") Application",IF(_05preva_view43[[#This Row],[Colo Rev]]&gt;0," Rev "&amp;_05preva_view43[[#This Row],[Colo Rev]],""),".xlsx")</f>
        <v>ANNP_0210 (NPW0269) Application.xlsx</v>
      </c>
      <c r="BE352" s="64" t="e">
        <f t="shared" ca="1" si="7"/>
        <v>#VALUE!</v>
      </c>
      <c r="BF352" s="104" t="e">
        <f ca="1">LEFT(CELL("filename",A337),_05preva_view43[[#This Row],[Find Process &amp; Database]]-1)</f>
        <v>#VALUE!</v>
      </c>
      <c r="BG352" s="104" t="e">
        <f ca="1">_05preva_view43[Folder Path1]&amp;"Process &amp; Database\Documentation\Colo Applications"</f>
        <v>#VALUE!</v>
      </c>
      <c r="BH352" s="104" t="e">
        <f ca="1">_05preva_view43[Folder Path2]&amp;"\Colo App "&amp;_05preva_view43[[#This Row],[Operator]]&amp;"\"</f>
        <v>#VALUE!</v>
      </c>
      <c r="BI352" s="63" t="e">
        <f ca="1">_05preva_view43[[#This Row],[Folder Path3]]&amp;_05preva_view43[[#This Row],[File Name]]</f>
        <v>#VALUE!</v>
      </c>
      <c r="BJ352" s="104"/>
      <c r="BK352" s="3"/>
      <c r="BL352" s="3"/>
      <c r="CJ352" s="5"/>
      <c r="CK352" s="5"/>
      <c r="CL352" s="3"/>
      <c r="CN352" s="5"/>
      <c r="CR352" s="3"/>
      <c r="CS352" s="3"/>
      <c r="CT352" s="5"/>
      <c r="CV352" s="3"/>
      <c r="DR352" s="5"/>
      <c r="DT352" s="3"/>
      <c r="EF352" s="7"/>
      <c r="EG352" s="7"/>
      <c r="EJ352" s="4"/>
      <c r="EK352" s="4"/>
      <c r="EU352" s="2"/>
      <c r="EV352" s="2"/>
    </row>
    <row r="353" spans="1:152">
      <c r="A353" s="125">
        <v>224</v>
      </c>
      <c r="B353" s="126" t="s">
        <v>731</v>
      </c>
      <c r="C353" s="126" t="s">
        <v>116</v>
      </c>
      <c r="D353" s="126" t="s">
        <v>127</v>
      </c>
      <c r="E353" s="126" t="s">
        <v>732</v>
      </c>
      <c r="F353" s="126" t="s">
        <v>34</v>
      </c>
      <c r="G353" s="126" t="s">
        <v>1574</v>
      </c>
      <c r="H353" s="126" t="s">
        <v>1580</v>
      </c>
      <c r="I353" s="126" t="s">
        <v>118</v>
      </c>
      <c r="J353" s="126"/>
      <c r="K353" s="127">
        <v>43245</v>
      </c>
      <c r="L353" s="128"/>
      <c r="M353" s="128">
        <v>2</v>
      </c>
      <c r="N353" s="126">
        <v>6</v>
      </c>
      <c r="O353" s="126" t="s">
        <v>119</v>
      </c>
      <c r="P353" s="129" t="s">
        <v>276</v>
      </c>
      <c r="Q353" s="129" t="s">
        <v>277</v>
      </c>
      <c r="R353" s="126" t="s">
        <v>24</v>
      </c>
      <c r="S353" s="126"/>
      <c r="T353" s="130" t="s">
        <v>120</v>
      </c>
      <c r="U353" s="126" t="s">
        <v>711</v>
      </c>
      <c r="V353" s="130" t="s">
        <v>120</v>
      </c>
      <c r="W353" s="126"/>
      <c r="X353" s="130" t="s">
        <v>120</v>
      </c>
      <c r="Y353" s="126" t="s">
        <v>120</v>
      </c>
      <c r="Z353" s="165" t="s">
        <v>120</v>
      </c>
      <c r="AA353" s="158"/>
      <c r="AB353" s="158"/>
      <c r="AC353" s="170" t="s">
        <v>123</v>
      </c>
      <c r="AD353" s="126"/>
      <c r="AE353" s="130" t="s">
        <v>861</v>
      </c>
      <c r="AF353" s="127" t="s">
        <v>346</v>
      </c>
      <c r="AG353" s="131"/>
      <c r="AH353" s="131">
        <v>2</v>
      </c>
      <c r="AI353" s="126" t="s">
        <v>733</v>
      </c>
      <c r="AJ353" s="130" t="s">
        <v>120</v>
      </c>
      <c r="AK353" s="126" t="s">
        <v>123</v>
      </c>
      <c r="AL353" s="126"/>
      <c r="AM353" s="130" t="s">
        <v>861</v>
      </c>
      <c r="AN353" s="126"/>
      <c r="AO353" s="132"/>
      <c r="AP353" s="126" t="s">
        <v>861</v>
      </c>
      <c r="AQ353" s="126"/>
      <c r="AR353" s="130" t="s">
        <v>120</v>
      </c>
      <c r="AS353" s="126"/>
      <c r="AT353" s="127">
        <v>43417.622353009298</v>
      </c>
      <c r="AU353" s="127"/>
      <c r="AV353" s="127">
        <v>43417.680085648099</v>
      </c>
      <c r="AW353" s="127">
        <v>43417.71125</v>
      </c>
      <c r="AX353" s="127">
        <v>43417.688151388902</v>
      </c>
      <c r="AY353" s="127">
        <v>43417.684578588</v>
      </c>
      <c r="AZ353" s="133">
        <v>43454.726609722202</v>
      </c>
      <c r="BA353" s="134">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B353" s="135">
        <f>COUNTIFS(_05preva_view43[Site ID],_05preva_view43[[#This Row],[Site ID]],_05preva_view43[Prevalidation Status],"Under Prevalidation")</f>
        <v>0</v>
      </c>
      <c r="BC353" s="157" t="e">
        <f ca="1">HYPERLINK(CheckPath(_05preva_view43[[#This Row],[File Path]],_05preva_view43[[#This Row],[File Path]],_05preva_view43[[#This Row],[Folder Path3]]),CheckPath(_05preva_view43[[#This Row],[File Path]],"Open File","No File"))</f>
        <v>#VALUE!</v>
      </c>
      <c r="BD353" s="136" t="str">
        <f>CONCATENATE(_05preva_view43[[#This Row],[Site ID]]," (",_05preva_view43[[#This Row],[tenant id]],") Application",IF(_05preva_view43[[#This Row],[Colo Rev]]&gt;0," Rev "&amp;_05preva_view43[[#This Row],[Colo Rev]],""),".xlsx")</f>
        <v>ANSG_0373 (SGG0992) Application.xlsx</v>
      </c>
      <c r="BE353" s="64" t="e">
        <f t="shared" ca="1" si="7"/>
        <v>#VALUE!</v>
      </c>
      <c r="BF353" s="104" t="e">
        <f ca="1">LEFT(CELL("filename",A338),_05preva_view43[[#This Row],[Find Process &amp; Database]]-1)</f>
        <v>#VALUE!</v>
      </c>
      <c r="BG353" s="104" t="e">
        <f ca="1">_05preva_view43[Folder Path1]&amp;"Process &amp; Database\Documentation\Colo Applications"</f>
        <v>#VALUE!</v>
      </c>
      <c r="BH353" s="104" t="e">
        <f ca="1">_05preva_view43[Folder Path2]&amp;"\Colo App "&amp;_05preva_view43[[#This Row],[Operator]]&amp;"\"</f>
        <v>#VALUE!</v>
      </c>
      <c r="BI353" s="63" t="e">
        <f ca="1">_05preva_view43[[#This Row],[Folder Path3]]&amp;_05preva_view43[[#This Row],[File Name]]</f>
        <v>#VALUE!</v>
      </c>
      <c r="BJ353" s="104"/>
      <c r="BK353" s="3"/>
      <c r="BL353" s="3"/>
      <c r="CJ353" s="5"/>
      <c r="CK353" s="5"/>
      <c r="CL353" s="3"/>
      <c r="CN353" s="5"/>
      <c r="CR353" s="3"/>
      <c r="CS353" s="3"/>
      <c r="CT353" s="5"/>
      <c r="CV353" s="3"/>
      <c r="DR353" s="5"/>
      <c r="DT353" s="3"/>
      <c r="EF353" s="7"/>
      <c r="EG353" s="7"/>
      <c r="EJ353" s="4"/>
      <c r="EK353" s="4"/>
      <c r="EU353" s="2"/>
      <c r="EV353" s="2"/>
    </row>
    <row r="354" spans="1:152">
      <c r="A354" s="125">
        <v>217</v>
      </c>
      <c r="B354" s="126" t="s">
        <v>702</v>
      </c>
      <c r="C354" s="126" t="s">
        <v>116</v>
      </c>
      <c r="D354" s="126" t="s">
        <v>117</v>
      </c>
      <c r="E354" s="126" t="s">
        <v>703</v>
      </c>
      <c r="F354" s="126" t="s">
        <v>35</v>
      </c>
      <c r="G354" s="126" t="s">
        <v>1577</v>
      </c>
      <c r="H354" s="126" t="s">
        <v>1575</v>
      </c>
      <c r="I354" s="126" t="s">
        <v>118</v>
      </c>
      <c r="J354" s="126"/>
      <c r="K354" s="127">
        <v>43237</v>
      </c>
      <c r="L354" s="128"/>
      <c r="M354" s="128">
        <v>1.3</v>
      </c>
      <c r="N354" s="126">
        <v>1</v>
      </c>
      <c r="O354" s="126" t="s">
        <v>119</v>
      </c>
      <c r="P354" s="129" t="s">
        <v>704</v>
      </c>
      <c r="Q354" s="129" t="s">
        <v>705</v>
      </c>
      <c r="R354" s="126" t="s">
        <v>24</v>
      </c>
      <c r="S354" s="126"/>
      <c r="T354" s="130" t="s">
        <v>120</v>
      </c>
      <c r="U354" s="126" t="s">
        <v>706</v>
      </c>
      <c r="V354" s="130" t="s">
        <v>120</v>
      </c>
      <c r="W354" s="126"/>
      <c r="X354" s="130" t="s">
        <v>120</v>
      </c>
      <c r="Y354" s="126"/>
      <c r="Z354" s="165" t="s">
        <v>120</v>
      </c>
      <c r="AA354" s="158"/>
      <c r="AB354" s="158"/>
      <c r="AC354" s="170" t="s">
        <v>123</v>
      </c>
      <c r="AD354" s="126"/>
      <c r="AE354" s="130" t="s">
        <v>120</v>
      </c>
      <c r="AF354" s="127" t="s">
        <v>707</v>
      </c>
      <c r="AG354" s="131"/>
      <c r="AH354" s="131">
        <v>2</v>
      </c>
      <c r="AI354" s="126" t="s">
        <v>708</v>
      </c>
      <c r="AJ354" s="130" t="s">
        <v>120</v>
      </c>
      <c r="AK354" s="126" t="s">
        <v>123</v>
      </c>
      <c r="AL354" s="126"/>
      <c r="AM354" s="130"/>
      <c r="AN354" s="126"/>
      <c r="AO354" s="132"/>
      <c r="AP354" s="126"/>
      <c r="AQ354" s="126"/>
      <c r="AR354" s="130"/>
      <c r="AS354" s="126"/>
      <c r="AT354" s="127"/>
      <c r="AU354" s="127">
        <v>43453.379067592599</v>
      </c>
      <c r="AV354" s="127"/>
      <c r="AW354" s="127"/>
      <c r="AX354" s="127"/>
      <c r="AY354" s="127"/>
      <c r="AZ354" s="133">
        <v>43237</v>
      </c>
      <c r="BA35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4" s="135">
        <f>COUNTIFS(_05preva_view43[Site ID],_05preva_view43[[#This Row],[Site ID]],_05preva_view43[Prevalidation Status],"Under Prevalidation")</f>
        <v>0</v>
      </c>
      <c r="BC354" s="157" t="e">
        <f ca="1">HYPERLINK(CheckPath(_05preva_view43[[#This Row],[File Path]],_05preva_view43[[#This Row],[File Path]],_05preva_view43[[#This Row],[Folder Path3]]),CheckPath(_05preva_view43[[#This Row],[File Path]],"Open File","No File"))</f>
        <v>#VALUE!</v>
      </c>
      <c r="BD354" s="136" t="str">
        <f>CONCATENATE(_05preva_view43[[#This Row],[Site ID]]," (",_05preva_view43[[#This Row],[tenant id]],") Application",IF(_05preva_view43[[#This Row],[Colo Rev]]&gt;0," Rev "&amp;_05preva_view43[[#This Row],[Colo Rev]],""),".xlsx")</f>
        <v>ACRK_0028 (RKE00512) Application.xlsx</v>
      </c>
      <c r="BE354" s="64" t="e">
        <f t="shared" ca="1" si="7"/>
        <v>#VALUE!</v>
      </c>
      <c r="BF354" s="104" t="e">
        <f ca="1">LEFT(CELL("filename",A339),_05preva_view43[[#This Row],[Find Process &amp; Database]]-1)</f>
        <v>#VALUE!</v>
      </c>
      <c r="BG354" s="104" t="e">
        <f ca="1">_05preva_view43[Folder Path1]&amp;"Process &amp; Database\Documentation\Colo Applications"</f>
        <v>#VALUE!</v>
      </c>
      <c r="BH354" s="104" t="e">
        <f ca="1">_05preva_view43[Folder Path2]&amp;"\Colo App "&amp;_05preva_view43[[#This Row],[Operator]]&amp;"\"</f>
        <v>#VALUE!</v>
      </c>
      <c r="BI354" s="63" t="e">
        <f ca="1">_05preva_view43[[#This Row],[Folder Path3]]&amp;_05preva_view43[[#This Row],[File Name]]</f>
        <v>#VALUE!</v>
      </c>
      <c r="BJ354" s="104"/>
      <c r="BK354" s="3"/>
      <c r="BL354" s="3"/>
      <c r="CJ354" s="5"/>
      <c r="CK354" s="5"/>
      <c r="CL354" s="3"/>
      <c r="CN354" s="5"/>
      <c r="CR354" s="3"/>
      <c r="CS354" s="3"/>
      <c r="CT354" s="5"/>
      <c r="CV354" s="3"/>
      <c r="DR354" s="5"/>
      <c r="DT354" s="3"/>
      <c r="EF354" s="7"/>
      <c r="EG354" s="7"/>
      <c r="EJ354" s="4"/>
      <c r="EK354" s="4"/>
      <c r="EU354" s="2"/>
      <c r="EV354" s="2"/>
    </row>
    <row r="355" spans="1:152">
      <c r="A355" s="125">
        <v>63</v>
      </c>
      <c r="B355" s="126" t="s">
        <v>373</v>
      </c>
      <c r="C355" s="126" t="s">
        <v>116</v>
      </c>
      <c r="D355" s="126" t="s">
        <v>163</v>
      </c>
      <c r="E355" s="126" t="s">
        <v>374</v>
      </c>
      <c r="F355" s="126" t="s">
        <v>40</v>
      </c>
      <c r="G355" s="126" t="s">
        <v>118</v>
      </c>
      <c r="H355" s="126"/>
      <c r="I355" s="126" t="s">
        <v>118</v>
      </c>
      <c r="J355" s="126"/>
      <c r="K355" s="127">
        <v>43236</v>
      </c>
      <c r="L355" s="128"/>
      <c r="M355" s="128">
        <v>3</v>
      </c>
      <c r="N355" s="126">
        <v>6</v>
      </c>
      <c r="O355" s="126" t="s">
        <v>119</v>
      </c>
      <c r="P355" s="129"/>
      <c r="Q355" s="129"/>
      <c r="R355" s="126" t="s">
        <v>26</v>
      </c>
      <c r="S355" s="126"/>
      <c r="T355" s="130" t="s">
        <v>144</v>
      </c>
      <c r="U355" s="126" t="s">
        <v>375</v>
      </c>
      <c r="V355" s="130" t="s">
        <v>120</v>
      </c>
      <c r="W355" s="126"/>
      <c r="X355" s="130"/>
      <c r="Y355" s="126"/>
      <c r="Z355" s="165" t="s">
        <v>125</v>
      </c>
      <c r="AA355" s="158"/>
      <c r="AB355" s="158"/>
      <c r="AC355" s="170"/>
      <c r="AD355" s="126" t="s">
        <v>336</v>
      </c>
      <c r="AE355" s="130" t="s">
        <v>125</v>
      </c>
      <c r="AF355" s="127" t="s">
        <v>372</v>
      </c>
      <c r="AG355" s="131"/>
      <c r="AH355" s="131">
        <v>2</v>
      </c>
      <c r="AI355" s="126" t="s">
        <v>377</v>
      </c>
      <c r="AJ355" s="130" t="s">
        <v>144</v>
      </c>
      <c r="AK355" s="126" t="s">
        <v>123</v>
      </c>
      <c r="AL355" s="126" t="s">
        <v>376</v>
      </c>
      <c r="AM355" s="130"/>
      <c r="AN355" s="126"/>
      <c r="AO355" s="132"/>
      <c r="AP355" s="126"/>
      <c r="AQ355" s="126"/>
      <c r="AR355" s="130"/>
      <c r="AS355" s="126"/>
      <c r="AT355" s="127"/>
      <c r="AU355" s="127"/>
      <c r="AV355" s="127"/>
      <c r="AW355" s="127"/>
      <c r="AX355" s="127"/>
      <c r="AY355" s="127"/>
      <c r="AZ355" s="133">
        <v>43236</v>
      </c>
      <c r="BA35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5" s="135">
        <f>COUNTIFS(_05preva_view43[Site ID],_05preva_view43[[#This Row],[Site ID]],_05preva_view43[Prevalidation Status],"Under Prevalidation")</f>
        <v>0</v>
      </c>
      <c r="BC355" s="157" t="e">
        <f ca="1">HYPERLINK(CheckPath(_05preva_view43[[#This Row],[File Path]],_05preva_view43[[#This Row],[File Path]],_05preva_view43[[#This Row],[Folder Path3]]),CheckPath(_05preva_view43[[#This Row],[File Path]],"Open File","No File"))</f>
        <v>#VALUE!</v>
      </c>
      <c r="BD355" s="136" t="str">
        <f>CONCATENATE(_05preva_view43[[#This Row],[Site ID]]," (",_05preva_view43[[#This Row],[tenant id]],") Application",IF(_05preva_view43[[#This Row],[Colo Rev]]&gt;0," Rev "&amp;_05preva_view43[[#This Row],[Colo Rev]],""),".xlsx")</f>
        <v>AYYN_0318 (YAW7776) Application.xlsx</v>
      </c>
      <c r="BE355" s="64" t="e">
        <f t="shared" ca="1" si="7"/>
        <v>#VALUE!</v>
      </c>
      <c r="BF355" s="104" t="e">
        <f ca="1">LEFT(CELL("filename",A340),_05preva_view43[[#This Row],[Find Process &amp; Database]]-1)</f>
        <v>#VALUE!</v>
      </c>
      <c r="BG355" s="104" t="e">
        <f ca="1">_05preva_view43[Folder Path1]&amp;"Process &amp; Database\Documentation\Colo Applications"</f>
        <v>#VALUE!</v>
      </c>
      <c r="BH355" s="104" t="e">
        <f ca="1">_05preva_view43[Folder Path2]&amp;"\Colo App "&amp;_05preva_view43[[#This Row],[Operator]]&amp;"\"</f>
        <v>#VALUE!</v>
      </c>
      <c r="BI355" s="63" t="e">
        <f ca="1">_05preva_view43[[#This Row],[Folder Path3]]&amp;_05preva_view43[[#This Row],[File Name]]</f>
        <v>#VALUE!</v>
      </c>
      <c r="BJ355" s="104"/>
      <c r="BK355" s="3"/>
      <c r="BL355" s="3"/>
      <c r="CJ355" s="5"/>
      <c r="CK355" s="5"/>
      <c r="CL355" s="3"/>
      <c r="CN355" s="5"/>
      <c r="CR355" s="3"/>
      <c r="CS355" s="3"/>
      <c r="CT355" s="5"/>
      <c r="CV355" s="3"/>
      <c r="DR355" s="5"/>
      <c r="DT355" s="3"/>
      <c r="EF355" s="7"/>
      <c r="EG355" s="7"/>
      <c r="EJ355" s="4"/>
      <c r="EK355" s="4"/>
      <c r="EU355" s="2"/>
      <c r="EV355" s="2"/>
    </row>
    <row r="356" spans="1:152">
      <c r="A356" s="125">
        <v>67</v>
      </c>
      <c r="B356" s="126" t="s">
        <v>380</v>
      </c>
      <c r="C356" s="126" t="s">
        <v>116</v>
      </c>
      <c r="D356" s="126" t="s">
        <v>163</v>
      </c>
      <c r="E356" s="126" t="s">
        <v>381</v>
      </c>
      <c r="F356" s="126" t="s">
        <v>40</v>
      </c>
      <c r="G356" s="126" t="s">
        <v>118</v>
      </c>
      <c r="H356" s="126"/>
      <c r="I356" s="126" t="s">
        <v>118</v>
      </c>
      <c r="J356" s="126"/>
      <c r="K356" s="127">
        <v>43236</v>
      </c>
      <c r="L356" s="128"/>
      <c r="M356" s="128">
        <v>3</v>
      </c>
      <c r="N356" s="126"/>
      <c r="O356" s="126" t="s">
        <v>119</v>
      </c>
      <c r="P356" s="129"/>
      <c r="Q356" s="129"/>
      <c r="R356" s="126" t="s">
        <v>26</v>
      </c>
      <c r="S356" s="126"/>
      <c r="T356" s="130" t="s">
        <v>144</v>
      </c>
      <c r="U356" s="126" t="s">
        <v>375</v>
      </c>
      <c r="V356" s="130" t="s">
        <v>120</v>
      </c>
      <c r="W356" s="126"/>
      <c r="X356" s="130"/>
      <c r="Y356" s="126"/>
      <c r="Z356" s="165" t="s">
        <v>125</v>
      </c>
      <c r="AA356" s="158"/>
      <c r="AB356" s="158"/>
      <c r="AC356" s="170"/>
      <c r="AD356" s="126" t="s">
        <v>336</v>
      </c>
      <c r="AE356" s="130" t="s">
        <v>125</v>
      </c>
      <c r="AF356" s="127" t="s">
        <v>372</v>
      </c>
      <c r="AG356" s="131"/>
      <c r="AH356" s="131">
        <v>2</v>
      </c>
      <c r="AI356" s="126" t="s">
        <v>377</v>
      </c>
      <c r="AJ356" s="130"/>
      <c r="AK356" s="126"/>
      <c r="AL356" s="126"/>
      <c r="AM356" s="130"/>
      <c r="AN356" s="126"/>
      <c r="AO356" s="132"/>
      <c r="AP356" s="126"/>
      <c r="AQ356" s="126"/>
      <c r="AR356" s="130"/>
      <c r="AS356" s="126"/>
      <c r="AT356" s="127"/>
      <c r="AU356" s="127"/>
      <c r="AV356" s="127"/>
      <c r="AW356" s="127"/>
      <c r="AX356" s="127"/>
      <c r="AY356" s="127"/>
      <c r="AZ356" s="133">
        <v>43236</v>
      </c>
      <c r="BA35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6" s="135">
        <f>COUNTIFS(_05preva_view43[Site ID],_05preva_view43[[#This Row],[Site ID]],_05preva_view43[Prevalidation Status],"Under Prevalidation")</f>
        <v>0</v>
      </c>
      <c r="BC356" s="157" t="e">
        <f ca="1">HYPERLINK(CheckPath(_05preva_view43[[#This Row],[File Path]],_05preva_view43[[#This Row],[File Path]],_05preva_view43[[#This Row],[Folder Path3]]),CheckPath(_05preva_view43[[#This Row],[File Path]],"Open File","No File"))</f>
        <v>#VALUE!</v>
      </c>
      <c r="BD356" s="136" t="str">
        <f>CONCATENATE(_05preva_view43[[#This Row],[Site ID]]," (",_05preva_view43[[#This Row],[tenant id]],") Application",IF(_05preva_view43[[#This Row],[Colo Rev]]&gt;0," Rev "&amp;_05preva_view43[[#This Row],[Colo Rev]],""),".xlsx")</f>
        <v>AYYN_0538 (YAW7775) Application.xlsx</v>
      </c>
      <c r="BE356" s="64" t="e">
        <f t="shared" ca="1" si="7"/>
        <v>#VALUE!</v>
      </c>
      <c r="BF356" s="104" t="e">
        <f ca="1">LEFT(CELL("filename",A341),_05preva_view43[[#This Row],[Find Process &amp; Database]]-1)</f>
        <v>#VALUE!</v>
      </c>
      <c r="BG356" s="104" t="e">
        <f ca="1">_05preva_view43[Folder Path1]&amp;"Process &amp; Database\Documentation\Colo Applications"</f>
        <v>#VALUE!</v>
      </c>
      <c r="BH356" s="104" t="e">
        <f ca="1">_05preva_view43[Folder Path2]&amp;"\Colo App "&amp;_05preva_view43[[#This Row],[Operator]]&amp;"\"</f>
        <v>#VALUE!</v>
      </c>
      <c r="BI356" s="63" t="e">
        <f ca="1">_05preva_view43[[#This Row],[Folder Path3]]&amp;_05preva_view43[[#This Row],[File Name]]</f>
        <v>#VALUE!</v>
      </c>
      <c r="BJ356" s="104"/>
      <c r="BK356" s="3"/>
      <c r="BL356" s="3"/>
      <c r="CJ356" s="5"/>
      <c r="CK356" s="5"/>
      <c r="CL356" s="3"/>
      <c r="CN356" s="5"/>
      <c r="CR356" s="3"/>
      <c r="CS356" s="3"/>
      <c r="CT356" s="5"/>
      <c r="CV356" s="3"/>
      <c r="DR356" s="5"/>
      <c r="DT356" s="3"/>
      <c r="EF356" s="7"/>
      <c r="EG356" s="7"/>
      <c r="EJ356" s="4"/>
      <c r="EK356" s="4"/>
      <c r="EU356" s="2"/>
      <c r="EV356" s="2"/>
    </row>
    <row r="357" spans="1:152">
      <c r="A357" s="125">
        <v>69</v>
      </c>
      <c r="B357" s="126" t="s">
        <v>382</v>
      </c>
      <c r="C357" s="126" t="s">
        <v>116</v>
      </c>
      <c r="D357" s="126" t="s">
        <v>163</v>
      </c>
      <c r="E357" s="126" t="s">
        <v>383</v>
      </c>
      <c r="F357" s="126" t="s">
        <v>40</v>
      </c>
      <c r="G357" s="126" t="s">
        <v>118</v>
      </c>
      <c r="H357" s="126"/>
      <c r="I357" s="126" t="s">
        <v>118</v>
      </c>
      <c r="J357" s="126"/>
      <c r="K357" s="127">
        <v>43236</v>
      </c>
      <c r="L357" s="128"/>
      <c r="M357" s="128">
        <v>3</v>
      </c>
      <c r="N357" s="126"/>
      <c r="O357" s="126" t="s">
        <v>119</v>
      </c>
      <c r="P357" s="129"/>
      <c r="Q357" s="129"/>
      <c r="R357" s="126" t="s">
        <v>24</v>
      </c>
      <c r="S357" s="126"/>
      <c r="T357" s="130" t="s">
        <v>120</v>
      </c>
      <c r="U357" s="126" t="s">
        <v>378</v>
      </c>
      <c r="V357" s="130" t="s">
        <v>120</v>
      </c>
      <c r="W357" s="126"/>
      <c r="X357" s="130" t="s">
        <v>120</v>
      </c>
      <c r="Y357" s="126" t="s">
        <v>120</v>
      </c>
      <c r="Z357" s="165" t="s">
        <v>120</v>
      </c>
      <c r="AA357" s="158"/>
      <c r="AB357" s="158"/>
      <c r="AC357" s="170"/>
      <c r="AD357" s="126" t="s">
        <v>120</v>
      </c>
      <c r="AE357" s="130" t="s">
        <v>120</v>
      </c>
      <c r="AF357" s="127" t="s">
        <v>372</v>
      </c>
      <c r="AG357" s="131"/>
      <c r="AH357" s="131">
        <v>2</v>
      </c>
      <c r="AI357" s="126" t="s">
        <v>384</v>
      </c>
      <c r="AJ357" s="130" t="s">
        <v>120</v>
      </c>
      <c r="AK357" s="126" t="s">
        <v>123</v>
      </c>
      <c r="AL357" s="126"/>
      <c r="AM357" s="130"/>
      <c r="AN357" s="126"/>
      <c r="AO357" s="132"/>
      <c r="AP357" s="126"/>
      <c r="AQ357" s="126"/>
      <c r="AR357" s="130"/>
      <c r="AS357" s="126"/>
      <c r="AT357" s="127"/>
      <c r="AU357" s="127">
        <v>43453.378971296297</v>
      </c>
      <c r="AV357" s="127"/>
      <c r="AW357" s="127"/>
      <c r="AX357" s="127"/>
      <c r="AY357" s="127"/>
      <c r="AZ357" s="133">
        <v>43236</v>
      </c>
      <c r="BA35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7" s="135">
        <f>COUNTIFS(_05preva_view43[Site ID],_05preva_view43[[#This Row],[Site ID]],_05preva_view43[Prevalidation Status],"Under Prevalidation")</f>
        <v>0</v>
      </c>
      <c r="BC357" s="157" t="e">
        <f ca="1">HYPERLINK(CheckPath(_05preva_view43[[#This Row],[File Path]],_05preva_view43[[#This Row],[File Path]],_05preva_view43[[#This Row],[Folder Path3]]),CheckPath(_05preva_view43[[#This Row],[File Path]],"Open File","No File"))</f>
        <v>#VALUE!</v>
      </c>
      <c r="BD357" s="136" t="str">
        <f>CONCATENATE(_05preva_view43[[#This Row],[Site ID]]," (",_05preva_view43[[#This Row],[tenant id]],") Application",IF(_05preva_view43[[#This Row],[Colo Rev]]&gt;0," Rev "&amp;_05preva_view43[[#This Row],[Colo Rev]],""),".xlsx")</f>
        <v>ACAY_0015 (AYW5549) Application.xlsx</v>
      </c>
      <c r="BE357" s="64" t="e">
        <f t="shared" ca="1" si="7"/>
        <v>#VALUE!</v>
      </c>
      <c r="BF357" s="104" t="e">
        <f ca="1">LEFT(CELL("filename",A342),_05preva_view43[[#This Row],[Find Process &amp; Database]]-1)</f>
        <v>#VALUE!</v>
      </c>
      <c r="BG357" s="104" t="e">
        <f ca="1">_05preva_view43[Folder Path1]&amp;"Process &amp; Database\Documentation\Colo Applications"</f>
        <v>#VALUE!</v>
      </c>
      <c r="BH357" s="104" t="e">
        <f ca="1">_05preva_view43[Folder Path2]&amp;"\Colo App "&amp;_05preva_view43[[#This Row],[Operator]]&amp;"\"</f>
        <v>#VALUE!</v>
      </c>
      <c r="BI357" s="63" t="e">
        <f ca="1">_05preva_view43[[#This Row],[Folder Path3]]&amp;_05preva_view43[[#This Row],[File Name]]</f>
        <v>#VALUE!</v>
      </c>
      <c r="BJ357" s="104"/>
      <c r="BK357" s="3"/>
      <c r="BL357" s="3"/>
      <c r="CJ357" s="5"/>
      <c r="CK357" s="5"/>
      <c r="CL357" s="3"/>
      <c r="CN357" s="5"/>
      <c r="CR357" s="3"/>
      <c r="CS357" s="3"/>
      <c r="CT357" s="5"/>
      <c r="CV357" s="3"/>
      <c r="DR357" s="5"/>
      <c r="DT357" s="3"/>
      <c r="EF357" s="7"/>
      <c r="EG357" s="7"/>
      <c r="EJ357" s="4"/>
      <c r="EK357" s="4"/>
      <c r="EU357" s="2"/>
      <c r="EV357" s="2"/>
    </row>
    <row r="358" spans="1:152">
      <c r="A358" s="125">
        <v>70</v>
      </c>
      <c r="B358" s="126" t="s">
        <v>385</v>
      </c>
      <c r="C358" s="126" t="s">
        <v>116</v>
      </c>
      <c r="D358" s="126" t="s">
        <v>163</v>
      </c>
      <c r="E358" s="126" t="s">
        <v>386</v>
      </c>
      <c r="F358" s="126" t="s">
        <v>40</v>
      </c>
      <c r="G358" s="126" t="s">
        <v>118</v>
      </c>
      <c r="H358" s="126"/>
      <c r="I358" s="126" t="s">
        <v>118</v>
      </c>
      <c r="J358" s="126"/>
      <c r="K358" s="127">
        <v>43236</v>
      </c>
      <c r="L358" s="128"/>
      <c r="M358" s="128">
        <v>3</v>
      </c>
      <c r="N358" s="126"/>
      <c r="O358" s="126" t="s">
        <v>119</v>
      </c>
      <c r="P358" s="129"/>
      <c r="Q358" s="129"/>
      <c r="R358" s="126" t="s">
        <v>24</v>
      </c>
      <c r="S358" s="126"/>
      <c r="T358" s="130" t="s">
        <v>120</v>
      </c>
      <c r="U358" s="126" t="s">
        <v>378</v>
      </c>
      <c r="V358" s="130" t="s">
        <v>120</v>
      </c>
      <c r="W358" s="126"/>
      <c r="X358" s="130" t="s">
        <v>120</v>
      </c>
      <c r="Y358" s="126" t="s">
        <v>120</v>
      </c>
      <c r="Z358" s="165" t="s">
        <v>120</v>
      </c>
      <c r="AA358" s="158"/>
      <c r="AB358" s="158"/>
      <c r="AC358" s="170"/>
      <c r="AD358" s="126" t="s">
        <v>120</v>
      </c>
      <c r="AE358" s="130" t="s">
        <v>120</v>
      </c>
      <c r="AF358" s="127" t="s">
        <v>241</v>
      </c>
      <c r="AG358" s="131"/>
      <c r="AH358" s="131">
        <v>3.5</v>
      </c>
      <c r="AI358" s="126" t="s">
        <v>387</v>
      </c>
      <c r="AJ358" s="130" t="s">
        <v>120</v>
      </c>
      <c r="AK358" s="126" t="s">
        <v>123</v>
      </c>
      <c r="AL358" s="126"/>
      <c r="AM358" s="130"/>
      <c r="AN358" s="126"/>
      <c r="AO358" s="132"/>
      <c r="AP358" s="126"/>
      <c r="AQ358" s="126"/>
      <c r="AR358" s="130"/>
      <c r="AS358" s="126"/>
      <c r="AT358" s="127"/>
      <c r="AU358" s="127">
        <v>43453.378972222199</v>
      </c>
      <c r="AV358" s="127"/>
      <c r="AW358" s="127"/>
      <c r="AX358" s="127"/>
      <c r="AY358" s="127"/>
      <c r="AZ358" s="133">
        <v>43236</v>
      </c>
      <c r="BA35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8" s="135">
        <f>COUNTIFS(_05preva_view43[Site ID],_05preva_view43[[#This Row],[Site ID]],_05preva_view43[Prevalidation Status],"Under Prevalidation")</f>
        <v>0</v>
      </c>
      <c r="BC358" s="157" t="e">
        <f ca="1">HYPERLINK(CheckPath(_05preva_view43[[#This Row],[File Path]],_05preva_view43[[#This Row],[File Path]],_05preva_view43[[#This Row],[Folder Path3]]),CheckPath(_05preva_view43[[#This Row],[File Path]],"Open File","No File"))</f>
        <v>#VALUE!</v>
      </c>
      <c r="BD358" s="136" t="str">
        <f>CONCATENATE(_05preva_view43[[#This Row],[Site ID]]," (",_05preva_view43[[#This Row],[tenant id]],") Application",IF(_05preva_view43[[#This Row],[Colo Rev]]&gt;0," Rev "&amp;_05preva_view43[[#This Row],[Colo Rev]],""),".xlsx")</f>
        <v>ASMO_0313 (MOW6298) Application.xlsx</v>
      </c>
      <c r="BE358" s="64" t="e">
        <f t="shared" ca="1" si="7"/>
        <v>#VALUE!</v>
      </c>
      <c r="BF358" s="104" t="e">
        <f ca="1">LEFT(CELL("filename",A343),_05preva_view43[[#This Row],[Find Process &amp; Database]]-1)</f>
        <v>#VALUE!</v>
      </c>
      <c r="BG358" s="104" t="e">
        <f ca="1">_05preva_view43[Folder Path1]&amp;"Process &amp; Database\Documentation\Colo Applications"</f>
        <v>#VALUE!</v>
      </c>
      <c r="BH358" s="104" t="e">
        <f ca="1">_05preva_view43[Folder Path2]&amp;"\Colo App "&amp;_05preva_view43[[#This Row],[Operator]]&amp;"\"</f>
        <v>#VALUE!</v>
      </c>
      <c r="BI358" s="63" t="e">
        <f ca="1">_05preva_view43[[#This Row],[Folder Path3]]&amp;_05preva_view43[[#This Row],[File Name]]</f>
        <v>#VALUE!</v>
      </c>
      <c r="BJ358" s="104"/>
      <c r="BK358" s="3"/>
      <c r="BL358" s="3"/>
      <c r="CJ358" s="5"/>
      <c r="CK358" s="5"/>
      <c r="CL358" s="3"/>
      <c r="CN358" s="5"/>
      <c r="CR358" s="3"/>
      <c r="CS358" s="3"/>
      <c r="CT358" s="5"/>
      <c r="CV358" s="3"/>
      <c r="DR358" s="5"/>
      <c r="DT358" s="3"/>
      <c r="EF358" s="7"/>
      <c r="EG358" s="7"/>
      <c r="EJ358" s="4"/>
      <c r="EK358" s="4"/>
      <c r="EU358" s="2"/>
      <c r="EV358" s="2"/>
    </row>
    <row r="359" spans="1:152">
      <c r="A359" s="125">
        <v>71</v>
      </c>
      <c r="B359" s="126" t="s">
        <v>388</v>
      </c>
      <c r="C359" s="126" t="s">
        <v>116</v>
      </c>
      <c r="D359" s="126" t="s">
        <v>163</v>
      </c>
      <c r="E359" s="126" t="s">
        <v>389</v>
      </c>
      <c r="F359" s="126" t="s">
        <v>40</v>
      </c>
      <c r="G359" s="126" t="s">
        <v>118</v>
      </c>
      <c r="H359" s="126"/>
      <c r="I359" s="126" t="s">
        <v>118</v>
      </c>
      <c r="J359" s="126"/>
      <c r="K359" s="127">
        <v>43236</v>
      </c>
      <c r="L359" s="128"/>
      <c r="M359" s="128">
        <v>3</v>
      </c>
      <c r="N359" s="126"/>
      <c r="O359" s="126" t="s">
        <v>119</v>
      </c>
      <c r="P359" s="129"/>
      <c r="Q359" s="129"/>
      <c r="R359" s="126" t="s">
        <v>24</v>
      </c>
      <c r="S359" s="126"/>
      <c r="T359" s="130" t="s">
        <v>120</v>
      </c>
      <c r="U359" s="126" t="s">
        <v>378</v>
      </c>
      <c r="V359" s="130" t="s">
        <v>120</v>
      </c>
      <c r="W359" s="126"/>
      <c r="X359" s="130" t="s">
        <v>120</v>
      </c>
      <c r="Y359" s="126" t="s">
        <v>120</v>
      </c>
      <c r="Z359" s="165" t="s">
        <v>120</v>
      </c>
      <c r="AA359" s="158"/>
      <c r="AB359" s="158"/>
      <c r="AC359" s="170"/>
      <c r="AD359" s="126" t="s">
        <v>120</v>
      </c>
      <c r="AE359" s="130" t="s">
        <v>120</v>
      </c>
      <c r="AF359" s="127" t="s">
        <v>372</v>
      </c>
      <c r="AG359" s="131"/>
      <c r="AH359" s="131">
        <v>2</v>
      </c>
      <c r="AI359" s="126" t="s">
        <v>390</v>
      </c>
      <c r="AJ359" s="130" t="s">
        <v>120</v>
      </c>
      <c r="AK359" s="126" t="s">
        <v>123</v>
      </c>
      <c r="AL359" s="126"/>
      <c r="AM359" s="130"/>
      <c r="AN359" s="126"/>
      <c r="AO359" s="132"/>
      <c r="AP359" s="126"/>
      <c r="AQ359" s="126"/>
      <c r="AR359" s="130"/>
      <c r="AS359" s="126"/>
      <c r="AT359" s="127"/>
      <c r="AU359" s="127">
        <v>43453.378973032399</v>
      </c>
      <c r="AV359" s="127"/>
      <c r="AW359" s="127"/>
      <c r="AX359" s="127"/>
      <c r="AY359" s="127"/>
      <c r="AZ359" s="133">
        <v>43236</v>
      </c>
      <c r="BA35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9" s="135">
        <f>COUNTIFS(_05preva_view43[Site ID],_05preva_view43[[#This Row],[Site ID]],_05preva_view43[Prevalidation Status],"Under Prevalidation")</f>
        <v>0</v>
      </c>
      <c r="BC359" s="157" t="e">
        <f ca="1">HYPERLINK(CheckPath(_05preva_view43[[#This Row],[File Path]],_05preva_view43[[#This Row],[File Path]],_05preva_view43[[#This Row],[Folder Path3]]),CheckPath(_05preva_view43[[#This Row],[File Path]],"Open File","No File"))</f>
        <v>#VALUE!</v>
      </c>
      <c r="BD359" s="136" t="str">
        <f>CONCATENATE(_05preva_view43[[#This Row],[Site ID]]," (",_05preva_view43[[#This Row],[tenant id]],") Application",IF(_05preva_view43[[#This Row],[Colo Rev]]&gt;0," Rev "&amp;_05preva_view43[[#This Row],[Colo Rev]],""),".xlsx")</f>
        <v>ASMO_0201 (MOW6299) Application.xlsx</v>
      </c>
      <c r="BE359" s="64" t="e">
        <f t="shared" ca="1" si="7"/>
        <v>#VALUE!</v>
      </c>
      <c r="BF359" s="104" t="e">
        <f ca="1">LEFT(CELL("filename",A344),_05preva_view43[[#This Row],[Find Process &amp; Database]]-1)</f>
        <v>#VALUE!</v>
      </c>
      <c r="BG359" s="104" t="e">
        <f ca="1">_05preva_view43[Folder Path1]&amp;"Process &amp; Database\Documentation\Colo Applications"</f>
        <v>#VALUE!</v>
      </c>
      <c r="BH359" s="104" t="e">
        <f ca="1">_05preva_view43[Folder Path2]&amp;"\Colo App "&amp;_05preva_view43[[#This Row],[Operator]]&amp;"\"</f>
        <v>#VALUE!</v>
      </c>
      <c r="BI359" s="63" t="e">
        <f ca="1">_05preva_view43[[#This Row],[Folder Path3]]&amp;_05preva_view43[[#This Row],[File Name]]</f>
        <v>#VALUE!</v>
      </c>
      <c r="BJ359" s="104"/>
      <c r="BK359" s="3"/>
      <c r="BL359" s="3"/>
      <c r="CJ359" s="5"/>
      <c r="CK359" s="5"/>
      <c r="CL359" s="3"/>
      <c r="CN359" s="5"/>
      <c r="CR359" s="3"/>
      <c r="CS359" s="3"/>
      <c r="CT359" s="5"/>
      <c r="CV359" s="3"/>
      <c r="DR359" s="5"/>
      <c r="DT359" s="3"/>
      <c r="EF359" s="7"/>
      <c r="EG359" s="7"/>
      <c r="EJ359" s="4"/>
      <c r="EK359" s="4"/>
      <c r="EU359" s="2"/>
      <c r="EV359" s="2"/>
    </row>
    <row r="360" spans="1:152">
      <c r="A360" s="125">
        <v>72</v>
      </c>
      <c r="B360" s="126" t="s">
        <v>391</v>
      </c>
      <c r="C360" s="126" t="s">
        <v>116</v>
      </c>
      <c r="D360" s="126" t="s">
        <v>163</v>
      </c>
      <c r="E360" s="126" t="s">
        <v>392</v>
      </c>
      <c r="F360" s="126" t="s">
        <v>40</v>
      </c>
      <c r="G360" s="126" t="s">
        <v>118</v>
      </c>
      <c r="H360" s="126"/>
      <c r="I360" s="126" t="s">
        <v>118</v>
      </c>
      <c r="J360" s="126"/>
      <c r="K360" s="127">
        <v>43236</v>
      </c>
      <c r="L360" s="128"/>
      <c r="M360" s="128">
        <v>3</v>
      </c>
      <c r="N360" s="126"/>
      <c r="O360" s="126" t="s">
        <v>119</v>
      </c>
      <c r="P360" s="129"/>
      <c r="Q360" s="129"/>
      <c r="R360" s="126" t="s">
        <v>24</v>
      </c>
      <c r="S360" s="126"/>
      <c r="T360" s="130" t="s">
        <v>120</v>
      </c>
      <c r="U360" s="126" t="s">
        <v>378</v>
      </c>
      <c r="V360" s="130" t="s">
        <v>120</v>
      </c>
      <c r="W360" s="126"/>
      <c r="X360" s="130" t="s">
        <v>120</v>
      </c>
      <c r="Y360" s="126" t="s">
        <v>120</v>
      </c>
      <c r="Z360" s="165" t="s">
        <v>120</v>
      </c>
      <c r="AA360" s="158"/>
      <c r="AB360" s="158"/>
      <c r="AC360" s="170"/>
      <c r="AD360" s="126" t="s">
        <v>120</v>
      </c>
      <c r="AE360" s="130" t="s">
        <v>120</v>
      </c>
      <c r="AF360" s="127" t="s">
        <v>241</v>
      </c>
      <c r="AG360" s="131"/>
      <c r="AH360" s="131">
        <v>3.5</v>
      </c>
      <c r="AI360" s="126" t="s">
        <v>242</v>
      </c>
      <c r="AJ360" s="130" t="s">
        <v>120</v>
      </c>
      <c r="AK360" s="126" t="s">
        <v>123</v>
      </c>
      <c r="AL360" s="126"/>
      <c r="AM360" s="130"/>
      <c r="AN360" s="126"/>
      <c r="AO360" s="132"/>
      <c r="AP360" s="126"/>
      <c r="AQ360" s="126"/>
      <c r="AR360" s="130"/>
      <c r="AS360" s="126"/>
      <c r="AT360" s="127"/>
      <c r="AU360" s="127">
        <v>43453.378975</v>
      </c>
      <c r="AV360" s="127"/>
      <c r="AW360" s="127"/>
      <c r="AX360" s="127"/>
      <c r="AY360" s="127"/>
      <c r="AZ360" s="133">
        <v>43236</v>
      </c>
      <c r="BA36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0" s="135">
        <f>COUNTIFS(_05preva_view43[Site ID],_05preva_view43[[#This Row],[Site ID]],_05preva_view43[Prevalidation Status],"Under Prevalidation")</f>
        <v>0</v>
      </c>
      <c r="BC360" s="157" t="e">
        <f ca="1">HYPERLINK(CheckPath(_05preva_view43[[#This Row],[File Path]],_05preva_view43[[#This Row],[File Path]],_05preva_view43[[#This Row],[Folder Path3]]),CheckPath(_05preva_view43[[#This Row],[File Path]],"Open File","No File"))</f>
        <v>#VALUE!</v>
      </c>
      <c r="BD360" s="136" t="str">
        <f>CONCATENATE(_05preva_view43[[#This Row],[Site ID]]," (",_05preva_view43[[#This Row],[tenant id]],") Application",IF(_05preva_view43[[#This Row],[Colo Rev]]&gt;0," Rev "&amp;_05preva_view43[[#This Row],[Colo Rev]],""),".xlsx")</f>
        <v>ACBA_0255 (BAW5557) Application.xlsx</v>
      </c>
      <c r="BE360" s="64" t="e">
        <f t="shared" ca="1" si="7"/>
        <v>#VALUE!</v>
      </c>
      <c r="BF360" s="104" t="e">
        <f ca="1">LEFT(CELL("filename",A345),_05preva_view43[[#This Row],[Find Process &amp; Database]]-1)</f>
        <v>#VALUE!</v>
      </c>
      <c r="BG360" s="104" t="e">
        <f ca="1">_05preva_view43[Folder Path1]&amp;"Process &amp; Database\Documentation\Colo Applications"</f>
        <v>#VALUE!</v>
      </c>
      <c r="BH360" s="104" t="e">
        <f ca="1">_05preva_view43[Folder Path2]&amp;"\Colo App "&amp;_05preva_view43[[#This Row],[Operator]]&amp;"\"</f>
        <v>#VALUE!</v>
      </c>
      <c r="BI360" s="63" t="e">
        <f ca="1">_05preva_view43[[#This Row],[Folder Path3]]&amp;_05preva_view43[[#This Row],[File Name]]</f>
        <v>#VALUE!</v>
      </c>
      <c r="BJ360" s="104"/>
      <c r="BK360" s="3"/>
      <c r="BL360" s="3"/>
      <c r="CJ360" s="5"/>
      <c r="CK360" s="5"/>
      <c r="CL360" s="3"/>
      <c r="CN360" s="5"/>
      <c r="CR360" s="3"/>
      <c r="CS360" s="3"/>
      <c r="CT360" s="5"/>
      <c r="CV360" s="3"/>
      <c r="DR360" s="5"/>
      <c r="DT360" s="3"/>
      <c r="EF360" s="7"/>
      <c r="EG360" s="7"/>
      <c r="EJ360" s="4"/>
      <c r="EK360" s="4"/>
      <c r="EU360" s="2"/>
      <c r="EV360" s="2"/>
    </row>
    <row r="361" spans="1:152">
      <c r="A361" s="125">
        <v>74</v>
      </c>
      <c r="B361" s="126" t="s">
        <v>393</v>
      </c>
      <c r="C361" s="126" t="s">
        <v>116</v>
      </c>
      <c r="D361" s="126" t="s">
        <v>163</v>
      </c>
      <c r="E361" s="126" t="s">
        <v>394</v>
      </c>
      <c r="F361" s="126" t="s">
        <v>40</v>
      </c>
      <c r="G361" s="126" t="s">
        <v>118</v>
      </c>
      <c r="H361" s="126"/>
      <c r="I361" s="126" t="s">
        <v>118</v>
      </c>
      <c r="J361" s="126"/>
      <c r="K361" s="127">
        <v>43236</v>
      </c>
      <c r="L361" s="128"/>
      <c r="M361" s="128">
        <v>3</v>
      </c>
      <c r="N361" s="126"/>
      <c r="O361" s="126" t="s">
        <v>119</v>
      </c>
      <c r="P361" s="129"/>
      <c r="Q361" s="129"/>
      <c r="R361" s="126" t="s">
        <v>26</v>
      </c>
      <c r="S361" s="126"/>
      <c r="T361" s="130" t="s">
        <v>144</v>
      </c>
      <c r="U361" s="126" t="s">
        <v>395</v>
      </c>
      <c r="V361" s="130" t="s">
        <v>144</v>
      </c>
      <c r="W361" s="126"/>
      <c r="X361" s="130"/>
      <c r="Y361" s="126"/>
      <c r="Z361" s="165" t="s">
        <v>125</v>
      </c>
      <c r="AA361" s="158"/>
      <c r="AB361" s="158"/>
      <c r="AC361" s="170"/>
      <c r="AD361" s="126" t="s">
        <v>336</v>
      </c>
      <c r="AE361" s="130" t="s">
        <v>120</v>
      </c>
      <c r="AF361" s="127" t="s">
        <v>372</v>
      </c>
      <c r="AG361" s="131"/>
      <c r="AH361" s="131">
        <v>2</v>
      </c>
      <c r="AI361" s="126" t="s">
        <v>396</v>
      </c>
      <c r="AJ361" s="130"/>
      <c r="AK361" s="126"/>
      <c r="AL361" s="126"/>
      <c r="AM361" s="130"/>
      <c r="AN361" s="126"/>
      <c r="AO361" s="132"/>
      <c r="AP361" s="126"/>
      <c r="AQ361" s="126"/>
      <c r="AR361" s="130"/>
      <c r="AS361" s="126"/>
      <c r="AT361" s="127"/>
      <c r="AU361" s="127">
        <v>43453.3789755787</v>
      </c>
      <c r="AV361" s="127"/>
      <c r="AW361" s="127"/>
      <c r="AX361" s="127"/>
      <c r="AY361" s="127"/>
      <c r="AZ361" s="133">
        <v>43236</v>
      </c>
      <c r="BA36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1" s="135">
        <f>COUNTIFS(_05preva_view43[Site ID],_05preva_view43[[#This Row],[Site ID]],_05preva_view43[Prevalidation Status],"Under Prevalidation")</f>
        <v>0</v>
      </c>
      <c r="BC361" s="157" t="e">
        <f ca="1">HYPERLINK(CheckPath(_05preva_view43[[#This Row],[File Path]],_05preva_view43[[#This Row],[File Path]],_05preva_view43[[#This Row],[Folder Path3]]),CheckPath(_05preva_view43[[#This Row],[File Path]],"Open File","No File"))</f>
        <v>#VALUE!</v>
      </c>
      <c r="BD361" s="136" t="str">
        <f>CONCATENATE(_05preva_view43[[#This Row],[Site ID]]," (",_05preva_view43[[#This Row],[tenant id]],") Application",IF(_05preva_view43[[#This Row],[Colo Rev]]&gt;0," Rev "&amp;_05preva_view43[[#This Row],[Colo Rev]],""),".xlsx")</f>
        <v>AYYN_0485 (YAW7772) Application.xlsx</v>
      </c>
      <c r="BE361" s="64" t="e">
        <f t="shared" ca="1" si="7"/>
        <v>#VALUE!</v>
      </c>
      <c r="BF361" s="104" t="e">
        <f ca="1">LEFT(CELL("filename",A346),_05preva_view43[[#This Row],[Find Process &amp; Database]]-1)</f>
        <v>#VALUE!</v>
      </c>
      <c r="BG361" s="104" t="e">
        <f ca="1">_05preva_view43[Folder Path1]&amp;"Process &amp; Database\Documentation\Colo Applications"</f>
        <v>#VALUE!</v>
      </c>
      <c r="BH361" s="104" t="e">
        <f ca="1">_05preva_view43[Folder Path2]&amp;"\Colo App "&amp;_05preva_view43[[#This Row],[Operator]]&amp;"\"</f>
        <v>#VALUE!</v>
      </c>
      <c r="BI361" s="63" t="e">
        <f ca="1">_05preva_view43[[#This Row],[Folder Path3]]&amp;_05preva_view43[[#This Row],[File Name]]</f>
        <v>#VALUE!</v>
      </c>
      <c r="BJ361" s="104"/>
      <c r="BK361" s="3"/>
      <c r="BL361" s="3"/>
      <c r="CJ361" s="5"/>
      <c r="CK361" s="5"/>
      <c r="CL361" s="3"/>
      <c r="CN361" s="5"/>
      <c r="CR361" s="3"/>
      <c r="CS361" s="3"/>
      <c r="CT361" s="5"/>
      <c r="CV361" s="3"/>
      <c r="DR361" s="5"/>
      <c r="DT361" s="3"/>
      <c r="EF361" s="7"/>
      <c r="EG361" s="7"/>
      <c r="EJ361" s="4"/>
      <c r="EK361" s="4"/>
      <c r="EU361" s="2"/>
      <c r="EV361" s="2"/>
    </row>
    <row r="362" spans="1:152">
      <c r="A362" s="125">
        <v>75</v>
      </c>
      <c r="B362" s="126" t="s">
        <v>397</v>
      </c>
      <c r="C362" s="126" t="s">
        <v>116</v>
      </c>
      <c r="D362" s="126" t="s">
        <v>163</v>
      </c>
      <c r="E362" s="126" t="s">
        <v>398</v>
      </c>
      <c r="F362" s="126" t="s">
        <v>40</v>
      </c>
      <c r="G362" s="126" t="s">
        <v>118</v>
      </c>
      <c r="H362" s="126"/>
      <c r="I362" s="126" t="s">
        <v>118</v>
      </c>
      <c r="J362" s="126"/>
      <c r="K362" s="127">
        <v>43236</v>
      </c>
      <c r="L362" s="128"/>
      <c r="M362" s="128">
        <v>3</v>
      </c>
      <c r="N362" s="126"/>
      <c r="O362" s="126" t="s">
        <v>119</v>
      </c>
      <c r="P362" s="129"/>
      <c r="Q362" s="129"/>
      <c r="R362" s="126" t="s">
        <v>24</v>
      </c>
      <c r="S362" s="126"/>
      <c r="T362" s="130" t="s">
        <v>120</v>
      </c>
      <c r="U362" s="126" t="s">
        <v>378</v>
      </c>
      <c r="V362" s="130" t="s">
        <v>120</v>
      </c>
      <c r="W362" s="126"/>
      <c r="X362" s="130" t="s">
        <v>120</v>
      </c>
      <c r="Y362" s="126" t="s">
        <v>399</v>
      </c>
      <c r="Z362" s="165" t="s">
        <v>120</v>
      </c>
      <c r="AA362" s="158"/>
      <c r="AB362" s="158"/>
      <c r="AC362" s="170"/>
      <c r="AD362" s="126" t="s">
        <v>120</v>
      </c>
      <c r="AE362" s="130" t="s">
        <v>120</v>
      </c>
      <c r="AF362" s="127" t="s">
        <v>241</v>
      </c>
      <c r="AG362" s="131"/>
      <c r="AH362" s="131">
        <v>3.5</v>
      </c>
      <c r="AI362" s="126" t="s">
        <v>242</v>
      </c>
      <c r="AJ362" s="130" t="s">
        <v>120</v>
      </c>
      <c r="AK362" s="126" t="s">
        <v>123</v>
      </c>
      <c r="AL362" s="126"/>
      <c r="AM362" s="130"/>
      <c r="AN362" s="126"/>
      <c r="AO362" s="132"/>
      <c r="AP362" s="126"/>
      <c r="AQ362" s="126"/>
      <c r="AR362" s="130"/>
      <c r="AS362" s="126"/>
      <c r="AT362" s="127"/>
      <c r="AU362" s="127">
        <v>43453.378976273103</v>
      </c>
      <c r="AV362" s="127"/>
      <c r="AW362" s="127"/>
      <c r="AX362" s="127"/>
      <c r="AY362" s="127"/>
      <c r="AZ362" s="133">
        <v>43236</v>
      </c>
      <c r="BA36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2" s="135">
        <f>COUNTIFS(_05preva_view43[Site ID],_05preva_view43[[#This Row],[Site ID]],_05preva_view43[Prevalidation Status],"Under Prevalidation")</f>
        <v>0</v>
      </c>
      <c r="BC362" s="157" t="e">
        <f ca="1">HYPERLINK(CheckPath(_05preva_view43[[#This Row],[File Path]],_05preva_view43[[#This Row],[File Path]],_05preva_view43[[#This Row],[Folder Path3]]),CheckPath(_05preva_view43[[#This Row],[File Path]],"Open File","No File"))</f>
        <v>#VALUE!</v>
      </c>
      <c r="BD362" s="136" t="str">
        <f>CONCATENATE(_05preva_view43[[#This Row],[Site ID]]," (",_05preva_view43[[#This Row],[tenant id]],") Application",IF(_05preva_view43[[#This Row],[Colo Rev]]&gt;0," Rev "&amp;_05preva_view43[[#This Row],[Colo Rev]],""),".xlsx")</f>
        <v>AYYN_0244 (YAW7770) Application.xlsx</v>
      </c>
      <c r="BE362" s="64" t="e">
        <f t="shared" ca="1" si="7"/>
        <v>#VALUE!</v>
      </c>
      <c r="BF362" s="104" t="e">
        <f ca="1">LEFT(CELL("filename",A347),_05preva_view43[[#This Row],[Find Process &amp; Database]]-1)</f>
        <v>#VALUE!</v>
      </c>
      <c r="BG362" s="104" t="e">
        <f ca="1">_05preva_view43[Folder Path1]&amp;"Process &amp; Database\Documentation\Colo Applications"</f>
        <v>#VALUE!</v>
      </c>
      <c r="BH362" s="104" t="e">
        <f ca="1">_05preva_view43[Folder Path2]&amp;"\Colo App "&amp;_05preva_view43[[#This Row],[Operator]]&amp;"\"</f>
        <v>#VALUE!</v>
      </c>
      <c r="BI362" s="63" t="e">
        <f ca="1">_05preva_view43[[#This Row],[Folder Path3]]&amp;_05preva_view43[[#This Row],[File Name]]</f>
        <v>#VALUE!</v>
      </c>
      <c r="BJ362" s="104"/>
      <c r="BK362" s="3"/>
      <c r="BL362" s="3"/>
      <c r="CJ362" s="5"/>
      <c r="CK362" s="5"/>
      <c r="CL362" s="3"/>
      <c r="CN362" s="5"/>
      <c r="CR362" s="3"/>
      <c r="CS362" s="3"/>
      <c r="CT362" s="5"/>
      <c r="CV362" s="3"/>
      <c r="DR362" s="5"/>
      <c r="DT362" s="3"/>
      <c r="EF362" s="7"/>
      <c r="EG362" s="7"/>
      <c r="EJ362" s="4"/>
      <c r="EK362" s="4"/>
      <c r="EU362" s="2"/>
      <c r="EV362" s="2"/>
    </row>
    <row r="363" spans="1:152">
      <c r="A363" s="125">
        <v>76</v>
      </c>
      <c r="B363" s="126" t="s">
        <v>400</v>
      </c>
      <c r="C363" s="126" t="s">
        <v>116</v>
      </c>
      <c r="D363" s="126" t="s">
        <v>163</v>
      </c>
      <c r="E363" s="126" t="s">
        <v>401</v>
      </c>
      <c r="F363" s="126" t="s">
        <v>40</v>
      </c>
      <c r="G363" s="126" t="s">
        <v>118</v>
      </c>
      <c r="H363" s="126"/>
      <c r="I363" s="126" t="s">
        <v>118</v>
      </c>
      <c r="J363" s="126"/>
      <c r="K363" s="127">
        <v>43236</v>
      </c>
      <c r="L363" s="128"/>
      <c r="M363" s="128">
        <v>3</v>
      </c>
      <c r="N363" s="126"/>
      <c r="O363" s="126" t="s">
        <v>119</v>
      </c>
      <c r="P363" s="129"/>
      <c r="Q363" s="129"/>
      <c r="R363" s="126" t="s">
        <v>26</v>
      </c>
      <c r="S363" s="126"/>
      <c r="T363" s="130" t="s">
        <v>144</v>
      </c>
      <c r="U363" s="126" t="s">
        <v>402</v>
      </c>
      <c r="V363" s="130" t="s">
        <v>120</v>
      </c>
      <c r="W363" s="126"/>
      <c r="X363" s="130"/>
      <c r="Y363" s="126"/>
      <c r="Z363" s="165" t="s">
        <v>125</v>
      </c>
      <c r="AA363" s="158"/>
      <c r="AB363" s="158"/>
      <c r="AC363" s="170"/>
      <c r="AD363" s="126" t="s">
        <v>336</v>
      </c>
      <c r="AE363" s="130" t="s">
        <v>120</v>
      </c>
      <c r="AF363" s="127" t="s">
        <v>372</v>
      </c>
      <c r="AG363" s="131"/>
      <c r="AH363" s="131">
        <v>2</v>
      </c>
      <c r="AI363" s="126" t="s">
        <v>377</v>
      </c>
      <c r="AJ363" s="130"/>
      <c r="AK363" s="126"/>
      <c r="AL363" s="126"/>
      <c r="AM363" s="130"/>
      <c r="AN363" s="126"/>
      <c r="AO363" s="132"/>
      <c r="AP363" s="126"/>
      <c r="AQ363" s="126"/>
      <c r="AR363" s="130"/>
      <c r="AS363" s="126"/>
      <c r="AT363" s="127"/>
      <c r="AU363" s="127">
        <v>43453.3789769676</v>
      </c>
      <c r="AV363" s="127"/>
      <c r="AW363" s="127"/>
      <c r="AX363" s="127"/>
      <c r="AY363" s="127"/>
      <c r="AZ363" s="133">
        <v>43236</v>
      </c>
      <c r="BA36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3" s="135">
        <f>COUNTIFS(_05preva_view43[Site ID],_05preva_view43[[#This Row],[Site ID]],_05preva_view43[Prevalidation Status],"Under Prevalidation")</f>
        <v>0</v>
      </c>
      <c r="BC363" s="157" t="e">
        <f ca="1">HYPERLINK(CheckPath(_05preva_view43[[#This Row],[File Path]],_05preva_view43[[#This Row],[File Path]],_05preva_view43[[#This Row],[Folder Path3]]),CheckPath(_05preva_view43[[#This Row],[File Path]],"Open File","No File"))</f>
        <v>#VALUE!</v>
      </c>
      <c r="BD363" s="136" t="str">
        <f>CONCATENATE(_05preva_view43[[#This Row],[Site ID]]," (",_05preva_view43[[#This Row],[tenant id]],") Application",IF(_05preva_view43[[#This Row],[Colo Rev]]&gt;0," Rev "&amp;_05preva_view43[[#This Row],[Colo Rev]],""),".xlsx")</f>
        <v>AYYN_0517 (YAW7769) Application.xlsx</v>
      </c>
      <c r="BE363" s="64" t="e">
        <f t="shared" ca="1" si="7"/>
        <v>#VALUE!</v>
      </c>
      <c r="BF363" s="104" t="e">
        <f ca="1">LEFT(CELL("filename",A348),_05preva_view43[[#This Row],[Find Process &amp; Database]]-1)</f>
        <v>#VALUE!</v>
      </c>
      <c r="BG363" s="104" t="e">
        <f ca="1">_05preva_view43[Folder Path1]&amp;"Process &amp; Database\Documentation\Colo Applications"</f>
        <v>#VALUE!</v>
      </c>
      <c r="BH363" s="104" t="e">
        <f ca="1">_05preva_view43[Folder Path2]&amp;"\Colo App "&amp;_05preva_view43[[#This Row],[Operator]]&amp;"\"</f>
        <v>#VALUE!</v>
      </c>
      <c r="BI363" s="63" t="e">
        <f ca="1">_05preva_view43[[#This Row],[Folder Path3]]&amp;_05preva_view43[[#This Row],[File Name]]</f>
        <v>#VALUE!</v>
      </c>
      <c r="BJ363" s="104"/>
      <c r="BK363" s="3"/>
      <c r="BL363" s="3"/>
      <c r="CJ363" s="5"/>
      <c r="CK363" s="5"/>
      <c r="CL363" s="3"/>
      <c r="CN363" s="5"/>
      <c r="CR363" s="3"/>
      <c r="CS363" s="3"/>
      <c r="CT363" s="5"/>
      <c r="CV363" s="3"/>
      <c r="DR363" s="5"/>
      <c r="DT363" s="3"/>
      <c r="EF363" s="7"/>
      <c r="EG363" s="7"/>
      <c r="EJ363" s="4"/>
      <c r="EK363" s="4"/>
      <c r="EU363" s="2"/>
      <c r="EV363" s="2"/>
    </row>
    <row r="364" spans="1:152">
      <c r="A364" s="125">
        <v>79</v>
      </c>
      <c r="B364" s="126" t="s">
        <v>406</v>
      </c>
      <c r="C364" s="126" t="s">
        <v>116</v>
      </c>
      <c r="D364" s="126" t="s">
        <v>117</v>
      </c>
      <c r="E364" s="126" t="s">
        <v>407</v>
      </c>
      <c r="F364" s="126" t="s">
        <v>40</v>
      </c>
      <c r="G364" s="126" t="s">
        <v>1579</v>
      </c>
      <c r="H364" s="126" t="s">
        <v>1575</v>
      </c>
      <c r="I364" s="126" t="s">
        <v>118</v>
      </c>
      <c r="J364" s="126"/>
      <c r="K364" s="127">
        <v>43236</v>
      </c>
      <c r="L364" s="128"/>
      <c r="M364" s="128">
        <v>3</v>
      </c>
      <c r="N364" s="126"/>
      <c r="O364" s="126" t="s">
        <v>119</v>
      </c>
      <c r="P364" s="129"/>
      <c r="Q364" s="129"/>
      <c r="R364" s="126" t="s">
        <v>24</v>
      </c>
      <c r="S364" s="126"/>
      <c r="T364" s="130" t="s">
        <v>120</v>
      </c>
      <c r="U364" s="126" t="s">
        <v>378</v>
      </c>
      <c r="V364" s="130" t="s">
        <v>120</v>
      </c>
      <c r="W364" s="126"/>
      <c r="X364" s="130" t="s">
        <v>120</v>
      </c>
      <c r="Y364" s="126" t="s">
        <v>408</v>
      </c>
      <c r="Z364" s="165" t="s">
        <v>120</v>
      </c>
      <c r="AA364" s="158"/>
      <c r="AB364" s="158"/>
      <c r="AC364" s="170"/>
      <c r="AD364" s="126" t="s">
        <v>409</v>
      </c>
      <c r="AE364" s="130" t="s">
        <v>120</v>
      </c>
      <c r="AF364" s="127" t="s">
        <v>241</v>
      </c>
      <c r="AG364" s="131"/>
      <c r="AH364" s="131">
        <v>3.5</v>
      </c>
      <c r="AI364" s="126" t="s">
        <v>387</v>
      </c>
      <c r="AJ364" s="130" t="s">
        <v>120</v>
      </c>
      <c r="AK364" s="126" t="s">
        <v>123</v>
      </c>
      <c r="AL364" s="126"/>
      <c r="AM364" s="130"/>
      <c r="AN364" s="126"/>
      <c r="AO364" s="132"/>
      <c r="AP364" s="126"/>
      <c r="AQ364" s="126"/>
      <c r="AR364" s="130"/>
      <c r="AS364" s="126"/>
      <c r="AT364" s="127"/>
      <c r="AU364" s="127">
        <v>43453.378977662003</v>
      </c>
      <c r="AV364" s="127"/>
      <c r="AW364" s="127"/>
      <c r="AX364" s="127"/>
      <c r="AY364" s="127"/>
      <c r="AZ364" s="133">
        <v>43236</v>
      </c>
      <c r="BA36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4" s="135">
        <f>COUNTIFS(_05preva_view43[Site ID],_05preva_view43[[#This Row],[Site ID]],_05preva_view43[Prevalidation Status],"Under Prevalidation")</f>
        <v>0</v>
      </c>
      <c r="BC364" s="157" t="e">
        <f ca="1">HYPERLINK(CheckPath(_05preva_view43[[#This Row],[File Path]],_05preva_view43[[#This Row],[File Path]],_05preva_view43[[#This Row],[Folder Path3]]),CheckPath(_05preva_view43[[#This Row],[File Path]],"Open File","No File"))</f>
        <v>#VALUE!</v>
      </c>
      <c r="BD364" s="136" t="str">
        <f>CONCATENATE(_05preva_view43[[#This Row],[Site ID]]," (",_05preva_view43[[#This Row],[tenant id]],") Application",IF(_05preva_view43[[#This Row],[Colo Rev]]&gt;0," Rev "&amp;_05preva_view43[[#This Row],[Colo Rev]],""),".xlsx")</f>
        <v>ACBA_0094 (BAW5558) Application.xlsx</v>
      </c>
      <c r="BE364" s="64" t="e">
        <f t="shared" ca="1" si="7"/>
        <v>#VALUE!</v>
      </c>
      <c r="BF364" s="104" t="e">
        <f ca="1">LEFT(CELL("filename",A349),_05preva_view43[[#This Row],[Find Process &amp; Database]]-1)</f>
        <v>#VALUE!</v>
      </c>
      <c r="BG364" s="104" t="e">
        <f ca="1">_05preva_view43[Folder Path1]&amp;"Process &amp; Database\Documentation\Colo Applications"</f>
        <v>#VALUE!</v>
      </c>
      <c r="BH364" s="104" t="e">
        <f ca="1">_05preva_view43[Folder Path2]&amp;"\Colo App "&amp;_05preva_view43[[#This Row],[Operator]]&amp;"\"</f>
        <v>#VALUE!</v>
      </c>
      <c r="BI364" s="63" t="e">
        <f ca="1">_05preva_view43[[#This Row],[Folder Path3]]&amp;_05preva_view43[[#This Row],[File Name]]</f>
        <v>#VALUE!</v>
      </c>
      <c r="BJ364" s="104"/>
      <c r="BK364" s="3"/>
      <c r="BL364" s="3"/>
      <c r="CJ364" s="5"/>
      <c r="CK364" s="5"/>
      <c r="CL364" s="3"/>
      <c r="CN364" s="5"/>
      <c r="CR364" s="3"/>
      <c r="CS364" s="3"/>
      <c r="CT364" s="5"/>
      <c r="CV364" s="3"/>
      <c r="DR364" s="5"/>
      <c r="DT364" s="3"/>
      <c r="EF364" s="7"/>
      <c r="EG364" s="7"/>
      <c r="EJ364" s="4"/>
      <c r="EK364" s="4"/>
      <c r="EU364" s="2"/>
      <c r="EV364" s="2"/>
    </row>
    <row r="365" spans="1:152">
      <c r="A365" s="125">
        <v>83</v>
      </c>
      <c r="B365" s="126" t="s">
        <v>410</v>
      </c>
      <c r="C365" s="126" t="s">
        <v>116</v>
      </c>
      <c r="D365" s="126" t="s">
        <v>163</v>
      </c>
      <c r="E365" s="126" t="s">
        <v>411</v>
      </c>
      <c r="F365" s="126" t="s">
        <v>40</v>
      </c>
      <c r="G365" s="126" t="s">
        <v>118</v>
      </c>
      <c r="H365" s="126"/>
      <c r="I365" s="126" t="s">
        <v>118</v>
      </c>
      <c r="J365" s="126"/>
      <c r="K365" s="127">
        <v>43236</v>
      </c>
      <c r="L365" s="128"/>
      <c r="M365" s="128">
        <v>3</v>
      </c>
      <c r="N365" s="126"/>
      <c r="O365" s="126" t="s">
        <v>119</v>
      </c>
      <c r="P365" s="129"/>
      <c r="Q365" s="129"/>
      <c r="R365" s="126" t="s">
        <v>24</v>
      </c>
      <c r="S365" s="126"/>
      <c r="T365" s="130" t="s">
        <v>120</v>
      </c>
      <c r="U365" s="126" t="s">
        <v>378</v>
      </c>
      <c r="V365" s="130" t="s">
        <v>120</v>
      </c>
      <c r="W365" s="126"/>
      <c r="X365" s="130" t="s">
        <v>120</v>
      </c>
      <c r="Y365" s="126" t="s">
        <v>120</v>
      </c>
      <c r="Z365" s="165" t="s">
        <v>120</v>
      </c>
      <c r="AA365" s="158"/>
      <c r="AB365" s="158"/>
      <c r="AC365" s="170"/>
      <c r="AD365" s="126" t="s">
        <v>120</v>
      </c>
      <c r="AE365" s="130" t="s">
        <v>120</v>
      </c>
      <c r="AF365" s="127" t="s">
        <v>241</v>
      </c>
      <c r="AG365" s="131"/>
      <c r="AH365" s="131">
        <v>3.5</v>
      </c>
      <c r="AI365" s="126" t="s">
        <v>387</v>
      </c>
      <c r="AJ365" s="130" t="s">
        <v>120</v>
      </c>
      <c r="AK365" s="126" t="s">
        <v>123</v>
      </c>
      <c r="AL365" s="126"/>
      <c r="AM365" s="130"/>
      <c r="AN365" s="126"/>
      <c r="AO365" s="132"/>
      <c r="AP365" s="126"/>
      <c r="AQ365" s="126"/>
      <c r="AR365" s="130"/>
      <c r="AS365" s="126"/>
      <c r="AT365" s="127"/>
      <c r="AU365" s="127">
        <v>43453.378979745401</v>
      </c>
      <c r="AV365" s="127"/>
      <c r="AW365" s="127"/>
      <c r="AX365" s="127"/>
      <c r="AY365" s="127"/>
      <c r="AZ365" s="133">
        <v>43236</v>
      </c>
      <c r="BA36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5" s="135">
        <f>COUNTIFS(_05preva_view43[Site ID],_05preva_view43[[#This Row],[Site ID]],_05preva_view43[Prevalidation Status],"Under Prevalidation")</f>
        <v>0</v>
      </c>
      <c r="BC365" s="157" t="e">
        <f ca="1">HYPERLINK(CheckPath(_05preva_view43[[#This Row],[File Path]],_05preva_view43[[#This Row],[File Path]],_05preva_view43[[#This Row],[Folder Path3]]),CheckPath(_05preva_view43[[#This Row],[File Path]],"Open File","No File"))</f>
        <v>#VALUE!</v>
      </c>
      <c r="BD365" s="136" t="str">
        <f>CONCATENATE(_05preva_view43[[#This Row],[Site ID]]," (",_05preva_view43[[#This Row],[tenant id]],") Application",IF(_05preva_view43[[#This Row],[Colo Rev]]&gt;0," Rev "&amp;_05preva_view43[[#This Row],[Colo Rev]],""),".xlsx")</f>
        <v>ACBA_0056 (BAW5560) Application.xlsx</v>
      </c>
      <c r="BE365" s="64" t="e">
        <f t="shared" ca="1" si="7"/>
        <v>#VALUE!</v>
      </c>
      <c r="BF365" s="104" t="e">
        <f ca="1">LEFT(CELL("filename",A350),_05preva_view43[[#This Row],[Find Process &amp; Database]]-1)</f>
        <v>#VALUE!</v>
      </c>
      <c r="BG365" s="104" t="e">
        <f ca="1">_05preva_view43[Folder Path1]&amp;"Process &amp; Database\Documentation\Colo Applications"</f>
        <v>#VALUE!</v>
      </c>
      <c r="BH365" s="104" t="e">
        <f ca="1">_05preva_view43[Folder Path2]&amp;"\Colo App "&amp;_05preva_view43[[#This Row],[Operator]]&amp;"\"</f>
        <v>#VALUE!</v>
      </c>
      <c r="BI365" s="63" t="e">
        <f ca="1">_05preva_view43[[#This Row],[Folder Path3]]&amp;_05preva_view43[[#This Row],[File Name]]</f>
        <v>#VALUE!</v>
      </c>
      <c r="BJ365" s="104"/>
      <c r="BK365" s="3"/>
      <c r="BL365" s="3"/>
      <c r="CJ365" s="5"/>
      <c r="CK365" s="5"/>
      <c r="CL365" s="3"/>
      <c r="CN365" s="5"/>
      <c r="CR365" s="3"/>
      <c r="CS365" s="3"/>
      <c r="CT365" s="5"/>
      <c r="CV365" s="3"/>
      <c r="DR365" s="5"/>
      <c r="DT365" s="3"/>
      <c r="EF365" s="7"/>
      <c r="EG365" s="7"/>
      <c r="EJ365" s="4"/>
      <c r="EK365" s="4"/>
      <c r="EU365" s="2"/>
      <c r="EV365" s="2"/>
    </row>
    <row r="366" spans="1:152">
      <c r="A366" s="125">
        <v>84</v>
      </c>
      <c r="B366" s="126" t="s">
        <v>412</v>
      </c>
      <c r="C366" s="126" t="s">
        <v>116</v>
      </c>
      <c r="D366" s="126" t="s">
        <v>163</v>
      </c>
      <c r="E366" s="126" t="s">
        <v>413</v>
      </c>
      <c r="F366" s="126" t="s">
        <v>40</v>
      </c>
      <c r="G366" s="126" t="s">
        <v>118</v>
      </c>
      <c r="H366" s="126"/>
      <c r="I366" s="126" t="s">
        <v>118</v>
      </c>
      <c r="J366" s="126"/>
      <c r="K366" s="127">
        <v>43236</v>
      </c>
      <c r="L366" s="128"/>
      <c r="M366" s="128">
        <v>3</v>
      </c>
      <c r="N366" s="126"/>
      <c r="O366" s="126" t="s">
        <v>119</v>
      </c>
      <c r="P366" s="129"/>
      <c r="Q366" s="129"/>
      <c r="R366" s="126" t="s">
        <v>26</v>
      </c>
      <c r="S366" s="126"/>
      <c r="T366" s="130" t="s">
        <v>144</v>
      </c>
      <c r="U366" s="126" t="s">
        <v>414</v>
      </c>
      <c r="V366" s="130" t="s">
        <v>120</v>
      </c>
      <c r="W366" s="126"/>
      <c r="X366" s="130"/>
      <c r="Y366" s="126"/>
      <c r="Z366" s="165" t="s">
        <v>125</v>
      </c>
      <c r="AA366" s="158"/>
      <c r="AB366" s="158"/>
      <c r="AC366" s="170"/>
      <c r="AD366" s="126" t="s">
        <v>336</v>
      </c>
      <c r="AE366" s="130" t="s">
        <v>120</v>
      </c>
      <c r="AF366" s="127" t="s">
        <v>372</v>
      </c>
      <c r="AG366" s="131"/>
      <c r="AH366" s="131">
        <v>2</v>
      </c>
      <c r="AI366" s="126" t="s">
        <v>415</v>
      </c>
      <c r="AJ366" s="130"/>
      <c r="AK366" s="126"/>
      <c r="AL366" s="126"/>
      <c r="AM366" s="130"/>
      <c r="AN366" s="126"/>
      <c r="AO366" s="132"/>
      <c r="AP366" s="126"/>
      <c r="AQ366" s="126"/>
      <c r="AR366" s="130"/>
      <c r="AS366" s="126"/>
      <c r="AT366" s="127"/>
      <c r="AU366" s="127">
        <v>43453.378980555601</v>
      </c>
      <c r="AV366" s="127"/>
      <c r="AW366" s="127"/>
      <c r="AX366" s="127"/>
      <c r="AY366" s="127"/>
      <c r="AZ366" s="133">
        <v>43236</v>
      </c>
      <c r="BA36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6" s="135">
        <f>COUNTIFS(_05preva_view43[Site ID],_05preva_view43[[#This Row],[Site ID]],_05preva_view43[Prevalidation Status],"Under Prevalidation")</f>
        <v>0</v>
      </c>
      <c r="BC366" s="157" t="e">
        <f ca="1">HYPERLINK(CheckPath(_05preva_view43[[#This Row],[File Path]],_05preva_view43[[#This Row],[File Path]],_05preva_view43[[#This Row],[Folder Path3]]),CheckPath(_05preva_view43[[#This Row],[File Path]],"Open File","No File"))</f>
        <v>#VALUE!</v>
      </c>
      <c r="BD366" s="136" t="str">
        <f>CONCATENATE(_05preva_view43[[#This Row],[Site ID]]," (",_05preva_view43[[#This Row],[tenant id]],") Application",IF(_05preva_view43[[#This Row],[Colo Rev]]&gt;0," Rev "&amp;_05preva_view43[[#This Row],[Colo Rev]],""),".xlsx")</f>
        <v>AYYN_0411 (YAW7765) Application.xlsx</v>
      </c>
      <c r="BE366" s="64" t="e">
        <f t="shared" ca="1" si="7"/>
        <v>#VALUE!</v>
      </c>
      <c r="BF366" s="104" t="e">
        <f ca="1">LEFT(CELL("filename",A351),_05preva_view43[[#This Row],[Find Process &amp; Database]]-1)</f>
        <v>#VALUE!</v>
      </c>
      <c r="BG366" s="104" t="e">
        <f ca="1">_05preva_view43[Folder Path1]&amp;"Process &amp; Database\Documentation\Colo Applications"</f>
        <v>#VALUE!</v>
      </c>
      <c r="BH366" s="104" t="e">
        <f ca="1">_05preva_view43[Folder Path2]&amp;"\Colo App "&amp;_05preva_view43[[#This Row],[Operator]]&amp;"\"</f>
        <v>#VALUE!</v>
      </c>
      <c r="BI366" s="63" t="e">
        <f ca="1">_05preva_view43[[#This Row],[Folder Path3]]&amp;_05preva_view43[[#This Row],[File Name]]</f>
        <v>#VALUE!</v>
      </c>
      <c r="BJ366" s="104"/>
      <c r="BK366" s="3"/>
      <c r="BL366" s="3"/>
      <c r="CJ366" s="5"/>
      <c r="CK366" s="5"/>
      <c r="CL366" s="3"/>
      <c r="CN366" s="5"/>
      <c r="CR366" s="3"/>
      <c r="CS366" s="3"/>
      <c r="CT366" s="5"/>
      <c r="CV366" s="3"/>
      <c r="DR366" s="5"/>
      <c r="DT366" s="3"/>
      <c r="EF366" s="7"/>
      <c r="EG366" s="7"/>
      <c r="EJ366" s="4"/>
      <c r="EK366" s="4"/>
      <c r="EU366" s="2"/>
      <c r="EV366" s="2"/>
    </row>
    <row r="367" spans="1:152">
      <c r="A367" s="125">
        <v>85</v>
      </c>
      <c r="B367" s="126" t="s">
        <v>416</v>
      </c>
      <c r="C367" s="126" t="s">
        <v>116</v>
      </c>
      <c r="D367" s="126" t="s">
        <v>163</v>
      </c>
      <c r="E367" s="126" t="s">
        <v>417</v>
      </c>
      <c r="F367" s="126" t="s">
        <v>40</v>
      </c>
      <c r="G367" s="126" t="s">
        <v>1579</v>
      </c>
      <c r="H367" s="126" t="s">
        <v>1575</v>
      </c>
      <c r="I367" s="126" t="s">
        <v>118</v>
      </c>
      <c r="J367" s="126"/>
      <c r="K367" s="127">
        <v>43236</v>
      </c>
      <c r="L367" s="128"/>
      <c r="M367" s="128">
        <v>3</v>
      </c>
      <c r="N367" s="126"/>
      <c r="O367" s="126" t="s">
        <v>119</v>
      </c>
      <c r="P367" s="129"/>
      <c r="Q367" s="129"/>
      <c r="R367" s="126" t="s">
        <v>24</v>
      </c>
      <c r="S367" s="126"/>
      <c r="T367" s="130" t="s">
        <v>120</v>
      </c>
      <c r="U367" s="126" t="s">
        <v>378</v>
      </c>
      <c r="V367" s="130" t="s">
        <v>120</v>
      </c>
      <c r="W367" s="126"/>
      <c r="X367" s="130" t="s">
        <v>120</v>
      </c>
      <c r="Y367" s="126" t="s">
        <v>120</v>
      </c>
      <c r="Z367" s="165" t="s">
        <v>120</v>
      </c>
      <c r="AA367" s="158"/>
      <c r="AB367" s="158"/>
      <c r="AC367" s="170"/>
      <c r="AD367" s="126" t="s">
        <v>120</v>
      </c>
      <c r="AE367" s="130" t="s">
        <v>125</v>
      </c>
      <c r="AF367" s="127"/>
      <c r="AG367" s="131"/>
      <c r="AH367" s="131"/>
      <c r="AI367" s="126" t="s">
        <v>418</v>
      </c>
      <c r="AJ367" s="130" t="s">
        <v>120</v>
      </c>
      <c r="AK367" s="126" t="s">
        <v>123</v>
      </c>
      <c r="AL367" s="126"/>
      <c r="AM367" s="130"/>
      <c r="AN367" s="126"/>
      <c r="AO367" s="132"/>
      <c r="AP367" s="126"/>
      <c r="AQ367" s="126"/>
      <c r="AR367" s="130"/>
      <c r="AS367" s="126"/>
      <c r="AT367" s="127"/>
      <c r="AU367" s="127"/>
      <c r="AV367" s="127"/>
      <c r="AW367" s="127"/>
      <c r="AX367" s="127"/>
      <c r="AY367" s="127"/>
      <c r="AZ367" s="133"/>
      <c r="BA36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7" s="135">
        <f>COUNTIFS(_05preva_view43[Site ID],_05preva_view43[[#This Row],[Site ID]],_05preva_view43[Prevalidation Status],"Under Prevalidation")</f>
        <v>0</v>
      </c>
      <c r="BC367" s="157" t="e">
        <f ca="1">HYPERLINK(CheckPath(_05preva_view43[[#This Row],[File Path]],_05preva_view43[[#This Row],[File Path]],_05preva_view43[[#This Row],[Folder Path3]]),CheckPath(_05preva_view43[[#This Row],[File Path]],"Open File","No File"))</f>
        <v>#VALUE!</v>
      </c>
      <c r="BD367" s="136" t="str">
        <f>CONCATENATE(_05preva_view43[[#This Row],[Site ID]]," (",_05preva_view43[[#This Row],[tenant id]],") Application",IF(_05preva_view43[[#This Row],[Colo Rev]]&gt;0," Rev "&amp;_05preva_view43[[#This Row],[Colo Rev]],""),".xlsx")</f>
        <v>ASMO_0267 (MOW6300) Application.xlsx</v>
      </c>
      <c r="BE367" s="64" t="e">
        <f t="shared" ca="1" si="7"/>
        <v>#VALUE!</v>
      </c>
      <c r="BF367" s="104" t="e">
        <f ca="1">LEFT(CELL("filename",A352),_05preva_view43[[#This Row],[Find Process &amp; Database]]-1)</f>
        <v>#VALUE!</v>
      </c>
      <c r="BG367" s="104" t="e">
        <f ca="1">_05preva_view43[Folder Path1]&amp;"Process &amp; Database\Documentation\Colo Applications"</f>
        <v>#VALUE!</v>
      </c>
      <c r="BH367" s="104" t="e">
        <f ca="1">_05preva_view43[Folder Path2]&amp;"\Colo App "&amp;_05preva_view43[[#This Row],[Operator]]&amp;"\"</f>
        <v>#VALUE!</v>
      </c>
      <c r="BI367" s="63" t="e">
        <f ca="1">_05preva_view43[[#This Row],[Folder Path3]]&amp;_05preva_view43[[#This Row],[File Name]]</f>
        <v>#VALUE!</v>
      </c>
      <c r="BJ367" s="104"/>
      <c r="BK367" s="3"/>
      <c r="BL367" s="3"/>
      <c r="CJ367" s="5"/>
      <c r="CK367" s="5"/>
      <c r="CL367" s="3"/>
      <c r="CN367" s="5"/>
      <c r="CR367" s="3"/>
      <c r="CS367" s="3"/>
      <c r="CT367" s="5"/>
      <c r="CV367" s="3"/>
      <c r="DR367" s="5"/>
      <c r="DT367" s="3"/>
      <c r="EF367" s="7"/>
      <c r="EG367" s="7"/>
      <c r="EJ367" s="4"/>
      <c r="EK367" s="4"/>
      <c r="EU367" s="2"/>
      <c r="EV367" s="2"/>
    </row>
    <row r="368" spans="1:152">
      <c r="A368" s="125">
        <v>87</v>
      </c>
      <c r="B368" s="126" t="s">
        <v>420</v>
      </c>
      <c r="C368" s="126" t="s">
        <v>116</v>
      </c>
      <c r="D368" s="126" t="s">
        <v>163</v>
      </c>
      <c r="E368" s="126" t="s">
        <v>421</v>
      </c>
      <c r="F368" s="126" t="s">
        <v>40</v>
      </c>
      <c r="G368" s="126" t="s">
        <v>118</v>
      </c>
      <c r="H368" s="126"/>
      <c r="I368" s="126" t="s">
        <v>118</v>
      </c>
      <c r="J368" s="126"/>
      <c r="K368" s="127">
        <v>43236</v>
      </c>
      <c r="L368" s="128"/>
      <c r="M368" s="128">
        <v>3</v>
      </c>
      <c r="N368" s="126"/>
      <c r="O368" s="126" t="s">
        <v>119</v>
      </c>
      <c r="P368" s="129"/>
      <c r="Q368" s="129"/>
      <c r="R368" s="126" t="s">
        <v>26</v>
      </c>
      <c r="S368" s="126"/>
      <c r="T368" s="130" t="s">
        <v>144</v>
      </c>
      <c r="U368" s="126" t="s">
        <v>371</v>
      </c>
      <c r="V368" s="130" t="s">
        <v>125</v>
      </c>
      <c r="W368" s="126"/>
      <c r="X368" s="130"/>
      <c r="Y368" s="126"/>
      <c r="Z368" s="165" t="s">
        <v>125</v>
      </c>
      <c r="AA368" s="158"/>
      <c r="AB368" s="158"/>
      <c r="AC368" s="170"/>
      <c r="AD368" s="126" t="s">
        <v>336</v>
      </c>
      <c r="AE368" s="130" t="s">
        <v>120</v>
      </c>
      <c r="AF368" s="127" t="s">
        <v>372</v>
      </c>
      <c r="AG368" s="131"/>
      <c r="AH368" s="131">
        <v>2</v>
      </c>
      <c r="AI368" s="126" t="s">
        <v>422</v>
      </c>
      <c r="AJ368" s="130"/>
      <c r="AK368" s="126"/>
      <c r="AL368" s="126"/>
      <c r="AM368" s="130"/>
      <c r="AN368" s="126"/>
      <c r="AO368" s="132"/>
      <c r="AP368" s="126"/>
      <c r="AQ368" s="126"/>
      <c r="AR368" s="130"/>
      <c r="AS368" s="126"/>
      <c r="AT368" s="127"/>
      <c r="AU368" s="127">
        <v>43453.378981713002</v>
      </c>
      <c r="AV368" s="127"/>
      <c r="AW368" s="127"/>
      <c r="AX368" s="127"/>
      <c r="AY368" s="127"/>
      <c r="AZ368" s="133">
        <v>43236</v>
      </c>
      <c r="BA36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8" s="135">
        <f>COUNTIFS(_05preva_view43[Site ID],_05preva_view43[[#This Row],[Site ID]],_05preva_view43[Prevalidation Status],"Under Prevalidation")</f>
        <v>0</v>
      </c>
      <c r="BC368" s="157" t="e">
        <f ca="1">HYPERLINK(CheckPath(_05preva_view43[[#This Row],[File Path]],_05preva_view43[[#This Row],[File Path]],_05preva_view43[[#This Row],[Folder Path3]]),CheckPath(_05preva_view43[[#This Row],[File Path]],"Open File","No File"))</f>
        <v>#VALUE!</v>
      </c>
      <c r="BD368" s="136" t="str">
        <f>CONCATENATE(_05preva_view43[[#This Row],[Site ID]]," (",_05preva_view43[[#This Row],[tenant id]],") Application",IF(_05preva_view43[[#This Row],[Colo Rev]]&gt;0," Rev "&amp;_05preva_view43[[#This Row],[Colo Rev]],""),".xlsx")</f>
        <v>AYYN_0306 (YAW7763) Application.xlsx</v>
      </c>
      <c r="BE368" s="64" t="e">
        <f t="shared" ca="1" si="7"/>
        <v>#VALUE!</v>
      </c>
      <c r="BF368" s="104" t="e">
        <f ca="1">LEFT(CELL("filename",A353),_05preva_view43[[#This Row],[Find Process &amp; Database]]-1)</f>
        <v>#VALUE!</v>
      </c>
      <c r="BG368" s="104" t="e">
        <f ca="1">_05preva_view43[Folder Path1]&amp;"Process &amp; Database\Documentation\Colo Applications"</f>
        <v>#VALUE!</v>
      </c>
      <c r="BH368" s="104" t="e">
        <f ca="1">_05preva_view43[Folder Path2]&amp;"\Colo App "&amp;_05preva_view43[[#This Row],[Operator]]&amp;"\"</f>
        <v>#VALUE!</v>
      </c>
      <c r="BI368" s="63" t="e">
        <f ca="1">_05preva_view43[[#This Row],[Folder Path3]]&amp;_05preva_view43[[#This Row],[File Name]]</f>
        <v>#VALUE!</v>
      </c>
      <c r="BJ368" s="104"/>
      <c r="BK368" s="3"/>
      <c r="BL368" s="3"/>
      <c r="CJ368" s="5"/>
      <c r="CK368" s="5"/>
      <c r="CL368" s="3"/>
      <c r="CN368" s="5"/>
      <c r="CR368" s="3"/>
      <c r="CS368" s="3"/>
      <c r="CT368" s="5"/>
      <c r="CV368" s="3"/>
      <c r="DR368" s="5"/>
      <c r="DT368" s="3"/>
      <c r="EF368" s="7"/>
      <c r="EG368" s="7"/>
      <c r="EJ368" s="4"/>
      <c r="EK368" s="4"/>
      <c r="EU368" s="2"/>
      <c r="EV368" s="2"/>
    </row>
    <row r="369" spans="1:152">
      <c r="A369" s="125">
        <v>89</v>
      </c>
      <c r="B369" s="126" t="s">
        <v>423</v>
      </c>
      <c r="C369" s="126" t="s">
        <v>116</v>
      </c>
      <c r="D369" s="126" t="s">
        <v>163</v>
      </c>
      <c r="E369" s="126" t="s">
        <v>424</v>
      </c>
      <c r="F369" s="126" t="s">
        <v>40</v>
      </c>
      <c r="G369" s="126" t="s">
        <v>118</v>
      </c>
      <c r="H369" s="126"/>
      <c r="I369" s="126" t="s">
        <v>118</v>
      </c>
      <c r="J369" s="126"/>
      <c r="K369" s="127">
        <v>43236</v>
      </c>
      <c r="L369" s="128"/>
      <c r="M369" s="128">
        <v>3</v>
      </c>
      <c r="N369" s="126"/>
      <c r="O369" s="126" t="s">
        <v>119</v>
      </c>
      <c r="P369" s="129"/>
      <c r="Q369" s="129"/>
      <c r="R369" s="126" t="s">
        <v>27</v>
      </c>
      <c r="S369" s="126"/>
      <c r="T369" s="130" t="s">
        <v>120</v>
      </c>
      <c r="U369" s="126" t="s">
        <v>425</v>
      </c>
      <c r="V369" s="130" t="s">
        <v>120</v>
      </c>
      <c r="W369" s="126"/>
      <c r="X369" s="130" t="s">
        <v>120</v>
      </c>
      <c r="Y369" s="126" t="s">
        <v>404</v>
      </c>
      <c r="Z369" s="165" t="s">
        <v>125</v>
      </c>
      <c r="AA369" s="158"/>
      <c r="AB369" s="158"/>
      <c r="AC369" s="170" t="s">
        <v>123</v>
      </c>
      <c r="AD369" s="126" t="s">
        <v>405</v>
      </c>
      <c r="AE369" s="130" t="s">
        <v>125</v>
      </c>
      <c r="AF369" s="127"/>
      <c r="AG369" s="131"/>
      <c r="AH369" s="131"/>
      <c r="AI369" s="126" t="s">
        <v>366</v>
      </c>
      <c r="AJ369" s="130" t="s">
        <v>120</v>
      </c>
      <c r="AK369" s="126" t="s">
        <v>123</v>
      </c>
      <c r="AL369" s="126" t="s">
        <v>365</v>
      </c>
      <c r="AM369" s="130"/>
      <c r="AN369" s="126"/>
      <c r="AO369" s="132"/>
      <c r="AP369" s="126"/>
      <c r="AQ369" s="126"/>
      <c r="AR369" s="130"/>
      <c r="AS369" s="126"/>
      <c r="AT369" s="127"/>
      <c r="AU369" s="127"/>
      <c r="AV369" s="127"/>
      <c r="AW369" s="127"/>
      <c r="AX369" s="127"/>
      <c r="AY369" s="127"/>
      <c r="AZ369" s="133"/>
      <c r="BA36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9" s="135">
        <f>COUNTIFS(_05preva_view43[Site ID],_05preva_view43[[#This Row],[Site ID]],_05preva_view43[Prevalidation Status],"Under Prevalidation")</f>
        <v>0</v>
      </c>
      <c r="BC369" s="157" t="e">
        <f ca="1">HYPERLINK(CheckPath(_05preva_view43[[#This Row],[File Path]],_05preva_view43[[#This Row],[File Path]],_05preva_view43[[#This Row],[Folder Path3]]),CheckPath(_05preva_view43[[#This Row],[File Path]],"Open File","No File"))</f>
        <v>#VALUE!</v>
      </c>
      <c r="BD369" s="136" t="str">
        <f>CONCATENATE(_05preva_view43[[#This Row],[Site ID]]," (",_05preva_view43[[#This Row],[tenant id]],") Application",IF(_05preva_view43[[#This Row],[Colo Rev]]&gt;0," Rev "&amp;_05preva_view43[[#This Row],[Colo Rev]],""),".xlsx")</f>
        <v>AYYN_0533 (YAW7827) Application.xlsx</v>
      </c>
      <c r="BE369" s="64" t="e">
        <f t="shared" ca="1" si="7"/>
        <v>#VALUE!</v>
      </c>
      <c r="BF369" s="104" t="e">
        <f ca="1">LEFT(CELL("filename",A354),_05preva_view43[[#This Row],[Find Process &amp; Database]]-1)</f>
        <v>#VALUE!</v>
      </c>
      <c r="BG369" s="104" t="e">
        <f ca="1">_05preva_view43[Folder Path1]&amp;"Process &amp; Database\Documentation\Colo Applications"</f>
        <v>#VALUE!</v>
      </c>
      <c r="BH369" s="104" t="e">
        <f ca="1">_05preva_view43[Folder Path2]&amp;"\Colo App "&amp;_05preva_view43[[#This Row],[Operator]]&amp;"\"</f>
        <v>#VALUE!</v>
      </c>
      <c r="BI369" s="63" t="e">
        <f ca="1">_05preva_view43[[#This Row],[Folder Path3]]&amp;_05preva_view43[[#This Row],[File Name]]</f>
        <v>#VALUE!</v>
      </c>
      <c r="BJ369" s="104"/>
      <c r="BK369" s="3"/>
      <c r="BL369" s="3"/>
      <c r="CJ369" s="5"/>
      <c r="CK369" s="5"/>
      <c r="CL369" s="3"/>
      <c r="CN369" s="5"/>
      <c r="CR369" s="3"/>
      <c r="CS369" s="3"/>
      <c r="CT369" s="5"/>
      <c r="CV369" s="3"/>
      <c r="DR369" s="5"/>
      <c r="DT369" s="3"/>
      <c r="EF369" s="7"/>
      <c r="EG369" s="7"/>
      <c r="EJ369" s="4"/>
      <c r="EK369" s="4"/>
      <c r="EU369" s="2"/>
      <c r="EV369" s="2"/>
    </row>
    <row r="370" spans="1:152">
      <c r="A370" s="125">
        <v>90</v>
      </c>
      <c r="B370" s="126" t="s">
        <v>426</v>
      </c>
      <c r="C370" s="126" t="s">
        <v>116</v>
      </c>
      <c r="D370" s="126" t="s">
        <v>163</v>
      </c>
      <c r="E370" s="126" t="s">
        <v>427</v>
      </c>
      <c r="F370" s="126" t="s">
        <v>40</v>
      </c>
      <c r="G370" s="126" t="s">
        <v>1579</v>
      </c>
      <c r="H370" s="126" t="s">
        <v>1575</v>
      </c>
      <c r="I370" s="126" t="s">
        <v>118</v>
      </c>
      <c r="J370" s="126"/>
      <c r="K370" s="127">
        <v>43236</v>
      </c>
      <c r="L370" s="128"/>
      <c r="M370" s="128">
        <v>3</v>
      </c>
      <c r="N370" s="126"/>
      <c r="O370" s="126" t="s">
        <v>119</v>
      </c>
      <c r="P370" s="129"/>
      <c r="Q370" s="129"/>
      <c r="R370" s="126" t="s">
        <v>24</v>
      </c>
      <c r="S370" s="126"/>
      <c r="T370" s="130" t="s">
        <v>120</v>
      </c>
      <c r="U370" s="126" t="s">
        <v>378</v>
      </c>
      <c r="V370" s="130" t="s">
        <v>120</v>
      </c>
      <c r="W370" s="126"/>
      <c r="X370" s="130" t="s">
        <v>120</v>
      </c>
      <c r="Y370" s="126" t="s">
        <v>120</v>
      </c>
      <c r="Z370" s="165" t="s">
        <v>120</v>
      </c>
      <c r="AA370" s="158"/>
      <c r="AB370" s="158"/>
      <c r="AC370" s="170"/>
      <c r="AD370" s="126" t="s">
        <v>120</v>
      </c>
      <c r="AE370" s="130" t="s">
        <v>120</v>
      </c>
      <c r="AF370" s="127" t="s">
        <v>241</v>
      </c>
      <c r="AG370" s="131"/>
      <c r="AH370" s="131">
        <v>3.5</v>
      </c>
      <c r="AI370" s="126" t="s">
        <v>242</v>
      </c>
      <c r="AJ370" s="130" t="s">
        <v>120</v>
      </c>
      <c r="AK370" s="126" t="s">
        <v>123</v>
      </c>
      <c r="AL370" s="126"/>
      <c r="AM370" s="130"/>
      <c r="AN370" s="126"/>
      <c r="AO370" s="132"/>
      <c r="AP370" s="126"/>
      <c r="AQ370" s="126"/>
      <c r="AR370" s="130"/>
      <c r="AS370" s="126"/>
      <c r="AT370" s="127"/>
      <c r="AU370" s="127">
        <v>43453.378984143499</v>
      </c>
      <c r="AV370" s="127"/>
      <c r="AW370" s="127"/>
      <c r="AX370" s="127"/>
      <c r="AY370" s="127"/>
      <c r="AZ370" s="133">
        <v>43236</v>
      </c>
      <c r="BA37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0" s="135">
        <f>COUNTIFS(_05preva_view43[Site ID],_05preva_view43[[#This Row],[Site ID]],_05preva_view43[Prevalidation Status],"Under Prevalidation")</f>
        <v>0</v>
      </c>
      <c r="BC370" s="157" t="e">
        <f ca="1">HYPERLINK(CheckPath(_05preva_view43[[#This Row],[File Path]],_05preva_view43[[#This Row],[File Path]],_05preva_view43[[#This Row],[Folder Path3]]),CheckPath(_05preva_view43[[#This Row],[File Path]],"Open File","No File"))</f>
        <v>#VALUE!</v>
      </c>
      <c r="BD370" s="136" t="str">
        <f>CONCATENATE(_05preva_view43[[#This Row],[Site ID]]," (",_05preva_view43[[#This Row],[tenant id]],") Application",IF(_05preva_view43[[#This Row],[Colo Rev]]&gt;0," Rev "&amp;_05preva_view43[[#This Row],[Colo Rev]],""),".xlsx")</f>
        <v>ASMO_0263 (MOW6303) Application.xlsx</v>
      </c>
      <c r="BE370" s="64" t="e">
        <f t="shared" ca="1" si="7"/>
        <v>#VALUE!</v>
      </c>
      <c r="BF370" s="104" t="e">
        <f ca="1">LEFT(CELL("filename",A355),_05preva_view43[[#This Row],[Find Process &amp; Database]]-1)</f>
        <v>#VALUE!</v>
      </c>
      <c r="BG370" s="104" t="e">
        <f ca="1">_05preva_view43[Folder Path1]&amp;"Process &amp; Database\Documentation\Colo Applications"</f>
        <v>#VALUE!</v>
      </c>
      <c r="BH370" s="104" t="e">
        <f ca="1">_05preva_view43[Folder Path2]&amp;"\Colo App "&amp;_05preva_view43[[#This Row],[Operator]]&amp;"\"</f>
        <v>#VALUE!</v>
      </c>
      <c r="BI370" s="63" t="e">
        <f ca="1">_05preva_view43[[#This Row],[Folder Path3]]&amp;_05preva_view43[[#This Row],[File Name]]</f>
        <v>#VALUE!</v>
      </c>
      <c r="BJ370" s="104"/>
      <c r="BK370" s="3"/>
      <c r="BL370" s="3"/>
      <c r="CJ370" s="5"/>
      <c r="CK370" s="5"/>
      <c r="CL370" s="3"/>
      <c r="CN370" s="5"/>
      <c r="CR370" s="3"/>
      <c r="CS370" s="3"/>
      <c r="CT370" s="5"/>
      <c r="CV370" s="3"/>
      <c r="DR370" s="5"/>
      <c r="DT370" s="3"/>
      <c r="EF370" s="7"/>
      <c r="EG370" s="7"/>
      <c r="EJ370" s="4"/>
      <c r="EK370" s="4"/>
      <c r="EU370" s="2"/>
      <c r="EV370" s="2"/>
    </row>
    <row r="371" spans="1:152">
      <c r="A371" s="125">
        <v>93</v>
      </c>
      <c r="B371" s="126" t="s">
        <v>431</v>
      </c>
      <c r="C371" s="126" t="s">
        <v>116</v>
      </c>
      <c r="D371" s="126" t="s">
        <v>163</v>
      </c>
      <c r="E371" s="126" t="s">
        <v>432</v>
      </c>
      <c r="F371" s="126" t="s">
        <v>40</v>
      </c>
      <c r="G371" s="126" t="s">
        <v>118</v>
      </c>
      <c r="H371" s="126"/>
      <c r="I371" s="126" t="s">
        <v>118</v>
      </c>
      <c r="J371" s="126"/>
      <c r="K371" s="127">
        <v>43236</v>
      </c>
      <c r="L371" s="128"/>
      <c r="M371" s="128">
        <v>3</v>
      </c>
      <c r="N371" s="126"/>
      <c r="O371" s="126" t="s">
        <v>119</v>
      </c>
      <c r="P371" s="129"/>
      <c r="Q371" s="129"/>
      <c r="R371" s="126" t="s">
        <v>24</v>
      </c>
      <c r="S371" s="126"/>
      <c r="T371" s="130" t="s">
        <v>120</v>
      </c>
      <c r="U371" s="126" t="s">
        <v>429</v>
      </c>
      <c r="V371" s="130" t="s">
        <v>120</v>
      </c>
      <c r="W371" s="126"/>
      <c r="X371" s="130" t="s">
        <v>120</v>
      </c>
      <c r="Y371" s="126" t="s">
        <v>404</v>
      </c>
      <c r="Z371" s="165" t="s">
        <v>125</v>
      </c>
      <c r="AA371" s="158"/>
      <c r="AB371" s="158"/>
      <c r="AC371" s="170" t="s">
        <v>123</v>
      </c>
      <c r="AD371" s="126" t="s">
        <v>430</v>
      </c>
      <c r="AE371" s="130" t="s">
        <v>125</v>
      </c>
      <c r="AF371" s="127"/>
      <c r="AG371" s="131"/>
      <c r="AH371" s="131"/>
      <c r="AI371" s="126" t="s">
        <v>387</v>
      </c>
      <c r="AJ371" s="130" t="s">
        <v>120</v>
      </c>
      <c r="AK371" s="126" t="s">
        <v>240</v>
      </c>
      <c r="AL371" s="126"/>
      <c r="AM371" s="130"/>
      <c r="AN371" s="126"/>
      <c r="AO371" s="132"/>
      <c r="AP371" s="126"/>
      <c r="AQ371" s="126"/>
      <c r="AR371" s="130"/>
      <c r="AS371" s="126"/>
      <c r="AT371" s="127"/>
      <c r="AU371" s="127"/>
      <c r="AV371" s="127"/>
      <c r="AW371" s="127"/>
      <c r="AX371" s="127"/>
      <c r="AY371" s="127"/>
      <c r="AZ371" s="133"/>
      <c r="BA37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1" s="135">
        <f>COUNTIFS(_05preva_view43[Site ID],_05preva_view43[[#This Row],[Site ID]],_05preva_view43[Prevalidation Status],"Under Prevalidation")</f>
        <v>1</v>
      </c>
      <c r="BC371" s="157" t="e">
        <f ca="1">HYPERLINK(CheckPath(_05preva_view43[[#This Row],[File Path]],_05preva_view43[[#This Row],[File Path]],_05preva_view43[[#This Row],[Folder Path3]]),CheckPath(_05preva_view43[[#This Row],[File Path]],"Open File","No File"))</f>
        <v>#VALUE!</v>
      </c>
      <c r="BD371" s="136" t="str">
        <f>CONCATENATE(_05preva_view43[[#This Row],[Site ID]]," (",_05preva_view43[[#This Row],[tenant id]],") Application",IF(_05preva_view43[[#This Row],[Colo Rev]]&gt;0," Rev "&amp;_05preva_view43[[#This Row],[Colo Rev]],""),".xlsx")</f>
        <v>AYYN_0534 (YAW7825) Application.xlsx</v>
      </c>
      <c r="BE371" s="64" t="e">
        <f t="shared" ca="1" si="7"/>
        <v>#VALUE!</v>
      </c>
      <c r="BF371" s="104" t="e">
        <f ca="1">LEFT(CELL("filename",A356),_05preva_view43[[#This Row],[Find Process &amp; Database]]-1)</f>
        <v>#VALUE!</v>
      </c>
      <c r="BG371" s="104" t="e">
        <f ca="1">_05preva_view43[Folder Path1]&amp;"Process &amp; Database\Documentation\Colo Applications"</f>
        <v>#VALUE!</v>
      </c>
      <c r="BH371" s="104" t="e">
        <f ca="1">_05preva_view43[Folder Path2]&amp;"\Colo App "&amp;_05preva_view43[[#This Row],[Operator]]&amp;"\"</f>
        <v>#VALUE!</v>
      </c>
      <c r="BI371" s="63" t="e">
        <f ca="1">_05preva_view43[[#This Row],[Folder Path3]]&amp;_05preva_view43[[#This Row],[File Name]]</f>
        <v>#VALUE!</v>
      </c>
      <c r="BJ371" s="104"/>
      <c r="BK371" s="3"/>
      <c r="BL371" s="3"/>
      <c r="CJ371" s="5"/>
      <c r="CK371" s="5"/>
      <c r="CL371" s="3"/>
      <c r="CN371" s="5"/>
      <c r="CR371" s="3"/>
      <c r="CS371" s="3"/>
      <c r="CT371" s="5"/>
      <c r="CV371" s="3"/>
      <c r="DR371" s="5"/>
      <c r="DT371" s="3"/>
      <c r="EF371" s="7"/>
      <c r="EG371" s="7"/>
      <c r="EJ371" s="4"/>
      <c r="EK371" s="4"/>
      <c r="EU371" s="2"/>
      <c r="EV371" s="2"/>
    </row>
    <row r="372" spans="1:152">
      <c r="A372" s="125">
        <v>95</v>
      </c>
      <c r="B372" s="126" t="s">
        <v>433</v>
      </c>
      <c r="C372" s="126" t="s">
        <v>116</v>
      </c>
      <c r="D372" s="126" t="s">
        <v>163</v>
      </c>
      <c r="E372" s="126" t="s">
        <v>434</v>
      </c>
      <c r="F372" s="126" t="s">
        <v>40</v>
      </c>
      <c r="G372" s="126" t="s">
        <v>118</v>
      </c>
      <c r="H372" s="126"/>
      <c r="I372" s="126" t="s">
        <v>118</v>
      </c>
      <c r="J372" s="126"/>
      <c r="K372" s="127">
        <v>43236</v>
      </c>
      <c r="L372" s="128"/>
      <c r="M372" s="128">
        <v>3</v>
      </c>
      <c r="N372" s="126"/>
      <c r="O372" s="126" t="s">
        <v>119</v>
      </c>
      <c r="P372" s="129"/>
      <c r="Q372" s="129"/>
      <c r="R372" s="126" t="s">
        <v>26</v>
      </c>
      <c r="S372" s="126"/>
      <c r="T372" s="130" t="s">
        <v>144</v>
      </c>
      <c r="U372" s="126" t="s">
        <v>435</v>
      </c>
      <c r="V372" s="130" t="s">
        <v>144</v>
      </c>
      <c r="W372" s="126"/>
      <c r="X372" s="130"/>
      <c r="Y372" s="126"/>
      <c r="Z372" s="165" t="s">
        <v>120</v>
      </c>
      <c r="AA372" s="158"/>
      <c r="AB372" s="158"/>
      <c r="AC372" s="170"/>
      <c r="AD372" s="126" t="s">
        <v>419</v>
      </c>
      <c r="AE372" s="130" t="s">
        <v>120</v>
      </c>
      <c r="AF372" s="127" t="s">
        <v>241</v>
      </c>
      <c r="AG372" s="131"/>
      <c r="AH372" s="131">
        <v>3.5</v>
      </c>
      <c r="AI372" s="126" t="s">
        <v>436</v>
      </c>
      <c r="AJ372" s="130"/>
      <c r="AK372" s="126"/>
      <c r="AL372" s="126"/>
      <c r="AM372" s="130"/>
      <c r="AN372" s="126"/>
      <c r="AO372" s="132"/>
      <c r="AP372" s="126"/>
      <c r="AQ372" s="126"/>
      <c r="AR372" s="130"/>
      <c r="AS372" s="126"/>
      <c r="AT372" s="127"/>
      <c r="AU372" s="127">
        <v>43453.378985185198</v>
      </c>
      <c r="AV372" s="127"/>
      <c r="AW372" s="127"/>
      <c r="AX372" s="127"/>
      <c r="AY372" s="127"/>
      <c r="AZ372" s="133">
        <v>43236</v>
      </c>
      <c r="BA37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2" s="135">
        <f>COUNTIFS(_05preva_view43[Site ID],_05preva_view43[[#This Row],[Site ID]],_05preva_view43[Prevalidation Status],"Under Prevalidation")</f>
        <v>0</v>
      </c>
      <c r="BC372" s="157" t="e">
        <f ca="1">HYPERLINK(CheckPath(_05preva_view43[[#This Row],[File Path]],_05preva_view43[[#This Row],[File Path]],_05preva_view43[[#This Row],[Folder Path3]]),CheckPath(_05preva_view43[[#This Row],[File Path]],"Open File","No File"))</f>
        <v>#VALUE!</v>
      </c>
      <c r="BD372" s="136" t="str">
        <f>CONCATENATE(_05preva_view43[[#This Row],[Site ID]]," (",_05preva_view43[[#This Row],[tenant id]],") Application",IF(_05preva_view43[[#This Row],[Colo Rev]]&gt;0," Rev "&amp;_05preva_view43[[#This Row],[Colo Rev]],""),".xlsx")</f>
        <v>AYYN_0119 (YAW7500) Application.xlsx</v>
      </c>
      <c r="BE372" s="64" t="e">
        <f t="shared" ca="1" si="7"/>
        <v>#VALUE!</v>
      </c>
      <c r="BF372" s="104" t="e">
        <f ca="1">LEFT(CELL("filename",A357),_05preva_view43[[#This Row],[Find Process &amp; Database]]-1)</f>
        <v>#VALUE!</v>
      </c>
      <c r="BG372" s="104" t="e">
        <f ca="1">_05preva_view43[Folder Path1]&amp;"Process &amp; Database\Documentation\Colo Applications"</f>
        <v>#VALUE!</v>
      </c>
      <c r="BH372" s="104" t="e">
        <f ca="1">_05preva_view43[Folder Path2]&amp;"\Colo App "&amp;_05preva_view43[[#This Row],[Operator]]&amp;"\"</f>
        <v>#VALUE!</v>
      </c>
      <c r="BI372" s="63" t="e">
        <f ca="1">_05preva_view43[[#This Row],[Folder Path3]]&amp;_05preva_view43[[#This Row],[File Name]]</f>
        <v>#VALUE!</v>
      </c>
      <c r="BJ372" s="104"/>
      <c r="BK372" s="3"/>
      <c r="BL372" s="3"/>
      <c r="CJ372" s="5"/>
      <c r="CK372" s="5"/>
      <c r="CL372" s="3"/>
      <c r="CN372" s="5"/>
      <c r="CR372" s="3"/>
      <c r="CS372" s="3"/>
      <c r="CT372" s="5"/>
      <c r="CV372" s="3"/>
      <c r="DR372" s="5"/>
      <c r="DT372" s="3"/>
      <c r="EF372" s="7"/>
      <c r="EG372" s="7"/>
      <c r="EJ372" s="4"/>
      <c r="EK372" s="4"/>
      <c r="EU372" s="2"/>
      <c r="EV372" s="2"/>
    </row>
    <row r="373" spans="1:152">
      <c r="A373" s="125">
        <v>96</v>
      </c>
      <c r="B373" s="126" t="s">
        <v>437</v>
      </c>
      <c r="C373" s="126" t="s">
        <v>116</v>
      </c>
      <c r="D373" s="126" t="s">
        <v>163</v>
      </c>
      <c r="E373" s="126" t="s">
        <v>438</v>
      </c>
      <c r="F373" s="126" t="s">
        <v>40</v>
      </c>
      <c r="G373" s="126" t="s">
        <v>1579</v>
      </c>
      <c r="H373" s="126" t="s">
        <v>1580</v>
      </c>
      <c r="I373" s="126" t="s">
        <v>118</v>
      </c>
      <c r="J373" s="126"/>
      <c r="K373" s="127">
        <v>43236</v>
      </c>
      <c r="L373" s="128"/>
      <c r="M373" s="128">
        <v>3</v>
      </c>
      <c r="N373" s="126"/>
      <c r="O373" s="126" t="s">
        <v>119</v>
      </c>
      <c r="P373" s="129"/>
      <c r="Q373" s="129"/>
      <c r="R373" s="126" t="s">
        <v>24</v>
      </c>
      <c r="S373" s="126"/>
      <c r="T373" s="130" t="s">
        <v>120</v>
      </c>
      <c r="U373" s="126" t="s">
        <v>378</v>
      </c>
      <c r="V373" s="130" t="s">
        <v>120</v>
      </c>
      <c r="W373" s="126"/>
      <c r="X373" s="130" t="s">
        <v>120</v>
      </c>
      <c r="Y373" s="126" t="s">
        <v>120</v>
      </c>
      <c r="Z373" s="165" t="s">
        <v>125</v>
      </c>
      <c r="AA373" s="158"/>
      <c r="AB373" s="158"/>
      <c r="AC373" s="170"/>
      <c r="AD373" s="126" t="s">
        <v>439</v>
      </c>
      <c r="AE373" s="130" t="s">
        <v>125</v>
      </c>
      <c r="AF373" s="127"/>
      <c r="AG373" s="131"/>
      <c r="AH373" s="131"/>
      <c r="AI373" s="126" t="s">
        <v>440</v>
      </c>
      <c r="AJ373" s="130" t="s">
        <v>120</v>
      </c>
      <c r="AK373" s="126" t="s">
        <v>123</v>
      </c>
      <c r="AL373" s="126"/>
      <c r="AM373" s="130"/>
      <c r="AN373" s="126"/>
      <c r="AO373" s="132"/>
      <c r="AP373" s="126"/>
      <c r="AQ373" s="126"/>
      <c r="AR373" s="130"/>
      <c r="AS373" s="126"/>
      <c r="AT373" s="127"/>
      <c r="AU373" s="127"/>
      <c r="AV373" s="127"/>
      <c r="AW373" s="127"/>
      <c r="AX373" s="127"/>
      <c r="AY373" s="127"/>
      <c r="AZ373" s="133"/>
      <c r="BA37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3" s="135">
        <f>COUNTIFS(_05preva_view43[Site ID],_05preva_view43[[#This Row],[Site ID]],_05preva_view43[Prevalidation Status],"Under Prevalidation")</f>
        <v>0</v>
      </c>
      <c r="BC373" s="157" t="e">
        <f ca="1">HYPERLINK(CheckPath(_05preva_view43[[#This Row],[File Path]],_05preva_view43[[#This Row],[File Path]],_05preva_view43[[#This Row],[Folder Path3]]),CheckPath(_05preva_view43[[#This Row],[File Path]],"Open File","No File"))</f>
        <v>#VALUE!</v>
      </c>
      <c r="BD373" s="136" t="str">
        <f>CONCATENATE(_05preva_view43[[#This Row],[Site ID]]," (",_05preva_view43[[#This Row],[tenant id]],") Application",IF(_05preva_view43[[#This Row],[Colo Rev]]&gt;0," Rev "&amp;_05preva_view43[[#This Row],[Colo Rev]],""),".xlsx")</f>
        <v>AYYN_0128 (YAW7818) Application.xlsx</v>
      </c>
      <c r="BE373" s="64" t="e">
        <f t="shared" ca="1" si="7"/>
        <v>#VALUE!</v>
      </c>
      <c r="BF373" s="104" t="e">
        <f ca="1">LEFT(CELL("filename",A358),_05preva_view43[[#This Row],[Find Process &amp; Database]]-1)</f>
        <v>#VALUE!</v>
      </c>
      <c r="BG373" s="104" t="e">
        <f ca="1">_05preva_view43[Folder Path1]&amp;"Process &amp; Database\Documentation\Colo Applications"</f>
        <v>#VALUE!</v>
      </c>
      <c r="BH373" s="104" t="e">
        <f ca="1">_05preva_view43[Folder Path2]&amp;"\Colo App "&amp;_05preva_view43[[#This Row],[Operator]]&amp;"\"</f>
        <v>#VALUE!</v>
      </c>
      <c r="BI373" s="63" t="e">
        <f ca="1">_05preva_view43[[#This Row],[Folder Path3]]&amp;_05preva_view43[[#This Row],[File Name]]</f>
        <v>#VALUE!</v>
      </c>
      <c r="BJ373" s="104"/>
      <c r="BK373" s="3"/>
      <c r="BL373" s="3"/>
      <c r="CJ373" s="5"/>
      <c r="CK373" s="5"/>
      <c r="CL373" s="3"/>
      <c r="CN373" s="5"/>
      <c r="CR373" s="3"/>
      <c r="CS373" s="3"/>
      <c r="CT373" s="5"/>
      <c r="CV373" s="3"/>
      <c r="DR373" s="5"/>
      <c r="DT373" s="3"/>
      <c r="EF373" s="7"/>
      <c r="EG373" s="7"/>
      <c r="EJ373" s="4"/>
      <c r="EK373" s="4"/>
      <c r="EU373" s="2"/>
      <c r="EV373" s="2"/>
    </row>
    <row r="374" spans="1:152">
      <c r="A374" s="125">
        <v>97</v>
      </c>
      <c r="B374" s="126" t="s">
        <v>441</v>
      </c>
      <c r="C374" s="126" t="s">
        <v>116</v>
      </c>
      <c r="D374" s="126" t="s">
        <v>163</v>
      </c>
      <c r="E374" s="126" t="s">
        <v>442</v>
      </c>
      <c r="F374" s="126" t="s">
        <v>40</v>
      </c>
      <c r="G374" s="126" t="s">
        <v>118</v>
      </c>
      <c r="H374" s="126"/>
      <c r="I374" s="126" t="s">
        <v>118</v>
      </c>
      <c r="J374" s="126"/>
      <c r="K374" s="127">
        <v>43236</v>
      </c>
      <c r="L374" s="128"/>
      <c r="M374" s="128">
        <v>3</v>
      </c>
      <c r="N374" s="126"/>
      <c r="O374" s="126" t="s">
        <v>119</v>
      </c>
      <c r="P374" s="129"/>
      <c r="Q374" s="129"/>
      <c r="R374" s="126" t="s">
        <v>27</v>
      </c>
      <c r="S374" s="126"/>
      <c r="T374" s="130" t="s">
        <v>120</v>
      </c>
      <c r="U374" s="126" t="s">
        <v>403</v>
      </c>
      <c r="V374" s="130" t="s">
        <v>120</v>
      </c>
      <c r="W374" s="126"/>
      <c r="X374" s="130" t="s">
        <v>120</v>
      </c>
      <c r="Y374" s="126" t="s">
        <v>404</v>
      </c>
      <c r="Z374" s="165" t="s">
        <v>125</v>
      </c>
      <c r="AA374" s="158"/>
      <c r="AB374" s="158"/>
      <c r="AC374" s="170" t="s">
        <v>123</v>
      </c>
      <c r="AD374" s="126" t="s">
        <v>405</v>
      </c>
      <c r="AE374" s="130" t="s">
        <v>125</v>
      </c>
      <c r="AF374" s="127"/>
      <c r="AG374" s="131"/>
      <c r="AH374" s="131"/>
      <c r="AI374" s="126" t="s">
        <v>366</v>
      </c>
      <c r="AJ374" s="130" t="s">
        <v>120</v>
      </c>
      <c r="AK374" s="126" t="s">
        <v>123</v>
      </c>
      <c r="AL374" s="126"/>
      <c r="AM374" s="130"/>
      <c r="AN374" s="126"/>
      <c r="AO374" s="132"/>
      <c r="AP374" s="126"/>
      <c r="AQ374" s="126"/>
      <c r="AR374" s="130"/>
      <c r="AS374" s="126"/>
      <c r="AT374" s="127"/>
      <c r="AU374" s="127"/>
      <c r="AV374" s="127"/>
      <c r="AW374" s="127"/>
      <c r="AX374" s="127"/>
      <c r="AY374" s="127"/>
      <c r="AZ374" s="133"/>
      <c r="BA37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4" s="135">
        <f>COUNTIFS(_05preva_view43[Site ID],_05preva_view43[[#This Row],[Site ID]],_05preva_view43[Prevalidation Status],"Under Prevalidation")</f>
        <v>0</v>
      </c>
      <c r="BC374" s="157" t="e">
        <f ca="1">HYPERLINK(CheckPath(_05preva_view43[[#This Row],[File Path]],_05preva_view43[[#This Row],[File Path]],_05preva_view43[[#This Row],[Folder Path3]]),CheckPath(_05preva_view43[[#This Row],[File Path]],"Open File","No File"))</f>
        <v>#VALUE!</v>
      </c>
      <c r="BD374" s="136" t="str">
        <f>CONCATENATE(_05preva_view43[[#This Row],[Site ID]]," (",_05preva_view43[[#This Row],[tenant id]],") Application",IF(_05preva_view43[[#This Row],[Colo Rev]]&gt;0," Rev "&amp;_05preva_view43[[#This Row],[Colo Rev]],""),".xlsx")</f>
        <v>AYYN_0456 (YAW7768) Application.xlsx</v>
      </c>
      <c r="BE374" s="64" t="e">
        <f t="shared" ca="1" si="7"/>
        <v>#VALUE!</v>
      </c>
      <c r="BF374" s="104" t="e">
        <f ca="1">LEFT(CELL("filename",A359),_05preva_view43[[#This Row],[Find Process &amp; Database]]-1)</f>
        <v>#VALUE!</v>
      </c>
      <c r="BG374" s="104" t="e">
        <f ca="1">_05preva_view43[Folder Path1]&amp;"Process &amp; Database\Documentation\Colo Applications"</f>
        <v>#VALUE!</v>
      </c>
      <c r="BH374" s="104" t="e">
        <f ca="1">_05preva_view43[Folder Path2]&amp;"\Colo App "&amp;_05preva_view43[[#This Row],[Operator]]&amp;"\"</f>
        <v>#VALUE!</v>
      </c>
      <c r="BI374" s="63" t="e">
        <f ca="1">_05preva_view43[[#This Row],[Folder Path3]]&amp;_05preva_view43[[#This Row],[File Name]]</f>
        <v>#VALUE!</v>
      </c>
      <c r="BJ374" s="104"/>
      <c r="BK374" s="3"/>
      <c r="BL374" s="3"/>
      <c r="CJ374" s="5"/>
      <c r="CK374" s="5"/>
      <c r="CL374" s="3"/>
      <c r="CN374" s="5"/>
      <c r="CR374" s="3"/>
      <c r="CS374" s="3"/>
      <c r="CT374" s="5"/>
      <c r="CV374" s="3"/>
      <c r="DR374" s="5"/>
      <c r="DT374" s="3"/>
      <c r="EF374" s="7"/>
      <c r="EG374" s="7"/>
      <c r="EJ374" s="4"/>
      <c r="EK374" s="4"/>
      <c r="EU374" s="2"/>
      <c r="EV374" s="2"/>
    </row>
    <row r="375" spans="1:152">
      <c r="A375" s="125">
        <v>98</v>
      </c>
      <c r="B375" s="126" t="s">
        <v>443</v>
      </c>
      <c r="C375" s="126" t="s">
        <v>116</v>
      </c>
      <c r="D375" s="126" t="s">
        <v>163</v>
      </c>
      <c r="E375" s="126" t="s">
        <v>444</v>
      </c>
      <c r="F375" s="126" t="s">
        <v>40</v>
      </c>
      <c r="G375" s="126" t="s">
        <v>1579</v>
      </c>
      <c r="H375" s="126" t="s">
        <v>1580</v>
      </c>
      <c r="I375" s="126" t="s">
        <v>118</v>
      </c>
      <c r="J375" s="126"/>
      <c r="K375" s="127">
        <v>43236</v>
      </c>
      <c r="L375" s="128"/>
      <c r="M375" s="128">
        <v>3</v>
      </c>
      <c r="N375" s="126"/>
      <c r="O375" s="126" t="s">
        <v>119</v>
      </c>
      <c r="P375" s="129"/>
      <c r="Q375" s="129"/>
      <c r="R375" s="126" t="s">
        <v>24</v>
      </c>
      <c r="S375" s="126"/>
      <c r="T375" s="130" t="s">
        <v>120</v>
      </c>
      <c r="U375" s="126" t="s">
        <v>378</v>
      </c>
      <c r="V375" s="130" t="s">
        <v>120</v>
      </c>
      <c r="W375" s="126"/>
      <c r="X375" s="130" t="s">
        <v>120</v>
      </c>
      <c r="Y375" s="126" t="s">
        <v>120</v>
      </c>
      <c r="Z375" s="165" t="s">
        <v>120</v>
      </c>
      <c r="AA375" s="158"/>
      <c r="AB375" s="158"/>
      <c r="AC375" s="170"/>
      <c r="AD375" s="126" t="s">
        <v>419</v>
      </c>
      <c r="AE375" s="130" t="s">
        <v>120</v>
      </c>
      <c r="AF375" s="127" t="s">
        <v>241</v>
      </c>
      <c r="AG375" s="131"/>
      <c r="AH375" s="131">
        <v>3.5</v>
      </c>
      <c r="AI375" s="126" t="s">
        <v>387</v>
      </c>
      <c r="AJ375" s="130" t="s">
        <v>120</v>
      </c>
      <c r="AK375" s="126" t="s">
        <v>123</v>
      </c>
      <c r="AL375" s="126"/>
      <c r="AM375" s="130"/>
      <c r="AN375" s="126"/>
      <c r="AO375" s="132"/>
      <c r="AP375" s="126"/>
      <c r="AQ375" s="126"/>
      <c r="AR375" s="130"/>
      <c r="AS375" s="126"/>
      <c r="AT375" s="127"/>
      <c r="AU375" s="127">
        <v>43453.378986458301</v>
      </c>
      <c r="AV375" s="127"/>
      <c r="AW375" s="127"/>
      <c r="AX375" s="127"/>
      <c r="AY375" s="127"/>
      <c r="AZ375" s="133">
        <v>43236</v>
      </c>
      <c r="BA37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5" s="135">
        <f>COUNTIFS(_05preva_view43[Site ID],_05preva_view43[[#This Row],[Site ID]],_05preva_view43[Prevalidation Status],"Under Prevalidation")</f>
        <v>0</v>
      </c>
      <c r="BC375" s="157" t="e">
        <f ca="1">HYPERLINK(CheckPath(_05preva_view43[[#This Row],[File Path]],_05preva_view43[[#This Row],[File Path]],_05preva_view43[[#This Row],[Folder Path3]]),CheckPath(_05preva_view43[[#This Row],[File Path]],"Open File","No File"))</f>
        <v>#VALUE!</v>
      </c>
      <c r="BD375" s="136" t="str">
        <f>CONCATENATE(_05preva_view43[[#This Row],[Site ID]]," (",_05preva_view43[[#This Row],[tenant id]],") Application",IF(_05preva_view43[[#This Row],[Colo Rev]]&gt;0," Rev "&amp;_05preva_view43[[#This Row],[Colo Rev]],""),".xlsx")</f>
        <v>AYYN_0104 (YAW7816) Application.xlsx</v>
      </c>
      <c r="BE375" s="64" t="e">
        <f t="shared" ca="1" si="7"/>
        <v>#VALUE!</v>
      </c>
      <c r="BF375" s="104" t="e">
        <f ca="1">LEFT(CELL("filename",A360),_05preva_view43[[#This Row],[Find Process &amp; Database]]-1)</f>
        <v>#VALUE!</v>
      </c>
      <c r="BG375" s="104" t="e">
        <f ca="1">_05preva_view43[Folder Path1]&amp;"Process &amp; Database\Documentation\Colo Applications"</f>
        <v>#VALUE!</v>
      </c>
      <c r="BH375" s="104" t="e">
        <f ca="1">_05preva_view43[Folder Path2]&amp;"\Colo App "&amp;_05preva_view43[[#This Row],[Operator]]&amp;"\"</f>
        <v>#VALUE!</v>
      </c>
      <c r="BI375" s="63" t="e">
        <f ca="1">_05preva_view43[[#This Row],[Folder Path3]]&amp;_05preva_view43[[#This Row],[File Name]]</f>
        <v>#VALUE!</v>
      </c>
      <c r="BJ375" s="104"/>
      <c r="BK375" s="3"/>
      <c r="BL375" s="3"/>
      <c r="CJ375" s="5"/>
      <c r="CK375" s="5"/>
      <c r="CL375" s="3"/>
      <c r="CN375" s="5"/>
      <c r="CR375" s="3"/>
      <c r="CS375" s="3"/>
      <c r="CT375" s="5"/>
      <c r="CV375" s="3"/>
      <c r="DR375" s="5"/>
      <c r="DT375" s="3"/>
      <c r="EF375" s="7"/>
      <c r="EG375" s="7"/>
      <c r="EJ375" s="4"/>
      <c r="EK375" s="4"/>
      <c r="EU375" s="2"/>
      <c r="EV375" s="2"/>
    </row>
    <row r="376" spans="1:152">
      <c r="A376" s="125">
        <v>99</v>
      </c>
      <c r="B376" s="126" t="s">
        <v>445</v>
      </c>
      <c r="C376" s="126" t="s">
        <v>116</v>
      </c>
      <c r="D376" s="126" t="s">
        <v>163</v>
      </c>
      <c r="E376" s="126" t="s">
        <v>446</v>
      </c>
      <c r="F376" s="126" t="s">
        <v>40</v>
      </c>
      <c r="G376" s="126" t="s">
        <v>118</v>
      </c>
      <c r="H376" s="126"/>
      <c r="I376" s="126" t="s">
        <v>118</v>
      </c>
      <c r="J376" s="126"/>
      <c r="K376" s="127">
        <v>43236</v>
      </c>
      <c r="L376" s="128"/>
      <c r="M376" s="128">
        <v>3</v>
      </c>
      <c r="N376" s="126"/>
      <c r="O376" s="126" t="s">
        <v>119</v>
      </c>
      <c r="P376" s="129"/>
      <c r="Q376" s="129"/>
      <c r="R376" s="126" t="s">
        <v>24</v>
      </c>
      <c r="S376" s="126"/>
      <c r="T376" s="130" t="s">
        <v>120</v>
      </c>
      <c r="U376" s="126" t="s">
        <v>378</v>
      </c>
      <c r="V376" s="130" t="s">
        <v>120</v>
      </c>
      <c r="W376" s="126"/>
      <c r="X376" s="130" t="s">
        <v>120</v>
      </c>
      <c r="Y376" s="126" t="s">
        <v>120</v>
      </c>
      <c r="Z376" s="165" t="s">
        <v>120</v>
      </c>
      <c r="AA376" s="158"/>
      <c r="AB376" s="158"/>
      <c r="AC376" s="170"/>
      <c r="AD376" s="126" t="s">
        <v>419</v>
      </c>
      <c r="AE376" s="130" t="s">
        <v>120</v>
      </c>
      <c r="AF376" s="127" t="s">
        <v>120</v>
      </c>
      <c r="AG376" s="131"/>
      <c r="AH376" s="131">
        <v>2</v>
      </c>
      <c r="AI376" s="126" t="s">
        <v>120</v>
      </c>
      <c r="AJ376" s="130" t="s">
        <v>120</v>
      </c>
      <c r="AK376" s="126" t="s">
        <v>123</v>
      </c>
      <c r="AL376" s="126"/>
      <c r="AM376" s="130"/>
      <c r="AN376" s="126"/>
      <c r="AO376" s="132"/>
      <c r="AP376" s="126"/>
      <c r="AQ376" s="126"/>
      <c r="AR376" s="130"/>
      <c r="AS376" s="126"/>
      <c r="AT376" s="127"/>
      <c r="AU376" s="127">
        <v>43453.378988194403</v>
      </c>
      <c r="AV376" s="127"/>
      <c r="AW376" s="127"/>
      <c r="AX376" s="127"/>
      <c r="AY376" s="127"/>
      <c r="AZ376" s="133">
        <v>43236</v>
      </c>
      <c r="BA37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6" s="135">
        <f>COUNTIFS(_05preva_view43[Site ID],_05preva_view43[[#This Row],[Site ID]],_05preva_view43[Prevalidation Status],"Under Prevalidation")</f>
        <v>0</v>
      </c>
      <c r="BC376" s="157" t="e">
        <f ca="1">HYPERLINK(CheckPath(_05preva_view43[[#This Row],[File Path]],_05preva_view43[[#This Row],[File Path]],_05preva_view43[[#This Row],[Folder Path3]]),CheckPath(_05preva_view43[[#This Row],[File Path]],"Open File","No File"))</f>
        <v>#VALUE!</v>
      </c>
      <c r="BD376" s="136" t="str">
        <f>CONCATENATE(_05preva_view43[[#This Row],[Site ID]]," (",_05preva_view43[[#This Row],[tenant id]],") Application",IF(_05preva_view43[[#This Row],[Colo Rev]]&gt;0," Rev "&amp;_05preva_view43[[#This Row],[Colo Rev]],""),".xlsx")</f>
        <v>AYYN_0580 (YAW7405) Application.xlsx</v>
      </c>
      <c r="BE376" s="64" t="e">
        <f t="shared" ca="1" si="7"/>
        <v>#VALUE!</v>
      </c>
      <c r="BF376" s="104" t="e">
        <f ca="1">LEFT(CELL("filename",A361),_05preva_view43[[#This Row],[Find Process &amp; Database]]-1)</f>
        <v>#VALUE!</v>
      </c>
      <c r="BG376" s="104" t="e">
        <f ca="1">_05preva_view43[Folder Path1]&amp;"Process &amp; Database\Documentation\Colo Applications"</f>
        <v>#VALUE!</v>
      </c>
      <c r="BH376" s="104" t="e">
        <f ca="1">_05preva_view43[Folder Path2]&amp;"\Colo App "&amp;_05preva_view43[[#This Row],[Operator]]&amp;"\"</f>
        <v>#VALUE!</v>
      </c>
      <c r="BI376" s="63" t="e">
        <f ca="1">_05preva_view43[[#This Row],[Folder Path3]]&amp;_05preva_view43[[#This Row],[File Name]]</f>
        <v>#VALUE!</v>
      </c>
      <c r="BJ376" s="104"/>
      <c r="BK376" s="3"/>
      <c r="BL376" s="3"/>
      <c r="CJ376" s="5"/>
      <c r="CK376" s="5"/>
      <c r="CL376" s="3"/>
      <c r="CN376" s="5"/>
      <c r="CR376" s="3"/>
      <c r="CS376" s="3"/>
      <c r="CT376" s="5"/>
      <c r="CV376" s="3"/>
      <c r="DR376" s="5"/>
      <c r="DT376" s="3"/>
      <c r="EF376" s="7"/>
      <c r="EG376" s="7"/>
      <c r="EJ376" s="4"/>
      <c r="EK376" s="4"/>
      <c r="EU376" s="2"/>
      <c r="EV376" s="2"/>
    </row>
    <row r="377" spans="1:152">
      <c r="A377" s="125">
        <v>100</v>
      </c>
      <c r="B377" s="126" t="s">
        <v>447</v>
      </c>
      <c r="C377" s="126" t="s">
        <v>116</v>
      </c>
      <c r="D377" s="126" t="s">
        <v>163</v>
      </c>
      <c r="E377" s="126" t="s">
        <v>448</v>
      </c>
      <c r="F377" s="126" t="s">
        <v>40</v>
      </c>
      <c r="G377" s="126" t="s">
        <v>118</v>
      </c>
      <c r="H377" s="126"/>
      <c r="I377" s="126" t="s">
        <v>118</v>
      </c>
      <c r="J377" s="126"/>
      <c r="K377" s="127">
        <v>43236</v>
      </c>
      <c r="L377" s="128"/>
      <c r="M377" s="128">
        <v>3</v>
      </c>
      <c r="N377" s="126"/>
      <c r="O377" s="126" t="s">
        <v>119</v>
      </c>
      <c r="P377" s="129"/>
      <c r="Q377" s="129"/>
      <c r="R377" s="126" t="s">
        <v>26</v>
      </c>
      <c r="S377" s="126"/>
      <c r="T377" s="130" t="s">
        <v>120</v>
      </c>
      <c r="U377" s="126" t="s">
        <v>449</v>
      </c>
      <c r="V377" s="130" t="s">
        <v>144</v>
      </c>
      <c r="W377" s="126"/>
      <c r="X377" s="130"/>
      <c r="Y377" s="126"/>
      <c r="Z377" s="165" t="s">
        <v>125</v>
      </c>
      <c r="AA377" s="158"/>
      <c r="AB377" s="158"/>
      <c r="AC377" s="170"/>
      <c r="AD377" s="126" t="s">
        <v>430</v>
      </c>
      <c r="AE377" s="130" t="s">
        <v>120</v>
      </c>
      <c r="AF377" s="127" t="s">
        <v>241</v>
      </c>
      <c r="AG377" s="131"/>
      <c r="AH377" s="131">
        <v>3.5</v>
      </c>
      <c r="AI377" s="126" t="s">
        <v>242</v>
      </c>
      <c r="AJ377" s="130"/>
      <c r="AK377" s="126"/>
      <c r="AL377" s="126"/>
      <c r="AM377" s="130"/>
      <c r="AN377" s="126"/>
      <c r="AO377" s="132"/>
      <c r="AP377" s="126"/>
      <c r="AQ377" s="126"/>
      <c r="AR377" s="130"/>
      <c r="AS377" s="126"/>
      <c r="AT377" s="127"/>
      <c r="AU377" s="127">
        <v>43453.378989004603</v>
      </c>
      <c r="AV377" s="127"/>
      <c r="AW377" s="127"/>
      <c r="AX377" s="127"/>
      <c r="AY377" s="127"/>
      <c r="AZ377" s="133">
        <v>43236</v>
      </c>
      <c r="BA37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7" s="135">
        <f>COUNTIFS(_05preva_view43[Site ID],_05preva_view43[[#This Row],[Site ID]],_05preva_view43[Prevalidation Status],"Under Prevalidation")</f>
        <v>0</v>
      </c>
      <c r="BC377" s="157" t="e">
        <f ca="1">HYPERLINK(CheckPath(_05preva_view43[[#This Row],[File Path]],_05preva_view43[[#This Row],[File Path]],_05preva_view43[[#This Row],[Folder Path3]]),CheckPath(_05preva_view43[[#This Row],[File Path]],"Open File","No File"))</f>
        <v>#VALUE!</v>
      </c>
      <c r="BD377" s="136" t="str">
        <f>CONCATENATE(_05preva_view43[[#This Row],[Site ID]]," (",_05preva_view43[[#This Row],[tenant id]],") Application",IF(_05preva_view43[[#This Row],[Colo Rev]]&gt;0," Rev "&amp;_05preva_view43[[#This Row],[Colo Rev]],""),".xlsx")</f>
        <v>ACAY_0059 (AYW5560) Application.xlsx</v>
      </c>
      <c r="BE377" s="64" t="e">
        <f t="shared" ca="1" si="7"/>
        <v>#VALUE!</v>
      </c>
      <c r="BF377" s="104" t="e">
        <f ca="1">LEFT(CELL("filename",A362),_05preva_view43[[#This Row],[Find Process &amp; Database]]-1)</f>
        <v>#VALUE!</v>
      </c>
      <c r="BG377" s="104" t="e">
        <f ca="1">_05preva_view43[Folder Path1]&amp;"Process &amp; Database\Documentation\Colo Applications"</f>
        <v>#VALUE!</v>
      </c>
      <c r="BH377" s="104" t="e">
        <f ca="1">_05preva_view43[Folder Path2]&amp;"\Colo App "&amp;_05preva_view43[[#This Row],[Operator]]&amp;"\"</f>
        <v>#VALUE!</v>
      </c>
      <c r="BI377" s="63" t="e">
        <f ca="1">_05preva_view43[[#This Row],[Folder Path3]]&amp;_05preva_view43[[#This Row],[File Name]]</f>
        <v>#VALUE!</v>
      </c>
      <c r="BJ377" s="104"/>
      <c r="BK377" s="3"/>
      <c r="BL377" s="3"/>
      <c r="CJ377" s="5"/>
      <c r="CK377" s="5"/>
      <c r="CL377" s="3"/>
      <c r="CN377" s="5"/>
      <c r="CR377" s="3"/>
      <c r="CS377" s="3"/>
      <c r="CT377" s="5"/>
      <c r="CV377" s="3"/>
      <c r="DR377" s="5"/>
      <c r="DT377" s="3"/>
      <c r="EF377" s="7"/>
      <c r="EG377" s="7"/>
      <c r="EJ377" s="4"/>
      <c r="EK377" s="4"/>
      <c r="EU377" s="2"/>
      <c r="EV377" s="2"/>
    </row>
    <row r="378" spans="1:152">
      <c r="A378" s="125">
        <v>101</v>
      </c>
      <c r="B378" s="126" t="s">
        <v>450</v>
      </c>
      <c r="C378" s="126" t="s">
        <v>116</v>
      </c>
      <c r="D378" s="126" t="s">
        <v>163</v>
      </c>
      <c r="E378" s="126" t="s">
        <v>451</v>
      </c>
      <c r="F378" s="126" t="s">
        <v>40</v>
      </c>
      <c r="G378" s="126" t="s">
        <v>118</v>
      </c>
      <c r="H378" s="126"/>
      <c r="I378" s="126" t="s">
        <v>118</v>
      </c>
      <c r="J378" s="126"/>
      <c r="K378" s="127">
        <v>43236</v>
      </c>
      <c r="L378" s="128"/>
      <c r="M378" s="128">
        <v>3</v>
      </c>
      <c r="N378" s="126"/>
      <c r="O378" s="126" t="s">
        <v>119</v>
      </c>
      <c r="P378" s="129"/>
      <c r="Q378" s="129"/>
      <c r="R378" s="126" t="s">
        <v>26</v>
      </c>
      <c r="S378" s="126" t="s">
        <v>452</v>
      </c>
      <c r="T378" s="130" t="s">
        <v>120</v>
      </c>
      <c r="U378" s="126" t="s">
        <v>378</v>
      </c>
      <c r="V378" s="130" t="s">
        <v>120</v>
      </c>
      <c r="W378" s="126"/>
      <c r="X378" s="130" t="s">
        <v>120</v>
      </c>
      <c r="Y378" s="126" t="s">
        <v>453</v>
      </c>
      <c r="Z378" s="165" t="s">
        <v>120</v>
      </c>
      <c r="AA378" s="158"/>
      <c r="AB378" s="158"/>
      <c r="AC378" s="170" t="s">
        <v>454</v>
      </c>
      <c r="AD378" s="126" t="s">
        <v>455</v>
      </c>
      <c r="AE378" s="130" t="s">
        <v>125</v>
      </c>
      <c r="AF378" s="127"/>
      <c r="AG378" s="131"/>
      <c r="AH378" s="131"/>
      <c r="AI378" s="126" t="s">
        <v>242</v>
      </c>
      <c r="AJ378" s="130" t="s">
        <v>120</v>
      </c>
      <c r="AK378" s="126" t="s">
        <v>123</v>
      </c>
      <c r="AL378" s="126"/>
      <c r="AM378" s="130"/>
      <c r="AN378" s="126"/>
      <c r="AO378" s="132"/>
      <c r="AP378" s="126"/>
      <c r="AQ378" s="126"/>
      <c r="AR378" s="130"/>
      <c r="AS378" s="126"/>
      <c r="AT378" s="127"/>
      <c r="AU378" s="127"/>
      <c r="AV378" s="127"/>
      <c r="AW378" s="127"/>
      <c r="AX378" s="127"/>
      <c r="AY378" s="127"/>
      <c r="AZ378" s="133">
        <v>43236</v>
      </c>
      <c r="BA37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8" s="135">
        <f>COUNTIFS(_05preva_view43[Site ID],_05preva_view43[[#This Row],[Site ID]],_05preva_view43[Prevalidation Status],"Under Prevalidation")</f>
        <v>0</v>
      </c>
      <c r="BC378" s="157" t="e">
        <f ca="1">HYPERLINK(CheckPath(_05preva_view43[[#This Row],[File Path]],_05preva_view43[[#This Row],[File Path]],_05preva_view43[[#This Row],[Folder Path3]]),CheckPath(_05preva_view43[[#This Row],[File Path]],"Open File","No File"))</f>
        <v>#VALUE!</v>
      </c>
      <c r="BD378" s="136" t="str">
        <f>CONCATENATE(_05preva_view43[[#This Row],[Site ID]]," (",_05preva_view43[[#This Row],[tenant id]],") Application",IF(_05preva_view43[[#This Row],[Colo Rev]]&gt;0," Rev "&amp;_05preva_view43[[#This Row],[Colo Rev]],""),".xlsx")</f>
        <v>AYYN_0081 (YAW7814) Application.xlsx</v>
      </c>
      <c r="BE378" s="64" t="e">
        <f t="shared" ca="1" si="7"/>
        <v>#VALUE!</v>
      </c>
      <c r="BF378" s="104" t="e">
        <f ca="1">LEFT(CELL("filename",A363),_05preva_view43[[#This Row],[Find Process &amp; Database]]-1)</f>
        <v>#VALUE!</v>
      </c>
      <c r="BG378" s="104" t="e">
        <f ca="1">_05preva_view43[Folder Path1]&amp;"Process &amp; Database\Documentation\Colo Applications"</f>
        <v>#VALUE!</v>
      </c>
      <c r="BH378" s="104" t="e">
        <f ca="1">_05preva_view43[Folder Path2]&amp;"\Colo App "&amp;_05preva_view43[[#This Row],[Operator]]&amp;"\"</f>
        <v>#VALUE!</v>
      </c>
      <c r="BI378" s="63" t="e">
        <f ca="1">_05preva_view43[[#This Row],[Folder Path3]]&amp;_05preva_view43[[#This Row],[File Name]]</f>
        <v>#VALUE!</v>
      </c>
      <c r="BJ378" s="104"/>
      <c r="BK378" s="3"/>
      <c r="BL378" s="3"/>
      <c r="CJ378" s="5"/>
      <c r="CK378" s="5"/>
      <c r="CL378" s="3"/>
      <c r="CN378" s="5"/>
      <c r="CR378" s="3"/>
      <c r="CS378" s="3"/>
      <c r="CT378" s="5"/>
      <c r="CV378" s="3"/>
      <c r="DR378" s="5"/>
      <c r="DT378" s="3"/>
      <c r="EF378" s="7"/>
      <c r="EG378" s="7"/>
      <c r="EJ378" s="4"/>
      <c r="EK378" s="4"/>
      <c r="EU378" s="2"/>
      <c r="EV378" s="2"/>
    </row>
    <row r="379" spans="1:152">
      <c r="A379" s="125">
        <v>103</v>
      </c>
      <c r="B379" s="126" t="s">
        <v>456</v>
      </c>
      <c r="C379" s="126" t="s">
        <v>116</v>
      </c>
      <c r="D379" s="126" t="s">
        <v>163</v>
      </c>
      <c r="E379" s="126" t="s">
        <v>457</v>
      </c>
      <c r="F379" s="126" t="s">
        <v>40</v>
      </c>
      <c r="G379" s="126" t="s">
        <v>1579</v>
      </c>
      <c r="H379" s="126" t="s">
        <v>1580</v>
      </c>
      <c r="I379" s="126" t="s">
        <v>118</v>
      </c>
      <c r="J379" s="126"/>
      <c r="K379" s="127">
        <v>43236</v>
      </c>
      <c r="L379" s="128"/>
      <c r="M379" s="128">
        <v>3</v>
      </c>
      <c r="N379" s="126"/>
      <c r="O379" s="126" t="s">
        <v>119</v>
      </c>
      <c r="P379" s="129"/>
      <c r="Q379" s="129"/>
      <c r="R379" s="126" t="s">
        <v>24</v>
      </c>
      <c r="S379" s="126"/>
      <c r="T379" s="130" t="s">
        <v>120</v>
      </c>
      <c r="U379" s="126" t="s">
        <v>403</v>
      </c>
      <c r="V379" s="130" t="s">
        <v>120</v>
      </c>
      <c r="W379" s="126"/>
      <c r="X379" s="130" t="s">
        <v>120</v>
      </c>
      <c r="Y379" s="126" t="s">
        <v>404</v>
      </c>
      <c r="Z379" s="165" t="s">
        <v>125</v>
      </c>
      <c r="AA379" s="158"/>
      <c r="AB379" s="158"/>
      <c r="AC379" s="170" t="s">
        <v>123</v>
      </c>
      <c r="AD379" s="126" t="s">
        <v>430</v>
      </c>
      <c r="AE379" s="130" t="s">
        <v>125</v>
      </c>
      <c r="AF379" s="127"/>
      <c r="AG379" s="131"/>
      <c r="AH379" s="131"/>
      <c r="AI379" s="126" t="s">
        <v>242</v>
      </c>
      <c r="AJ379" s="130" t="s">
        <v>120</v>
      </c>
      <c r="AK379" s="126" t="s">
        <v>240</v>
      </c>
      <c r="AL379" s="126"/>
      <c r="AM379" s="130"/>
      <c r="AN379" s="126"/>
      <c r="AO379" s="132"/>
      <c r="AP379" s="126"/>
      <c r="AQ379" s="126"/>
      <c r="AR379" s="130"/>
      <c r="AS379" s="126"/>
      <c r="AT379" s="127"/>
      <c r="AU379" s="127"/>
      <c r="AV379" s="127"/>
      <c r="AW379" s="127"/>
      <c r="AX379" s="127"/>
      <c r="AY379" s="127"/>
      <c r="AZ379" s="133"/>
      <c r="BA37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9" s="135">
        <f>COUNTIFS(_05preva_view43[Site ID],_05preva_view43[[#This Row],[Site ID]],_05preva_view43[Prevalidation Status],"Under Prevalidation")</f>
        <v>0</v>
      </c>
      <c r="BC379" s="157" t="e">
        <f ca="1">HYPERLINK(CheckPath(_05preva_view43[[#This Row],[File Path]],_05preva_view43[[#This Row],[File Path]],_05preva_view43[[#This Row],[Folder Path3]]),CheckPath(_05preva_view43[[#This Row],[File Path]],"Open File","No File"))</f>
        <v>#VALUE!</v>
      </c>
      <c r="BD379" s="136" t="str">
        <f>CONCATENATE(_05preva_view43[[#This Row],[Site ID]]," (",_05preva_view43[[#This Row],[tenant id]],") Application",IF(_05preva_view43[[#This Row],[Colo Rev]]&gt;0," Rev "&amp;_05preva_view43[[#This Row],[Colo Rev]],""),".xlsx")</f>
        <v>AYYN_0576 (YAW7812) Application.xlsx</v>
      </c>
      <c r="BE379" s="64" t="e">
        <f t="shared" ca="1" si="7"/>
        <v>#VALUE!</v>
      </c>
      <c r="BF379" s="104" t="e">
        <f ca="1">LEFT(CELL("filename",A364),_05preva_view43[[#This Row],[Find Process &amp; Database]]-1)</f>
        <v>#VALUE!</v>
      </c>
      <c r="BG379" s="104" t="e">
        <f ca="1">_05preva_view43[Folder Path1]&amp;"Process &amp; Database\Documentation\Colo Applications"</f>
        <v>#VALUE!</v>
      </c>
      <c r="BH379" s="104" t="e">
        <f ca="1">_05preva_view43[Folder Path2]&amp;"\Colo App "&amp;_05preva_view43[[#This Row],[Operator]]&amp;"\"</f>
        <v>#VALUE!</v>
      </c>
      <c r="BI379" s="63" t="e">
        <f ca="1">_05preva_view43[[#This Row],[Folder Path3]]&amp;_05preva_view43[[#This Row],[File Name]]</f>
        <v>#VALUE!</v>
      </c>
      <c r="BJ379" s="104"/>
      <c r="BK379" s="3"/>
      <c r="BL379" s="3"/>
      <c r="CJ379" s="5"/>
      <c r="CK379" s="5"/>
      <c r="CL379" s="3"/>
      <c r="CN379" s="5"/>
      <c r="CR379" s="3"/>
      <c r="CS379" s="3"/>
      <c r="CT379" s="5"/>
      <c r="CV379" s="3"/>
      <c r="DR379" s="5"/>
      <c r="DT379" s="3"/>
      <c r="EF379" s="7"/>
      <c r="EG379" s="7"/>
      <c r="EJ379" s="4"/>
      <c r="EK379" s="4"/>
      <c r="EU379" s="2"/>
      <c r="EV379" s="2"/>
    </row>
    <row r="380" spans="1:152">
      <c r="A380" s="125">
        <v>104</v>
      </c>
      <c r="B380" s="126" t="s">
        <v>458</v>
      </c>
      <c r="C380" s="126" t="s">
        <v>116</v>
      </c>
      <c r="D380" s="126" t="s">
        <v>163</v>
      </c>
      <c r="E380" s="126" t="s">
        <v>459</v>
      </c>
      <c r="F380" s="126" t="s">
        <v>40</v>
      </c>
      <c r="G380" s="126" t="s">
        <v>118</v>
      </c>
      <c r="H380" s="126"/>
      <c r="I380" s="126" t="s">
        <v>118</v>
      </c>
      <c r="J380" s="126"/>
      <c r="K380" s="127">
        <v>43236</v>
      </c>
      <c r="L380" s="128"/>
      <c r="M380" s="128">
        <v>3</v>
      </c>
      <c r="N380" s="126"/>
      <c r="O380" s="126" t="s">
        <v>119</v>
      </c>
      <c r="P380" s="129"/>
      <c r="Q380" s="129"/>
      <c r="R380" s="126" t="s">
        <v>27</v>
      </c>
      <c r="S380" s="126" t="s">
        <v>428</v>
      </c>
      <c r="T380" s="130" t="s">
        <v>120</v>
      </c>
      <c r="U380" s="126" t="s">
        <v>403</v>
      </c>
      <c r="V380" s="130" t="s">
        <v>120</v>
      </c>
      <c r="W380" s="126"/>
      <c r="X380" s="130" t="s">
        <v>120</v>
      </c>
      <c r="Y380" s="126" t="s">
        <v>404</v>
      </c>
      <c r="Z380" s="165" t="s">
        <v>125</v>
      </c>
      <c r="AA380" s="158"/>
      <c r="AB380" s="158"/>
      <c r="AC380" s="170" t="s">
        <v>123</v>
      </c>
      <c r="AD380" s="126" t="s">
        <v>430</v>
      </c>
      <c r="AE380" s="130" t="s">
        <v>120</v>
      </c>
      <c r="AF380" s="127" t="s">
        <v>461</v>
      </c>
      <c r="AG380" s="131"/>
      <c r="AH380" s="131">
        <v>2</v>
      </c>
      <c r="AI380" s="126" t="s">
        <v>462</v>
      </c>
      <c r="AJ380" s="130" t="s">
        <v>120</v>
      </c>
      <c r="AK380" s="126" t="s">
        <v>123</v>
      </c>
      <c r="AL380" s="126" t="s">
        <v>460</v>
      </c>
      <c r="AM380" s="130"/>
      <c r="AN380" s="126"/>
      <c r="AO380" s="132"/>
      <c r="AP380" s="126"/>
      <c r="AQ380" s="126"/>
      <c r="AR380" s="130"/>
      <c r="AS380" s="126"/>
      <c r="AT380" s="127"/>
      <c r="AU380" s="127">
        <v>43453.3789905093</v>
      </c>
      <c r="AV380" s="127"/>
      <c r="AW380" s="127"/>
      <c r="AX380" s="127"/>
      <c r="AY380" s="127"/>
      <c r="AZ380" s="133">
        <v>43453.3789905093</v>
      </c>
      <c r="BA380" s="134">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B380" s="135">
        <f>COUNTIFS(_05preva_view43[Site ID],_05preva_view43[[#This Row],[Site ID]],_05preva_view43[Prevalidation Status],"Under Prevalidation")</f>
        <v>0</v>
      </c>
      <c r="BC380" s="157" t="e">
        <f ca="1">HYPERLINK(CheckPath(_05preva_view43[[#This Row],[File Path]],_05preva_view43[[#This Row],[File Path]],_05preva_view43[[#This Row],[Folder Path3]]),CheckPath(_05preva_view43[[#This Row],[File Path]],"Open File","No File"))</f>
        <v>#VALUE!</v>
      </c>
      <c r="BD380" s="136" t="str">
        <f>CONCATENATE(_05preva_view43[[#This Row],[Site ID]]," (",_05preva_view43[[#This Row],[tenant id]],") Application",IF(_05preva_view43[[#This Row],[Colo Rev]]&gt;0," Rev "&amp;_05preva_view43[[#This Row],[Colo Rev]],""),".xlsx")</f>
        <v>AYYN_0574 (YAW4977) Application.xlsx</v>
      </c>
      <c r="BE380" s="64" t="e">
        <f t="shared" ca="1" si="7"/>
        <v>#VALUE!</v>
      </c>
      <c r="BF380" s="104" t="e">
        <f ca="1">LEFT(CELL("filename",A365),_05preva_view43[[#This Row],[Find Process &amp; Database]]-1)</f>
        <v>#VALUE!</v>
      </c>
      <c r="BG380" s="104" t="e">
        <f ca="1">_05preva_view43[Folder Path1]&amp;"Process &amp; Database\Documentation\Colo Applications"</f>
        <v>#VALUE!</v>
      </c>
      <c r="BH380" s="104" t="e">
        <f ca="1">_05preva_view43[Folder Path2]&amp;"\Colo App "&amp;_05preva_view43[[#This Row],[Operator]]&amp;"\"</f>
        <v>#VALUE!</v>
      </c>
      <c r="BI380" s="63" t="e">
        <f ca="1">_05preva_view43[[#This Row],[Folder Path3]]&amp;_05preva_view43[[#This Row],[File Name]]</f>
        <v>#VALUE!</v>
      </c>
      <c r="BJ380" s="104"/>
      <c r="BK380" s="3"/>
      <c r="BL380" s="3"/>
      <c r="CJ380" s="5"/>
      <c r="CK380" s="5"/>
      <c r="CL380" s="3"/>
      <c r="CN380" s="5"/>
      <c r="CR380" s="3"/>
      <c r="CS380" s="3"/>
      <c r="CT380" s="5"/>
      <c r="CV380" s="3"/>
      <c r="DR380" s="5"/>
      <c r="DT380" s="3"/>
      <c r="EF380" s="7"/>
      <c r="EG380" s="7"/>
      <c r="EJ380" s="4"/>
      <c r="EK380" s="4"/>
      <c r="EU380" s="2"/>
      <c r="EV380" s="2"/>
    </row>
    <row r="381" spans="1:152">
      <c r="A381" s="125">
        <v>105</v>
      </c>
      <c r="B381" s="126" t="s">
        <v>463</v>
      </c>
      <c r="C381" s="126" t="s">
        <v>116</v>
      </c>
      <c r="D381" s="126" t="s">
        <v>163</v>
      </c>
      <c r="E381" s="126" t="s">
        <v>464</v>
      </c>
      <c r="F381" s="126" t="s">
        <v>40</v>
      </c>
      <c r="G381" s="126" t="s">
        <v>1579</v>
      </c>
      <c r="H381" s="126" t="s">
        <v>1580</v>
      </c>
      <c r="I381" s="126" t="s">
        <v>118</v>
      </c>
      <c r="J381" s="126"/>
      <c r="K381" s="127">
        <v>43236</v>
      </c>
      <c r="L381" s="128"/>
      <c r="M381" s="128">
        <v>3</v>
      </c>
      <c r="N381" s="126"/>
      <c r="O381" s="126" t="s">
        <v>119</v>
      </c>
      <c r="P381" s="129"/>
      <c r="Q381" s="129"/>
      <c r="R381" s="126" t="s">
        <v>24</v>
      </c>
      <c r="S381" s="126"/>
      <c r="T381" s="130" t="s">
        <v>120</v>
      </c>
      <c r="U381" s="126" t="s">
        <v>378</v>
      </c>
      <c r="V381" s="130" t="s">
        <v>120</v>
      </c>
      <c r="W381" s="126"/>
      <c r="X381" s="130" t="s">
        <v>120</v>
      </c>
      <c r="Y381" s="126" t="s">
        <v>120</v>
      </c>
      <c r="Z381" s="165" t="s">
        <v>120</v>
      </c>
      <c r="AA381" s="158"/>
      <c r="AB381" s="158"/>
      <c r="AC381" s="170"/>
      <c r="AD381" s="126" t="s">
        <v>419</v>
      </c>
      <c r="AE381" s="130" t="s">
        <v>120</v>
      </c>
      <c r="AF381" s="127" t="s">
        <v>241</v>
      </c>
      <c r="AG381" s="131"/>
      <c r="AH381" s="131">
        <v>3.5</v>
      </c>
      <c r="AI381" s="126" t="s">
        <v>387</v>
      </c>
      <c r="AJ381" s="130" t="s">
        <v>120</v>
      </c>
      <c r="AK381" s="126" t="s">
        <v>123</v>
      </c>
      <c r="AL381" s="126"/>
      <c r="AM381" s="130"/>
      <c r="AN381" s="126"/>
      <c r="AO381" s="132"/>
      <c r="AP381" s="126"/>
      <c r="AQ381" s="126"/>
      <c r="AR381" s="130"/>
      <c r="AS381" s="126"/>
      <c r="AT381" s="127"/>
      <c r="AU381" s="127">
        <v>43453.378991435202</v>
      </c>
      <c r="AV381" s="127"/>
      <c r="AW381" s="127"/>
      <c r="AX381" s="127"/>
      <c r="AY381" s="127"/>
      <c r="AZ381" s="133">
        <v>43236</v>
      </c>
      <c r="BA38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1" s="135">
        <f>COUNTIFS(_05preva_view43[Site ID],_05preva_view43[[#This Row],[Site ID]],_05preva_view43[Prevalidation Status],"Under Prevalidation")</f>
        <v>0</v>
      </c>
      <c r="BC381" s="157" t="e">
        <f ca="1">HYPERLINK(CheckPath(_05preva_view43[[#This Row],[File Path]],_05preva_view43[[#This Row],[File Path]],_05preva_view43[[#This Row],[Folder Path3]]),CheckPath(_05preva_view43[[#This Row],[File Path]],"Open File","No File"))</f>
        <v>#VALUE!</v>
      </c>
      <c r="BD381" s="136" t="str">
        <f>CONCATENATE(_05preva_view43[[#This Row],[Site ID]]," (",_05preva_view43[[#This Row],[tenant id]],") Application",IF(_05preva_view43[[#This Row],[Colo Rev]]&gt;0," Rev "&amp;_05preva_view43[[#This Row],[Colo Rev]],""),".xlsx")</f>
        <v>AYYN_0331 (YAW7807) Application.xlsx</v>
      </c>
      <c r="BE381" s="64" t="e">
        <f t="shared" ca="1" si="7"/>
        <v>#VALUE!</v>
      </c>
      <c r="BF381" s="104" t="e">
        <f ca="1">LEFT(CELL("filename",A366),_05preva_view43[[#This Row],[Find Process &amp; Database]]-1)</f>
        <v>#VALUE!</v>
      </c>
      <c r="BG381" s="104" t="e">
        <f ca="1">_05preva_view43[Folder Path1]&amp;"Process &amp; Database\Documentation\Colo Applications"</f>
        <v>#VALUE!</v>
      </c>
      <c r="BH381" s="104" t="e">
        <f ca="1">_05preva_view43[Folder Path2]&amp;"\Colo App "&amp;_05preva_view43[[#This Row],[Operator]]&amp;"\"</f>
        <v>#VALUE!</v>
      </c>
      <c r="BI381" s="63" t="e">
        <f ca="1">_05preva_view43[[#This Row],[Folder Path3]]&amp;_05preva_view43[[#This Row],[File Name]]</f>
        <v>#VALUE!</v>
      </c>
      <c r="BJ381" s="104"/>
      <c r="BK381" s="3"/>
      <c r="BL381" s="3"/>
      <c r="CJ381" s="5"/>
      <c r="CK381" s="5"/>
      <c r="CL381" s="3"/>
      <c r="CN381" s="5"/>
      <c r="CR381" s="3"/>
      <c r="CS381" s="3"/>
      <c r="CT381" s="5"/>
      <c r="CV381" s="3"/>
      <c r="DR381" s="5"/>
      <c r="DT381" s="3"/>
      <c r="EF381" s="7"/>
      <c r="EG381" s="7"/>
      <c r="EJ381" s="4"/>
      <c r="EK381" s="4"/>
      <c r="EU381" s="2"/>
      <c r="EV381" s="2"/>
    </row>
    <row r="382" spans="1:152">
      <c r="A382" s="125">
        <v>107</v>
      </c>
      <c r="B382" s="126" t="s">
        <v>465</v>
      </c>
      <c r="C382" s="126" t="s">
        <v>116</v>
      </c>
      <c r="D382" s="126" t="s">
        <v>117</v>
      </c>
      <c r="E382" s="126" t="s">
        <v>466</v>
      </c>
      <c r="F382" s="126" t="s">
        <v>40</v>
      </c>
      <c r="G382" s="126" t="s">
        <v>1579</v>
      </c>
      <c r="H382" s="126" t="s">
        <v>1575</v>
      </c>
      <c r="I382" s="126" t="s">
        <v>118</v>
      </c>
      <c r="J382" s="126"/>
      <c r="K382" s="127">
        <v>43236</v>
      </c>
      <c r="L382" s="128"/>
      <c r="M382" s="128">
        <v>3</v>
      </c>
      <c r="N382" s="126"/>
      <c r="O382" s="126" t="s">
        <v>119</v>
      </c>
      <c r="P382" s="129"/>
      <c r="Q382" s="129"/>
      <c r="R382" s="126" t="s">
        <v>24</v>
      </c>
      <c r="S382" s="126"/>
      <c r="T382" s="130" t="s">
        <v>120</v>
      </c>
      <c r="U382" s="126" t="s">
        <v>378</v>
      </c>
      <c r="V382" s="130" t="s">
        <v>120</v>
      </c>
      <c r="W382" s="126"/>
      <c r="X382" s="130" t="s">
        <v>120</v>
      </c>
      <c r="Y382" s="126" t="s">
        <v>120</v>
      </c>
      <c r="Z382" s="165" t="s">
        <v>120</v>
      </c>
      <c r="AA382" s="158"/>
      <c r="AB382" s="158"/>
      <c r="AC382" s="170"/>
      <c r="AD382" s="126" t="s">
        <v>120</v>
      </c>
      <c r="AE382" s="130" t="s">
        <v>120</v>
      </c>
      <c r="AF382" s="127" t="s">
        <v>467</v>
      </c>
      <c r="AG382" s="131"/>
      <c r="AH382" s="131">
        <v>3.5</v>
      </c>
      <c r="AI382" s="126" t="s">
        <v>245</v>
      </c>
      <c r="AJ382" s="130" t="s">
        <v>120</v>
      </c>
      <c r="AK382" s="126" t="s">
        <v>123</v>
      </c>
      <c r="AL382" s="126"/>
      <c r="AM382" s="130"/>
      <c r="AN382" s="126"/>
      <c r="AO382" s="132"/>
      <c r="AP382" s="126"/>
      <c r="AQ382" s="126"/>
      <c r="AR382" s="130"/>
      <c r="AS382" s="126"/>
      <c r="AT382" s="127"/>
      <c r="AU382" s="127">
        <v>43453.378993518498</v>
      </c>
      <c r="AV382" s="127"/>
      <c r="AW382" s="127"/>
      <c r="AX382" s="127"/>
      <c r="AY382" s="127"/>
      <c r="AZ382" s="133">
        <v>43236</v>
      </c>
      <c r="BA38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2" s="135">
        <f>COUNTIFS(_05preva_view43[Site ID],_05preva_view43[[#This Row],[Site ID]],_05preva_view43[Prevalidation Status],"Under Prevalidation")</f>
        <v>0</v>
      </c>
      <c r="BC382" s="157" t="e">
        <f ca="1">HYPERLINK(CheckPath(_05preva_view43[[#This Row],[File Path]],_05preva_view43[[#This Row],[File Path]],_05preva_view43[[#This Row],[Folder Path3]]),CheckPath(_05preva_view43[[#This Row],[File Path]],"Open File","No File"))</f>
        <v>#VALUE!</v>
      </c>
      <c r="BD382" s="136" t="str">
        <f>CONCATENATE(_05preva_view43[[#This Row],[Site ID]]," (",_05preva_view43[[#This Row],[tenant id]],") Application",IF(_05preva_view43[[#This Row],[Colo Rev]]&gt;0," Rev "&amp;_05preva_view43[[#This Row],[Colo Rev]],""),".xlsx")</f>
        <v>ACBA_0108 (BAW5569) Application.xlsx</v>
      </c>
      <c r="BE382" s="64" t="e">
        <f t="shared" ca="1" si="7"/>
        <v>#VALUE!</v>
      </c>
      <c r="BF382" s="104" t="e">
        <f ca="1">LEFT(CELL("filename",A367),_05preva_view43[[#This Row],[Find Process &amp; Database]]-1)</f>
        <v>#VALUE!</v>
      </c>
      <c r="BG382" s="104" t="e">
        <f ca="1">_05preva_view43[Folder Path1]&amp;"Process &amp; Database\Documentation\Colo Applications"</f>
        <v>#VALUE!</v>
      </c>
      <c r="BH382" s="104" t="e">
        <f ca="1">_05preva_view43[Folder Path2]&amp;"\Colo App "&amp;_05preva_view43[[#This Row],[Operator]]&amp;"\"</f>
        <v>#VALUE!</v>
      </c>
      <c r="BI382" s="63" t="e">
        <f ca="1">_05preva_view43[[#This Row],[Folder Path3]]&amp;_05preva_view43[[#This Row],[File Name]]</f>
        <v>#VALUE!</v>
      </c>
      <c r="BJ382" s="104"/>
      <c r="BK382" s="3"/>
      <c r="BL382" s="3"/>
      <c r="CJ382" s="5"/>
      <c r="CK382" s="5"/>
      <c r="CL382" s="3"/>
      <c r="CN382" s="5"/>
      <c r="CR382" s="3"/>
      <c r="CS382" s="3"/>
      <c r="CT382" s="5"/>
      <c r="CV382" s="3"/>
      <c r="DR382" s="5"/>
      <c r="DT382" s="3"/>
      <c r="EF382" s="7"/>
      <c r="EG382" s="7"/>
      <c r="EJ382" s="4"/>
      <c r="EK382" s="4"/>
      <c r="EU382" s="2"/>
      <c r="EV382" s="2"/>
    </row>
    <row r="383" spans="1:152">
      <c r="A383" s="125">
        <v>108</v>
      </c>
      <c r="B383" s="126" t="s">
        <v>468</v>
      </c>
      <c r="C383" s="126" t="s">
        <v>116</v>
      </c>
      <c r="D383" s="126" t="s">
        <v>163</v>
      </c>
      <c r="E383" s="126" t="s">
        <v>469</v>
      </c>
      <c r="F383" s="126" t="s">
        <v>40</v>
      </c>
      <c r="G383" s="126" t="s">
        <v>1579</v>
      </c>
      <c r="H383" s="126" t="s">
        <v>1575</v>
      </c>
      <c r="I383" s="126" t="s">
        <v>118</v>
      </c>
      <c r="J383" s="126"/>
      <c r="K383" s="127">
        <v>43236</v>
      </c>
      <c r="L383" s="128"/>
      <c r="M383" s="128">
        <v>3</v>
      </c>
      <c r="N383" s="126"/>
      <c r="O383" s="126" t="s">
        <v>119</v>
      </c>
      <c r="P383" s="129"/>
      <c r="Q383" s="129"/>
      <c r="R383" s="126" t="s">
        <v>24</v>
      </c>
      <c r="S383" s="126"/>
      <c r="T383" s="130" t="s">
        <v>120</v>
      </c>
      <c r="U383" s="126" t="s">
        <v>378</v>
      </c>
      <c r="V383" s="130" t="s">
        <v>120</v>
      </c>
      <c r="W383" s="126"/>
      <c r="X383" s="130" t="s">
        <v>120</v>
      </c>
      <c r="Y383" s="126" t="s">
        <v>120</v>
      </c>
      <c r="Z383" s="165" t="s">
        <v>120</v>
      </c>
      <c r="AA383" s="158"/>
      <c r="AB383" s="158"/>
      <c r="AC383" s="170"/>
      <c r="AD383" s="126" t="s">
        <v>120</v>
      </c>
      <c r="AE383" s="130" t="s">
        <v>120</v>
      </c>
      <c r="AF383" s="127" t="s">
        <v>241</v>
      </c>
      <c r="AG383" s="131"/>
      <c r="AH383" s="131">
        <v>3.5</v>
      </c>
      <c r="AI383" s="126" t="s">
        <v>242</v>
      </c>
      <c r="AJ383" s="130" t="s">
        <v>120</v>
      </c>
      <c r="AK383" s="126" t="s">
        <v>123</v>
      </c>
      <c r="AL383" s="126" t="s">
        <v>470</v>
      </c>
      <c r="AM383" s="130"/>
      <c r="AN383" s="126"/>
      <c r="AO383" s="132"/>
      <c r="AP383" s="126"/>
      <c r="AQ383" s="126"/>
      <c r="AR383" s="130"/>
      <c r="AS383" s="126"/>
      <c r="AT383" s="127"/>
      <c r="AU383" s="127">
        <v>43453.378994328697</v>
      </c>
      <c r="AV383" s="127"/>
      <c r="AW383" s="127"/>
      <c r="AX383" s="127"/>
      <c r="AY383" s="127"/>
      <c r="AZ383" s="133">
        <v>43236</v>
      </c>
      <c r="BA38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3" s="135">
        <f>COUNTIFS(_05preva_view43[Site ID],_05preva_view43[[#This Row],[Site ID]],_05preva_view43[Prevalidation Status],"Under Prevalidation")</f>
        <v>0</v>
      </c>
      <c r="BC383" s="157" t="e">
        <f ca="1">HYPERLINK(CheckPath(_05preva_view43[[#This Row],[File Path]],_05preva_view43[[#This Row],[File Path]],_05preva_view43[[#This Row],[Folder Path3]]),CheckPath(_05preva_view43[[#This Row],[File Path]],"Open File","No File"))</f>
        <v>#VALUE!</v>
      </c>
      <c r="BD383" s="136" t="str">
        <f>CONCATENATE(_05preva_view43[[#This Row],[Site ID]]," (",_05preva_view43[[#This Row],[tenant id]],") Application",IF(_05preva_view43[[#This Row],[Colo Rev]]&gt;0," Rev "&amp;_05preva_view43[[#This Row],[Colo Rev]],""),".xlsx")</f>
        <v>ASMO_0305 (MOW6308) Application.xlsx</v>
      </c>
      <c r="BE383" s="64" t="e">
        <f t="shared" ca="1" si="7"/>
        <v>#VALUE!</v>
      </c>
      <c r="BF383" s="104" t="e">
        <f ca="1">LEFT(CELL("filename",A368),_05preva_view43[[#This Row],[Find Process &amp; Database]]-1)</f>
        <v>#VALUE!</v>
      </c>
      <c r="BG383" s="104" t="e">
        <f ca="1">_05preva_view43[Folder Path1]&amp;"Process &amp; Database\Documentation\Colo Applications"</f>
        <v>#VALUE!</v>
      </c>
      <c r="BH383" s="104" t="e">
        <f ca="1">_05preva_view43[Folder Path2]&amp;"\Colo App "&amp;_05preva_view43[[#This Row],[Operator]]&amp;"\"</f>
        <v>#VALUE!</v>
      </c>
      <c r="BI383" s="63" t="e">
        <f ca="1">_05preva_view43[[#This Row],[Folder Path3]]&amp;_05preva_view43[[#This Row],[File Name]]</f>
        <v>#VALUE!</v>
      </c>
      <c r="BJ383" s="104"/>
      <c r="BK383" s="3"/>
      <c r="BL383" s="3"/>
      <c r="CJ383" s="5"/>
      <c r="CK383" s="5"/>
      <c r="CL383" s="3"/>
      <c r="CN383" s="5"/>
      <c r="CR383" s="3"/>
      <c r="CS383" s="3"/>
      <c r="CT383" s="5"/>
      <c r="CV383" s="3"/>
      <c r="DR383" s="5"/>
      <c r="DT383" s="3"/>
      <c r="EF383" s="7"/>
      <c r="EG383" s="7"/>
      <c r="EJ383" s="4"/>
      <c r="EK383" s="4"/>
      <c r="EU383" s="2"/>
      <c r="EV383" s="2"/>
    </row>
    <row r="384" spans="1:152">
      <c r="A384" s="125">
        <v>109</v>
      </c>
      <c r="B384" s="126" t="s">
        <v>471</v>
      </c>
      <c r="C384" s="126" t="s">
        <v>116</v>
      </c>
      <c r="D384" s="126" t="s">
        <v>163</v>
      </c>
      <c r="E384" s="126" t="s">
        <v>472</v>
      </c>
      <c r="F384" s="126" t="s">
        <v>40</v>
      </c>
      <c r="G384" s="126" t="s">
        <v>118</v>
      </c>
      <c r="H384" s="126"/>
      <c r="I384" s="126" t="s">
        <v>118</v>
      </c>
      <c r="J384" s="126"/>
      <c r="K384" s="127">
        <v>43236</v>
      </c>
      <c r="L384" s="128"/>
      <c r="M384" s="128">
        <v>3</v>
      </c>
      <c r="N384" s="126"/>
      <c r="O384" s="126" t="s">
        <v>119</v>
      </c>
      <c r="P384" s="129"/>
      <c r="Q384" s="129"/>
      <c r="R384" s="126" t="s">
        <v>26</v>
      </c>
      <c r="S384" s="126"/>
      <c r="T384" s="130" t="s">
        <v>144</v>
      </c>
      <c r="U384" s="126" t="s">
        <v>371</v>
      </c>
      <c r="V384" s="130" t="s">
        <v>120</v>
      </c>
      <c r="W384" s="126"/>
      <c r="X384" s="130"/>
      <c r="Y384" s="126"/>
      <c r="Z384" s="165" t="s">
        <v>125</v>
      </c>
      <c r="AA384" s="158"/>
      <c r="AB384" s="158"/>
      <c r="AC384" s="170"/>
      <c r="AD384" s="126" t="s">
        <v>336</v>
      </c>
      <c r="AE384" s="130"/>
      <c r="AF384" s="127"/>
      <c r="AG384" s="131"/>
      <c r="AH384" s="131">
        <v>2</v>
      </c>
      <c r="AI384" s="126"/>
      <c r="AJ384" s="130"/>
      <c r="AK384" s="126"/>
      <c r="AL384" s="126"/>
      <c r="AM384" s="130"/>
      <c r="AN384" s="126"/>
      <c r="AO384" s="132"/>
      <c r="AP384" s="126"/>
      <c r="AQ384" s="126"/>
      <c r="AR384" s="130"/>
      <c r="AS384" s="126"/>
      <c r="AT384" s="127"/>
      <c r="AU384" s="127"/>
      <c r="AV384" s="127"/>
      <c r="AW384" s="127"/>
      <c r="AX384" s="127"/>
      <c r="AY384" s="127"/>
      <c r="AZ384" s="133">
        <v>43236</v>
      </c>
      <c r="BA38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4" s="135">
        <f>COUNTIFS(_05preva_view43[Site ID],_05preva_view43[[#This Row],[Site ID]],_05preva_view43[Prevalidation Status],"Under Prevalidation")</f>
        <v>0</v>
      </c>
      <c r="BC384" s="157" t="e">
        <f ca="1">HYPERLINK(CheckPath(_05preva_view43[[#This Row],[File Path]],_05preva_view43[[#This Row],[File Path]],_05preva_view43[[#This Row],[Folder Path3]]),CheckPath(_05preva_view43[[#This Row],[File Path]],"Open File","No File"))</f>
        <v>#VALUE!</v>
      </c>
      <c r="BD384" s="136" t="str">
        <f>CONCATENATE(_05preva_view43[[#This Row],[Site ID]]," (",_05preva_view43[[#This Row],[tenant id]],") Application",IF(_05preva_view43[[#This Row],[Colo Rev]]&gt;0," Rev "&amp;_05preva_view43[[#This Row],[Colo Rev]],""),".xlsx")</f>
        <v>AYYN_0321 (YAW4951) Application.xlsx</v>
      </c>
      <c r="BE384" s="64" t="e">
        <f t="shared" ca="1" si="7"/>
        <v>#VALUE!</v>
      </c>
      <c r="BF384" s="104" t="e">
        <f ca="1">LEFT(CELL("filename",A369),_05preva_view43[[#This Row],[Find Process &amp; Database]]-1)</f>
        <v>#VALUE!</v>
      </c>
      <c r="BG384" s="104" t="e">
        <f ca="1">_05preva_view43[Folder Path1]&amp;"Process &amp; Database\Documentation\Colo Applications"</f>
        <v>#VALUE!</v>
      </c>
      <c r="BH384" s="104" t="e">
        <f ca="1">_05preva_view43[Folder Path2]&amp;"\Colo App "&amp;_05preva_view43[[#This Row],[Operator]]&amp;"\"</f>
        <v>#VALUE!</v>
      </c>
      <c r="BI384" s="63" t="e">
        <f ca="1">_05preva_view43[[#This Row],[Folder Path3]]&amp;_05preva_view43[[#This Row],[File Name]]</f>
        <v>#VALUE!</v>
      </c>
      <c r="BJ384" s="104"/>
      <c r="BK384" s="3"/>
      <c r="BL384" s="3"/>
      <c r="CJ384" s="5"/>
      <c r="CK384" s="5"/>
      <c r="CL384" s="3"/>
      <c r="CN384" s="5"/>
      <c r="CR384" s="3"/>
      <c r="CS384" s="3"/>
      <c r="CT384" s="5"/>
      <c r="CV384" s="3"/>
      <c r="DR384" s="5"/>
      <c r="DT384" s="3"/>
      <c r="EF384" s="7"/>
      <c r="EG384" s="7"/>
      <c r="EJ384" s="4"/>
      <c r="EK384" s="4"/>
      <c r="EU384" s="2"/>
      <c r="EV384" s="2"/>
    </row>
    <row r="385" spans="1:152">
      <c r="A385" s="125">
        <v>111</v>
      </c>
      <c r="B385" s="126" t="s">
        <v>473</v>
      </c>
      <c r="C385" s="126" t="s">
        <v>116</v>
      </c>
      <c r="D385" s="126" t="s">
        <v>163</v>
      </c>
      <c r="E385" s="126" t="s">
        <v>474</v>
      </c>
      <c r="F385" s="126" t="s">
        <v>40</v>
      </c>
      <c r="G385" s="126" t="s">
        <v>118</v>
      </c>
      <c r="H385" s="126"/>
      <c r="I385" s="126" t="s">
        <v>118</v>
      </c>
      <c r="J385" s="126"/>
      <c r="K385" s="127">
        <v>43236</v>
      </c>
      <c r="L385" s="128"/>
      <c r="M385" s="128">
        <v>3</v>
      </c>
      <c r="N385" s="126"/>
      <c r="O385" s="126" t="s">
        <v>119</v>
      </c>
      <c r="P385" s="129"/>
      <c r="Q385" s="129"/>
      <c r="R385" s="126" t="s">
        <v>27</v>
      </c>
      <c r="S385" s="126"/>
      <c r="T385" s="130" t="s">
        <v>120</v>
      </c>
      <c r="U385" s="126" t="s">
        <v>403</v>
      </c>
      <c r="V385" s="130" t="s">
        <v>120</v>
      </c>
      <c r="W385" s="126"/>
      <c r="X385" s="130" t="s">
        <v>120</v>
      </c>
      <c r="Y385" s="126" t="s">
        <v>404</v>
      </c>
      <c r="Z385" s="165" t="s">
        <v>125</v>
      </c>
      <c r="AA385" s="158"/>
      <c r="AB385" s="158"/>
      <c r="AC385" s="170" t="s">
        <v>123</v>
      </c>
      <c r="AD385" s="126" t="s">
        <v>405</v>
      </c>
      <c r="AE385" s="130" t="s">
        <v>125</v>
      </c>
      <c r="AF385" s="127"/>
      <c r="AG385" s="131"/>
      <c r="AH385" s="131"/>
      <c r="AI385" s="126" t="s">
        <v>366</v>
      </c>
      <c r="AJ385" s="130" t="s">
        <v>120</v>
      </c>
      <c r="AK385" s="126" t="s">
        <v>240</v>
      </c>
      <c r="AL385" s="126"/>
      <c r="AM385" s="130"/>
      <c r="AN385" s="126"/>
      <c r="AO385" s="132"/>
      <c r="AP385" s="126"/>
      <c r="AQ385" s="126"/>
      <c r="AR385" s="130"/>
      <c r="AS385" s="126"/>
      <c r="AT385" s="127"/>
      <c r="AU385" s="127"/>
      <c r="AV385" s="127"/>
      <c r="AW385" s="127"/>
      <c r="AX385" s="127"/>
      <c r="AY385" s="127"/>
      <c r="AZ385" s="133"/>
      <c r="BA38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5" s="135">
        <f>COUNTIFS(_05preva_view43[Site ID],_05preva_view43[[#This Row],[Site ID]],_05preva_view43[Prevalidation Status],"Under Prevalidation")</f>
        <v>0</v>
      </c>
      <c r="BC385" s="157" t="e">
        <f ca="1">HYPERLINK(CheckPath(_05preva_view43[[#This Row],[File Path]],_05preva_view43[[#This Row],[File Path]],_05preva_view43[[#This Row],[Folder Path3]]),CheckPath(_05preva_view43[[#This Row],[File Path]],"Open File","No File"))</f>
        <v>#VALUE!</v>
      </c>
      <c r="BD385" s="136" t="str">
        <f>CONCATENATE(_05preva_view43[[#This Row],[Site ID]]," (",_05preva_view43[[#This Row],[tenant id]],") Application",IF(_05preva_view43[[#This Row],[Colo Rev]]&gt;0," Rev "&amp;_05preva_view43[[#This Row],[Colo Rev]],""),".xlsx")</f>
        <v>AYYN_0405 (YAW7804) Application.xlsx</v>
      </c>
      <c r="BE385" s="64" t="e">
        <f t="shared" ca="1" si="7"/>
        <v>#VALUE!</v>
      </c>
      <c r="BF385" s="104" t="e">
        <f ca="1">LEFT(CELL("filename",A370),_05preva_view43[[#This Row],[Find Process &amp; Database]]-1)</f>
        <v>#VALUE!</v>
      </c>
      <c r="BG385" s="104" t="e">
        <f ca="1">_05preva_view43[Folder Path1]&amp;"Process &amp; Database\Documentation\Colo Applications"</f>
        <v>#VALUE!</v>
      </c>
      <c r="BH385" s="104" t="e">
        <f ca="1">_05preva_view43[Folder Path2]&amp;"\Colo App "&amp;_05preva_view43[[#This Row],[Operator]]&amp;"\"</f>
        <v>#VALUE!</v>
      </c>
      <c r="BI385" s="63" t="e">
        <f ca="1">_05preva_view43[[#This Row],[Folder Path3]]&amp;_05preva_view43[[#This Row],[File Name]]</f>
        <v>#VALUE!</v>
      </c>
      <c r="BJ385" s="104"/>
      <c r="BK385" s="3"/>
      <c r="BL385" s="3"/>
      <c r="CJ385" s="5"/>
      <c r="CK385" s="5"/>
      <c r="CL385" s="3"/>
      <c r="CN385" s="5"/>
      <c r="CR385" s="3"/>
      <c r="CS385" s="3"/>
      <c r="CT385" s="5"/>
      <c r="CV385" s="3"/>
      <c r="DR385" s="5"/>
      <c r="DT385" s="3"/>
      <c r="EF385" s="7"/>
      <c r="EG385" s="7"/>
      <c r="EJ385" s="4"/>
      <c r="EK385" s="4"/>
      <c r="EU385" s="2"/>
      <c r="EV385" s="2"/>
    </row>
    <row r="386" spans="1:152">
      <c r="A386" s="125">
        <v>112</v>
      </c>
      <c r="B386" s="126" t="s">
        <v>475</v>
      </c>
      <c r="C386" s="126" t="s">
        <v>116</v>
      </c>
      <c r="D386" s="126" t="s">
        <v>163</v>
      </c>
      <c r="E386" s="126" t="s">
        <v>476</v>
      </c>
      <c r="F386" s="126" t="s">
        <v>40</v>
      </c>
      <c r="G386" s="126" t="s">
        <v>118</v>
      </c>
      <c r="H386" s="126"/>
      <c r="I386" s="126" t="s">
        <v>118</v>
      </c>
      <c r="J386" s="126"/>
      <c r="K386" s="127">
        <v>43236</v>
      </c>
      <c r="L386" s="128"/>
      <c r="M386" s="128">
        <v>3</v>
      </c>
      <c r="N386" s="126"/>
      <c r="O386" s="126" t="s">
        <v>119</v>
      </c>
      <c r="P386" s="129"/>
      <c r="Q386" s="129"/>
      <c r="R386" s="126" t="s">
        <v>27</v>
      </c>
      <c r="S386" s="126"/>
      <c r="T386" s="130" t="s">
        <v>120</v>
      </c>
      <c r="U386" s="126" t="s">
        <v>403</v>
      </c>
      <c r="V386" s="130" t="s">
        <v>120</v>
      </c>
      <c r="W386" s="126"/>
      <c r="X386" s="130" t="s">
        <v>120</v>
      </c>
      <c r="Y386" s="126" t="s">
        <v>404</v>
      </c>
      <c r="Z386" s="165" t="s">
        <v>125</v>
      </c>
      <c r="AA386" s="158"/>
      <c r="AB386" s="158"/>
      <c r="AC386" s="170" t="s">
        <v>123</v>
      </c>
      <c r="AD386" s="126" t="s">
        <v>405</v>
      </c>
      <c r="AE386" s="130" t="s">
        <v>125</v>
      </c>
      <c r="AF386" s="127"/>
      <c r="AG386" s="131"/>
      <c r="AH386" s="131"/>
      <c r="AI386" s="126" t="s">
        <v>366</v>
      </c>
      <c r="AJ386" s="130" t="s">
        <v>120</v>
      </c>
      <c r="AK386" s="126" t="s">
        <v>123</v>
      </c>
      <c r="AL386" s="126"/>
      <c r="AM386" s="130"/>
      <c r="AN386" s="126"/>
      <c r="AO386" s="132"/>
      <c r="AP386" s="126"/>
      <c r="AQ386" s="126"/>
      <c r="AR386" s="130"/>
      <c r="AS386" s="126"/>
      <c r="AT386" s="127"/>
      <c r="AU386" s="127"/>
      <c r="AV386" s="127"/>
      <c r="AW386" s="127"/>
      <c r="AX386" s="127"/>
      <c r="AY386" s="127"/>
      <c r="AZ386" s="133"/>
      <c r="BA38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6" s="135">
        <f>COUNTIFS(_05preva_view43[Site ID],_05preva_view43[[#This Row],[Site ID]],_05preva_view43[Prevalidation Status],"Under Prevalidation")</f>
        <v>0</v>
      </c>
      <c r="BC386" s="157" t="e">
        <f ca="1">HYPERLINK(CheckPath(_05preva_view43[[#This Row],[File Path]],_05preva_view43[[#This Row],[File Path]],_05preva_view43[[#This Row],[Folder Path3]]),CheckPath(_05preva_view43[[#This Row],[File Path]],"Open File","No File"))</f>
        <v>#VALUE!</v>
      </c>
      <c r="BD386" s="136" t="str">
        <f>CONCATENATE(_05preva_view43[[#This Row],[Site ID]]," (",_05preva_view43[[#This Row],[tenant id]],") Application",IF(_05preva_view43[[#This Row],[Colo Rev]]&gt;0," Rev "&amp;_05preva_view43[[#This Row],[Colo Rev]],""),".xlsx")</f>
        <v>AYYN_0552 (YAW7803) Application.xlsx</v>
      </c>
      <c r="BE386" s="64" t="e">
        <f t="shared" ca="1" si="7"/>
        <v>#VALUE!</v>
      </c>
      <c r="BF386" s="104" t="e">
        <f ca="1">LEFT(CELL("filename",A371),_05preva_view43[[#This Row],[Find Process &amp; Database]]-1)</f>
        <v>#VALUE!</v>
      </c>
      <c r="BG386" s="104" t="e">
        <f ca="1">_05preva_view43[Folder Path1]&amp;"Process &amp; Database\Documentation\Colo Applications"</f>
        <v>#VALUE!</v>
      </c>
      <c r="BH386" s="104" t="e">
        <f ca="1">_05preva_view43[Folder Path2]&amp;"\Colo App "&amp;_05preva_view43[[#This Row],[Operator]]&amp;"\"</f>
        <v>#VALUE!</v>
      </c>
      <c r="BI386" s="63" t="e">
        <f ca="1">_05preva_view43[[#This Row],[Folder Path3]]&amp;_05preva_view43[[#This Row],[File Name]]</f>
        <v>#VALUE!</v>
      </c>
      <c r="BJ386" s="104"/>
      <c r="BK386" s="3"/>
      <c r="BL386" s="3"/>
      <c r="CJ386" s="5"/>
      <c r="CK386" s="5"/>
      <c r="CL386" s="3"/>
      <c r="CN386" s="5"/>
      <c r="CR386" s="3"/>
      <c r="CS386" s="3"/>
      <c r="CT386" s="5"/>
      <c r="CV386" s="3"/>
      <c r="DR386" s="5"/>
      <c r="DT386" s="3"/>
      <c r="EF386" s="7"/>
      <c r="EG386" s="7"/>
      <c r="EJ386" s="4"/>
      <c r="EK386" s="4"/>
      <c r="EU386" s="2"/>
      <c r="EV386" s="2"/>
    </row>
    <row r="387" spans="1:152">
      <c r="A387" s="125">
        <v>113</v>
      </c>
      <c r="B387" s="126" t="s">
        <v>477</v>
      </c>
      <c r="C387" s="126" t="s">
        <v>116</v>
      </c>
      <c r="D387" s="126" t="s">
        <v>163</v>
      </c>
      <c r="E387" s="126" t="s">
        <v>478</v>
      </c>
      <c r="F387" s="126" t="s">
        <v>40</v>
      </c>
      <c r="G387" s="126" t="s">
        <v>118</v>
      </c>
      <c r="H387" s="126"/>
      <c r="I387" s="126" t="s">
        <v>118</v>
      </c>
      <c r="J387" s="126"/>
      <c r="K387" s="127">
        <v>43236</v>
      </c>
      <c r="L387" s="128"/>
      <c r="M387" s="128">
        <v>3</v>
      </c>
      <c r="N387" s="126"/>
      <c r="O387" s="126" t="s">
        <v>119</v>
      </c>
      <c r="P387" s="129"/>
      <c r="Q387" s="129"/>
      <c r="R387" s="126" t="s">
        <v>24</v>
      </c>
      <c r="S387" s="126"/>
      <c r="T387" s="130" t="s">
        <v>120</v>
      </c>
      <c r="U387" s="126" t="s">
        <v>403</v>
      </c>
      <c r="V387" s="130" t="s">
        <v>120</v>
      </c>
      <c r="W387" s="126"/>
      <c r="X387" s="130" t="s">
        <v>120</v>
      </c>
      <c r="Y387" s="126" t="s">
        <v>404</v>
      </c>
      <c r="Z387" s="165" t="s">
        <v>120</v>
      </c>
      <c r="AA387" s="158"/>
      <c r="AB387" s="158"/>
      <c r="AC387" s="170" t="s">
        <v>123</v>
      </c>
      <c r="AD387" s="126" t="s">
        <v>419</v>
      </c>
      <c r="AE387" s="130" t="s">
        <v>120</v>
      </c>
      <c r="AF387" s="127" t="s">
        <v>479</v>
      </c>
      <c r="AG387" s="131"/>
      <c r="AH387" s="131">
        <v>2</v>
      </c>
      <c r="AI387" s="126" t="s">
        <v>480</v>
      </c>
      <c r="AJ387" s="130" t="s">
        <v>120</v>
      </c>
      <c r="AK387" s="126" t="s">
        <v>240</v>
      </c>
      <c r="AL387" s="126"/>
      <c r="AM387" s="130"/>
      <c r="AN387" s="126"/>
      <c r="AO387" s="132"/>
      <c r="AP387" s="126"/>
      <c r="AQ387" s="126"/>
      <c r="AR387" s="130"/>
      <c r="AS387" s="126"/>
      <c r="AT387" s="127"/>
      <c r="AU387" s="127">
        <v>43453.378997800901</v>
      </c>
      <c r="AV387" s="127"/>
      <c r="AW387" s="127"/>
      <c r="AX387" s="127"/>
      <c r="AY387" s="127"/>
      <c r="AZ387" s="133">
        <v>43236</v>
      </c>
      <c r="BA38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7" s="135">
        <f>COUNTIFS(_05preva_view43[Site ID],_05preva_view43[[#This Row],[Site ID]],_05preva_view43[Prevalidation Status],"Under Prevalidation")</f>
        <v>0</v>
      </c>
      <c r="BC387" s="157" t="e">
        <f ca="1">HYPERLINK(CheckPath(_05preva_view43[[#This Row],[File Path]],_05preva_view43[[#This Row],[File Path]],_05preva_view43[[#This Row],[Folder Path3]]),CheckPath(_05preva_view43[[#This Row],[File Path]],"Open File","No File"))</f>
        <v>#VALUE!</v>
      </c>
      <c r="BD387" s="136" t="str">
        <f>CONCATENATE(_05preva_view43[[#This Row],[Site ID]]," (",_05preva_view43[[#This Row],[tenant id]],") Application",IF(_05preva_view43[[#This Row],[Colo Rev]]&gt;0," Rev "&amp;_05preva_view43[[#This Row],[Colo Rev]],""),".xlsx")</f>
        <v>ASMO_0180 (MOW6311) Application.xlsx</v>
      </c>
      <c r="BE387" s="64" t="e">
        <f t="shared" ca="1" si="7"/>
        <v>#VALUE!</v>
      </c>
      <c r="BF387" s="104" t="e">
        <f ca="1">LEFT(CELL("filename",A372),_05preva_view43[[#This Row],[Find Process &amp; Database]]-1)</f>
        <v>#VALUE!</v>
      </c>
      <c r="BG387" s="104" t="e">
        <f ca="1">_05preva_view43[Folder Path1]&amp;"Process &amp; Database\Documentation\Colo Applications"</f>
        <v>#VALUE!</v>
      </c>
      <c r="BH387" s="104" t="e">
        <f ca="1">_05preva_view43[Folder Path2]&amp;"\Colo App "&amp;_05preva_view43[[#This Row],[Operator]]&amp;"\"</f>
        <v>#VALUE!</v>
      </c>
      <c r="BI387" s="63" t="e">
        <f ca="1">_05preva_view43[[#This Row],[Folder Path3]]&amp;_05preva_view43[[#This Row],[File Name]]</f>
        <v>#VALUE!</v>
      </c>
      <c r="BJ387" s="104"/>
      <c r="BK387" s="3"/>
      <c r="BL387" s="3"/>
      <c r="CJ387" s="5"/>
      <c r="CK387" s="5"/>
      <c r="CL387" s="3"/>
      <c r="CN387" s="5"/>
      <c r="CR387" s="3"/>
      <c r="CS387" s="3"/>
      <c r="CT387" s="5"/>
      <c r="CV387" s="3"/>
      <c r="DR387" s="5"/>
      <c r="DT387" s="3"/>
      <c r="EF387" s="7"/>
      <c r="EG387" s="7"/>
      <c r="EJ387" s="4"/>
      <c r="EK387" s="4"/>
      <c r="EU387" s="2"/>
      <c r="EV387" s="2"/>
    </row>
    <row r="388" spans="1:152">
      <c r="A388" s="125">
        <v>114</v>
      </c>
      <c r="B388" s="126" t="s">
        <v>481</v>
      </c>
      <c r="C388" s="126" t="s">
        <v>116</v>
      </c>
      <c r="D388" s="126" t="s">
        <v>163</v>
      </c>
      <c r="E388" s="126" t="s">
        <v>482</v>
      </c>
      <c r="F388" s="126" t="s">
        <v>40</v>
      </c>
      <c r="G388" s="126" t="s">
        <v>118</v>
      </c>
      <c r="H388" s="126"/>
      <c r="I388" s="126" t="s">
        <v>118</v>
      </c>
      <c r="J388" s="126"/>
      <c r="K388" s="127">
        <v>43236</v>
      </c>
      <c r="L388" s="128"/>
      <c r="M388" s="128">
        <v>3</v>
      </c>
      <c r="N388" s="126"/>
      <c r="O388" s="126" t="s">
        <v>119</v>
      </c>
      <c r="P388" s="129"/>
      <c r="Q388" s="129"/>
      <c r="R388" s="126" t="s">
        <v>24</v>
      </c>
      <c r="S388" s="126"/>
      <c r="T388" s="130" t="s">
        <v>120</v>
      </c>
      <c r="U388" s="126" t="s">
        <v>403</v>
      </c>
      <c r="V388" s="130" t="s">
        <v>120</v>
      </c>
      <c r="W388" s="126"/>
      <c r="X388" s="130" t="s">
        <v>120</v>
      </c>
      <c r="Y388" s="126" t="s">
        <v>404</v>
      </c>
      <c r="Z388" s="165" t="s">
        <v>125</v>
      </c>
      <c r="AA388" s="158"/>
      <c r="AB388" s="158"/>
      <c r="AC388" s="170" t="s">
        <v>123</v>
      </c>
      <c r="AD388" s="126" t="s">
        <v>405</v>
      </c>
      <c r="AE388" s="130" t="s">
        <v>125</v>
      </c>
      <c r="AF388" s="127"/>
      <c r="AG388" s="131"/>
      <c r="AH388" s="131"/>
      <c r="AI388" s="126" t="s">
        <v>366</v>
      </c>
      <c r="AJ388" s="130" t="s">
        <v>120</v>
      </c>
      <c r="AK388" s="126" t="s">
        <v>240</v>
      </c>
      <c r="AL388" s="126"/>
      <c r="AM388" s="130"/>
      <c r="AN388" s="126"/>
      <c r="AO388" s="132"/>
      <c r="AP388" s="126"/>
      <c r="AQ388" s="126"/>
      <c r="AR388" s="130"/>
      <c r="AS388" s="126"/>
      <c r="AT388" s="127"/>
      <c r="AU388" s="127"/>
      <c r="AV388" s="127"/>
      <c r="AW388" s="127"/>
      <c r="AX388" s="127"/>
      <c r="AY388" s="127"/>
      <c r="AZ388" s="133">
        <v>43236</v>
      </c>
      <c r="BA38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8" s="135">
        <f>COUNTIFS(_05preva_view43[Site ID],_05preva_view43[[#This Row],[Site ID]],_05preva_view43[Prevalidation Status],"Under Prevalidation")</f>
        <v>0</v>
      </c>
      <c r="BC388" s="157" t="e">
        <f ca="1">HYPERLINK(CheckPath(_05preva_view43[[#This Row],[File Path]],_05preva_view43[[#This Row],[File Path]],_05preva_view43[[#This Row],[Folder Path3]]),CheckPath(_05preva_view43[[#This Row],[File Path]],"Open File","No File"))</f>
        <v>#VALUE!</v>
      </c>
      <c r="BD388" s="136" t="str">
        <f>CONCATENATE(_05preva_view43[[#This Row],[Site ID]]," (",_05preva_view43[[#This Row],[tenant id]],") Application",IF(_05preva_view43[[#This Row],[Colo Rev]]&gt;0," Rev "&amp;_05preva_view43[[#This Row],[Colo Rev]],""),".xlsx")</f>
        <v>AYYN_0536 (YAW7758) Application.xlsx</v>
      </c>
      <c r="BE388" s="64" t="e">
        <f t="shared" ca="1" si="7"/>
        <v>#VALUE!</v>
      </c>
      <c r="BF388" s="104" t="e">
        <f ca="1">LEFT(CELL("filename",A373),_05preva_view43[[#This Row],[Find Process &amp; Database]]-1)</f>
        <v>#VALUE!</v>
      </c>
      <c r="BG388" s="104" t="e">
        <f ca="1">_05preva_view43[Folder Path1]&amp;"Process &amp; Database\Documentation\Colo Applications"</f>
        <v>#VALUE!</v>
      </c>
      <c r="BH388" s="104" t="e">
        <f ca="1">_05preva_view43[Folder Path2]&amp;"\Colo App "&amp;_05preva_view43[[#This Row],[Operator]]&amp;"\"</f>
        <v>#VALUE!</v>
      </c>
      <c r="BI388" s="63" t="e">
        <f ca="1">_05preva_view43[[#This Row],[Folder Path3]]&amp;_05preva_view43[[#This Row],[File Name]]</f>
        <v>#VALUE!</v>
      </c>
      <c r="BJ388" s="104"/>
      <c r="BK388" s="3"/>
      <c r="BL388" s="3"/>
      <c r="CJ388" s="5"/>
      <c r="CK388" s="5"/>
      <c r="CL388" s="3"/>
      <c r="CN388" s="5"/>
      <c r="CR388" s="3"/>
      <c r="CS388" s="3"/>
      <c r="CT388" s="5"/>
      <c r="CV388" s="3"/>
      <c r="DR388" s="5"/>
      <c r="DT388" s="3"/>
      <c r="EF388" s="7"/>
      <c r="EG388" s="7"/>
      <c r="EJ388" s="4"/>
      <c r="EK388" s="4"/>
      <c r="EU388" s="2"/>
      <c r="EV388" s="2"/>
    </row>
    <row r="389" spans="1:152">
      <c r="A389" s="125">
        <v>115</v>
      </c>
      <c r="B389" s="126" t="s">
        <v>483</v>
      </c>
      <c r="C389" s="126" t="s">
        <v>116</v>
      </c>
      <c r="D389" s="126" t="s">
        <v>163</v>
      </c>
      <c r="E389" s="126" t="s">
        <v>484</v>
      </c>
      <c r="F389" s="126" t="s">
        <v>40</v>
      </c>
      <c r="G389" s="126" t="s">
        <v>118</v>
      </c>
      <c r="H389" s="126"/>
      <c r="I389" s="126" t="s">
        <v>118</v>
      </c>
      <c r="J389" s="126"/>
      <c r="K389" s="127">
        <v>43236</v>
      </c>
      <c r="L389" s="128"/>
      <c r="M389" s="128">
        <v>3</v>
      </c>
      <c r="N389" s="126"/>
      <c r="O389" s="126" t="s">
        <v>119</v>
      </c>
      <c r="P389" s="129"/>
      <c r="Q389" s="129"/>
      <c r="R389" s="126" t="s">
        <v>26</v>
      </c>
      <c r="S389" s="126"/>
      <c r="T389" s="130" t="s">
        <v>120</v>
      </c>
      <c r="U389" s="126" t="s">
        <v>378</v>
      </c>
      <c r="V389" s="130" t="s">
        <v>120</v>
      </c>
      <c r="W389" s="126"/>
      <c r="X389" s="130" t="s">
        <v>120</v>
      </c>
      <c r="Y389" s="126" t="s">
        <v>120</v>
      </c>
      <c r="Z389" s="165" t="s">
        <v>125</v>
      </c>
      <c r="AA389" s="158"/>
      <c r="AB389" s="158"/>
      <c r="AC389" s="170"/>
      <c r="AD389" s="126" t="s">
        <v>430</v>
      </c>
      <c r="AE389" s="130" t="s">
        <v>125</v>
      </c>
      <c r="AF389" s="127"/>
      <c r="AG389" s="131"/>
      <c r="AH389" s="131"/>
      <c r="AI389" s="126" t="s">
        <v>387</v>
      </c>
      <c r="AJ389" s="130" t="s">
        <v>120</v>
      </c>
      <c r="AK389" s="126" t="s">
        <v>123</v>
      </c>
      <c r="AL389" s="126"/>
      <c r="AM389" s="130"/>
      <c r="AN389" s="126"/>
      <c r="AO389" s="132"/>
      <c r="AP389" s="126"/>
      <c r="AQ389" s="126"/>
      <c r="AR389" s="130"/>
      <c r="AS389" s="126"/>
      <c r="AT389" s="127"/>
      <c r="AU389" s="127"/>
      <c r="AV389" s="127"/>
      <c r="AW389" s="127"/>
      <c r="AX389" s="127"/>
      <c r="AY389" s="127"/>
      <c r="AZ389" s="133"/>
      <c r="BA38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9" s="135">
        <f>COUNTIFS(_05preva_view43[Site ID],_05preva_view43[[#This Row],[Site ID]],_05preva_view43[Prevalidation Status],"Under Prevalidation")</f>
        <v>0</v>
      </c>
      <c r="BC389" s="157" t="e">
        <f ca="1">HYPERLINK(CheckPath(_05preva_view43[[#This Row],[File Path]],_05preva_view43[[#This Row],[File Path]],_05preva_view43[[#This Row],[Folder Path3]]),CheckPath(_05preva_view43[[#This Row],[File Path]],"Open File","No File"))</f>
        <v>#VALUE!</v>
      </c>
      <c r="BD389" s="136" t="str">
        <f>CONCATENATE(_05preva_view43[[#This Row],[Site ID]]," (",_05preva_view43[[#This Row],[tenant id]],") Application",IF(_05preva_view43[[#This Row],[Colo Rev]]&gt;0," Rev "&amp;_05preva_view43[[#This Row],[Colo Rev]],""),".xlsx")</f>
        <v>AYYN_0508 (YAW7800) Application.xlsx</v>
      </c>
      <c r="BE389" s="64" t="e">
        <f t="shared" ca="1" si="7"/>
        <v>#VALUE!</v>
      </c>
      <c r="BF389" s="104" t="e">
        <f ca="1">LEFT(CELL("filename",A374),_05preva_view43[[#This Row],[Find Process &amp; Database]]-1)</f>
        <v>#VALUE!</v>
      </c>
      <c r="BG389" s="104" t="e">
        <f ca="1">_05preva_view43[Folder Path1]&amp;"Process &amp; Database\Documentation\Colo Applications"</f>
        <v>#VALUE!</v>
      </c>
      <c r="BH389" s="104" t="e">
        <f ca="1">_05preva_view43[Folder Path2]&amp;"\Colo App "&amp;_05preva_view43[[#This Row],[Operator]]&amp;"\"</f>
        <v>#VALUE!</v>
      </c>
      <c r="BI389" s="63" t="e">
        <f ca="1">_05preva_view43[[#This Row],[Folder Path3]]&amp;_05preva_view43[[#This Row],[File Name]]</f>
        <v>#VALUE!</v>
      </c>
      <c r="BJ389" s="104"/>
      <c r="BK389" s="3"/>
      <c r="BL389" s="3"/>
      <c r="CJ389" s="5"/>
      <c r="CK389" s="5"/>
      <c r="CL389" s="3"/>
      <c r="CN389" s="5"/>
      <c r="CR389" s="3"/>
      <c r="CS389" s="3"/>
      <c r="CT389" s="5"/>
      <c r="CV389" s="3"/>
      <c r="DR389" s="5"/>
      <c r="DT389" s="3"/>
      <c r="EF389" s="7"/>
      <c r="EG389" s="7"/>
      <c r="EJ389" s="4"/>
      <c r="EK389" s="4"/>
      <c r="EU389" s="2"/>
      <c r="EV389" s="2"/>
    </row>
    <row r="390" spans="1:152">
      <c r="A390" s="125">
        <v>116</v>
      </c>
      <c r="B390" s="126" t="s">
        <v>485</v>
      </c>
      <c r="C390" s="126" t="s">
        <v>116</v>
      </c>
      <c r="D390" s="126" t="s">
        <v>163</v>
      </c>
      <c r="E390" s="126" t="s">
        <v>486</v>
      </c>
      <c r="F390" s="126" t="s">
        <v>40</v>
      </c>
      <c r="G390" s="126" t="s">
        <v>118</v>
      </c>
      <c r="H390" s="126"/>
      <c r="I390" s="126" t="s">
        <v>118</v>
      </c>
      <c r="J390" s="126"/>
      <c r="K390" s="127">
        <v>43236</v>
      </c>
      <c r="L390" s="128"/>
      <c r="M390" s="128">
        <v>3</v>
      </c>
      <c r="N390" s="126"/>
      <c r="O390" s="126" t="s">
        <v>119</v>
      </c>
      <c r="P390" s="129"/>
      <c r="Q390" s="129"/>
      <c r="R390" s="126" t="s">
        <v>26</v>
      </c>
      <c r="S390" s="126"/>
      <c r="T390" s="130" t="s">
        <v>120</v>
      </c>
      <c r="U390" s="126" t="s">
        <v>378</v>
      </c>
      <c r="V390" s="130" t="s">
        <v>144</v>
      </c>
      <c r="W390" s="126"/>
      <c r="X390" s="130" t="s">
        <v>120</v>
      </c>
      <c r="Y390" s="126" t="s">
        <v>379</v>
      </c>
      <c r="Z390" s="165" t="s">
        <v>120</v>
      </c>
      <c r="AA390" s="158"/>
      <c r="AB390" s="158"/>
      <c r="AC390" s="170"/>
      <c r="AD390" s="126" t="s">
        <v>120</v>
      </c>
      <c r="AE390" s="130" t="s">
        <v>120</v>
      </c>
      <c r="AF390" s="127" t="s">
        <v>241</v>
      </c>
      <c r="AG390" s="131"/>
      <c r="AH390" s="131">
        <v>3.5</v>
      </c>
      <c r="AI390" s="126" t="s">
        <v>487</v>
      </c>
      <c r="AJ390" s="130" t="s">
        <v>120</v>
      </c>
      <c r="AK390" s="126" t="s">
        <v>123</v>
      </c>
      <c r="AL390" s="126"/>
      <c r="AM390" s="130"/>
      <c r="AN390" s="126"/>
      <c r="AO390" s="132"/>
      <c r="AP390" s="126"/>
      <c r="AQ390" s="126"/>
      <c r="AR390" s="130"/>
      <c r="AS390" s="126"/>
      <c r="AT390" s="127"/>
      <c r="AU390" s="127">
        <v>43453.378999768502</v>
      </c>
      <c r="AV390" s="127"/>
      <c r="AW390" s="127"/>
      <c r="AX390" s="127"/>
      <c r="AY390" s="127"/>
      <c r="AZ390" s="133">
        <v>43236</v>
      </c>
      <c r="BA39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0" s="135">
        <f>COUNTIFS(_05preva_view43[Site ID],_05preva_view43[[#This Row],[Site ID]],_05preva_view43[Prevalidation Status],"Under Prevalidation")</f>
        <v>0</v>
      </c>
      <c r="BC390" s="157" t="e">
        <f ca="1">HYPERLINK(CheckPath(_05preva_view43[[#This Row],[File Path]],_05preva_view43[[#This Row],[File Path]],_05preva_view43[[#This Row],[Folder Path3]]),CheckPath(_05preva_view43[[#This Row],[File Path]],"Open File","No File"))</f>
        <v>#VALUE!</v>
      </c>
      <c r="BD390" s="136" t="str">
        <f>CONCATENATE(_05preva_view43[[#This Row],[Site ID]]," (",_05preva_view43[[#This Row],[tenant id]],") Application",IF(_05preva_view43[[#This Row],[Colo Rev]]&gt;0," Rev "&amp;_05preva_view43[[#This Row],[Colo Rev]],""),".xlsx")</f>
        <v>ASMO_0150 (MOW6312) Application.xlsx</v>
      </c>
      <c r="BE390" s="64" t="e">
        <f t="shared" ca="1" si="7"/>
        <v>#VALUE!</v>
      </c>
      <c r="BF390" s="104" t="e">
        <f ca="1">LEFT(CELL("filename",A375),_05preva_view43[[#This Row],[Find Process &amp; Database]]-1)</f>
        <v>#VALUE!</v>
      </c>
      <c r="BG390" s="104" t="e">
        <f ca="1">_05preva_view43[Folder Path1]&amp;"Process &amp; Database\Documentation\Colo Applications"</f>
        <v>#VALUE!</v>
      </c>
      <c r="BH390" s="104" t="e">
        <f ca="1">_05preva_view43[Folder Path2]&amp;"\Colo App "&amp;_05preva_view43[[#This Row],[Operator]]&amp;"\"</f>
        <v>#VALUE!</v>
      </c>
      <c r="BI390" s="63" t="e">
        <f ca="1">_05preva_view43[[#This Row],[Folder Path3]]&amp;_05preva_view43[[#This Row],[File Name]]</f>
        <v>#VALUE!</v>
      </c>
      <c r="BJ390" s="104"/>
      <c r="BK390" s="3"/>
      <c r="BL390" s="3"/>
      <c r="CJ390" s="5"/>
      <c r="CK390" s="5"/>
      <c r="CL390" s="3"/>
      <c r="CN390" s="5"/>
      <c r="CR390" s="3"/>
      <c r="CS390" s="3"/>
      <c r="CT390" s="5"/>
      <c r="CV390" s="3"/>
      <c r="DR390" s="5"/>
      <c r="DT390" s="3"/>
      <c r="EF390" s="7"/>
      <c r="EG390" s="7"/>
      <c r="EJ390" s="4"/>
      <c r="EK390" s="4"/>
      <c r="EU390" s="2"/>
      <c r="EV390" s="2"/>
    </row>
    <row r="391" spans="1:152">
      <c r="A391" s="125">
        <v>117</v>
      </c>
      <c r="B391" s="126" t="s">
        <v>488</v>
      </c>
      <c r="C391" s="126" t="s">
        <v>116</v>
      </c>
      <c r="D391" s="126" t="s">
        <v>163</v>
      </c>
      <c r="E391" s="126" t="s">
        <v>489</v>
      </c>
      <c r="F391" s="126" t="s">
        <v>40</v>
      </c>
      <c r="G391" s="126" t="s">
        <v>118</v>
      </c>
      <c r="H391" s="126"/>
      <c r="I391" s="126" t="s">
        <v>118</v>
      </c>
      <c r="J391" s="126"/>
      <c r="K391" s="127">
        <v>43236</v>
      </c>
      <c r="L391" s="128"/>
      <c r="M391" s="128">
        <v>3</v>
      </c>
      <c r="N391" s="126"/>
      <c r="O391" s="126" t="s">
        <v>119</v>
      </c>
      <c r="P391" s="129"/>
      <c r="Q391" s="129"/>
      <c r="R391" s="126" t="s">
        <v>27</v>
      </c>
      <c r="S391" s="126"/>
      <c r="T391" s="130" t="s">
        <v>120</v>
      </c>
      <c r="U391" s="126" t="s">
        <v>378</v>
      </c>
      <c r="V391" s="130" t="s">
        <v>120</v>
      </c>
      <c r="W391" s="126"/>
      <c r="X391" s="130" t="s">
        <v>120</v>
      </c>
      <c r="Y391" s="126" t="s">
        <v>120</v>
      </c>
      <c r="Z391" s="165" t="s">
        <v>120</v>
      </c>
      <c r="AA391" s="158"/>
      <c r="AB391" s="158"/>
      <c r="AC391" s="170" t="s">
        <v>454</v>
      </c>
      <c r="AD391" s="126"/>
      <c r="AE391" s="130" t="s">
        <v>125</v>
      </c>
      <c r="AF391" s="127"/>
      <c r="AG391" s="131"/>
      <c r="AH391" s="131"/>
      <c r="AI391" s="126" t="s">
        <v>490</v>
      </c>
      <c r="AJ391" s="130" t="s">
        <v>120</v>
      </c>
      <c r="AK391" s="126" t="s">
        <v>123</v>
      </c>
      <c r="AL391" s="126"/>
      <c r="AM391" s="130"/>
      <c r="AN391" s="126"/>
      <c r="AO391" s="132"/>
      <c r="AP391" s="126"/>
      <c r="AQ391" s="126"/>
      <c r="AR391" s="130"/>
      <c r="AS391" s="126"/>
      <c r="AT391" s="127"/>
      <c r="AU391" s="127"/>
      <c r="AV391" s="127"/>
      <c r="AW391" s="127"/>
      <c r="AX391" s="127"/>
      <c r="AY391" s="127"/>
      <c r="AZ391" s="133"/>
      <c r="BA39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1" s="135">
        <f>COUNTIFS(_05preva_view43[Site ID],_05preva_view43[[#This Row],[Site ID]],_05preva_view43[Prevalidation Status],"Under Prevalidation")</f>
        <v>0</v>
      </c>
      <c r="BC391" s="157" t="e">
        <f ca="1">HYPERLINK(CheckPath(_05preva_view43[[#This Row],[File Path]],_05preva_view43[[#This Row],[File Path]],_05preva_view43[[#This Row],[Folder Path3]]),CheckPath(_05preva_view43[[#This Row],[File Path]],"Open File","No File"))</f>
        <v>#VALUE!</v>
      </c>
      <c r="BD391" s="136" t="str">
        <f>CONCATENATE(_05preva_view43[[#This Row],[Site ID]]," (",_05preva_view43[[#This Row],[tenant id]],") Application",IF(_05preva_view43[[#This Row],[Colo Rev]]&gt;0," Rev "&amp;_05preva_view43[[#This Row],[Colo Rev]],""),".xlsx")</f>
        <v>AYYN_0518 (YAW4931) Application.xlsx</v>
      </c>
      <c r="BE391" s="64" t="e">
        <f t="shared" ca="1" si="7"/>
        <v>#VALUE!</v>
      </c>
      <c r="BF391" s="104" t="e">
        <f ca="1">LEFT(CELL("filename",A376),_05preva_view43[[#This Row],[Find Process &amp; Database]]-1)</f>
        <v>#VALUE!</v>
      </c>
      <c r="BG391" s="104" t="e">
        <f ca="1">_05preva_view43[Folder Path1]&amp;"Process &amp; Database\Documentation\Colo Applications"</f>
        <v>#VALUE!</v>
      </c>
      <c r="BH391" s="104" t="e">
        <f ca="1">_05preva_view43[Folder Path2]&amp;"\Colo App "&amp;_05preva_view43[[#This Row],[Operator]]&amp;"\"</f>
        <v>#VALUE!</v>
      </c>
      <c r="BI391" s="63" t="e">
        <f ca="1">_05preva_view43[[#This Row],[Folder Path3]]&amp;_05preva_view43[[#This Row],[File Name]]</f>
        <v>#VALUE!</v>
      </c>
      <c r="BJ391" s="104"/>
      <c r="BK391" s="3"/>
      <c r="BL391" s="3"/>
      <c r="CJ391" s="5"/>
      <c r="CK391" s="5"/>
      <c r="CL391" s="3"/>
      <c r="CN391" s="5"/>
      <c r="CR391" s="3"/>
      <c r="CS391" s="3"/>
      <c r="CT391" s="5"/>
      <c r="CV391" s="3"/>
      <c r="DR391" s="5"/>
      <c r="DT391" s="3"/>
      <c r="EF391" s="7"/>
      <c r="EG391" s="7"/>
      <c r="EJ391" s="4"/>
      <c r="EK391" s="4"/>
      <c r="EU391" s="2"/>
      <c r="EV391" s="2"/>
    </row>
    <row r="392" spans="1:152">
      <c r="A392" s="125">
        <v>118</v>
      </c>
      <c r="B392" s="126" t="s">
        <v>491</v>
      </c>
      <c r="C392" s="126" t="s">
        <v>116</v>
      </c>
      <c r="D392" s="126" t="s">
        <v>163</v>
      </c>
      <c r="E392" s="126" t="s">
        <v>492</v>
      </c>
      <c r="F392" s="126" t="s">
        <v>40</v>
      </c>
      <c r="G392" s="126" t="s">
        <v>118</v>
      </c>
      <c r="H392" s="126"/>
      <c r="I392" s="126" t="s">
        <v>118</v>
      </c>
      <c r="J392" s="126"/>
      <c r="K392" s="127">
        <v>43236</v>
      </c>
      <c r="L392" s="128"/>
      <c r="M392" s="128">
        <v>3</v>
      </c>
      <c r="N392" s="126"/>
      <c r="O392" s="126" t="s">
        <v>119</v>
      </c>
      <c r="P392" s="129"/>
      <c r="Q392" s="129"/>
      <c r="R392" s="126" t="s">
        <v>26</v>
      </c>
      <c r="S392" s="126"/>
      <c r="T392" s="130" t="s">
        <v>144</v>
      </c>
      <c r="U392" s="126" t="s">
        <v>371</v>
      </c>
      <c r="V392" s="130" t="s">
        <v>120</v>
      </c>
      <c r="W392" s="126"/>
      <c r="X392" s="130"/>
      <c r="Y392" s="126"/>
      <c r="Z392" s="165" t="s">
        <v>125</v>
      </c>
      <c r="AA392" s="158"/>
      <c r="AB392" s="158"/>
      <c r="AC392" s="170"/>
      <c r="AD392" s="126" t="s">
        <v>336</v>
      </c>
      <c r="AE392" s="130"/>
      <c r="AF392" s="127"/>
      <c r="AG392" s="131"/>
      <c r="AH392" s="131">
        <v>2</v>
      </c>
      <c r="AI392" s="126"/>
      <c r="AJ392" s="130"/>
      <c r="AK392" s="126"/>
      <c r="AL392" s="126"/>
      <c r="AM392" s="130"/>
      <c r="AN392" s="126"/>
      <c r="AO392" s="132"/>
      <c r="AP392" s="126"/>
      <c r="AQ392" s="126"/>
      <c r="AR392" s="130"/>
      <c r="AS392" s="126"/>
      <c r="AT392" s="127"/>
      <c r="AU392" s="127"/>
      <c r="AV392" s="127"/>
      <c r="AW392" s="127"/>
      <c r="AX392" s="127"/>
      <c r="AY392" s="127"/>
      <c r="AZ392" s="133">
        <v>43236</v>
      </c>
      <c r="BA39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2" s="135">
        <f>COUNTIFS(_05preva_view43[Site ID],_05preva_view43[[#This Row],[Site ID]],_05preva_view43[Prevalidation Status],"Under Prevalidation")</f>
        <v>0</v>
      </c>
      <c r="BC392" s="157" t="e">
        <f ca="1">HYPERLINK(CheckPath(_05preva_view43[[#This Row],[File Path]],_05preva_view43[[#This Row],[File Path]],_05preva_view43[[#This Row],[Folder Path3]]),CheckPath(_05preva_view43[[#This Row],[File Path]],"Open File","No File"))</f>
        <v>#VALUE!</v>
      </c>
      <c r="BD392" s="136" t="str">
        <f>CONCATENATE(_05preva_view43[[#This Row],[Site ID]]," (",_05preva_view43[[#This Row],[tenant id]],") Application",IF(_05preva_view43[[#This Row],[Colo Rev]]&gt;0," Rev "&amp;_05preva_view43[[#This Row],[Colo Rev]],""),".xlsx")</f>
        <v>AYYN_0474 (YAW4930) Application.xlsx</v>
      </c>
      <c r="BE392" s="64" t="e">
        <f t="shared" ca="1" si="7"/>
        <v>#VALUE!</v>
      </c>
      <c r="BF392" s="104" t="e">
        <f ca="1">LEFT(CELL("filename",A377),_05preva_view43[[#This Row],[Find Process &amp; Database]]-1)</f>
        <v>#VALUE!</v>
      </c>
      <c r="BG392" s="104" t="e">
        <f ca="1">_05preva_view43[Folder Path1]&amp;"Process &amp; Database\Documentation\Colo Applications"</f>
        <v>#VALUE!</v>
      </c>
      <c r="BH392" s="104" t="e">
        <f ca="1">_05preva_view43[Folder Path2]&amp;"\Colo App "&amp;_05preva_view43[[#This Row],[Operator]]&amp;"\"</f>
        <v>#VALUE!</v>
      </c>
      <c r="BI392" s="63" t="e">
        <f ca="1">_05preva_view43[[#This Row],[Folder Path3]]&amp;_05preva_view43[[#This Row],[File Name]]</f>
        <v>#VALUE!</v>
      </c>
      <c r="BJ392" s="104"/>
      <c r="BK392" s="3"/>
      <c r="BL392" s="3"/>
      <c r="CJ392" s="5"/>
      <c r="CK392" s="5"/>
      <c r="CL392" s="3"/>
      <c r="CN392" s="5"/>
      <c r="CR392" s="3"/>
      <c r="CS392" s="3"/>
      <c r="CT392" s="5"/>
      <c r="CV392" s="3"/>
      <c r="DR392" s="5"/>
      <c r="DT392" s="3"/>
      <c r="EF392" s="7"/>
      <c r="EG392" s="7"/>
      <c r="EJ392" s="4"/>
      <c r="EK392" s="4"/>
      <c r="EU392" s="2"/>
      <c r="EV392" s="2"/>
    </row>
    <row r="393" spans="1:152">
      <c r="A393" s="125">
        <v>120</v>
      </c>
      <c r="B393" s="126" t="s">
        <v>493</v>
      </c>
      <c r="C393" s="126" t="s">
        <v>116</v>
      </c>
      <c r="D393" s="126" t="s">
        <v>163</v>
      </c>
      <c r="E393" s="126" t="s">
        <v>494</v>
      </c>
      <c r="F393" s="126" t="s">
        <v>40</v>
      </c>
      <c r="G393" s="126" t="s">
        <v>1579</v>
      </c>
      <c r="H393" s="126" t="s">
        <v>1580</v>
      </c>
      <c r="I393" s="126" t="s">
        <v>118</v>
      </c>
      <c r="J393" s="126"/>
      <c r="K393" s="127">
        <v>43236</v>
      </c>
      <c r="L393" s="128"/>
      <c r="M393" s="128">
        <v>3</v>
      </c>
      <c r="N393" s="126"/>
      <c r="O393" s="126" t="s">
        <v>119</v>
      </c>
      <c r="P393" s="129"/>
      <c r="Q393" s="129"/>
      <c r="R393" s="126" t="s">
        <v>24</v>
      </c>
      <c r="S393" s="126"/>
      <c r="T393" s="130" t="s">
        <v>120</v>
      </c>
      <c r="U393" s="126" t="s">
        <v>378</v>
      </c>
      <c r="V393" s="130" t="s">
        <v>120</v>
      </c>
      <c r="W393" s="126"/>
      <c r="X393" s="130" t="s">
        <v>120</v>
      </c>
      <c r="Y393" s="126" t="s">
        <v>495</v>
      </c>
      <c r="Z393" s="165" t="s">
        <v>120</v>
      </c>
      <c r="AA393" s="158"/>
      <c r="AB393" s="158"/>
      <c r="AC393" s="170"/>
      <c r="AD393" s="126" t="s">
        <v>120</v>
      </c>
      <c r="AE393" s="130" t="s">
        <v>120</v>
      </c>
      <c r="AF393" s="127" t="s">
        <v>467</v>
      </c>
      <c r="AG393" s="131"/>
      <c r="AH393" s="131">
        <v>3.5</v>
      </c>
      <c r="AI393" s="126" t="s">
        <v>440</v>
      </c>
      <c r="AJ393" s="130" t="s">
        <v>120</v>
      </c>
      <c r="AK393" s="126" t="s">
        <v>123</v>
      </c>
      <c r="AL393" s="126"/>
      <c r="AM393" s="130"/>
      <c r="AN393" s="126"/>
      <c r="AO393" s="132"/>
      <c r="AP393" s="126"/>
      <c r="AQ393" s="126"/>
      <c r="AR393" s="130"/>
      <c r="AS393" s="126"/>
      <c r="AT393" s="127"/>
      <c r="AU393" s="127">
        <v>43453.379002314803</v>
      </c>
      <c r="AV393" s="127"/>
      <c r="AW393" s="127"/>
      <c r="AX393" s="127"/>
      <c r="AY393" s="127"/>
      <c r="AZ393" s="133">
        <v>43236</v>
      </c>
      <c r="BA39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3" s="135">
        <f>COUNTIFS(_05preva_view43[Site ID],_05preva_view43[[#This Row],[Site ID]],_05preva_view43[Prevalidation Status],"Under Prevalidation")</f>
        <v>0</v>
      </c>
      <c r="BC393" s="157" t="e">
        <f ca="1">HYPERLINK(CheckPath(_05preva_view43[[#This Row],[File Path]],_05preva_view43[[#This Row],[File Path]],_05preva_view43[[#This Row],[Folder Path3]]),CheckPath(_05preva_view43[[#This Row],[File Path]],"Open File","No File"))</f>
        <v>#VALUE!</v>
      </c>
      <c r="BD393" s="136" t="str">
        <f>CONCATENATE(_05preva_view43[[#This Row],[Site ID]]," (",_05preva_view43[[#This Row],[tenant id]],") Application",IF(_05preva_view43[[#This Row],[Colo Rev]]&gt;0," Rev "&amp;_05preva_view43[[#This Row],[Colo Rev]],""),".xlsx")</f>
        <v>ACBA_0051 (BAW5574) Application.xlsx</v>
      </c>
      <c r="BE393" s="64" t="e">
        <f t="shared" ca="1" si="7"/>
        <v>#VALUE!</v>
      </c>
      <c r="BF393" s="104" t="e">
        <f ca="1">LEFT(CELL("filename",A378),_05preva_view43[[#This Row],[Find Process &amp; Database]]-1)</f>
        <v>#VALUE!</v>
      </c>
      <c r="BG393" s="104" t="e">
        <f ca="1">_05preva_view43[Folder Path1]&amp;"Process &amp; Database\Documentation\Colo Applications"</f>
        <v>#VALUE!</v>
      </c>
      <c r="BH393" s="104" t="e">
        <f ca="1">_05preva_view43[Folder Path2]&amp;"\Colo App "&amp;_05preva_view43[[#This Row],[Operator]]&amp;"\"</f>
        <v>#VALUE!</v>
      </c>
      <c r="BI393" s="63" t="e">
        <f ca="1">_05preva_view43[[#This Row],[Folder Path3]]&amp;_05preva_view43[[#This Row],[File Name]]</f>
        <v>#VALUE!</v>
      </c>
      <c r="BJ393" s="104"/>
      <c r="BK393" s="3"/>
      <c r="BL393" s="3"/>
      <c r="CJ393" s="5"/>
      <c r="CK393" s="5"/>
      <c r="CL393" s="3"/>
      <c r="CN393" s="5"/>
      <c r="CR393" s="3"/>
      <c r="CS393" s="3"/>
      <c r="CT393" s="5"/>
      <c r="CV393" s="3"/>
      <c r="DR393" s="5"/>
      <c r="DT393" s="3"/>
      <c r="EF393" s="7"/>
      <c r="EG393" s="7"/>
      <c r="EJ393" s="4"/>
      <c r="EK393" s="4"/>
      <c r="EU393" s="2"/>
      <c r="EV393" s="2"/>
    </row>
    <row r="394" spans="1:152">
      <c r="A394" s="125">
        <v>121</v>
      </c>
      <c r="B394" s="126" t="s">
        <v>496</v>
      </c>
      <c r="C394" s="126" t="s">
        <v>116</v>
      </c>
      <c r="D394" s="126" t="s">
        <v>163</v>
      </c>
      <c r="E394" s="126" t="s">
        <v>497</v>
      </c>
      <c r="F394" s="126" t="s">
        <v>40</v>
      </c>
      <c r="G394" s="126" t="s">
        <v>118</v>
      </c>
      <c r="H394" s="126"/>
      <c r="I394" s="126" t="s">
        <v>118</v>
      </c>
      <c r="J394" s="126"/>
      <c r="K394" s="127">
        <v>43236</v>
      </c>
      <c r="L394" s="128"/>
      <c r="M394" s="128">
        <v>3</v>
      </c>
      <c r="N394" s="126"/>
      <c r="O394" s="126" t="s">
        <v>119</v>
      </c>
      <c r="P394" s="129"/>
      <c r="Q394" s="129"/>
      <c r="R394" s="126" t="s">
        <v>27</v>
      </c>
      <c r="S394" s="126"/>
      <c r="T394" s="130" t="s">
        <v>120</v>
      </c>
      <c r="U394" s="126" t="s">
        <v>403</v>
      </c>
      <c r="V394" s="130" t="s">
        <v>120</v>
      </c>
      <c r="W394" s="126"/>
      <c r="X394" s="130" t="s">
        <v>120</v>
      </c>
      <c r="Y394" s="126" t="s">
        <v>404</v>
      </c>
      <c r="Z394" s="165" t="s">
        <v>125</v>
      </c>
      <c r="AA394" s="158"/>
      <c r="AB394" s="158"/>
      <c r="AC394" s="170" t="s">
        <v>123</v>
      </c>
      <c r="AD394" s="126" t="s">
        <v>405</v>
      </c>
      <c r="AE394" s="130" t="s">
        <v>125</v>
      </c>
      <c r="AF394" s="127"/>
      <c r="AG394" s="131"/>
      <c r="AH394" s="131"/>
      <c r="AI394" s="126" t="s">
        <v>366</v>
      </c>
      <c r="AJ394" s="130" t="s">
        <v>120</v>
      </c>
      <c r="AK394" s="126" t="s">
        <v>240</v>
      </c>
      <c r="AL394" s="126"/>
      <c r="AM394" s="130"/>
      <c r="AN394" s="126"/>
      <c r="AO394" s="132"/>
      <c r="AP394" s="126"/>
      <c r="AQ394" s="126"/>
      <c r="AR394" s="130"/>
      <c r="AS394" s="126"/>
      <c r="AT394" s="127"/>
      <c r="AU394" s="127"/>
      <c r="AV394" s="127"/>
      <c r="AW394" s="127"/>
      <c r="AX394" s="127"/>
      <c r="AY394" s="127"/>
      <c r="AZ394" s="133"/>
      <c r="BA39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4" s="135">
        <f>COUNTIFS(_05preva_view43[Site ID],_05preva_view43[[#This Row],[Site ID]],_05preva_view43[Prevalidation Status],"Under Prevalidation")</f>
        <v>0</v>
      </c>
      <c r="BC394" s="157" t="e">
        <f ca="1">HYPERLINK(CheckPath(_05preva_view43[[#This Row],[File Path]],_05preva_view43[[#This Row],[File Path]],_05preva_view43[[#This Row],[Folder Path3]]),CheckPath(_05preva_view43[[#This Row],[File Path]],"Open File","No File"))</f>
        <v>#VALUE!</v>
      </c>
      <c r="BD394" s="136" t="str">
        <f>CONCATENATE(_05preva_view43[[#This Row],[Site ID]]," (",_05preva_view43[[#This Row],[tenant id]],") Application",IF(_05preva_view43[[#This Row],[Colo Rev]]&gt;0," Rev "&amp;_05preva_view43[[#This Row],[Colo Rev]],""),".xlsx")</f>
        <v>AYYN_0488 (YAW7795) Application.xlsx</v>
      </c>
      <c r="BE394" s="64" t="e">
        <f t="shared" ca="1" si="7"/>
        <v>#VALUE!</v>
      </c>
      <c r="BF394" s="104" t="e">
        <f ca="1">LEFT(CELL("filename",A379),_05preva_view43[[#This Row],[Find Process &amp; Database]]-1)</f>
        <v>#VALUE!</v>
      </c>
      <c r="BG394" s="104" t="e">
        <f ca="1">_05preva_view43[Folder Path1]&amp;"Process &amp; Database\Documentation\Colo Applications"</f>
        <v>#VALUE!</v>
      </c>
      <c r="BH394" s="104" t="e">
        <f ca="1">_05preva_view43[Folder Path2]&amp;"\Colo App "&amp;_05preva_view43[[#This Row],[Operator]]&amp;"\"</f>
        <v>#VALUE!</v>
      </c>
      <c r="BI394" s="63" t="e">
        <f ca="1">_05preva_view43[[#This Row],[Folder Path3]]&amp;_05preva_view43[[#This Row],[File Name]]</f>
        <v>#VALUE!</v>
      </c>
      <c r="BJ394" s="104"/>
      <c r="BK394" s="3"/>
      <c r="BL394" s="3"/>
      <c r="CJ394" s="5"/>
      <c r="CK394" s="5"/>
      <c r="CL394" s="3"/>
      <c r="CN394" s="5"/>
      <c r="CR394" s="3"/>
      <c r="CS394" s="3"/>
      <c r="CT394" s="5"/>
      <c r="CV394" s="3"/>
      <c r="DR394" s="5"/>
      <c r="DT394" s="3"/>
      <c r="EF394" s="7"/>
      <c r="EG394" s="7"/>
      <c r="EJ394" s="4"/>
      <c r="EK394" s="4"/>
      <c r="EU394" s="2"/>
      <c r="EV394" s="2"/>
    </row>
    <row r="395" spans="1:152">
      <c r="A395" s="125">
        <v>122</v>
      </c>
      <c r="B395" s="126" t="s">
        <v>498</v>
      </c>
      <c r="C395" s="126" t="s">
        <v>116</v>
      </c>
      <c r="D395" s="126" t="s">
        <v>163</v>
      </c>
      <c r="E395" s="126" t="s">
        <v>499</v>
      </c>
      <c r="F395" s="126" t="s">
        <v>40</v>
      </c>
      <c r="G395" s="126" t="s">
        <v>118</v>
      </c>
      <c r="H395" s="126"/>
      <c r="I395" s="126" t="s">
        <v>118</v>
      </c>
      <c r="J395" s="126"/>
      <c r="K395" s="127">
        <v>43236</v>
      </c>
      <c r="L395" s="128"/>
      <c r="M395" s="128">
        <v>3</v>
      </c>
      <c r="N395" s="126"/>
      <c r="O395" s="126" t="s">
        <v>119</v>
      </c>
      <c r="P395" s="129"/>
      <c r="Q395" s="129"/>
      <c r="R395" s="126" t="s">
        <v>26</v>
      </c>
      <c r="S395" s="126"/>
      <c r="T395" s="130" t="s">
        <v>144</v>
      </c>
      <c r="U395" s="126" t="s">
        <v>371</v>
      </c>
      <c r="V395" s="130" t="s">
        <v>120</v>
      </c>
      <c r="W395" s="126"/>
      <c r="X395" s="130"/>
      <c r="Y395" s="126"/>
      <c r="Z395" s="165" t="s">
        <v>125</v>
      </c>
      <c r="AA395" s="158"/>
      <c r="AB395" s="158"/>
      <c r="AC395" s="170"/>
      <c r="AD395" s="126" t="s">
        <v>336</v>
      </c>
      <c r="AE395" s="130"/>
      <c r="AF395" s="127"/>
      <c r="AG395" s="131"/>
      <c r="AH395" s="131">
        <v>2</v>
      </c>
      <c r="AI395" s="126"/>
      <c r="AJ395" s="130"/>
      <c r="AK395" s="126"/>
      <c r="AL395" s="126"/>
      <c r="AM395" s="130"/>
      <c r="AN395" s="126"/>
      <c r="AO395" s="132"/>
      <c r="AP395" s="126"/>
      <c r="AQ395" s="126"/>
      <c r="AR395" s="130"/>
      <c r="AS395" s="126"/>
      <c r="AT395" s="127"/>
      <c r="AU395" s="127"/>
      <c r="AV395" s="127"/>
      <c r="AW395" s="127"/>
      <c r="AX395" s="127"/>
      <c r="AY395" s="127"/>
      <c r="AZ395" s="133">
        <v>43236</v>
      </c>
      <c r="BA39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5" s="135">
        <f>COUNTIFS(_05preva_view43[Site ID],_05preva_view43[[#This Row],[Site ID]],_05preva_view43[Prevalidation Status],"Under Prevalidation")</f>
        <v>0</v>
      </c>
      <c r="BC395" s="157" t="e">
        <f ca="1">HYPERLINK(CheckPath(_05preva_view43[[#This Row],[File Path]],_05preva_view43[[#This Row],[File Path]],_05preva_view43[[#This Row],[Folder Path3]]),CheckPath(_05preva_view43[[#This Row],[File Path]],"Open File","No File"))</f>
        <v>#VALUE!</v>
      </c>
      <c r="BD395" s="136" t="str">
        <f>CONCATENATE(_05preva_view43[[#This Row],[Site ID]]," (",_05preva_view43[[#This Row],[tenant id]],") Application",IF(_05preva_view43[[#This Row],[Colo Rev]]&gt;0," Rev "&amp;_05preva_view43[[#This Row],[Colo Rev]],""),".xlsx")</f>
        <v>AYYN_0544 (YAW4790) Application.xlsx</v>
      </c>
      <c r="BE395" s="64" t="e">
        <f t="shared" ca="1" si="7"/>
        <v>#VALUE!</v>
      </c>
      <c r="BF395" s="104" t="e">
        <f ca="1">LEFT(CELL("filename",A380),_05preva_view43[[#This Row],[Find Process &amp; Database]]-1)</f>
        <v>#VALUE!</v>
      </c>
      <c r="BG395" s="104" t="e">
        <f ca="1">_05preva_view43[Folder Path1]&amp;"Process &amp; Database\Documentation\Colo Applications"</f>
        <v>#VALUE!</v>
      </c>
      <c r="BH395" s="104" t="e">
        <f ca="1">_05preva_view43[Folder Path2]&amp;"\Colo App "&amp;_05preva_view43[[#This Row],[Operator]]&amp;"\"</f>
        <v>#VALUE!</v>
      </c>
      <c r="BI395" s="63" t="e">
        <f ca="1">_05preva_view43[[#This Row],[Folder Path3]]&amp;_05preva_view43[[#This Row],[File Name]]</f>
        <v>#VALUE!</v>
      </c>
      <c r="BJ395" s="104"/>
      <c r="BK395" s="3"/>
      <c r="BL395" s="3"/>
      <c r="CJ395" s="5"/>
      <c r="CK395" s="5"/>
      <c r="CL395" s="3"/>
      <c r="CN395" s="5"/>
      <c r="CR395" s="3"/>
      <c r="CS395" s="3"/>
      <c r="CT395" s="5"/>
      <c r="CV395" s="3"/>
      <c r="DR395" s="5"/>
      <c r="DT395" s="3"/>
      <c r="EF395" s="7"/>
      <c r="EG395" s="7"/>
      <c r="EJ395" s="4"/>
      <c r="EK395" s="4"/>
      <c r="EU395" s="2"/>
      <c r="EV395" s="2"/>
    </row>
    <row r="396" spans="1:152">
      <c r="A396" s="125">
        <v>123</v>
      </c>
      <c r="B396" s="126" t="s">
        <v>500</v>
      </c>
      <c r="C396" s="126" t="s">
        <v>116</v>
      </c>
      <c r="D396" s="126" t="s">
        <v>163</v>
      </c>
      <c r="E396" s="126" t="s">
        <v>501</v>
      </c>
      <c r="F396" s="126" t="s">
        <v>40</v>
      </c>
      <c r="G396" s="126" t="s">
        <v>118</v>
      </c>
      <c r="H396" s="126"/>
      <c r="I396" s="126" t="s">
        <v>118</v>
      </c>
      <c r="J396" s="126"/>
      <c r="K396" s="127">
        <v>43236</v>
      </c>
      <c r="L396" s="128"/>
      <c r="M396" s="128">
        <v>3</v>
      </c>
      <c r="N396" s="126"/>
      <c r="O396" s="126" t="s">
        <v>119</v>
      </c>
      <c r="P396" s="129"/>
      <c r="Q396" s="129"/>
      <c r="R396" s="126" t="s">
        <v>26</v>
      </c>
      <c r="S396" s="126"/>
      <c r="T396" s="130" t="s">
        <v>144</v>
      </c>
      <c r="U396" s="126" t="s">
        <v>502</v>
      </c>
      <c r="V396" s="130" t="s">
        <v>120</v>
      </c>
      <c r="W396" s="126"/>
      <c r="X396" s="130"/>
      <c r="Y396" s="126"/>
      <c r="Z396" s="165" t="s">
        <v>125</v>
      </c>
      <c r="AA396" s="158"/>
      <c r="AB396" s="158"/>
      <c r="AC396" s="170"/>
      <c r="AD396" s="126" t="s">
        <v>336</v>
      </c>
      <c r="AE396" s="130"/>
      <c r="AF396" s="127"/>
      <c r="AG396" s="131"/>
      <c r="AH396" s="131">
        <v>2</v>
      </c>
      <c r="AI396" s="126"/>
      <c r="AJ396" s="130"/>
      <c r="AK396" s="126"/>
      <c r="AL396" s="126"/>
      <c r="AM396" s="130"/>
      <c r="AN396" s="126"/>
      <c r="AO396" s="132"/>
      <c r="AP396" s="126"/>
      <c r="AQ396" s="126"/>
      <c r="AR396" s="130"/>
      <c r="AS396" s="126"/>
      <c r="AT396" s="127"/>
      <c r="AU396" s="127"/>
      <c r="AV396" s="127"/>
      <c r="AW396" s="127"/>
      <c r="AX396" s="127"/>
      <c r="AY396" s="127"/>
      <c r="AZ396" s="133">
        <v>43236</v>
      </c>
      <c r="BA39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6" s="135">
        <f>COUNTIFS(_05preva_view43[Site ID],_05preva_view43[[#This Row],[Site ID]],_05preva_view43[Prevalidation Status],"Under Prevalidation")</f>
        <v>0</v>
      </c>
      <c r="BC396" s="157" t="e">
        <f ca="1">HYPERLINK(CheckPath(_05preva_view43[[#This Row],[File Path]],_05preva_view43[[#This Row],[File Path]],_05preva_view43[[#This Row],[Folder Path3]]),CheckPath(_05preva_view43[[#This Row],[File Path]],"Open File","No File"))</f>
        <v>#VALUE!</v>
      </c>
      <c r="BD396" s="136" t="str">
        <f>CONCATENATE(_05preva_view43[[#This Row],[Site ID]]," (",_05preva_view43[[#This Row],[tenant id]],") Application",IF(_05preva_view43[[#This Row],[Colo Rev]]&gt;0," Rev "&amp;_05preva_view43[[#This Row],[Colo Rev]],""),".xlsx")</f>
        <v>AYYN_0504 (YAW4769) Application.xlsx</v>
      </c>
      <c r="BE396" s="64" t="e">
        <f t="shared" ca="1" si="7"/>
        <v>#VALUE!</v>
      </c>
      <c r="BF396" s="104" t="e">
        <f ca="1">LEFT(CELL("filename",A381),_05preva_view43[[#This Row],[Find Process &amp; Database]]-1)</f>
        <v>#VALUE!</v>
      </c>
      <c r="BG396" s="104" t="e">
        <f ca="1">_05preva_view43[Folder Path1]&amp;"Process &amp; Database\Documentation\Colo Applications"</f>
        <v>#VALUE!</v>
      </c>
      <c r="BH396" s="104" t="e">
        <f ca="1">_05preva_view43[Folder Path2]&amp;"\Colo App "&amp;_05preva_view43[[#This Row],[Operator]]&amp;"\"</f>
        <v>#VALUE!</v>
      </c>
      <c r="BI396" s="63" t="e">
        <f ca="1">_05preva_view43[[#This Row],[Folder Path3]]&amp;_05preva_view43[[#This Row],[File Name]]</f>
        <v>#VALUE!</v>
      </c>
      <c r="BJ396" s="104"/>
      <c r="BK396" s="3"/>
      <c r="BL396" s="3"/>
      <c r="CJ396" s="5"/>
      <c r="CK396" s="5"/>
      <c r="CL396" s="3"/>
      <c r="CN396" s="5"/>
      <c r="CR396" s="3"/>
      <c r="CS396" s="3"/>
      <c r="CT396" s="5"/>
      <c r="CV396" s="3"/>
      <c r="DR396" s="5"/>
      <c r="DT396" s="3"/>
      <c r="EF396" s="7"/>
      <c r="EG396" s="7"/>
      <c r="EJ396" s="4"/>
      <c r="EK396" s="4"/>
      <c r="EU396" s="2"/>
      <c r="EV396" s="2"/>
    </row>
    <row r="397" spans="1:152">
      <c r="A397" s="125">
        <v>124</v>
      </c>
      <c r="B397" s="126" t="s">
        <v>503</v>
      </c>
      <c r="C397" s="126" t="s">
        <v>116</v>
      </c>
      <c r="D397" s="126" t="s">
        <v>163</v>
      </c>
      <c r="E397" s="126" t="s">
        <v>504</v>
      </c>
      <c r="F397" s="126" t="s">
        <v>40</v>
      </c>
      <c r="G397" s="126" t="s">
        <v>118</v>
      </c>
      <c r="H397" s="126"/>
      <c r="I397" s="126" t="s">
        <v>118</v>
      </c>
      <c r="J397" s="126"/>
      <c r="K397" s="127">
        <v>43236</v>
      </c>
      <c r="L397" s="128"/>
      <c r="M397" s="128">
        <v>3</v>
      </c>
      <c r="N397" s="126"/>
      <c r="O397" s="126" t="s">
        <v>119</v>
      </c>
      <c r="P397" s="129"/>
      <c r="Q397" s="129"/>
      <c r="R397" s="126" t="s">
        <v>24</v>
      </c>
      <c r="S397" s="126"/>
      <c r="T397" s="130" t="s">
        <v>120</v>
      </c>
      <c r="U397" s="126" t="s">
        <v>425</v>
      </c>
      <c r="V397" s="130" t="s">
        <v>120</v>
      </c>
      <c r="W397" s="126"/>
      <c r="X397" s="130" t="s">
        <v>120</v>
      </c>
      <c r="Y397" s="126" t="s">
        <v>404</v>
      </c>
      <c r="Z397" s="165" t="s">
        <v>125</v>
      </c>
      <c r="AA397" s="158"/>
      <c r="AB397" s="158"/>
      <c r="AC397" s="170" t="s">
        <v>123</v>
      </c>
      <c r="AD397" s="126" t="s">
        <v>405</v>
      </c>
      <c r="AE397" s="130" t="s">
        <v>125</v>
      </c>
      <c r="AF397" s="127"/>
      <c r="AG397" s="131"/>
      <c r="AH397" s="131"/>
      <c r="AI397" s="126" t="s">
        <v>366</v>
      </c>
      <c r="AJ397" s="130" t="s">
        <v>120</v>
      </c>
      <c r="AK397" s="126" t="s">
        <v>240</v>
      </c>
      <c r="AL397" s="126"/>
      <c r="AM397" s="130"/>
      <c r="AN397" s="126"/>
      <c r="AO397" s="132"/>
      <c r="AP397" s="126"/>
      <c r="AQ397" s="126"/>
      <c r="AR397" s="130"/>
      <c r="AS397" s="126"/>
      <c r="AT397" s="127"/>
      <c r="AU397" s="127"/>
      <c r="AV397" s="127"/>
      <c r="AW397" s="127"/>
      <c r="AX397" s="127"/>
      <c r="AY397" s="127"/>
      <c r="AZ397" s="133"/>
      <c r="BA39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7" s="135">
        <f>COUNTIFS(_05preva_view43[Site ID],_05preva_view43[[#This Row],[Site ID]],_05preva_view43[Prevalidation Status],"Under Prevalidation")</f>
        <v>0</v>
      </c>
      <c r="BC397" s="157" t="e">
        <f ca="1">HYPERLINK(CheckPath(_05preva_view43[[#This Row],[File Path]],_05preva_view43[[#This Row],[File Path]],_05preva_view43[[#This Row],[Folder Path3]]),CheckPath(_05preva_view43[[#This Row],[File Path]],"Open File","No File"))</f>
        <v>#VALUE!</v>
      </c>
      <c r="BD397" s="136" t="str">
        <f>CONCATENATE(_05preva_view43[[#This Row],[Site ID]]," (",_05preva_view43[[#This Row],[tenant id]],") Application",IF(_05preva_view43[[#This Row],[Colo Rev]]&gt;0," Rev "&amp;_05preva_view43[[#This Row],[Colo Rev]],""),".xlsx")</f>
        <v>AYYN_0309 (YAW7787) Application.xlsx</v>
      </c>
      <c r="BE397" s="64" t="e">
        <f t="shared" ca="1" si="7"/>
        <v>#VALUE!</v>
      </c>
      <c r="BF397" s="104" t="e">
        <f ca="1">LEFT(CELL("filename",A382),_05preva_view43[[#This Row],[Find Process &amp; Database]]-1)</f>
        <v>#VALUE!</v>
      </c>
      <c r="BG397" s="104" t="e">
        <f ca="1">_05preva_view43[Folder Path1]&amp;"Process &amp; Database\Documentation\Colo Applications"</f>
        <v>#VALUE!</v>
      </c>
      <c r="BH397" s="104" t="e">
        <f ca="1">_05preva_view43[Folder Path2]&amp;"\Colo App "&amp;_05preva_view43[[#This Row],[Operator]]&amp;"\"</f>
        <v>#VALUE!</v>
      </c>
      <c r="BI397" s="63" t="e">
        <f ca="1">_05preva_view43[[#This Row],[Folder Path3]]&amp;_05preva_view43[[#This Row],[File Name]]</f>
        <v>#VALUE!</v>
      </c>
      <c r="BJ397" s="104"/>
      <c r="BK397" s="3"/>
      <c r="BL397" s="3"/>
      <c r="CJ397" s="5"/>
      <c r="CK397" s="5"/>
      <c r="CL397" s="3"/>
      <c r="CN397" s="5"/>
      <c r="CR397" s="3"/>
      <c r="CS397" s="3"/>
      <c r="CT397" s="5"/>
      <c r="CV397" s="3"/>
      <c r="DR397" s="5"/>
      <c r="DT397" s="3"/>
      <c r="EF397" s="7"/>
      <c r="EG397" s="7"/>
      <c r="EJ397" s="4"/>
      <c r="EK397" s="4"/>
      <c r="EU397" s="2"/>
      <c r="EV397" s="2"/>
    </row>
    <row r="398" spans="1:152">
      <c r="A398" s="125">
        <v>125</v>
      </c>
      <c r="B398" s="126" t="s">
        <v>505</v>
      </c>
      <c r="C398" s="126" t="s">
        <v>116</v>
      </c>
      <c r="D398" s="126" t="s">
        <v>163</v>
      </c>
      <c r="E398" s="126" t="s">
        <v>506</v>
      </c>
      <c r="F398" s="126" t="s">
        <v>40</v>
      </c>
      <c r="G398" s="126" t="s">
        <v>118</v>
      </c>
      <c r="H398" s="126"/>
      <c r="I398" s="126" t="s">
        <v>118</v>
      </c>
      <c r="J398" s="126"/>
      <c r="K398" s="127">
        <v>43236</v>
      </c>
      <c r="L398" s="128"/>
      <c r="M398" s="128">
        <v>3</v>
      </c>
      <c r="N398" s="126"/>
      <c r="O398" s="126" t="s">
        <v>119</v>
      </c>
      <c r="P398" s="129"/>
      <c r="Q398" s="129"/>
      <c r="R398" s="126" t="s">
        <v>24</v>
      </c>
      <c r="S398" s="126"/>
      <c r="T398" s="130" t="s">
        <v>120</v>
      </c>
      <c r="U398" s="126" t="s">
        <v>378</v>
      </c>
      <c r="V398" s="130" t="s">
        <v>120</v>
      </c>
      <c r="W398" s="126"/>
      <c r="X398" s="130" t="s">
        <v>120</v>
      </c>
      <c r="Y398" s="126" t="s">
        <v>120</v>
      </c>
      <c r="Z398" s="165" t="s">
        <v>120</v>
      </c>
      <c r="AA398" s="158"/>
      <c r="AB398" s="158"/>
      <c r="AC398" s="170"/>
      <c r="AD398" s="126" t="s">
        <v>120</v>
      </c>
      <c r="AE398" s="130" t="s">
        <v>120</v>
      </c>
      <c r="AF398" s="127" t="s">
        <v>241</v>
      </c>
      <c r="AG398" s="131"/>
      <c r="AH398" s="131">
        <v>3.5</v>
      </c>
      <c r="AI398" s="126" t="s">
        <v>487</v>
      </c>
      <c r="AJ398" s="130" t="s">
        <v>120</v>
      </c>
      <c r="AK398" s="126" t="s">
        <v>123</v>
      </c>
      <c r="AL398" s="126"/>
      <c r="AM398" s="130"/>
      <c r="AN398" s="126"/>
      <c r="AO398" s="132"/>
      <c r="AP398" s="126"/>
      <c r="AQ398" s="126"/>
      <c r="AR398" s="130"/>
      <c r="AS398" s="126"/>
      <c r="AT398" s="127"/>
      <c r="AU398" s="127">
        <v>43453.379004629598</v>
      </c>
      <c r="AV398" s="127"/>
      <c r="AW398" s="127"/>
      <c r="AX398" s="127"/>
      <c r="AY398" s="127"/>
      <c r="AZ398" s="133">
        <v>43236</v>
      </c>
      <c r="BA39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8" s="135">
        <f>COUNTIFS(_05preva_view43[Site ID],_05preva_view43[[#This Row],[Site ID]],_05preva_view43[Prevalidation Status],"Under Prevalidation")</f>
        <v>0</v>
      </c>
      <c r="BC398" s="157" t="e">
        <f ca="1">HYPERLINK(CheckPath(_05preva_view43[[#This Row],[File Path]],_05preva_view43[[#This Row],[File Path]],_05preva_view43[[#This Row],[Folder Path3]]),CheckPath(_05preva_view43[[#This Row],[File Path]],"Open File","No File"))</f>
        <v>#VALUE!</v>
      </c>
      <c r="BD398" s="136" t="str">
        <f>CONCATENATE(_05preva_view43[[#This Row],[Site ID]]," (",_05preva_view43[[#This Row],[tenant id]],") Application",IF(_05preva_view43[[#This Row],[Colo Rev]]&gt;0," Rev "&amp;_05preva_view43[[#This Row],[Colo Rev]],""),".xlsx")</f>
        <v>ACAY_0142 (AYW5565) Application.xlsx</v>
      </c>
      <c r="BE398" s="64" t="e">
        <f t="shared" ca="1" si="7"/>
        <v>#VALUE!</v>
      </c>
      <c r="BF398" s="104" t="e">
        <f ca="1">LEFT(CELL("filename",A383),_05preva_view43[[#This Row],[Find Process &amp; Database]]-1)</f>
        <v>#VALUE!</v>
      </c>
      <c r="BG398" s="104" t="e">
        <f ca="1">_05preva_view43[Folder Path1]&amp;"Process &amp; Database\Documentation\Colo Applications"</f>
        <v>#VALUE!</v>
      </c>
      <c r="BH398" s="104" t="e">
        <f ca="1">_05preva_view43[Folder Path2]&amp;"\Colo App "&amp;_05preva_view43[[#This Row],[Operator]]&amp;"\"</f>
        <v>#VALUE!</v>
      </c>
      <c r="BI398" s="63" t="e">
        <f ca="1">_05preva_view43[[#This Row],[Folder Path3]]&amp;_05preva_view43[[#This Row],[File Name]]</f>
        <v>#VALUE!</v>
      </c>
      <c r="BJ398" s="104"/>
      <c r="BK398" s="3"/>
      <c r="BL398" s="3"/>
      <c r="CJ398" s="5"/>
      <c r="CK398" s="5"/>
      <c r="CL398" s="3"/>
      <c r="CN398" s="5"/>
      <c r="CR398" s="3"/>
      <c r="CS398" s="3"/>
      <c r="CT398" s="5"/>
      <c r="CV398" s="3"/>
      <c r="DR398" s="5"/>
      <c r="DT398" s="3"/>
      <c r="EF398" s="7"/>
      <c r="EG398" s="7"/>
      <c r="EJ398" s="4"/>
      <c r="EK398" s="4"/>
      <c r="EU398" s="2"/>
      <c r="EV398" s="2"/>
    </row>
    <row r="399" spans="1:152">
      <c r="A399" s="125">
        <v>126</v>
      </c>
      <c r="B399" s="126" t="s">
        <v>507</v>
      </c>
      <c r="C399" s="126" t="s">
        <v>116</v>
      </c>
      <c r="D399" s="126" t="s">
        <v>117</v>
      </c>
      <c r="E399" s="126" t="s">
        <v>508</v>
      </c>
      <c r="F399" s="126" t="s">
        <v>40</v>
      </c>
      <c r="G399" s="126" t="s">
        <v>1579</v>
      </c>
      <c r="H399" s="126" t="s">
        <v>1575</v>
      </c>
      <c r="I399" s="126" t="s">
        <v>118</v>
      </c>
      <c r="J399" s="126"/>
      <c r="K399" s="127">
        <v>43236</v>
      </c>
      <c r="L399" s="128"/>
      <c r="M399" s="128">
        <v>3</v>
      </c>
      <c r="N399" s="126"/>
      <c r="O399" s="126" t="s">
        <v>119</v>
      </c>
      <c r="P399" s="129"/>
      <c r="Q399" s="129"/>
      <c r="R399" s="126" t="s">
        <v>24</v>
      </c>
      <c r="S399" s="126"/>
      <c r="T399" s="130" t="s">
        <v>120</v>
      </c>
      <c r="U399" s="126" t="s">
        <v>378</v>
      </c>
      <c r="V399" s="130" t="s">
        <v>120</v>
      </c>
      <c r="W399" s="126"/>
      <c r="X399" s="130" t="s">
        <v>120</v>
      </c>
      <c r="Y399" s="126" t="s">
        <v>120</v>
      </c>
      <c r="Z399" s="165" t="s">
        <v>120</v>
      </c>
      <c r="AA399" s="158"/>
      <c r="AB399" s="158"/>
      <c r="AC399" s="170"/>
      <c r="AD399" s="126" t="s">
        <v>120</v>
      </c>
      <c r="AE399" s="130" t="s">
        <v>120</v>
      </c>
      <c r="AF399" s="127" t="s">
        <v>241</v>
      </c>
      <c r="AG399" s="131"/>
      <c r="AH399" s="131">
        <v>3.5</v>
      </c>
      <c r="AI399" s="126" t="s">
        <v>387</v>
      </c>
      <c r="AJ399" s="130" t="s">
        <v>120</v>
      </c>
      <c r="AK399" s="126" t="s">
        <v>123</v>
      </c>
      <c r="AL399" s="126"/>
      <c r="AM399" s="130"/>
      <c r="AN399" s="126"/>
      <c r="AO399" s="132"/>
      <c r="AP399" s="126"/>
      <c r="AQ399" s="126"/>
      <c r="AR399" s="130"/>
      <c r="AS399" s="126"/>
      <c r="AT399" s="127"/>
      <c r="AU399" s="127">
        <v>43453.379005439798</v>
      </c>
      <c r="AV399" s="127"/>
      <c r="AW399" s="127"/>
      <c r="AX399" s="127"/>
      <c r="AY399" s="127"/>
      <c r="AZ399" s="133">
        <v>43236</v>
      </c>
      <c r="BA39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9" s="135">
        <f>COUNTIFS(_05preva_view43[Site ID],_05preva_view43[[#This Row],[Site ID]],_05preva_view43[Prevalidation Status],"Under Prevalidation")</f>
        <v>0</v>
      </c>
      <c r="BC399" s="157" t="e">
        <f ca="1">HYPERLINK(CheckPath(_05preva_view43[[#This Row],[File Path]],_05preva_view43[[#This Row],[File Path]],_05preva_view43[[#This Row],[Folder Path3]]),CheckPath(_05preva_view43[[#This Row],[File Path]],"Open File","No File"))</f>
        <v>#VALUE!</v>
      </c>
      <c r="BD399" s="136" t="str">
        <f>CONCATENATE(_05preva_view43[[#This Row],[Site ID]]," (",_05preva_view43[[#This Row],[tenant id]],") Application",IF(_05preva_view43[[#This Row],[Colo Rev]]&gt;0," Rev "&amp;_05preva_view43[[#This Row],[Colo Rev]],""),".xlsx")</f>
        <v>ACBA_0089 (BAW5581) Application.xlsx</v>
      </c>
      <c r="BE399" s="64" t="e">
        <f t="shared" ca="1" si="7"/>
        <v>#VALUE!</v>
      </c>
      <c r="BF399" s="104" t="e">
        <f ca="1">LEFT(CELL("filename",A384),_05preva_view43[[#This Row],[Find Process &amp; Database]]-1)</f>
        <v>#VALUE!</v>
      </c>
      <c r="BG399" s="104" t="e">
        <f ca="1">_05preva_view43[Folder Path1]&amp;"Process &amp; Database\Documentation\Colo Applications"</f>
        <v>#VALUE!</v>
      </c>
      <c r="BH399" s="104" t="e">
        <f ca="1">_05preva_view43[Folder Path2]&amp;"\Colo App "&amp;_05preva_view43[[#This Row],[Operator]]&amp;"\"</f>
        <v>#VALUE!</v>
      </c>
      <c r="BI399" s="63" t="e">
        <f ca="1">_05preva_view43[[#This Row],[Folder Path3]]&amp;_05preva_view43[[#This Row],[File Name]]</f>
        <v>#VALUE!</v>
      </c>
      <c r="BJ399" s="104"/>
      <c r="BK399" s="3"/>
      <c r="BL399" s="3"/>
      <c r="CJ399" s="5"/>
      <c r="CK399" s="5"/>
      <c r="CL399" s="3"/>
      <c r="CN399" s="5"/>
      <c r="CR399" s="3"/>
      <c r="CS399" s="3"/>
      <c r="CT399" s="5"/>
      <c r="CV399" s="3"/>
      <c r="DR399" s="5"/>
      <c r="DT399" s="3"/>
      <c r="EF399" s="7"/>
      <c r="EG399" s="7"/>
      <c r="EJ399" s="4"/>
      <c r="EK399" s="4"/>
      <c r="EU399" s="2"/>
      <c r="EV399" s="2"/>
    </row>
    <row r="400" spans="1:152">
      <c r="A400" s="125">
        <v>127</v>
      </c>
      <c r="B400" s="126" t="s">
        <v>509</v>
      </c>
      <c r="C400" s="126" t="s">
        <v>116</v>
      </c>
      <c r="D400" s="126" t="s">
        <v>163</v>
      </c>
      <c r="E400" s="126" t="s">
        <v>510</v>
      </c>
      <c r="F400" s="126" t="s">
        <v>40</v>
      </c>
      <c r="G400" s="126" t="s">
        <v>118</v>
      </c>
      <c r="H400" s="126"/>
      <c r="I400" s="126" t="s">
        <v>118</v>
      </c>
      <c r="J400" s="126"/>
      <c r="K400" s="127">
        <v>43236</v>
      </c>
      <c r="L400" s="128"/>
      <c r="M400" s="128">
        <v>3</v>
      </c>
      <c r="N400" s="126"/>
      <c r="O400" s="126" t="s">
        <v>119</v>
      </c>
      <c r="P400" s="129"/>
      <c r="Q400" s="129"/>
      <c r="R400" s="126" t="s">
        <v>24</v>
      </c>
      <c r="S400" s="126"/>
      <c r="T400" s="130" t="s">
        <v>120</v>
      </c>
      <c r="U400" s="126" t="s">
        <v>403</v>
      </c>
      <c r="V400" s="130" t="s">
        <v>120</v>
      </c>
      <c r="W400" s="126"/>
      <c r="X400" s="130" t="s">
        <v>120</v>
      </c>
      <c r="Y400" s="126" t="s">
        <v>404</v>
      </c>
      <c r="Z400" s="165" t="s">
        <v>120</v>
      </c>
      <c r="AA400" s="158"/>
      <c r="AB400" s="158"/>
      <c r="AC400" s="170" t="s">
        <v>123</v>
      </c>
      <c r="AD400" s="126" t="s">
        <v>419</v>
      </c>
      <c r="AE400" s="130" t="s">
        <v>120</v>
      </c>
      <c r="AF400" s="127" t="s">
        <v>511</v>
      </c>
      <c r="AG400" s="131"/>
      <c r="AH400" s="131">
        <v>2</v>
      </c>
      <c r="AI400" s="126" t="s">
        <v>512</v>
      </c>
      <c r="AJ400" s="130" t="s">
        <v>120</v>
      </c>
      <c r="AK400" s="126" t="s">
        <v>123</v>
      </c>
      <c r="AL400" s="126"/>
      <c r="AM400" s="130"/>
      <c r="AN400" s="126"/>
      <c r="AO400" s="132"/>
      <c r="AP400" s="126"/>
      <c r="AQ400" s="126"/>
      <c r="AR400" s="130"/>
      <c r="AS400" s="126"/>
      <c r="AT400" s="127"/>
      <c r="AU400" s="127">
        <v>43453.379006249997</v>
      </c>
      <c r="AV400" s="127"/>
      <c r="AW400" s="127"/>
      <c r="AX400" s="127"/>
      <c r="AY400" s="127"/>
      <c r="AZ400" s="133">
        <v>43236</v>
      </c>
      <c r="BA40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0" s="135">
        <f>COUNTIFS(_05preva_view43[Site ID],_05preva_view43[[#This Row],[Site ID]],_05preva_view43[Prevalidation Status],"Under Prevalidation")</f>
        <v>0</v>
      </c>
      <c r="BC400" s="157" t="e">
        <f ca="1">HYPERLINK(CheckPath(_05preva_view43[[#This Row],[File Path]],_05preva_view43[[#This Row],[File Path]],_05preva_view43[[#This Row],[Folder Path3]]),CheckPath(_05preva_view43[[#This Row],[File Path]],"Open File","No File"))</f>
        <v>#VALUE!</v>
      </c>
      <c r="BD400" s="136" t="str">
        <f>CONCATENATE(_05preva_view43[[#This Row],[Site ID]]," (",_05preva_view43[[#This Row],[tenant id]],") Application",IF(_05preva_view43[[#This Row],[Colo Rev]]&gt;0," Rev "&amp;_05preva_view43[[#This Row],[Colo Rev]],""),".xlsx")</f>
        <v>AYYN_0088 (YAW4651) Application.xlsx</v>
      </c>
      <c r="BE400" s="64" t="e">
        <f t="shared" ref="BE400:BE463" ca="1" si="8">FIND("Process &amp; Database\",CELL("filename",$A$1))</f>
        <v>#VALUE!</v>
      </c>
      <c r="BF400" s="104" t="e">
        <f ca="1">LEFT(CELL("filename",A385),_05preva_view43[[#This Row],[Find Process &amp; Database]]-1)</f>
        <v>#VALUE!</v>
      </c>
      <c r="BG400" s="104" t="e">
        <f ca="1">_05preva_view43[Folder Path1]&amp;"Process &amp; Database\Documentation\Colo Applications"</f>
        <v>#VALUE!</v>
      </c>
      <c r="BH400" s="104" t="e">
        <f ca="1">_05preva_view43[Folder Path2]&amp;"\Colo App "&amp;_05preva_view43[[#This Row],[Operator]]&amp;"\"</f>
        <v>#VALUE!</v>
      </c>
      <c r="BI400" s="63" t="e">
        <f ca="1">_05preva_view43[[#This Row],[Folder Path3]]&amp;_05preva_view43[[#This Row],[File Name]]</f>
        <v>#VALUE!</v>
      </c>
      <c r="BJ400" s="104"/>
      <c r="BK400" s="3"/>
      <c r="BL400" s="3"/>
      <c r="CJ400" s="5"/>
      <c r="CK400" s="5"/>
      <c r="CL400" s="3"/>
      <c r="CN400" s="5"/>
      <c r="CR400" s="3"/>
      <c r="CS400" s="3"/>
      <c r="CT400" s="5"/>
      <c r="CV400" s="3"/>
      <c r="DR400" s="5"/>
      <c r="DT400" s="3"/>
      <c r="EF400" s="7"/>
      <c r="EG400" s="7"/>
      <c r="EJ400" s="4"/>
      <c r="EK400" s="4"/>
      <c r="EU400" s="2"/>
      <c r="EV400" s="2"/>
    </row>
    <row r="401" spans="1:152">
      <c r="A401" s="125">
        <v>128</v>
      </c>
      <c r="B401" s="126" t="s">
        <v>513</v>
      </c>
      <c r="C401" s="126" t="s">
        <v>116</v>
      </c>
      <c r="D401" s="126" t="s">
        <v>163</v>
      </c>
      <c r="E401" s="126" t="s">
        <v>514</v>
      </c>
      <c r="F401" s="126" t="s">
        <v>40</v>
      </c>
      <c r="G401" s="126" t="s">
        <v>1579</v>
      </c>
      <c r="H401" s="126" t="s">
        <v>1575</v>
      </c>
      <c r="I401" s="126" t="s">
        <v>118</v>
      </c>
      <c r="J401" s="126"/>
      <c r="K401" s="127">
        <v>43236</v>
      </c>
      <c r="L401" s="128"/>
      <c r="M401" s="128">
        <v>3</v>
      </c>
      <c r="N401" s="126"/>
      <c r="O401" s="126" t="s">
        <v>119</v>
      </c>
      <c r="P401" s="129"/>
      <c r="Q401" s="129"/>
      <c r="R401" s="126" t="s">
        <v>24</v>
      </c>
      <c r="S401" s="126"/>
      <c r="T401" s="130" t="s">
        <v>120</v>
      </c>
      <c r="U401" s="126" t="s">
        <v>378</v>
      </c>
      <c r="V401" s="130" t="s">
        <v>120</v>
      </c>
      <c r="W401" s="126"/>
      <c r="X401" s="130" t="s">
        <v>120</v>
      </c>
      <c r="Y401" s="126" t="s">
        <v>120</v>
      </c>
      <c r="Z401" s="165" t="s">
        <v>120</v>
      </c>
      <c r="AA401" s="158"/>
      <c r="AB401" s="158"/>
      <c r="AC401" s="170"/>
      <c r="AD401" s="126" t="s">
        <v>120</v>
      </c>
      <c r="AE401" s="130" t="s">
        <v>120</v>
      </c>
      <c r="AF401" s="127" t="s">
        <v>241</v>
      </c>
      <c r="AG401" s="131"/>
      <c r="AH401" s="131">
        <v>3.5</v>
      </c>
      <c r="AI401" s="126" t="s">
        <v>242</v>
      </c>
      <c r="AJ401" s="130" t="s">
        <v>120</v>
      </c>
      <c r="AK401" s="126" t="s">
        <v>123</v>
      </c>
      <c r="AL401" s="126"/>
      <c r="AM401" s="130"/>
      <c r="AN401" s="126"/>
      <c r="AO401" s="132"/>
      <c r="AP401" s="126"/>
      <c r="AQ401" s="126"/>
      <c r="AR401" s="130"/>
      <c r="AS401" s="126"/>
      <c r="AT401" s="127"/>
      <c r="AU401" s="127">
        <v>43453.379008449097</v>
      </c>
      <c r="AV401" s="127"/>
      <c r="AW401" s="127"/>
      <c r="AX401" s="127"/>
      <c r="AY401" s="127"/>
      <c r="AZ401" s="133">
        <v>43236</v>
      </c>
      <c r="BA40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1" s="135">
        <f>COUNTIFS(_05preva_view43[Site ID],_05preva_view43[[#This Row],[Site ID]],_05preva_view43[Prevalidation Status],"Under Prevalidation")</f>
        <v>0</v>
      </c>
      <c r="BC401" s="157" t="e">
        <f ca="1">HYPERLINK(CheckPath(_05preva_view43[[#This Row],[File Path]],_05preva_view43[[#This Row],[File Path]],_05preva_view43[[#This Row],[Folder Path3]]),CheckPath(_05preva_view43[[#This Row],[File Path]],"Open File","No File"))</f>
        <v>#VALUE!</v>
      </c>
      <c r="BD401" s="136" t="str">
        <f>CONCATENATE(_05preva_view43[[#This Row],[Site ID]]," (",_05preva_view43[[#This Row],[tenant id]],") Application",IF(_05preva_view43[[#This Row],[Colo Rev]]&gt;0," Rev "&amp;_05preva_view43[[#This Row],[Colo Rev]],""),".xlsx")</f>
        <v>ACAY_0123 (AYW5569) Application.xlsx</v>
      </c>
      <c r="BE401" s="64" t="e">
        <f t="shared" ca="1" si="8"/>
        <v>#VALUE!</v>
      </c>
      <c r="BF401" s="104" t="e">
        <f ca="1">LEFT(CELL("filename",A386),_05preva_view43[[#This Row],[Find Process &amp; Database]]-1)</f>
        <v>#VALUE!</v>
      </c>
      <c r="BG401" s="104" t="e">
        <f ca="1">_05preva_view43[Folder Path1]&amp;"Process &amp; Database\Documentation\Colo Applications"</f>
        <v>#VALUE!</v>
      </c>
      <c r="BH401" s="104" t="e">
        <f ca="1">_05preva_view43[Folder Path2]&amp;"\Colo App "&amp;_05preva_view43[[#This Row],[Operator]]&amp;"\"</f>
        <v>#VALUE!</v>
      </c>
      <c r="BI401" s="63" t="e">
        <f ca="1">_05preva_view43[[#This Row],[Folder Path3]]&amp;_05preva_view43[[#This Row],[File Name]]</f>
        <v>#VALUE!</v>
      </c>
      <c r="BJ401" s="104"/>
      <c r="BK401" s="3"/>
      <c r="BL401" s="3"/>
      <c r="CJ401" s="5"/>
      <c r="CK401" s="5"/>
      <c r="CL401" s="3"/>
      <c r="CN401" s="5"/>
      <c r="CR401" s="3"/>
      <c r="CS401" s="3"/>
      <c r="CT401" s="5"/>
      <c r="CV401" s="3"/>
      <c r="DR401" s="5"/>
      <c r="DT401" s="3"/>
      <c r="EF401" s="7"/>
      <c r="EG401" s="7"/>
      <c r="EJ401" s="4"/>
      <c r="EK401" s="4"/>
      <c r="EU401" s="2"/>
      <c r="EV401" s="2"/>
    </row>
    <row r="402" spans="1:152">
      <c r="A402" s="125">
        <v>129</v>
      </c>
      <c r="B402" s="126" t="s">
        <v>515</v>
      </c>
      <c r="C402" s="126" t="s">
        <v>116</v>
      </c>
      <c r="D402" s="126" t="s">
        <v>163</v>
      </c>
      <c r="E402" s="126" t="s">
        <v>516</v>
      </c>
      <c r="F402" s="126" t="s">
        <v>40</v>
      </c>
      <c r="G402" s="126" t="s">
        <v>118</v>
      </c>
      <c r="H402" s="126"/>
      <c r="I402" s="126" t="s">
        <v>118</v>
      </c>
      <c r="J402" s="126"/>
      <c r="K402" s="127">
        <v>43236</v>
      </c>
      <c r="L402" s="128"/>
      <c r="M402" s="128">
        <v>3</v>
      </c>
      <c r="N402" s="126"/>
      <c r="O402" s="126" t="s">
        <v>119</v>
      </c>
      <c r="P402" s="129"/>
      <c r="Q402" s="129"/>
      <c r="R402" s="126" t="s">
        <v>24</v>
      </c>
      <c r="S402" s="126"/>
      <c r="T402" s="130" t="s">
        <v>120</v>
      </c>
      <c r="U402" s="126" t="s">
        <v>378</v>
      </c>
      <c r="V402" s="130" t="s">
        <v>120</v>
      </c>
      <c r="W402" s="126"/>
      <c r="X402" s="130" t="s">
        <v>120</v>
      </c>
      <c r="Y402" s="126" t="s">
        <v>120</v>
      </c>
      <c r="Z402" s="165" t="s">
        <v>120</v>
      </c>
      <c r="AA402" s="158"/>
      <c r="AB402" s="158"/>
      <c r="AC402" s="170"/>
      <c r="AD402" s="126" t="s">
        <v>120</v>
      </c>
      <c r="AE402" s="130" t="s">
        <v>120</v>
      </c>
      <c r="AF402" s="127" t="s">
        <v>120</v>
      </c>
      <c r="AG402" s="131"/>
      <c r="AH402" s="131">
        <v>2</v>
      </c>
      <c r="AI402" s="126" t="s">
        <v>517</v>
      </c>
      <c r="AJ402" s="130" t="s">
        <v>120</v>
      </c>
      <c r="AK402" s="126" t="s">
        <v>123</v>
      </c>
      <c r="AL402" s="126"/>
      <c r="AM402" s="130"/>
      <c r="AN402" s="126"/>
      <c r="AO402" s="132"/>
      <c r="AP402" s="126"/>
      <c r="AQ402" s="126"/>
      <c r="AR402" s="130"/>
      <c r="AS402" s="126"/>
      <c r="AT402" s="127"/>
      <c r="AU402" s="127">
        <v>43453.379009259297</v>
      </c>
      <c r="AV402" s="127"/>
      <c r="AW402" s="127"/>
      <c r="AX402" s="127"/>
      <c r="AY402" s="127"/>
      <c r="AZ402" s="133">
        <v>43236</v>
      </c>
      <c r="BA40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2" s="135">
        <f>COUNTIFS(_05preva_view43[Site ID],_05preva_view43[[#This Row],[Site ID]],_05preva_view43[Prevalidation Status],"Under Prevalidation")</f>
        <v>1</v>
      </c>
      <c r="BC402" s="157" t="e">
        <f ca="1">HYPERLINK(CheckPath(_05preva_view43[[#This Row],[File Path]],_05preva_view43[[#This Row],[File Path]],_05preva_view43[[#This Row],[Folder Path3]]),CheckPath(_05preva_view43[[#This Row],[File Path]],"Open File","No File"))</f>
        <v>#VALUE!</v>
      </c>
      <c r="BD402" s="136" t="str">
        <f>CONCATENATE(_05preva_view43[[#This Row],[Site ID]]," (",_05preva_view43[[#This Row],[tenant id]],") Application",IF(_05preva_view43[[#This Row],[Colo Rev]]&gt;0," Rev "&amp;_05preva_view43[[#This Row],[Colo Rev]],""),".xlsx")</f>
        <v>ACBA_0032 (BAW5234) Application.xlsx</v>
      </c>
      <c r="BE402" s="64" t="e">
        <f t="shared" ca="1" si="8"/>
        <v>#VALUE!</v>
      </c>
      <c r="BF402" s="104" t="e">
        <f ca="1">LEFT(CELL("filename",A387),_05preva_view43[[#This Row],[Find Process &amp; Database]]-1)</f>
        <v>#VALUE!</v>
      </c>
      <c r="BG402" s="104" t="e">
        <f ca="1">_05preva_view43[Folder Path1]&amp;"Process &amp; Database\Documentation\Colo Applications"</f>
        <v>#VALUE!</v>
      </c>
      <c r="BH402" s="104" t="e">
        <f ca="1">_05preva_view43[Folder Path2]&amp;"\Colo App "&amp;_05preva_view43[[#This Row],[Operator]]&amp;"\"</f>
        <v>#VALUE!</v>
      </c>
      <c r="BI402" s="63" t="e">
        <f ca="1">_05preva_view43[[#This Row],[Folder Path3]]&amp;_05preva_view43[[#This Row],[File Name]]</f>
        <v>#VALUE!</v>
      </c>
      <c r="BJ402" s="104"/>
      <c r="BK402" s="3"/>
      <c r="BL402" s="3"/>
      <c r="CJ402" s="5"/>
      <c r="CK402" s="5"/>
      <c r="CL402" s="3"/>
      <c r="CN402" s="5"/>
      <c r="CR402" s="3"/>
      <c r="CS402" s="3"/>
      <c r="CT402" s="5"/>
      <c r="CV402" s="3"/>
      <c r="DR402" s="5"/>
      <c r="DT402" s="3"/>
      <c r="EF402" s="7"/>
      <c r="EG402" s="7"/>
      <c r="EJ402" s="4"/>
      <c r="EK402" s="4"/>
      <c r="EU402" s="2"/>
      <c r="EV402" s="2"/>
    </row>
    <row r="403" spans="1:152">
      <c r="A403" s="125">
        <v>130</v>
      </c>
      <c r="B403" s="126" t="s">
        <v>518</v>
      </c>
      <c r="C403" s="126" t="s">
        <v>116</v>
      </c>
      <c r="D403" s="126" t="s">
        <v>163</v>
      </c>
      <c r="E403" s="126" t="s">
        <v>519</v>
      </c>
      <c r="F403" s="126" t="s">
        <v>40</v>
      </c>
      <c r="G403" s="126" t="s">
        <v>1579</v>
      </c>
      <c r="H403" s="126" t="s">
        <v>1575</v>
      </c>
      <c r="I403" s="126" t="s">
        <v>118</v>
      </c>
      <c r="J403" s="126"/>
      <c r="K403" s="127">
        <v>43236</v>
      </c>
      <c r="L403" s="128"/>
      <c r="M403" s="128">
        <v>3</v>
      </c>
      <c r="N403" s="126"/>
      <c r="O403" s="126" t="s">
        <v>119</v>
      </c>
      <c r="P403" s="129"/>
      <c r="Q403" s="129"/>
      <c r="R403" s="126" t="s">
        <v>24</v>
      </c>
      <c r="S403" s="126"/>
      <c r="T403" s="130" t="s">
        <v>120</v>
      </c>
      <c r="U403" s="126" t="s">
        <v>378</v>
      </c>
      <c r="V403" s="130" t="s">
        <v>120</v>
      </c>
      <c r="W403" s="126"/>
      <c r="X403" s="130" t="s">
        <v>120</v>
      </c>
      <c r="Y403" s="126" t="s">
        <v>120</v>
      </c>
      <c r="Z403" s="165" t="s">
        <v>120</v>
      </c>
      <c r="AA403" s="158"/>
      <c r="AB403" s="158"/>
      <c r="AC403" s="170"/>
      <c r="AD403" s="126" t="s">
        <v>419</v>
      </c>
      <c r="AE403" s="130" t="s">
        <v>120</v>
      </c>
      <c r="AF403" s="127" t="s">
        <v>241</v>
      </c>
      <c r="AG403" s="131"/>
      <c r="AH403" s="131">
        <v>3.5</v>
      </c>
      <c r="AI403" s="126" t="s">
        <v>242</v>
      </c>
      <c r="AJ403" s="130" t="s">
        <v>120</v>
      </c>
      <c r="AK403" s="126" t="s">
        <v>123</v>
      </c>
      <c r="AL403" s="126"/>
      <c r="AM403" s="130"/>
      <c r="AN403" s="126"/>
      <c r="AO403" s="132"/>
      <c r="AP403" s="126"/>
      <c r="AQ403" s="126"/>
      <c r="AR403" s="130"/>
      <c r="AS403" s="126"/>
      <c r="AT403" s="127"/>
      <c r="AU403" s="127">
        <v>43453.379010185199</v>
      </c>
      <c r="AV403" s="127"/>
      <c r="AW403" s="127"/>
      <c r="AX403" s="127"/>
      <c r="AY403" s="127"/>
      <c r="AZ403" s="133">
        <v>43236</v>
      </c>
      <c r="BA40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3" s="135">
        <f>COUNTIFS(_05preva_view43[Site ID],_05preva_view43[[#This Row],[Site ID]],_05preva_view43[Prevalidation Status],"Under Prevalidation")</f>
        <v>0</v>
      </c>
      <c r="BC403" s="157" t="e">
        <f ca="1">HYPERLINK(CheckPath(_05preva_view43[[#This Row],[File Path]],_05preva_view43[[#This Row],[File Path]],_05preva_view43[[#This Row],[Folder Path3]]),CheckPath(_05preva_view43[[#This Row],[File Path]],"Open File","No File"))</f>
        <v>#VALUE!</v>
      </c>
      <c r="BD403" s="136" t="str">
        <f>CONCATENATE(_05preva_view43[[#This Row],[Site ID]]," (",_05preva_view43[[#This Row],[tenant id]],") Application",IF(_05preva_view43[[#This Row],[Colo Rev]]&gt;0," Rev "&amp;_05preva_view43[[#This Row],[Colo Rev]],""),".xlsx")</f>
        <v>ASMO_0162 (MOW6294) Application.xlsx</v>
      </c>
      <c r="BE403" s="64" t="e">
        <f t="shared" ca="1" si="8"/>
        <v>#VALUE!</v>
      </c>
      <c r="BF403" s="104" t="e">
        <f ca="1">LEFT(CELL("filename",A388),_05preva_view43[[#This Row],[Find Process &amp; Database]]-1)</f>
        <v>#VALUE!</v>
      </c>
      <c r="BG403" s="104" t="e">
        <f ca="1">_05preva_view43[Folder Path1]&amp;"Process &amp; Database\Documentation\Colo Applications"</f>
        <v>#VALUE!</v>
      </c>
      <c r="BH403" s="104" t="e">
        <f ca="1">_05preva_view43[Folder Path2]&amp;"\Colo App "&amp;_05preva_view43[[#This Row],[Operator]]&amp;"\"</f>
        <v>#VALUE!</v>
      </c>
      <c r="BI403" s="63" t="e">
        <f ca="1">_05preva_view43[[#This Row],[Folder Path3]]&amp;_05preva_view43[[#This Row],[File Name]]</f>
        <v>#VALUE!</v>
      </c>
      <c r="BJ403" s="104"/>
      <c r="BK403" s="3"/>
      <c r="BL403" s="3"/>
      <c r="CJ403" s="5"/>
      <c r="CK403" s="5"/>
      <c r="CL403" s="3"/>
      <c r="CN403" s="5"/>
      <c r="CR403" s="3"/>
      <c r="CS403" s="3"/>
      <c r="CT403" s="5"/>
      <c r="CV403" s="3"/>
      <c r="DR403" s="5"/>
      <c r="DT403" s="3"/>
      <c r="EF403" s="7"/>
      <c r="EG403" s="7"/>
      <c r="EJ403" s="4"/>
      <c r="EK403" s="4"/>
      <c r="EU403" s="2"/>
      <c r="EV403" s="2"/>
    </row>
    <row r="404" spans="1:152">
      <c r="A404" s="125">
        <v>131</v>
      </c>
      <c r="B404" s="126" t="s">
        <v>520</v>
      </c>
      <c r="C404" s="126" t="s">
        <v>116</v>
      </c>
      <c r="D404" s="126" t="s">
        <v>163</v>
      </c>
      <c r="E404" s="126" t="s">
        <v>521</v>
      </c>
      <c r="F404" s="126" t="s">
        <v>40</v>
      </c>
      <c r="G404" s="126" t="s">
        <v>118</v>
      </c>
      <c r="H404" s="126"/>
      <c r="I404" s="126" t="s">
        <v>118</v>
      </c>
      <c r="J404" s="126"/>
      <c r="K404" s="127">
        <v>43236</v>
      </c>
      <c r="L404" s="128"/>
      <c r="M404" s="128">
        <v>3</v>
      </c>
      <c r="N404" s="126"/>
      <c r="O404" s="126" t="s">
        <v>119</v>
      </c>
      <c r="P404" s="129"/>
      <c r="Q404" s="129"/>
      <c r="R404" s="126" t="s">
        <v>27</v>
      </c>
      <c r="S404" s="126"/>
      <c r="T404" s="130" t="s">
        <v>120</v>
      </c>
      <c r="U404" s="126" t="s">
        <v>378</v>
      </c>
      <c r="V404" s="130" t="s">
        <v>120</v>
      </c>
      <c r="W404" s="126"/>
      <c r="X404" s="130" t="s">
        <v>120</v>
      </c>
      <c r="Y404" s="126" t="s">
        <v>120</v>
      </c>
      <c r="Z404" s="165" t="s">
        <v>120</v>
      </c>
      <c r="AA404" s="158"/>
      <c r="AB404" s="158"/>
      <c r="AC404" s="170"/>
      <c r="AD404" s="126" t="s">
        <v>120</v>
      </c>
      <c r="AE404" s="130" t="s">
        <v>125</v>
      </c>
      <c r="AF404" s="127"/>
      <c r="AG404" s="131"/>
      <c r="AH404" s="131"/>
      <c r="AI404" s="126" t="s">
        <v>522</v>
      </c>
      <c r="AJ404" s="130" t="s">
        <v>120</v>
      </c>
      <c r="AK404" s="126" t="s">
        <v>123</v>
      </c>
      <c r="AL404" s="126"/>
      <c r="AM404" s="130"/>
      <c r="AN404" s="126"/>
      <c r="AO404" s="132"/>
      <c r="AP404" s="126"/>
      <c r="AQ404" s="126"/>
      <c r="AR404" s="130"/>
      <c r="AS404" s="126"/>
      <c r="AT404" s="127"/>
      <c r="AU404" s="127"/>
      <c r="AV404" s="127"/>
      <c r="AW404" s="127"/>
      <c r="AX404" s="127"/>
      <c r="AY404" s="127"/>
      <c r="AZ404" s="133"/>
      <c r="BA40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4" s="135">
        <f>COUNTIFS(_05preva_view43[Site ID],_05preva_view43[[#This Row],[Site ID]],_05preva_view43[Prevalidation Status],"Under Prevalidation")</f>
        <v>0</v>
      </c>
      <c r="BC404" s="157" t="e">
        <f ca="1">HYPERLINK(CheckPath(_05preva_view43[[#This Row],[File Path]],_05preva_view43[[#This Row],[File Path]],_05preva_view43[[#This Row],[Folder Path3]]),CheckPath(_05preva_view43[[#This Row],[File Path]],"Open File","No File"))</f>
        <v>#VALUE!</v>
      </c>
      <c r="BD404" s="136" t="str">
        <f>CONCATENATE(_05preva_view43[[#This Row],[Site ID]]," (",_05preva_view43[[#This Row],[tenant id]],") Application",IF(_05preva_view43[[#This Row],[Colo Rev]]&gt;0," Rev "&amp;_05preva_view43[[#This Row],[Colo Rev]],""),".xlsx")</f>
        <v>ASMO_0164 (MOT6240) Application.xlsx</v>
      </c>
      <c r="BE404" s="64" t="e">
        <f t="shared" ca="1" si="8"/>
        <v>#VALUE!</v>
      </c>
      <c r="BF404" s="104" t="e">
        <f ca="1">LEFT(CELL("filename",A389),_05preva_view43[[#This Row],[Find Process &amp; Database]]-1)</f>
        <v>#VALUE!</v>
      </c>
      <c r="BG404" s="104" t="e">
        <f ca="1">_05preva_view43[Folder Path1]&amp;"Process &amp; Database\Documentation\Colo Applications"</f>
        <v>#VALUE!</v>
      </c>
      <c r="BH404" s="104" t="e">
        <f ca="1">_05preva_view43[Folder Path2]&amp;"\Colo App "&amp;_05preva_view43[[#This Row],[Operator]]&amp;"\"</f>
        <v>#VALUE!</v>
      </c>
      <c r="BI404" s="63" t="e">
        <f ca="1">_05preva_view43[[#This Row],[Folder Path3]]&amp;_05preva_view43[[#This Row],[File Name]]</f>
        <v>#VALUE!</v>
      </c>
      <c r="BJ404" s="104"/>
      <c r="BK404" s="3"/>
      <c r="BL404" s="3"/>
      <c r="CJ404" s="5"/>
      <c r="CK404" s="5"/>
      <c r="CL404" s="3"/>
      <c r="CN404" s="5"/>
      <c r="CR404" s="3"/>
      <c r="CS404" s="3"/>
      <c r="CT404" s="5"/>
      <c r="CV404" s="3"/>
      <c r="DR404" s="5"/>
      <c r="DT404" s="3"/>
      <c r="EF404" s="7"/>
      <c r="EG404" s="7"/>
      <c r="EJ404" s="4"/>
      <c r="EK404" s="4"/>
      <c r="EU404" s="2"/>
      <c r="EV404" s="2"/>
    </row>
    <row r="405" spans="1:152">
      <c r="A405" s="125">
        <v>132</v>
      </c>
      <c r="B405" s="126" t="s">
        <v>523</v>
      </c>
      <c r="C405" s="126" t="s">
        <v>116</v>
      </c>
      <c r="D405" s="126" t="s">
        <v>163</v>
      </c>
      <c r="E405" s="126" t="s">
        <v>524</v>
      </c>
      <c r="F405" s="126" t="s">
        <v>40</v>
      </c>
      <c r="G405" s="126" t="s">
        <v>118</v>
      </c>
      <c r="H405" s="126"/>
      <c r="I405" s="126" t="s">
        <v>118</v>
      </c>
      <c r="J405" s="126"/>
      <c r="K405" s="127">
        <v>43236</v>
      </c>
      <c r="L405" s="128"/>
      <c r="M405" s="128">
        <v>3</v>
      </c>
      <c r="N405" s="126"/>
      <c r="O405" s="126" t="s">
        <v>119</v>
      </c>
      <c r="P405" s="129"/>
      <c r="Q405" s="129"/>
      <c r="R405" s="126" t="s">
        <v>24</v>
      </c>
      <c r="S405" s="126"/>
      <c r="T405" s="130" t="s">
        <v>120</v>
      </c>
      <c r="U405" s="126" t="s">
        <v>378</v>
      </c>
      <c r="V405" s="130" t="s">
        <v>120</v>
      </c>
      <c r="W405" s="126"/>
      <c r="X405" s="130" t="s">
        <v>120</v>
      </c>
      <c r="Y405" s="126" t="s">
        <v>120</v>
      </c>
      <c r="Z405" s="165" t="s">
        <v>120</v>
      </c>
      <c r="AA405" s="158"/>
      <c r="AB405" s="158"/>
      <c r="AC405" s="170"/>
      <c r="AD405" s="126" t="s">
        <v>120</v>
      </c>
      <c r="AE405" s="130" t="s">
        <v>120</v>
      </c>
      <c r="AF405" s="127" t="s">
        <v>120</v>
      </c>
      <c r="AG405" s="131"/>
      <c r="AH405" s="131">
        <v>2</v>
      </c>
      <c r="AI405" s="126" t="s">
        <v>326</v>
      </c>
      <c r="AJ405" s="130" t="s">
        <v>120</v>
      </c>
      <c r="AK405" s="126" t="s">
        <v>123</v>
      </c>
      <c r="AL405" s="126"/>
      <c r="AM405" s="130"/>
      <c r="AN405" s="126"/>
      <c r="AO405" s="132"/>
      <c r="AP405" s="126"/>
      <c r="AQ405" s="126"/>
      <c r="AR405" s="130"/>
      <c r="AS405" s="126"/>
      <c r="AT405" s="127"/>
      <c r="AU405" s="127">
        <v>43453.379013078702</v>
      </c>
      <c r="AV405" s="127"/>
      <c r="AW405" s="127"/>
      <c r="AX405" s="127"/>
      <c r="AY405" s="127"/>
      <c r="AZ405" s="133">
        <v>43236</v>
      </c>
      <c r="BA40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5" s="135">
        <f>COUNTIFS(_05preva_view43[Site ID],_05preva_view43[[#This Row],[Site ID]],_05preva_view43[Prevalidation Status],"Under Prevalidation")</f>
        <v>0</v>
      </c>
      <c r="BC405" s="157" t="e">
        <f ca="1">HYPERLINK(CheckPath(_05preva_view43[[#This Row],[File Path]],_05preva_view43[[#This Row],[File Path]],_05preva_view43[[#This Row],[Folder Path3]]),CheckPath(_05preva_view43[[#This Row],[File Path]],"Open File","No File"))</f>
        <v>#VALUE!</v>
      </c>
      <c r="BD405" s="136" t="str">
        <f>CONCATENATE(_05preva_view43[[#This Row],[Site ID]]," (",_05preva_view43[[#This Row],[tenant id]],") Application",IF(_05preva_view43[[#This Row],[Colo Rev]]&gt;0," Rev "&amp;_05preva_view43[[#This Row],[Colo Rev]],""),".xlsx")</f>
        <v>ASMO_0166 (MOW6237) Application.xlsx</v>
      </c>
      <c r="BE405" s="64" t="e">
        <f t="shared" ca="1" si="8"/>
        <v>#VALUE!</v>
      </c>
      <c r="BF405" s="104" t="e">
        <f ca="1">LEFT(CELL("filename",A390),_05preva_view43[[#This Row],[Find Process &amp; Database]]-1)</f>
        <v>#VALUE!</v>
      </c>
      <c r="BG405" s="104" t="e">
        <f ca="1">_05preva_view43[Folder Path1]&amp;"Process &amp; Database\Documentation\Colo Applications"</f>
        <v>#VALUE!</v>
      </c>
      <c r="BH405" s="104" t="e">
        <f ca="1">_05preva_view43[Folder Path2]&amp;"\Colo App "&amp;_05preva_view43[[#This Row],[Operator]]&amp;"\"</f>
        <v>#VALUE!</v>
      </c>
      <c r="BI405" s="63" t="e">
        <f ca="1">_05preva_view43[[#This Row],[Folder Path3]]&amp;_05preva_view43[[#This Row],[File Name]]</f>
        <v>#VALUE!</v>
      </c>
      <c r="BJ405" s="104"/>
      <c r="BK405" s="3"/>
      <c r="BL405" s="3"/>
      <c r="CJ405" s="5"/>
      <c r="CK405" s="5"/>
      <c r="CL405" s="3"/>
      <c r="CN405" s="5"/>
      <c r="CR405" s="3"/>
      <c r="CS405" s="3"/>
      <c r="CT405" s="5"/>
      <c r="CV405" s="3"/>
      <c r="DR405" s="5"/>
      <c r="DT405" s="3"/>
      <c r="EF405" s="7"/>
      <c r="EG405" s="7"/>
      <c r="EJ405" s="4"/>
      <c r="EK405" s="4"/>
      <c r="EU405" s="2"/>
      <c r="EV405" s="2"/>
    </row>
    <row r="406" spans="1:152">
      <c r="A406" s="125">
        <v>133</v>
      </c>
      <c r="B406" s="126" t="s">
        <v>525</v>
      </c>
      <c r="C406" s="126" t="s">
        <v>116</v>
      </c>
      <c r="D406" s="126" t="s">
        <v>163</v>
      </c>
      <c r="E406" s="126" t="s">
        <v>526</v>
      </c>
      <c r="F406" s="126" t="s">
        <v>40</v>
      </c>
      <c r="G406" s="126" t="s">
        <v>118</v>
      </c>
      <c r="H406" s="126"/>
      <c r="I406" s="126" t="s">
        <v>118</v>
      </c>
      <c r="J406" s="126"/>
      <c r="K406" s="127">
        <v>43236</v>
      </c>
      <c r="L406" s="128"/>
      <c r="M406" s="128">
        <v>3</v>
      </c>
      <c r="N406" s="126"/>
      <c r="O406" s="126" t="s">
        <v>119</v>
      </c>
      <c r="P406" s="129"/>
      <c r="Q406" s="129"/>
      <c r="R406" s="126" t="s">
        <v>24</v>
      </c>
      <c r="S406" s="126"/>
      <c r="T406" s="130" t="s">
        <v>120</v>
      </c>
      <c r="U406" s="126" t="s">
        <v>378</v>
      </c>
      <c r="V406" s="130" t="s">
        <v>120</v>
      </c>
      <c r="W406" s="126"/>
      <c r="X406" s="130" t="s">
        <v>120</v>
      </c>
      <c r="Y406" s="126" t="s">
        <v>120</v>
      </c>
      <c r="Z406" s="165" t="s">
        <v>120</v>
      </c>
      <c r="AA406" s="158"/>
      <c r="AB406" s="158"/>
      <c r="AC406" s="170" t="s">
        <v>454</v>
      </c>
      <c r="AD406" s="126" t="s">
        <v>527</v>
      </c>
      <c r="AE406" s="130" t="s">
        <v>125</v>
      </c>
      <c r="AF406" s="127"/>
      <c r="AG406" s="131"/>
      <c r="AH406" s="131"/>
      <c r="AI406" s="126" t="s">
        <v>528</v>
      </c>
      <c r="AJ406" s="130" t="s">
        <v>120</v>
      </c>
      <c r="AK406" s="126" t="s">
        <v>123</v>
      </c>
      <c r="AL406" s="126"/>
      <c r="AM406" s="130"/>
      <c r="AN406" s="126"/>
      <c r="AO406" s="132"/>
      <c r="AP406" s="126"/>
      <c r="AQ406" s="126"/>
      <c r="AR406" s="130"/>
      <c r="AS406" s="126"/>
      <c r="AT406" s="127"/>
      <c r="AU406" s="127"/>
      <c r="AV406" s="127"/>
      <c r="AW406" s="127"/>
      <c r="AX406" s="127"/>
      <c r="AY406" s="127"/>
      <c r="AZ406" s="133">
        <v>43236</v>
      </c>
      <c r="BA40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6" s="135">
        <f>COUNTIFS(_05preva_view43[Site ID],_05preva_view43[[#This Row],[Site ID]],_05preva_view43[Prevalidation Status],"Under Prevalidation")</f>
        <v>0</v>
      </c>
      <c r="BC406" s="157" t="e">
        <f ca="1">HYPERLINK(CheckPath(_05preva_view43[[#This Row],[File Path]],_05preva_view43[[#This Row],[File Path]],_05preva_view43[[#This Row],[Folder Path3]]),CheckPath(_05preva_view43[[#This Row],[File Path]],"Open File","No File"))</f>
        <v>#VALUE!</v>
      </c>
      <c r="BD406" s="136" t="str">
        <f>CONCATENATE(_05preva_view43[[#This Row],[Site ID]]," (",_05preva_view43[[#This Row],[tenant id]],") Application",IF(_05preva_view43[[#This Row],[Colo Rev]]&gt;0," Rev "&amp;_05preva_view43[[#This Row],[Colo Rev]],""),".xlsx")</f>
        <v>ASMO_0165 (MOW6176) Application.xlsx</v>
      </c>
      <c r="BE406" s="64" t="e">
        <f t="shared" ca="1" si="8"/>
        <v>#VALUE!</v>
      </c>
      <c r="BF406" s="104" t="e">
        <f ca="1">LEFT(CELL("filename",A391),_05preva_view43[[#This Row],[Find Process &amp; Database]]-1)</f>
        <v>#VALUE!</v>
      </c>
      <c r="BG406" s="104" t="e">
        <f ca="1">_05preva_view43[Folder Path1]&amp;"Process &amp; Database\Documentation\Colo Applications"</f>
        <v>#VALUE!</v>
      </c>
      <c r="BH406" s="104" t="e">
        <f ca="1">_05preva_view43[Folder Path2]&amp;"\Colo App "&amp;_05preva_view43[[#This Row],[Operator]]&amp;"\"</f>
        <v>#VALUE!</v>
      </c>
      <c r="BI406" s="63" t="e">
        <f ca="1">_05preva_view43[[#This Row],[Folder Path3]]&amp;_05preva_view43[[#This Row],[File Name]]</f>
        <v>#VALUE!</v>
      </c>
      <c r="BJ406" s="104"/>
      <c r="BK406" s="3"/>
      <c r="BL406" s="3"/>
      <c r="CJ406" s="5"/>
      <c r="CK406" s="5"/>
      <c r="CL406" s="3"/>
      <c r="CN406" s="5"/>
      <c r="CR406" s="3"/>
      <c r="CS406" s="3"/>
      <c r="CT406" s="5"/>
      <c r="CV406" s="3"/>
      <c r="DR406" s="5"/>
      <c r="DT406" s="3"/>
      <c r="EF406" s="7"/>
      <c r="EG406" s="7"/>
      <c r="EJ406" s="4"/>
      <c r="EK406" s="4"/>
      <c r="EU406" s="2"/>
      <c r="EV406" s="2"/>
    </row>
    <row r="407" spans="1:152">
      <c r="A407" s="125">
        <v>134</v>
      </c>
      <c r="B407" s="126" t="s">
        <v>529</v>
      </c>
      <c r="C407" s="126" t="s">
        <v>116</v>
      </c>
      <c r="D407" s="126" t="s">
        <v>163</v>
      </c>
      <c r="E407" s="126" t="s">
        <v>530</v>
      </c>
      <c r="F407" s="126" t="s">
        <v>40</v>
      </c>
      <c r="G407" s="126" t="s">
        <v>118</v>
      </c>
      <c r="H407" s="126"/>
      <c r="I407" s="126" t="s">
        <v>118</v>
      </c>
      <c r="J407" s="126"/>
      <c r="K407" s="127">
        <v>43236</v>
      </c>
      <c r="L407" s="128"/>
      <c r="M407" s="128">
        <v>3</v>
      </c>
      <c r="N407" s="126"/>
      <c r="O407" s="126" t="s">
        <v>119</v>
      </c>
      <c r="P407" s="129"/>
      <c r="Q407" s="129"/>
      <c r="R407" s="126" t="s">
        <v>24</v>
      </c>
      <c r="S407" s="126"/>
      <c r="T407" s="130" t="s">
        <v>120</v>
      </c>
      <c r="U407" s="126" t="s">
        <v>531</v>
      </c>
      <c r="V407" s="130" t="s">
        <v>125</v>
      </c>
      <c r="W407" s="126"/>
      <c r="X407" s="130" t="s">
        <v>120</v>
      </c>
      <c r="Y407" s="126" t="s">
        <v>404</v>
      </c>
      <c r="Z407" s="165" t="s">
        <v>125</v>
      </c>
      <c r="AA407" s="158"/>
      <c r="AB407" s="158"/>
      <c r="AC407" s="170" t="s">
        <v>123</v>
      </c>
      <c r="AD407" s="126" t="s">
        <v>439</v>
      </c>
      <c r="AE407" s="130" t="s">
        <v>125</v>
      </c>
      <c r="AF407" s="127"/>
      <c r="AG407" s="131"/>
      <c r="AH407" s="131"/>
      <c r="AI407" s="126" t="s">
        <v>533</v>
      </c>
      <c r="AJ407" s="130" t="s">
        <v>120</v>
      </c>
      <c r="AK407" s="126" t="s">
        <v>123</v>
      </c>
      <c r="AL407" s="126" t="s">
        <v>532</v>
      </c>
      <c r="AM407" s="130"/>
      <c r="AN407" s="126"/>
      <c r="AO407" s="132"/>
      <c r="AP407" s="126"/>
      <c r="AQ407" s="126"/>
      <c r="AR407" s="130"/>
      <c r="AS407" s="126"/>
      <c r="AT407" s="127"/>
      <c r="AU407" s="127"/>
      <c r="AV407" s="127"/>
      <c r="AW407" s="127"/>
      <c r="AX407" s="127"/>
      <c r="AY407" s="127"/>
      <c r="AZ407" s="133"/>
      <c r="BA40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7" s="135">
        <f>COUNTIFS(_05preva_view43[Site ID],_05preva_view43[[#This Row],[Site ID]],_05preva_view43[Prevalidation Status],"Under Prevalidation")</f>
        <v>0</v>
      </c>
      <c r="BC407" s="157" t="e">
        <f ca="1">HYPERLINK(CheckPath(_05preva_view43[[#This Row],[File Path]],_05preva_view43[[#This Row],[File Path]],_05preva_view43[[#This Row],[Folder Path3]]),CheckPath(_05preva_view43[[#This Row],[File Path]],"Open File","No File"))</f>
        <v>#VALUE!</v>
      </c>
      <c r="BD407" s="136" t="str">
        <f>CONCATENATE(_05preva_view43[[#This Row],[Site ID]]," (",_05preva_view43[[#This Row],[tenant id]],") Application",IF(_05preva_view43[[#This Row],[Colo Rev]]&gt;0," Rev "&amp;_05preva_view43[[#This Row],[Colo Rev]],""),".xlsx")</f>
        <v>ASMO_0171 (MOW6290) Application.xlsx</v>
      </c>
      <c r="BE407" s="64" t="e">
        <f t="shared" ca="1" si="8"/>
        <v>#VALUE!</v>
      </c>
      <c r="BF407" s="104" t="e">
        <f ca="1">LEFT(CELL("filename",A392),_05preva_view43[[#This Row],[Find Process &amp; Database]]-1)</f>
        <v>#VALUE!</v>
      </c>
      <c r="BG407" s="104" t="e">
        <f ca="1">_05preva_view43[Folder Path1]&amp;"Process &amp; Database\Documentation\Colo Applications"</f>
        <v>#VALUE!</v>
      </c>
      <c r="BH407" s="104" t="e">
        <f ca="1">_05preva_view43[Folder Path2]&amp;"\Colo App "&amp;_05preva_view43[[#This Row],[Operator]]&amp;"\"</f>
        <v>#VALUE!</v>
      </c>
      <c r="BI407" s="63" t="e">
        <f ca="1">_05preva_view43[[#This Row],[Folder Path3]]&amp;_05preva_view43[[#This Row],[File Name]]</f>
        <v>#VALUE!</v>
      </c>
      <c r="BJ407" s="104"/>
      <c r="BK407" s="3"/>
      <c r="BL407" s="3"/>
      <c r="CJ407" s="5"/>
      <c r="CK407" s="5"/>
      <c r="CL407" s="3"/>
      <c r="CN407" s="5"/>
      <c r="CR407" s="3"/>
      <c r="CS407" s="3"/>
      <c r="CT407" s="5"/>
      <c r="CV407" s="3"/>
      <c r="DR407" s="5"/>
      <c r="DT407" s="3"/>
      <c r="EF407" s="7"/>
      <c r="EG407" s="7"/>
      <c r="EJ407" s="4"/>
      <c r="EK407" s="4"/>
      <c r="EU407" s="2"/>
      <c r="EV407" s="2"/>
    </row>
    <row r="408" spans="1:152">
      <c r="A408" s="125">
        <v>135</v>
      </c>
      <c r="B408" s="126" t="s">
        <v>534</v>
      </c>
      <c r="C408" s="126" t="s">
        <v>116</v>
      </c>
      <c r="D408" s="126" t="s">
        <v>117</v>
      </c>
      <c r="E408" s="126" t="s">
        <v>535</v>
      </c>
      <c r="F408" s="126" t="s">
        <v>40</v>
      </c>
      <c r="G408" s="126" t="s">
        <v>118</v>
      </c>
      <c r="H408" s="126"/>
      <c r="I408" s="126" t="s">
        <v>118</v>
      </c>
      <c r="J408" s="126"/>
      <c r="K408" s="127">
        <v>43236</v>
      </c>
      <c r="L408" s="128"/>
      <c r="M408" s="128">
        <v>3</v>
      </c>
      <c r="N408" s="126"/>
      <c r="O408" s="126" t="s">
        <v>119</v>
      </c>
      <c r="P408" s="129"/>
      <c r="Q408" s="129"/>
      <c r="R408" s="126" t="s">
        <v>26</v>
      </c>
      <c r="S408" s="126" t="s">
        <v>536</v>
      </c>
      <c r="T408" s="130" t="s">
        <v>120</v>
      </c>
      <c r="U408" s="126" t="s">
        <v>378</v>
      </c>
      <c r="V408" s="130" t="s">
        <v>125</v>
      </c>
      <c r="W408" s="126"/>
      <c r="X408" s="130" t="s">
        <v>120</v>
      </c>
      <c r="Y408" s="126" t="s">
        <v>537</v>
      </c>
      <c r="Z408" s="165" t="s">
        <v>120</v>
      </c>
      <c r="AA408" s="158"/>
      <c r="AB408" s="158"/>
      <c r="AC408" s="170"/>
      <c r="AD408" s="126" t="s">
        <v>120</v>
      </c>
      <c r="AE408" s="130" t="s">
        <v>125</v>
      </c>
      <c r="AF408" s="127"/>
      <c r="AG408" s="131"/>
      <c r="AH408" s="131"/>
      <c r="AI408" s="126" t="s">
        <v>242</v>
      </c>
      <c r="AJ408" s="130" t="s">
        <v>120</v>
      </c>
      <c r="AK408" s="126" t="s">
        <v>123</v>
      </c>
      <c r="AL408" s="126" t="s">
        <v>470</v>
      </c>
      <c r="AM408" s="130"/>
      <c r="AN408" s="126"/>
      <c r="AO408" s="132"/>
      <c r="AP408" s="126"/>
      <c r="AQ408" s="126"/>
      <c r="AR408" s="130"/>
      <c r="AS408" s="126"/>
      <c r="AT408" s="127"/>
      <c r="AU408" s="127"/>
      <c r="AV408" s="127"/>
      <c r="AW408" s="127"/>
      <c r="AX408" s="127"/>
      <c r="AY408" s="127"/>
      <c r="AZ408" s="133">
        <v>43236</v>
      </c>
      <c r="BA40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8" s="135">
        <f>COUNTIFS(_05preva_view43[Site ID],_05preva_view43[[#This Row],[Site ID]],_05preva_view43[Prevalidation Status],"Under Prevalidation")</f>
        <v>0</v>
      </c>
      <c r="BC408" s="157" t="e">
        <f ca="1">HYPERLINK(CheckPath(_05preva_view43[[#This Row],[File Path]],_05preva_view43[[#This Row],[File Path]],_05preva_view43[[#This Row],[Folder Path3]]),CheckPath(_05preva_view43[[#This Row],[File Path]],"Open File","No File"))</f>
        <v>#VALUE!</v>
      </c>
      <c r="BD408" s="136" t="str">
        <f>CONCATENATE(_05preva_view43[[#This Row],[Site ID]]," (",_05preva_view43[[#This Row],[tenant id]],") Application",IF(_05preva_view43[[#This Row],[Colo Rev]]&gt;0," Rev "&amp;_05preva_view43[[#This Row],[Colo Rev]],""),".xlsx")</f>
        <v>ACBA_0230 (BAW5584) Application.xlsx</v>
      </c>
      <c r="BE408" s="64" t="e">
        <f t="shared" ca="1" si="8"/>
        <v>#VALUE!</v>
      </c>
      <c r="BF408" s="104" t="e">
        <f ca="1">LEFT(CELL("filename",A393),_05preva_view43[[#This Row],[Find Process &amp; Database]]-1)</f>
        <v>#VALUE!</v>
      </c>
      <c r="BG408" s="104" t="e">
        <f ca="1">_05preva_view43[Folder Path1]&amp;"Process &amp; Database\Documentation\Colo Applications"</f>
        <v>#VALUE!</v>
      </c>
      <c r="BH408" s="104" t="e">
        <f ca="1">_05preva_view43[Folder Path2]&amp;"\Colo App "&amp;_05preva_view43[[#This Row],[Operator]]&amp;"\"</f>
        <v>#VALUE!</v>
      </c>
      <c r="BI408" s="63" t="e">
        <f ca="1">_05preva_view43[[#This Row],[Folder Path3]]&amp;_05preva_view43[[#This Row],[File Name]]</f>
        <v>#VALUE!</v>
      </c>
      <c r="BJ408" s="104"/>
      <c r="BK408" s="3"/>
      <c r="BL408" s="3"/>
      <c r="CJ408" s="5"/>
      <c r="CK408" s="5"/>
      <c r="CL408" s="3"/>
      <c r="CN408" s="5"/>
      <c r="CR408" s="3"/>
      <c r="CS408" s="3"/>
      <c r="CT408" s="5"/>
      <c r="CV408" s="3"/>
      <c r="DR408" s="5"/>
      <c r="DT408" s="3"/>
      <c r="EF408" s="7"/>
      <c r="EG408" s="7"/>
      <c r="EJ408" s="4"/>
      <c r="EK408" s="4"/>
      <c r="EU408" s="2"/>
      <c r="EV408" s="2"/>
    </row>
    <row r="409" spans="1:152">
      <c r="A409" s="125">
        <v>136</v>
      </c>
      <c r="B409" s="126" t="s">
        <v>538</v>
      </c>
      <c r="C409" s="126" t="s">
        <v>116</v>
      </c>
      <c r="D409" s="126" t="s">
        <v>163</v>
      </c>
      <c r="E409" s="126" t="s">
        <v>539</v>
      </c>
      <c r="F409" s="126" t="s">
        <v>40</v>
      </c>
      <c r="G409" s="126" t="s">
        <v>118</v>
      </c>
      <c r="H409" s="126"/>
      <c r="I409" s="126" t="s">
        <v>118</v>
      </c>
      <c r="J409" s="126"/>
      <c r="K409" s="127">
        <v>43236</v>
      </c>
      <c r="L409" s="128"/>
      <c r="M409" s="128">
        <v>3</v>
      </c>
      <c r="N409" s="126"/>
      <c r="O409" s="126" t="s">
        <v>119</v>
      </c>
      <c r="P409" s="129"/>
      <c r="Q409" s="129"/>
      <c r="R409" s="126" t="s">
        <v>27</v>
      </c>
      <c r="S409" s="126"/>
      <c r="T409" s="130" t="s">
        <v>120</v>
      </c>
      <c r="U409" s="126" t="s">
        <v>378</v>
      </c>
      <c r="V409" s="130" t="s">
        <v>120</v>
      </c>
      <c r="W409" s="126"/>
      <c r="X409" s="130" t="s">
        <v>120</v>
      </c>
      <c r="Y409" s="126" t="s">
        <v>120</v>
      </c>
      <c r="Z409" s="165" t="s">
        <v>120</v>
      </c>
      <c r="AA409" s="158"/>
      <c r="AB409" s="158"/>
      <c r="AC409" s="170"/>
      <c r="AD409" s="126" t="s">
        <v>419</v>
      </c>
      <c r="AE409" s="130" t="s">
        <v>125</v>
      </c>
      <c r="AF409" s="127"/>
      <c r="AG409" s="131"/>
      <c r="AH409" s="131"/>
      <c r="AI409" s="126" t="s">
        <v>522</v>
      </c>
      <c r="AJ409" s="130" t="s">
        <v>120</v>
      </c>
      <c r="AK409" s="126" t="s">
        <v>123</v>
      </c>
      <c r="AL409" s="126"/>
      <c r="AM409" s="130"/>
      <c r="AN409" s="126"/>
      <c r="AO409" s="132"/>
      <c r="AP409" s="126"/>
      <c r="AQ409" s="126"/>
      <c r="AR409" s="130"/>
      <c r="AS409" s="126"/>
      <c r="AT409" s="127"/>
      <c r="AU409" s="127"/>
      <c r="AV409" s="127"/>
      <c r="AW409" s="127"/>
      <c r="AX409" s="127"/>
      <c r="AY409" s="127"/>
      <c r="AZ409" s="133"/>
      <c r="BA40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9" s="135">
        <f>COUNTIFS(_05preva_view43[Site ID],_05preva_view43[[#This Row],[Site ID]],_05preva_view43[Prevalidation Status],"Under Prevalidation")</f>
        <v>0</v>
      </c>
      <c r="BC409" s="157" t="e">
        <f ca="1">HYPERLINK(CheckPath(_05preva_view43[[#This Row],[File Path]],_05preva_view43[[#This Row],[File Path]],_05preva_view43[[#This Row],[Folder Path3]]),CheckPath(_05preva_view43[[#This Row],[File Path]],"Open File","No File"))</f>
        <v>#VALUE!</v>
      </c>
      <c r="BD409" s="136" t="str">
        <f>CONCATENATE(_05preva_view43[[#This Row],[Site ID]]," (",_05preva_view43[[#This Row],[tenant id]],") Application",IF(_05preva_view43[[#This Row],[Colo Rev]]&gt;0," Rev "&amp;_05preva_view43[[#This Row],[Colo Rev]],""),".xlsx")</f>
        <v>ASMO_0172 (MOW6220) Application.xlsx</v>
      </c>
      <c r="BE409" s="64" t="e">
        <f t="shared" ca="1" si="8"/>
        <v>#VALUE!</v>
      </c>
      <c r="BF409" s="104" t="e">
        <f ca="1">LEFT(CELL("filename",A394),_05preva_view43[[#This Row],[Find Process &amp; Database]]-1)</f>
        <v>#VALUE!</v>
      </c>
      <c r="BG409" s="104" t="e">
        <f ca="1">_05preva_view43[Folder Path1]&amp;"Process &amp; Database\Documentation\Colo Applications"</f>
        <v>#VALUE!</v>
      </c>
      <c r="BH409" s="104" t="e">
        <f ca="1">_05preva_view43[Folder Path2]&amp;"\Colo App "&amp;_05preva_view43[[#This Row],[Operator]]&amp;"\"</f>
        <v>#VALUE!</v>
      </c>
      <c r="BI409" s="63" t="e">
        <f ca="1">_05preva_view43[[#This Row],[Folder Path3]]&amp;_05preva_view43[[#This Row],[File Name]]</f>
        <v>#VALUE!</v>
      </c>
      <c r="BJ409" s="104"/>
      <c r="BK409" s="3"/>
      <c r="BL409" s="3"/>
      <c r="CJ409" s="5"/>
      <c r="CK409" s="5"/>
      <c r="CL409" s="3"/>
      <c r="CN409" s="5"/>
      <c r="CR409" s="3"/>
      <c r="CS409" s="3"/>
      <c r="CT409" s="5"/>
      <c r="CV409" s="3"/>
      <c r="DR409" s="5"/>
      <c r="DT409" s="3"/>
      <c r="EF409" s="7"/>
      <c r="EG409" s="7"/>
      <c r="EJ409" s="4"/>
      <c r="EK409" s="4"/>
      <c r="EU409" s="2"/>
      <c r="EV409" s="2"/>
    </row>
    <row r="410" spans="1:152">
      <c r="A410" s="125">
        <v>137</v>
      </c>
      <c r="B410" s="126" t="s">
        <v>540</v>
      </c>
      <c r="C410" s="126" t="s">
        <v>116</v>
      </c>
      <c r="D410" s="126" t="s">
        <v>163</v>
      </c>
      <c r="E410" s="126" t="s">
        <v>541</v>
      </c>
      <c r="F410" s="126" t="s">
        <v>40</v>
      </c>
      <c r="G410" s="126" t="s">
        <v>118</v>
      </c>
      <c r="H410" s="126"/>
      <c r="I410" s="126" t="s">
        <v>118</v>
      </c>
      <c r="J410" s="126"/>
      <c r="K410" s="127">
        <v>43236</v>
      </c>
      <c r="L410" s="128"/>
      <c r="M410" s="128">
        <v>3</v>
      </c>
      <c r="N410" s="126"/>
      <c r="O410" s="126" t="s">
        <v>119</v>
      </c>
      <c r="P410" s="129"/>
      <c r="Q410" s="129"/>
      <c r="R410" s="126" t="s">
        <v>24</v>
      </c>
      <c r="S410" s="126"/>
      <c r="T410" s="130" t="s">
        <v>120</v>
      </c>
      <c r="U410" s="126" t="s">
        <v>378</v>
      </c>
      <c r="V410" s="130" t="s">
        <v>120</v>
      </c>
      <c r="W410" s="126"/>
      <c r="X410" s="130" t="s">
        <v>120</v>
      </c>
      <c r="Y410" s="126" t="s">
        <v>120</v>
      </c>
      <c r="Z410" s="165" t="s">
        <v>120</v>
      </c>
      <c r="AA410" s="158"/>
      <c r="AB410" s="158"/>
      <c r="AC410" s="170" t="s">
        <v>454</v>
      </c>
      <c r="AD410" s="126"/>
      <c r="AE410" s="130" t="s">
        <v>265</v>
      </c>
      <c r="AF410" s="127"/>
      <c r="AG410" s="131"/>
      <c r="AH410" s="131"/>
      <c r="AI410" s="126" t="s">
        <v>326</v>
      </c>
      <c r="AJ410" s="130" t="s">
        <v>120</v>
      </c>
      <c r="AK410" s="126" t="s">
        <v>123</v>
      </c>
      <c r="AL410" s="126"/>
      <c r="AM410" s="130"/>
      <c r="AN410" s="126"/>
      <c r="AO410" s="132"/>
      <c r="AP410" s="126"/>
      <c r="AQ410" s="126"/>
      <c r="AR410" s="130"/>
      <c r="AS410" s="126"/>
      <c r="AT410" s="127"/>
      <c r="AU410" s="127">
        <v>43453.379015509301</v>
      </c>
      <c r="AV410" s="127"/>
      <c r="AW410" s="127"/>
      <c r="AX410" s="127"/>
      <c r="AY410" s="127"/>
      <c r="AZ410" s="133">
        <v>43236</v>
      </c>
      <c r="BA41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0" s="135">
        <f>COUNTIFS(_05preva_view43[Site ID],_05preva_view43[[#This Row],[Site ID]],_05preva_view43[Prevalidation Status],"Under Prevalidation")</f>
        <v>0</v>
      </c>
      <c r="BC410" s="157" t="e">
        <f ca="1">HYPERLINK(CheckPath(_05preva_view43[[#This Row],[File Path]],_05preva_view43[[#This Row],[File Path]],_05preva_view43[[#This Row],[Folder Path3]]),CheckPath(_05preva_view43[[#This Row],[File Path]],"Open File","No File"))</f>
        <v>#VALUE!</v>
      </c>
      <c r="BD410" s="136" t="str">
        <f>CONCATENATE(_05preva_view43[[#This Row],[Site ID]]," (",_05preva_view43[[#This Row],[tenant id]],") Application",IF(_05preva_view43[[#This Row],[Colo Rev]]&gt;0," Rev "&amp;_05preva_view43[[#This Row],[Colo Rev]],""),".xlsx")</f>
        <v>ACBA_0196 (BAW5585) Application.xlsx</v>
      </c>
      <c r="BE410" s="64" t="e">
        <f t="shared" ca="1" si="8"/>
        <v>#VALUE!</v>
      </c>
      <c r="BF410" s="104" t="e">
        <f ca="1">LEFT(CELL("filename",A395),_05preva_view43[[#This Row],[Find Process &amp; Database]]-1)</f>
        <v>#VALUE!</v>
      </c>
      <c r="BG410" s="104" t="e">
        <f ca="1">_05preva_view43[Folder Path1]&amp;"Process &amp; Database\Documentation\Colo Applications"</f>
        <v>#VALUE!</v>
      </c>
      <c r="BH410" s="104" t="e">
        <f ca="1">_05preva_view43[Folder Path2]&amp;"\Colo App "&amp;_05preva_view43[[#This Row],[Operator]]&amp;"\"</f>
        <v>#VALUE!</v>
      </c>
      <c r="BI410" s="63" t="e">
        <f ca="1">_05preva_view43[[#This Row],[Folder Path3]]&amp;_05preva_view43[[#This Row],[File Name]]</f>
        <v>#VALUE!</v>
      </c>
      <c r="BJ410" s="104"/>
      <c r="BK410" s="3"/>
      <c r="BL410" s="3"/>
      <c r="CJ410" s="5"/>
      <c r="CK410" s="5"/>
      <c r="CL410" s="3"/>
      <c r="CN410" s="5"/>
      <c r="CR410" s="3"/>
      <c r="CS410" s="3"/>
      <c r="CT410" s="5"/>
      <c r="CV410" s="3"/>
      <c r="DR410" s="5"/>
      <c r="DT410" s="3"/>
      <c r="EF410" s="7"/>
      <c r="EG410" s="7"/>
      <c r="EJ410" s="4"/>
      <c r="EK410" s="4"/>
      <c r="EU410" s="2"/>
      <c r="EV410" s="2"/>
    </row>
    <row r="411" spans="1:152">
      <c r="A411" s="125">
        <v>138</v>
      </c>
      <c r="B411" s="126" t="s">
        <v>542</v>
      </c>
      <c r="C411" s="126" t="s">
        <v>116</v>
      </c>
      <c r="D411" s="126" t="s">
        <v>163</v>
      </c>
      <c r="E411" s="126" t="s">
        <v>543</v>
      </c>
      <c r="F411" s="126" t="s">
        <v>40</v>
      </c>
      <c r="G411" s="126" t="s">
        <v>118</v>
      </c>
      <c r="H411" s="126"/>
      <c r="I411" s="126" t="s">
        <v>118</v>
      </c>
      <c r="J411" s="126"/>
      <c r="K411" s="127">
        <v>43236</v>
      </c>
      <c r="L411" s="128"/>
      <c r="M411" s="128">
        <v>3</v>
      </c>
      <c r="N411" s="126"/>
      <c r="O411" s="126" t="s">
        <v>119</v>
      </c>
      <c r="P411" s="129"/>
      <c r="Q411" s="129"/>
      <c r="R411" s="126" t="s">
        <v>24</v>
      </c>
      <c r="S411" s="126"/>
      <c r="T411" s="130" t="s">
        <v>120</v>
      </c>
      <c r="U411" s="126" t="s">
        <v>403</v>
      </c>
      <c r="V411" s="130" t="s">
        <v>120</v>
      </c>
      <c r="W411" s="126"/>
      <c r="X411" s="130" t="s">
        <v>120</v>
      </c>
      <c r="Y411" s="126" t="s">
        <v>404</v>
      </c>
      <c r="Z411" s="165" t="s">
        <v>120</v>
      </c>
      <c r="AA411" s="158"/>
      <c r="AB411" s="158"/>
      <c r="AC411" s="170" t="s">
        <v>123</v>
      </c>
      <c r="AD411" s="126" t="s">
        <v>409</v>
      </c>
      <c r="AE411" s="130" t="s">
        <v>120</v>
      </c>
      <c r="AF411" s="127" t="s">
        <v>479</v>
      </c>
      <c r="AG411" s="131"/>
      <c r="AH411" s="131">
        <v>2</v>
      </c>
      <c r="AI411" s="126" t="s">
        <v>512</v>
      </c>
      <c r="AJ411" s="130" t="s">
        <v>120</v>
      </c>
      <c r="AK411" s="126" t="s">
        <v>240</v>
      </c>
      <c r="AL411" s="126"/>
      <c r="AM411" s="130"/>
      <c r="AN411" s="126"/>
      <c r="AO411" s="132"/>
      <c r="AP411" s="126"/>
      <c r="AQ411" s="126"/>
      <c r="AR411" s="130"/>
      <c r="AS411" s="126"/>
      <c r="AT411" s="127"/>
      <c r="AU411" s="127">
        <v>43453.379016319399</v>
      </c>
      <c r="AV411" s="127"/>
      <c r="AW411" s="127"/>
      <c r="AX411" s="127"/>
      <c r="AY411" s="127"/>
      <c r="AZ411" s="133">
        <v>43236</v>
      </c>
      <c r="BA41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1" s="135">
        <f>COUNTIFS(_05preva_view43[Site ID],_05preva_view43[[#This Row],[Site ID]],_05preva_view43[Prevalidation Status],"Under Prevalidation")</f>
        <v>0</v>
      </c>
      <c r="BC411" s="157" t="e">
        <f ca="1">HYPERLINK(CheckPath(_05preva_view43[[#This Row],[File Path]],_05preva_view43[[#This Row],[File Path]],_05preva_view43[[#This Row],[Folder Path3]]),CheckPath(_05preva_view43[[#This Row],[File Path]],"Open File","No File"))</f>
        <v>#VALUE!</v>
      </c>
      <c r="BD411" s="136" t="str">
        <f>CONCATENATE(_05preva_view43[[#This Row],[Site ID]]," (",_05preva_view43[[#This Row],[tenant id]],") Application",IF(_05preva_view43[[#This Row],[Colo Rev]]&gt;0," Rev "&amp;_05preva_view43[[#This Row],[Colo Rev]],""),".xlsx")</f>
        <v>ACBA_0038 (BAW5548) Application.xlsx</v>
      </c>
      <c r="BE411" s="64" t="e">
        <f t="shared" ca="1" si="8"/>
        <v>#VALUE!</v>
      </c>
      <c r="BF411" s="104" t="e">
        <f ca="1">LEFT(CELL("filename",A396),_05preva_view43[[#This Row],[Find Process &amp; Database]]-1)</f>
        <v>#VALUE!</v>
      </c>
      <c r="BG411" s="104" t="e">
        <f ca="1">_05preva_view43[Folder Path1]&amp;"Process &amp; Database\Documentation\Colo Applications"</f>
        <v>#VALUE!</v>
      </c>
      <c r="BH411" s="104" t="e">
        <f ca="1">_05preva_view43[Folder Path2]&amp;"\Colo App "&amp;_05preva_view43[[#This Row],[Operator]]&amp;"\"</f>
        <v>#VALUE!</v>
      </c>
      <c r="BI411" s="63" t="e">
        <f ca="1">_05preva_view43[[#This Row],[Folder Path3]]&amp;_05preva_view43[[#This Row],[File Name]]</f>
        <v>#VALUE!</v>
      </c>
      <c r="BJ411" s="104"/>
      <c r="BK411" s="3"/>
      <c r="BL411" s="3"/>
      <c r="CJ411" s="5"/>
      <c r="CK411" s="5"/>
      <c r="CL411" s="3"/>
      <c r="CN411" s="5"/>
      <c r="CR411" s="3"/>
      <c r="CS411" s="3"/>
      <c r="CT411" s="5"/>
      <c r="CV411" s="3"/>
      <c r="DR411" s="5"/>
      <c r="DT411" s="3"/>
      <c r="EF411" s="7"/>
      <c r="EG411" s="7"/>
      <c r="EJ411" s="4"/>
      <c r="EK411" s="4"/>
      <c r="EU411" s="2"/>
      <c r="EV411" s="2"/>
    </row>
    <row r="412" spans="1:152">
      <c r="A412" s="125">
        <v>139</v>
      </c>
      <c r="B412" s="126" t="s">
        <v>544</v>
      </c>
      <c r="C412" s="126" t="s">
        <v>116</v>
      </c>
      <c r="D412" s="126" t="s">
        <v>163</v>
      </c>
      <c r="E412" s="126" t="s">
        <v>545</v>
      </c>
      <c r="F412" s="126" t="s">
        <v>40</v>
      </c>
      <c r="G412" s="126" t="s">
        <v>118</v>
      </c>
      <c r="H412" s="126"/>
      <c r="I412" s="126" t="s">
        <v>118</v>
      </c>
      <c r="J412" s="126"/>
      <c r="K412" s="127">
        <v>43236</v>
      </c>
      <c r="L412" s="128"/>
      <c r="M412" s="128">
        <v>3</v>
      </c>
      <c r="N412" s="126"/>
      <c r="O412" s="126" t="s">
        <v>119</v>
      </c>
      <c r="P412" s="129"/>
      <c r="Q412" s="129"/>
      <c r="R412" s="126" t="s">
        <v>24</v>
      </c>
      <c r="S412" s="126"/>
      <c r="T412" s="130" t="s">
        <v>120</v>
      </c>
      <c r="U412" s="126" t="s">
        <v>378</v>
      </c>
      <c r="V412" s="130" t="s">
        <v>120</v>
      </c>
      <c r="W412" s="126"/>
      <c r="X412" s="130" t="s">
        <v>120</v>
      </c>
      <c r="Y412" s="126" t="s">
        <v>546</v>
      </c>
      <c r="Z412" s="165" t="s">
        <v>120</v>
      </c>
      <c r="AA412" s="158"/>
      <c r="AB412" s="158"/>
      <c r="AC412" s="170"/>
      <c r="AD412" s="126" t="s">
        <v>120</v>
      </c>
      <c r="AE412" s="130" t="s">
        <v>120</v>
      </c>
      <c r="AF412" s="127" t="s">
        <v>120</v>
      </c>
      <c r="AG412" s="131"/>
      <c r="AH412" s="131">
        <v>2</v>
      </c>
      <c r="AI412" s="126" t="s">
        <v>547</v>
      </c>
      <c r="AJ412" s="130" t="s">
        <v>120</v>
      </c>
      <c r="AK412" s="126" t="s">
        <v>123</v>
      </c>
      <c r="AL412" s="126"/>
      <c r="AM412" s="130"/>
      <c r="AN412" s="126"/>
      <c r="AO412" s="132"/>
      <c r="AP412" s="126"/>
      <c r="AQ412" s="126"/>
      <c r="AR412" s="130"/>
      <c r="AS412" s="126"/>
      <c r="AT412" s="127"/>
      <c r="AU412" s="127">
        <v>43453.379017245403</v>
      </c>
      <c r="AV412" s="127"/>
      <c r="AW412" s="127"/>
      <c r="AX412" s="127"/>
      <c r="AY412" s="127"/>
      <c r="AZ412" s="133">
        <v>43236</v>
      </c>
      <c r="BA41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2" s="135">
        <f>COUNTIFS(_05preva_view43[Site ID],_05preva_view43[[#This Row],[Site ID]],_05preva_view43[Prevalidation Status],"Under Prevalidation")</f>
        <v>0</v>
      </c>
      <c r="BC412" s="157" t="e">
        <f ca="1">HYPERLINK(CheckPath(_05preva_view43[[#This Row],[File Path]],_05preva_view43[[#This Row],[File Path]],_05preva_view43[[#This Row],[Folder Path3]]),CheckPath(_05preva_view43[[#This Row],[File Path]],"Open File","No File"))</f>
        <v>#VALUE!</v>
      </c>
      <c r="BD412" s="136" t="str">
        <f>CONCATENATE(_05preva_view43[[#This Row],[Site ID]]," (",_05preva_view43[[#This Row],[tenant id]],") Application",IF(_05preva_view43[[#This Row],[Colo Rev]]&gt;0," Rev "&amp;_05preva_view43[[#This Row],[Colo Rev]],""),".xlsx")</f>
        <v>ACBA_0030 (BAW5260) Application.xlsx</v>
      </c>
      <c r="BE412" s="64" t="e">
        <f t="shared" ca="1" si="8"/>
        <v>#VALUE!</v>
      </c>
      <c r="BF412" s="104" t="e">
        <f ca="1">LEFT(CELL("filename",A397),_05preva_view43[[#This Row],[Find Process &amp; Database]]-1)</f>
        <v>#VALUE!</v>
      </c>
      <c r="BG412" s="104" t="e">
        <f ca="1">_05preva_view43[Folder Path1]&amp;"Process &amp; Database\Documentation\Colo Applications"</f>
        <v>#VALUE!</v>
      </c>
      <c r="BH412" s="104" t="e">
        <f ca="1">_05preva_view43[Folder Path2]&amp;"\Colo App "&amp;_05preva_view43[[#This Row],[Operator]]&amp;"\"</f>
        <v>#VALUE!</v>
      </c>
      <c r="BI412" s="63" t="e">
        <f ca="1">_05preva_view43[[#This Row],[Folder Path3]]&amp;_05preva_view43[[#This Row],[File Name]]</f>
        <v>#VALUE!</v>
      </c>
      <c r="BJ412" s="104"/>
      <c r="BK412" s="3"/>
      <c r="BL412" s="3"/>
      <c r="CJ412" s="5"/>
      <c r="CK412" s="5"/>
      <c r="CL412" s="3"/>
      <c r="CN412" s="5"/>
      <c r="CR412" s="3"/>
      <c r="CS412" s="3"/>
      <c r="CT412" s="5"/>
      <c r="CV412" s="3"/>
      <c r="DR412" s="5"/>
      <c r="DT412" s="3"/>
      <c r="EF412" s="7"/>
      <c r="EG412" s="7"/>
      <c r="EJ412" s="4"/>
      <c r="EK412" s="4"/>
      <c r="EU412" s="2"/>
      <c r="EV412" s="2"/>
    </row>
    <row r="413" spans="1:152">
      <c r="A413" s="125">
        <v>140</v>
      </c>
      <c r="B413" s="126" t="s">
        <v>548</v>
      </c>
      <c r="C413" s="126" t="s">
        <v>116</v>
      </c>
      <c r="D413" s="126" t="s">
        <v>163</v>
      </c>
      <c r="E413" s="126" t="s">
        <v>549</v>
      </c>
      <c r="F413" s="126" t="s">
        <v>40</v>
      </c>
      <c r="G413" s="126" t="s">
        <v>118</v>
      </c>
      <c r="H413" s="126"/>
      <c r="I413" s="126" t="s">
        <v>118</v>
      </c>
      <c r="J413" s="126"/>
      <c r="K413" s="127">
        <v>43236</v>
      </c>
      <c r="L413" s="128"/>
      <c r="M413" s="128">
        <v>3</v>
      </c>
      <c r="N413" s="126"/>
      <c r="O413" s="126" t="s">
        <v>119</v>
      </c>
      <c r="P413" s="129"/>
      <c r="Q413" s="129"/>
      <c r="R413" s="126" t="s">
        <v>27</v>
      </c>
      <c r="S413" s="126"/>
      <c r="T413" s="130" t="s">
        <v>120</v>
      </c>
      <c r="U413" s="126" t="s">
        <v>403</v>
      </c>
      <c r="V413" s="130" t="s">
        <v>120</v>
      </c>
      <c r="W413" s="126"/>
      <c r="X413" s="130" t="s">
        <v>120</v>
      </c>
      <c r="Y413" s="126" t="s">
        <v>404</v>
      </c>
      <c r="Z413" s="165" t="s">
        <v>125</v>
      </c>
      <c r="AA413" s="158"/>
      <c r="AB413" s="158"/>
      <c r="AC413" s="170" t="s">
        <v>123</v>
      </c>
      <c r="AD413" s="126" t="s">
        <v>439</v>
      </c>
      <c r="AE413" s="130" t="s">
        <v>120</v>
      </c>
      <c r="AF413" s="127" t="s">
        <v>461</v>
      </c>
      <c r="AG413" s="131"/>
      <c r="AH413" s="131">
        <v>2</v>
      </c>
      <c r="AI413" s="126" t="s">
        <v>512</v>
      </c>
      <c r="AJ413" s="130" t="s">
        <v>120</v>
      </c>
      <c r="AK413" s="126" t="s">
        <v>240</v>
      </c>
      <c r="AL413" s="126"/>
      <c r="AM413" s="130"/>
      <c r="AN413" s="126"/>
      <c r="AO413" s="132"/>
      <c r="AP413" s="126"/>
      <c r="AQ413" s="126"/>
      <c r="AR413" s="130"/>
      <c r="AS413" s="126"/>
      <c r="AT413" s="127"/>
      <c r="AU413" s="127">
        <v>43453.379019328699</v>
      </c>
      <c r="AV413" s="127"/>
      <c r="AW413" s="127"/>
      <c r="AX413" s="127"/>
      <c r="AY413" s="127"/>
      <c r="AZ413" s="133">
        <v>43453.379019328699</v>
      </c>
      <c r="BA413" s="134">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B413" s="135">
        <f>COUNTIFS(_05preva_view43[Site ID],_05preva_view43[[#This Row],[Site ID]],_05preva_view43[Prevalidation Status],"Under Prevalidation")</f>
        <v>0</v>
      </c>
      <c r="BC413" s="157" t="e">
        <f ca="1">HYPERLINK(CheckPath(_05preva_view43[[#This Row],[File Path]],_05preva_view43[[#This Row],[File Path]],_05preva_view43[[#This Row],[Folder Path3]]),CheckPath(_05preva_view43[[#This Row],[File Path]],"Open File","No File"))</f>
        <v>#VALUE!</v>
      </c>
      <c r="BD413" s="136" t="str">
        <f>CONCATENATE(_05preva_view43[[#This Row],[Site ID]]," (",_05preva_view43[[#This Row],[tenant id]],") Application",IF(_05preva_view43[[#This Row],[Colo Rev]]&gt;0," Rev "&amp;_05preva_view43[[#This Row],[Colo Rev]],""),".xlsx")</f>
        <v>ACBA_0042 (BAW5255) Application.xlsx</v>
      </c>
      <c r="BE413" s="64" t="e">
        <f t="shared" ca="1" si="8"/>
        <v>#VALUE!</v>
      </c>
      <c r="BF413" s="104" t="e">
        <f ca="1">LEFT(CELL("filename",A398),_05preva_view43[[#This Row],[Find Process &amp; Database]]-1)</f>
        <v>#VALUE!</v>
      </c>
      <c r="BG413" s="104" t="e">
        <f ca="1">_05preva_view43[Folder Path1]&amp;"Process &amp; Database\Documentation\Colo Applications"</f>
        <v>#VALUE!</v>
      </c>
      <c r="BH413" s="104" t="e">
        <f ca="1">_05preva_view43[Folder Path2]&amp;"\Colo App "&amp;_05preva_view43[[#This Row],[Operator]]&amp;"\"</f>
        <v>#VALUE!</v>
      </c>
      <c r="BI413" s="63" t="e">
        <f ca="1">_05preva_view43[[#This Row],[Folder Path3]]&amp;_05preva_view43[[#This Row],[File Name]]</f>
        <v>#VALUE!</v>
      </c>
      <c r="BJ413" s="104"/>
      <c r="BK413" s="3"/>
      <c r="BL413" s="3"/>
      <c r="CJ413" s="5"/>
      <c r="CK413" s="5"/>
      <c r="CL413" s="3"/>
      <c r="CN413" s="5"/>
      <c r="CR413" s="3"/>
      <c r="CS413" s="3"/>
      <c r="CT413" s="5"/>
      <c r="CV413" s="3"/>
      <c r="DR413" s="5"/>
      <c r="DT413" s="3"/>
      <c r="EF413" s="7"/>
      <c r="EG413" s="7"/>
      <c r="EJ413" s="4"/>
      <c r="EK413" s="4"/>
      <c r="EU413" s="2"/>
      <c r="EV413" s="2"/>
    </row>
    <row r="414" spans="1:152">
      <c r="A414" s="125">
        <v>141</v>
      </c>
      <c r="B414" s="126" t="s">
        <v>550</v>
      </c>
      <c r="C414" s="126" t="s">
        <v>116</v>
      </c>
      <c r="D414" s="126" t="s">
        <v>163</v>
      </c>
      <c r="E414" s="126" t="s">
        <v>551</v>
      </c>
      <c r="F414" s="126" t="s">
        <v>40</v>
      </c>
      <c r="G414" s="126" t="s">
        <v>118</v>
      </c>
      <c r="H414" s="126"/>
      <c r="I414" s="126" t="s">
        <v>118</v>
      </c>
      <c r="J414" s="126"/>
      <c r="K414" s="127">
        <v>43236</v>
      </c>
      <c r="L414" s="128"/>
      <c r="M414" s="128">
        <v>3</v>
      </c>
      <c r="N414" s="126"/>
      <c r="O414" s="126" t="s">
        <v>119</v>
      </c>
      <c r="P414" s="129"/>
      <c r="Q414" s="129"/>
      <c r="R414" s="126" t="s">
        <v>24</v>
      </c>
      <c r="S414" s="126"/>
      <c r="T414" s="130" t="s">
        <v>120</v>
      </c>
      <c r="U414" s="126" t="s">
        <v>378</v>
      </c>
      <c r="V414" s="130" t="s">
        <v>120</v>
      </c>
      <c r="W414" s="126"/>
      <c r="X414" s="130" t="s">
        <v>120</v>
      </c>
      <c r="Y414" s="126" t="s">
        <v>537</v>
      </c>
      <c r="Z414" s="165" t="s">
        <v>120</v>
      </c>
      <c r="AA414" s="158"/>
      <c r="AB414" s="158"/>
      <c r="AC414" s="170"/>
      <c r="AD414" s="126" t="s">
        <v>120</v>
      </c>
      <c r="AE414" s="130" t="s">
        <v>120</v>
      </c>
      <c r="AF414" s="127" t="s">
        <v>372</v>
      </c>
      <c r="AG414" s="131"/>
      <c r="AH414" s="131">
        <v>2</v>
      </c>
      <c r="AI414" s="126" t="s">
        <v>384</v>
      </c>
      <c r="AJ414" s="130" t="s">
        <v>120</v>
      </c>
      <c r="AK414" s="126" t="s">
        <v>123</v>
      </c>
      <c r="AL414" s="126"/>
      <c r="AM414" s="130"/>
      <c r="AN414" s="126"/>
      <c r="AO414" s="132"/>
      <c r="AP414" s="126"/>
      <c r="AQ414" s="126"/>
      <c r="AR414" s="130"/>
      <c r="AS414" s="126"/>
      <c r="AT414" s="127"/>
      <c r="AU414" s="127">
        <v>43453.379020254601</v>
      </c>
      <c r="AV414" s="127"/>
      <c r="AW414" s="127"/>
      <c r="AX414" s="127"/>
      <c r="AY414" s="127"/>
      <c r="AZ414" s="133">
        <v>43236</v>
      </c>
      <c r="BA41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4" s="135">
        <f>COUNTIFS(_05preva_view43[Site ID],_05preva_view43[[#This Row],[Site ID]],_05preva_view43[Prevalidation Status],"Under Prevalidation")</f>
        <v>0</v>
      </c>
      <c r="BC414" s="157" t="e">
        <f ca="1">HYPERLINK(CheckPath(_05preva_view43[[#This Row],[File Path]],_05preva_view43[[#This Row],[File Path]],_05preva_view43[[#This Row],[Folder Path3]]),CheckPath(_05preva_view43[[#This Row],[File Path]],"Open File","No File"))</f>
        <v>#VALUE!</v>
      </c>
      <c r="BD414" s="136" t="str">
        <f>CONCATENATE(_05preva_view43[[#This Row],[Site ID]]," (",_05preva_view43[[#This Row],[tenant id]],") Application",IF(_05preva_view43[[#This Row],[Colo Rev]]&gt;0," Rev "&amp;_05preva_view43[[#This Row],[Colo Rev]],""),".xlsx")</f>
        <v>ACBA_0028 (BAW5251) Application.xlsx</v>
      </c>
      <c r="BE414" s="64" t="e">
        <f t="shared" ca="1" si="8"/>
        <v>#VALUE!</v>
      </c>
      <c r="BF414" s="104" t="e">
        <f ca="1">LEFT(CELL("filename",A399),_05preva_view43[[#This Row],[Find Process &amp; Database]]-1)</f>
        <v>#VALUE!</v>
      </c>
      <c r="BG414" s="104" t="e">
        <f ca="1">_05preva_view43[Folder Path1]&amp;"Process &amp; Database\Documentation\Colo Applications"</f>
        <v>#VALUE!</v>
      </c>
      <c r="BH414" s="104" t="e">
        <f ca="1">_05preva_view43[Folder Path2]&amp;"\Colo App "&amp;_05preva_view43[[#This Row],[Operator]]&amp;"\"</f>
        <v>#VALUE!</v>
      </c>
      <c r="BI414" s="63" t="e">
        <f ca="1">_05preva_view43[[#This Row],[Folder Path3]]&amp;_05preva_view43[[#This Row],[File Name]]</f>
        <v>#VALUE!</v>
      </c>
      <c r="BJ414" s="104"/>
      <c r="BK414" s="3"/>
      <c r="BL414" s="3"/>
      <c r="CJ414" s="5"/>
      <c r="CK414" s="5"/>
      <c r="CL414" s="3"/>
      <c r="CN414" s="5"/>
      <c r="CR414" s="3"/>
      <c r="CS414" s="3"/>
      <c r="CT414" s="5"/>
      <c r="CV414" s="3"/>
      <c r="DR414" s="5"/>
      <c r="DT414" s="3"/>
      <c r="EF414" s="7"/>
      <c r="EG414" s="7"/>
      <c r="EJ414" s="4"/>
      <c r="EK414" s="4"/>
      <c r="EU414" s="2"/>
      <c r="EV414" s="2"/>
    </row>
    <row r="415" spans="1:152">
      <c r="A415" s="125">
        <v>142</v>
      </c>
      <c r="B415" s="126" t="s">
        <v>552</v>
      </c>
      <c r="C415" s="126" t="s">
        <v>116</v>
      </c>
      <c r="D415" s="126" t="s">
        <v>163</v>
      </c>
      <c r="E415" s="126" t="s">
        <v>553</v>
      </c>
      <c r="F415" s="126" t="s">
        <v>40</v>
      </c>
      <c r="G415" s="126" t="s">
        <v>118</v>
      </c>
      <c r="H415" s="126"/>
      <c r="I415" s="126" t="s">
        <v>118</v>
      </c>
      <c r="J415" s="126"/>
      <c r="K415" s="127">
        <v>43236</v>
      </c>
      <c r="L415" s="128"/>
      <c r="M415" s="128">
        <v>3</v>
      </c>
      <c r="N415" s="126"/>
      <c r="O415" s="126" t="s">
        <v>119</v>
      </c>
      <c r="P415" s="129"/>
      <c r="Q415" s="129"/>
      <c r="R415" s="126" t="s">
        <v>27</v>
      </c>
      <c r="S415" s="126"/>
      <c r="T415" s="130" t="s">
        <v>120</v>
      </c>
      <c r="U415" s="126" t="s">
        <v>403</v>
      </c>
      <c r="V415" s="130" t="s">
        <v>120</v>
      </c>
      <c r="W415" s="126"/>
      <c r="X415" s="130" t="s">
        <v>120</v>
      </c>
      <c r="Y415" s="126" t="s">
        <v>404</v>
      </c>
      <c r="Z415" s="165" t="s">
        <v>125</v>
      </c>
      <c r="AA415" s="158"/>
      <c r="AB415" s="158"/>
      <c r="AC415" s="170" t="s">
        <v>123</v>
      </c>
      <c r="AD415" s="126" t="s">
        <v>430</v>
      </c>
      <c r="AE415" s="130" t="s">
        <v>120</v>
      </c>
      <c r="AF415" s="127" t="s">
        <v>554</v>
      </c>
      <c r="AG415" s="131"/>
      <c r="AH415" s="131">
        <v>2</v>
      </c>
      <c r="AI415" s="126" t="s">
        <v>512</v>
      </c>
      <c r="AJ415" s="130" t="s">
        <v>120</v>
      </c>
      <c r="AK415" s="126" t="s">
        <v>240</v>
      </c>
      <c r="AL415" s="126"/>
      <c r="AM415" s="130"/>
      <c r="AN415" s="126"/>
      <c r="AO415" s="132"/>
      <c r="AP415" s="126"/>
      <c r="AQ415" s="126"/>
      <c r="AR415" s="130"/>
      <c r="AS415" s="126"/>
      <c r="AT415" s="127"/>
      <c r="AU415" s="127">
        <v>43453.379021180597</v>
      </c>
      <c r="AV415" s="127"/>
      <c r="AW415" s="127"/>
      <c r="AX415" s="127"/>
      <c r="AY415" s="127"/>
      <c r="AZ415" s="133">
        <v>43453.379021180597</v>
      </c>
      <c r="BA415" s="134">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B415" s="135">
        <f>COUNTIFS(_05preva_view43[Site ID],_05preva_view43[[#This Row],[Site ID]],_05preva_view43[Prevalidation Status],"Under Prevalidation")</f>
        <v>0</v>
      </c>
      <c r="BC415" s="157" t="e">
        <f ca="1">HYPERLINK(CheckPath(_05preva_view43[[#This Row],[File Path]],_05preva_view43[[#This Row],[File Path]],_05preva_view43[[#This Row],[Folder Path3]]),CheckPath(_05preva_view43[[#This Row],[File Path]],"Open File","No File"))</f>
        <v>#VALUE!</v>
      </c>
      <c r="BD415" s="136" t="str">
        <f>CONCATENATE(_05preva_view43[[#This Row],[Site ID]]," (",_05preva_view43[[#This Row],[tenant id]],") Application",IF(_05preva_view43[[#This Row],[Colo Rev]]&gt;0," Rev "&amp;_05preva_view43[[#This Row],[Colo Rev]],""),".xlsx")</f>
        <v>ACBA_0035 (BAW5248) Application.xlsx</v>
      </c>
      <c r="BE415" s="64" t="e">
        <f t="shared" ca="1" si="8"/>
        <v>#VALUE!</v>
      </c>
      <c r="BF415" s="104" t="e">
        <f ca="1">LEFT(CELL("filename",A400),_05preva_view43[[#This Row],[Find Process &amp; Database]]-1)</f>
        <v>#VALUE!</v>
      </c>
      <c r="BG415" s="104" t="e">
        <f ca="1">_05preva_view43[Folder Path1]&amp;"Process &amp; Database\Documentation\Colo Applications"</f>
        <v>#VALUE!</v>
      </c>
      <c r="BH415" s="104" t="e">
        <f ca="1">_05preva_view43[Folder Path2]&amp;"\Colo App "&amp;_05preva_view43[[#This Row],[Operator]]&amp;"\"</f>
        <v>#VALUE!</v>
      </c>
      <c r="BI415" s="63" t="e">
        <f ca="1">_05preva_view43[[#This Row],[Folder Path3]]&amp;_05preva_view43[[#This Row],[File Name]]</f>
        <v>#VALUE!</v>
      </c>
      <c r="BJ415" s="104"/>
      <c r="BK415" s="3"/>
      <c r="BL415" s="3"/>
      <c r="CJ415" s="5"/>
      <c r="CK415" s="5"/>
      <c r="CL415" s="3"/>
      <c r="CN415" s="5"/>
      <c r="CR415" s="3"/>
      <c r="CS415" s="3"/>
      <c r="CT415" s="5"/>
      <c r="CV415" s="3"/>
      <c r="DR415" s="5"/>
      <c r="DT415" s="3"/>
      <c r="EF415" s="7"/>
      <c r="EG415" s="7"/>
      <c r="EJ415" s="4"/>
      <c r="EK415" s="4"/>
      <c r="EU415" s="2"/>
      <c r="EV415" s="2"/>
    </row>
    <row r="416" spans="1:152">
      <c r="A416" s="125">
        <v>143</v>
      </c>
      <c r="B416" s="126" t="s">
        <v>555</v>
      </c>
      <c r="C416" s="126" t="s">
        <v>116</v>
      </c>
      <c r="D416" s="126" t="s">
        <v>163</v>
      </c>
      <c r="E416" s="126" t="s">
        <v>556</v>
      </c>
      <c r="F416" s="126" t="s">
        <v>40</v>
      </c>
      <c r="G416" s="126" t="s">
        <v>118</v>
      </c>
      <c r="H416" s="126"/>
      <c r="I416" s="126" t="s">
        <v>118</v>
      </c>
      <c r="J416" s="126"/>
      <c r="K416" s="127">
        <v>43236</v>
      </c>
      <c r="L416" s="128"/>
      <c r="M416" s="128">
        <v>3</v>
      </c>
      <c r="N416" s="126"/>
      <c r="O416" s="126" t="s">
        <v>119</v>
      </c>
      <c r="P416" s="129"/>
      <c r="Q416" s="129"/>
      <c r="R416" s="126" t="s">
        <v>24</v>
      </c>
      <c r="S416" s="126"/>
      <c r="T416" s="130" t="s">
        <v>120</v>
      </c>
      <c r="U416" s="126" t="s">
        <v>378</v>
      </c>
      <c r="V416" s="130" t="s">
        <v>120</v>
      </c>
      <c r="W416" s="126"/>
      <c r="X416" s="130" t="s">
        <v>120</v>
      </c>
      <c r="Y416" s="126" t="s">
        <v>120</v>
      </c>
      <c r="Z416" s="165" t="s">
        <v>120</v>
      </c>
      <c r="AA416" s="158"/>
      <c r="AB416" s="158"/>
      <c r="AC416" s="170"/>
      <c r="AD416" s="126" t="s">
        <v>120</v>
      </c>
      <c r="AE416" s="130" t="s">
        <v>120</v>
      </c>
      <c r="AF416" s="127" t="s">
        <v>120</v>
      </c>
      <c r="AG416" s="131"/>
      <c r="AH416" s="131">
        <v>2</v>
      </c>
      <c r="AI416" s="126" t="s">
        <v>557</v>
      </c>
      <c r="AJ416" s="130" t="s">
        <v>120</v>
      </c>
      <c r="AK416" s="126" t="s">
        <v>123</v>
      </c>
      <c r="AL416" s="126"/>
      <c r="AM416" s="130"/>
      <c r="AN416" s="126"/>
      <c r="AO416" s="132"/>
      <c r="AP416" s="126"/>
      <c r="AQ416" s="126"/>
      <c r="AR416" s="130"/>
      <c r="AS416" s="126"/>
      <c r="AT416" s="127"/>
      <c r="AU416" s="127">
        <v>43453.379021759298</v>
      </c>
      <c r="AV416" s="127"/>
      <c r="AW416" s="127"/>
      <c r="AX416" s="127"/>
      <c r="AY416" s="127"/>
      <c r="AZ416" s="133">
        <v>43236</v>
      </c>
      <c r="BA41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6" s="135">
        <f>COUNTIFS(_05preva_view43[Site ID],_05preva_view43[[#This Row],[Site ID]],_05preva_view43[Prevalidation Status],"Under Prevalidation")</f>
        <v>0</v>
      </c>
      <c r="BC416" s="157" t="e">
        <f ca="1">HYPERLINK(CheckPath(_05preva_view43[[#This Row],[File Path]],_05preva_view43[[#This Row],[File Path]],_05preva_view43[[#This Row],[Folder Path3]]),CheckPath(_05preva_view43[[#This Row],[File Path]],"Open File","No File"))</f>
        <v>#VALUE!</v>
      </c>
      <c r="BD416" s="136" t="str">
        <f>CONCATENATE(_05preva_view43[[#This Row],[Site ID]]," (",_05preva_view43[[#This Row],[tenant id]],") Application",IF(_05preva_view43[[#This Row],[Colo Rev]]&gt;0," Rev "&amp;_05preva_view43[[#This Row],[Colo Rev]],""),".xlsx")</f>
        <v>ACBA_0033 (BAW5224) Application.xlsx</v>
      </c>
      <c r="BE416" s="64" t="e">
        <f t="shared" ca="1" si="8"/>
        <v>#VALUE!</v>
      </c>
      <c r="BF416" s="104" t="e">
        <f ca="1">LEFT(CELL("filename",A401),_05preva_view43[[#This Row],[Find Process &amp; Database]]-1)</f>
        <v>#VALUE!</v>
      </c>
      <c r="BG416" s="104" t="e">
        <f ca="1">_05preva_view43[Folder Path1]&amp;"Process &amp; Database\Documentation\Colo Applications"</f>
        <v>#VALUE!</v>
      </c>
      <c r="BH416" s="104" t="e">
        <f ca="1">_05preva_view43[Folder Path2]&amp;"\Colo App "&amp;_05preva_view43[[#This Row],[Operator]]&amp;"\"</f>
        <v>#VALUE!</v>
      </c>
      <c r="BI416" s="63" t="e">
        <f ca="1">_05preva_view43[[#This Row],[Folder Path3]]&amp;_05preva_view43[[#This Row],[File Name]]</f>
        <v>#VALUE!</v>
      </c>
      <c r="BJ416" s="104"/>
      <c r="BK416" s="3"/>
      <c r="BL416" s="3"/>
      <c r="CJ416" s="5"/>
      <c r="CK416" s="5"/>
      <c r="CL416" s="3"/>
      <c r="CN416" s="5"/>
      <c r="CR416" s="3"/>
      <c r="CS416" s="3"/>
      <c r="CT416" s="5"/>
      <c r="CV416" s="3"/>
      <c r="DR416" s="5"/>
      <c r="DT416" s="3"/>
      <c r="EF416" s="7"/>
      <c r="EG416" s="7"/>
      <c r="EJ416" s="4"/>
      <c r="EK416" s="4"/>
      <c r="EU416" s="2"/>
      <c r="EV416" s="2"/>
    </row>
    <row r="417" spans="1:152">
      <c r="A417" s="125">
        <v>144</v>
      </c>
      <c r="B417" s="126" t="s">
        <v>558</v>
      </c>
      <c r="C417" s="126" t="s">
        <v>116</v>
      </c>
      <c r="D417" s="126" t="s">
        <v>117</v>
      </c>
      <c r="E417" s="126" t="s">
        <v>559</v>
      </c>
      <c r="F417" s="126" t="s">
        <v>40</v>
      </c>
      <c r="G417" s="126" t="s">
        <v>118</v>
      </c>
      <c r="H417" s="126"/>
      <c r="I417" s="126" t="s">
        <v>118</v>
      </c>
      <c r="J417" s="126"/>
      <c r="K417" s="127">
        <v>43236</v>
      </c>
      <c r="L417" s="128"/>
      <c r="M417" s="128">
        <v>3</v>
      </c>
      <c r="N417" s="126"/>
      <c r="O417" s="126" t="s">
        <v>119</v>
      </c>
      <c r="P417" s="129"/>
      <c r="Q417" s="129"/>
      <c r="R417" s="126" t="s">
        <v>24</v>
      </c>
      <c r="S417" s="126"/>
      <c r="T417" s="130" t="s">
        <v>120</v>
      </c>
      <c r="U417" s="126" t="s">
        <v>378</v>
      </c>
      <c r="V417" s="130" t="s">
        <v>120</v>
      </c>
      <c r="W417" s="126"/>
      <c r="X417" s="130" t="s">
        <v>120</v>
      </c>
      <c r="Y417" s="126" t="s">
        <v>120</v>
      </c>
      <c r="Z417" s="165" t="s">
        <v>120</v>
      </c>
      <c r="AA417" s="158"/>
      <c r="AB417" s="158"/>
      <c r="AC417" s="170"/>
      <c r="AD417" s="126" t="s">
        <v>120</v>
      </c>
      <c r="AE417" s="130" t="s">
        <v>120</v>
      </c>
      <c r="AF417" s="127" t="s">
        <v>241</v>
      </c>
      <c r="AG417" s="131"/>
      <c r="AH417" s="131">
        <v>3.5</v>
      </c>
      <c r="AI417" s="126" t="s">
        <v>242</v>
      </c>
      <c r="AJ417" s="130" t="s">
        <v>120</v>
      </c>
      <c r="AK417" s="126" t="s">
        <v>123</v>
      </c>
      <c r="AL417" s="126"/>
      <c r="AM417" s="130"/>
      <c r="AN417" s="126"/>
      <c r="AO417" s="132"/>
      <c r="AP417" s="126"/>
      <c r="AQ417" s="126"/>
      <c r="AR417" s="130"/>
      <c r="AS417" s="126"/>
      <c r="AT417" s="127"/>
      <c r="AU417" s="127">
        <v>43453.379022453701</v>
      </c>
      <c r="AV417" s="127"/>
      <c r="AW417" s="127"/>
      <c r="AX417" s="127"/>
      <c r="AY417" s="127"/>
      <c r="AZ417" s="133">
        <v>43236</v>
      </c>
      <c r="BA41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7" s="135">
        <f>COUNTIFS(_05preva_view43[Site ID],_05preva_view43[[#This Row],[Site ID]],_05preva_view43[Prevalidation Status],"Under Prevalidation")</f>
        <v>0</v>
      </c>
      <c r="BC417" s="157" t="e">
        <f ca="1">HYPERLINK(CheckPath(_05preva_view43[[#This Row],[File Path]],_05preva_view43[[#This Row],[File Path]],_05preva_view43[[#This Row],[Folder Path3]]),CheckPath(_05preva_view43[[#This Row],[File Path]],"Open File","No File"))</f>
        <v>#VALUE!</v>
      </c>
      <c r="BD417" s="136" t="str">
        <f>CONCATENATE(_05preva_view43[[#This Row],[Site ID]]," (",_05preva_view43[[#This Row],[tenant id]],") Application",IF(_05preva_view43[[#This Row],[Colo Rev]]&gt;0," Rev "&amp;_05preva_view43[[#This Row],[Colo Rev]],""),".xlsx")</f>
        <v>ACBA_0185 (BAW5590) Application.xlsx</v>
      </c>
      <c r="BE417" s="64" t="e">
        <f t="shared" ca="1" si="8"/>
        <v>#VALUE!</v>
      </c>
      <c r="BF417" s="104" t="e">
        <f ca="1">LEFT(CELL("filename",A402),_05preva_view43[[#This Row],[Find Process &amp; Database]]-1)</f>
        <v>#VALUE!</v>
      </c>
      <c r="BG417" s="104" t="e">
        <f ca="1">_05preva_view43[Folder Path1]&amp;"Process &amp; Database\Documentation\Colo Applications"</f>
        <v>#VALUE!</v>
      </c>
      <c r="BH417" s="104" t="e">
        <f ca="1">_05preva_view43[Folder Path2]&amp;"\Colo App "&amp;_05preva_view43[[#This Row],[Operator]]&amp;"\"</f>
        <v>#VALUE!</v>
      </c>
      <c r="BI417" s="63" t="e">
        <f ca="1">_05preva_view43[[#This Row],[Folder Path3]]&amp;_05preva_view43[[#This Row],[File Name]]</f>
        <v>#VALUE!</v>
      </c>
      <c r="BJ417" s="104"/>
      <c r="BK417" s="3"/>
      <c r="BL417" s="3"/>
      <c r="CJ417" s="5"/>
      <c r="CK417" s="5"/>
      <c r="CL417" s="3"/>
      <c r="CN417" s="5"/>
      <c r="CR417" s="3"/>
      <c r="CS417" s="3"/>
      <c r="CT417" s="5"/>
      <c r="CV417" s="3"/>
      <c r="DR417" s="5"/>
      <c r="DT417" s="3"/>
      <c r="EF417" s="7"/>
      <c r="EG417" s="7"/>
      <c r="EJ417" s="4"/>
      <c r="EK417" s="4"/>
      <c r="EU417" s="2"/>
      <c r="EV417" s="2"/>
    </row>
    <row r="418" spans="1:152">
      <c r="A418" s="125">
        <v>145</v>
      </c>
      <c r="B418" s="126" t="s">
        <v>560</v>
      </c>
      <c r="C418" s="126" t="s">
        <v>116</v>
      </c>
      <c r="D418" s="126" t="s">
        <v>163</v>
      </c>
      <c r="E418" s="126" t="s">
        <v>561</v>
      </c>
      <c r="F418" s="126" t="s">
        <v>40</v>
      </c>
      <c r="G418" s="126" t="s">
        <v>118</v>
      </c>
      <c r="H418" s="126"/>
      <c r="I418" s="126" t="s">
        <v>118</v>
      </c>
      <c r="J418" s="126"/>
      <c r="K418" s="127">
        <v>43236</v>
      </c>
      <c r="L418" s="128"/>
      <c r="M418" s="128">
        <v>3</v>
      </c>
      <c r="N418" s="126"/>
      <c r="O418" s="126" t="s">
        <v>119</v>
      </c>
      <c r="P418" s="129"/>
      <c r="Q418" s="129"/>
      <c r="R418" s="126" t="s">
        <v>24</v>
      </c>
      <c r="S418" s="126"/>
      <c r="T418" s="130" t="s">
        <v>120</v>
      </c>
      <c r="U418" s="126" t="s">
        <v>403</v>
      </c>
      <c r="V418" s="130" t="s">
        <v>120</v>
      </c>
      <c r="W418" s="126"/>
      <c r="X418" s="130" t="s">
        <v>120</v>
      </c>
      <c r="Y418" s="126" t="s">
        <v>404</v>
      </c>
      <c r="Z418" s="165" t="s">
        <v>120</v>
      </c>
      <c r="AA418" s="158"/>
      <c r="AB418" s="158"/>
      <c r="AC418" s="170" t="s">
        <v>123</v>
      </c>
      <c r="AD418" s="126" t="s">
        <v>419</v>
      </c>
      <c r="AE418" s="130" t="s">
        <v>120</v>
      </c>
      <c r="AF418" s="127" t="s">
        <v>461</v>
      </c>
      <c r="AG418" s="131"/>
      <c r="AH418" s="131">
        <v>2</v>
      </c>
      <c r="AI418" s="126" t="s">
        <v>512</v>
      </c>
      <c r="AJ418" s="130" t="s">
        <v>120</v>
      </c>
      <c r="AK418" s="126" t="s">
        <v>123</v>
      </c>
      <c r="AL418" s="126"/>
      <c r="AM418" s="130"/>
      <c r="AN418" s="126"/>
      <c r="AO418" s="132"/>
      <c r="AP418" s="126"/>
      <c r="AQ418" s="126"/>
      <c r="AR418" s="130"/>
      <c r="AS418" s="126"/>
      <c r="AT418" s="127"/>
      <c r="AU418" s="127">
        <v>43453.379025115697</v>
      </c>
      <c r="AV418" s="127"/>
      <c r="AW418" s="127"/>
      <c r="AX418" s="127"/>
      <c r="AY418" s="127"/>
      <c r="AZ418" s="133">
        <v>43236</v>
      </c>
      <c r="BA41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8" s="135">
        <f>COUNTIFS(_05preva_view43[Site ID],_05preva_view43[[#This Row],[Site ID]],_05preva_view43[Prevalidation Status],"Under Prevalidation")</f>
        <v>0</v>
      </c>
      <c r="BC418" s="157" t="e">
        <f ca="1">HYPERLINK(CheckPath(_05preva_view43[[#This Row],[File Path]],_05preva_view43[[#This Row],[File Path]],_05preva_view43[[#This Row],[Folder Path3]]),CheckPath(_05preva_view43[[#This Row],[File Path]],"Open File","No File"))</f>
        <v>#VALUE!</v>
      </c>
      <c r="BD418" s="136" t="str">
        <f>CONCATENATE(_05preva_view43[[#This Row],[Site ID]]," (",_05preva_view43[[#This Row],[tenant id]],") Application",IF(_05preva_view43[[#This Row],[Colo Rev]]&gt;0," Rev "&amp;_05preva_view43[[#This Row],[Colo Rev]],""),".xlsx")</f>
        <v>ACAY_0022 (AYW5540) Application.xlsx</v>
      </c>
      <c r="BE418" s="64" t="e">
        <f t="shared" ca="1" si="8"/>
        <v>#VALUE!</v>
      </c>
      <c r="BF418" s="104" t="e">
        <f ca="1">LEFT(CELL("filename",A403),_05preva_view43[[#This Row],[Find Process &amp; Database]]-1)</f>
        <v>#VALUE!</v>
      </c>
      <c r="BG418" s="104" t="e">
        <f ca="1">_05preva_view43[Folder Path1]&amp;"Process &amp; Database\Documentation\Colo Applications"</f>
        <v>#VALUE!</v>
      </c>
      <c r="BH418" s="104" t="e">
        <f ca="1">_05preva_view43[Folder Path2]&amp;"\Colo App "&amp;_05preva_view43[[#This Row],[Operator]]&amp;"\"</f>
        <v>#VALUE!</v>
      </c>
      <c r="BI418" s="63" t="e">
        <f ca="1">_05preva_view43[[#This Row],[Folder Path3]]&amp;_05preva_view43[[#This Row],[File Name]]</f>
        <v>#VALUE!</v>
      </c>
      <c r="BJ418" s="104"/>
      <c r="BK418" s="3"/>
      <c r="BL418" s="3"/>
      <c r="CJ418" s="5"/>
      <c r="CK418" s="5"/>
      <c r="CL418" s="3"/>
      <c r="CN418" s="5"/>
      <c r="CR418" s="3"/>
      <c r="CS418" s="3"/>
      <c r="CT418" s="5"/>
      <c r="CV418" s="3"/>
      <c r="DR418" s="5"/>
      <c r="DT418" s="3"/>
      <c r="EF418" s="7"/>
      <c r="EG418" s="7"/>
      <c r="EJ418" s="4"/>
      <c r="EK418" s="4"/>
      <c r="EU418" s="2"/>
      <c r="EV418" s="2"/>
    </row>
    <row r="419" spans="1:152">
      <c r="A419" s="125">
        <v>146</v>
      </c>
      <c r="B419" s="126" t="s">
        <v>562</v>
      </c>
      <c r="C419" s="126" t="s">
        <v>116</v>
      </c>
      <c r="D419" s="126" t="s">
        <v>163</v>
      </c>
      <c r="E419" s="126" t="s">
        <v>563</v>
      </c>
      <c r="F419" s="126" t="s">
        <v>40</v>
      </c>
      <c r="G419" s="126" t="s">
        <v>118</v>
      </c>
      <c r="H419" s="126"/>
      <c r="I419" s="126" t="s">
        <v>118</v>
      </c>
      <c r="J419" s="126"/>
      <c r="K419" s="127">
        <v>43236</v>
      </c>
      <c r="L419" s="128"/>
      <c r="M419" s="128">
        <v>3</v>
      </c>
      <c r="N419" s="126"/>
      <c r="O419" s="126" t="s">
        <v>119</v>
      </c>
      <c r="P419" s="129"/>
      <c r="Q419" s="129"/>
      <c r="R419" s="126" t="s">
        <v>27</v>
      </c>
      <c r="S419" s="126"/>
      <c r="T419" s="130" t="s">
        <v>120</v>
      </c>
      <c r="U419" s="126" t="s">
        <v>403</v>
      </c>
      <c r="V419" s="130" t="s">
        <v>120</v>
      </c>
      <c r="W419" s="126"/>
      <c r="X419" s="130" t="s">
        <v>120</v>
      </c>
      <c r="Y419" s="126" t="s">
        <v>404</v>
      </c>
      <c r="Z419" s="165" t="s">
        <v>125</v>
      </c>
      <c r="AA419" s="158"/>
      <c r="AB419" s="158"/>
      <c r="AC419" s="170" t="s">
        <v>123</v>
      </c>
      <c r="AD419" s="126" t="s">
        <v>430</v>
      </c>
      <c r="AE419" s="130" t="s">
        <v>120</v>
      </c>
      <c r="AF419" s="127" t="s">
        <v>511</v>
      </c>
      <c r="AG419" s="131"/>
      <c r="AH419" s="131">
        <v>2</v>
      </c>
      <c r="AI419" s="126" t="s">
        <v>512</v>
      </c>
      <c r="AJ419" s="130" t="s">
        <v>120</v>
      </c>
      <c r="AK419" s="126" t="s">
        <v>123</v>
      </c>
      <c r="AL419" s="126"/>
      <c r="AM419" s="130"/>
      <c r="AN419" s="126"/>
      <c r="AO419" s="132"/>
      <c r="AP419" s="126"/>
      <c r="AQ419" s="126"/>
      <c r="AR419" s="130"/>
      <c r="AS419" s="126"/>
      <c r="AT419" s="127"/>
      <c r="AU419" s="127">
        <v>43453.379026157403</v>
      </c>
      <c r="AV419" s="127"/>
      <c r="AW419" s="127"/>
      <c r="AX419" s="127"/>
      <c r="AY419" s="127"/>
      <c r="AZ419" s="133">
        <v>43453.379026157403</v>
      </c>
      <c r="BA419" s="134">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B419" s="135">
        <f>COUNTIFS(_05preva_view43[Site ID],_05preva_view43[[#This Row],[Site ID]],_05preva_view43[Prevalidation Status],"Under Prevalidation")</f>
        <v>0</v>
      </c>
      <c r="BC419" s="157" t="e">
        <f ca="1">HYPERLINK(CheckPath(_05preva_view43[[#This Row],[File Path]],_05preva_view43[[#This Row],[File Path]],_05preva_view43[[#This Row],[Folder Path3]]),CheckPath(_05preva_view43[[#This Row],[File Path]],"Open File","No File"))</f>
        <v>#VALUE!</v>
      </c>
      <c r="BD419" s="136" t="str">
        <f>CONCATENATE(_05preva_view43[[#This Row],[Site ID]]," (",_05preva_view43[[#This Row],[tenant id]],") Application",IF(_05preva_view43[[#This Row],[Colo Rev]]&gt;0," Rev "&amp;_05preva_view43[[#This Row],[Colo Rev]],""),".xlsx")</f>
        <v>ACAY_0026 (AYW5130) Application.xlsx</v>
      </c>
      <c r="BE419" s="64" t="e">
        <f t="shared" ca="1" si="8"/>
        <v>#VALUE!</v>
      </c>
      <c r="BF419" s="104" t="e">
        <f ca="1">LEFT(CELL("filename",A404),_05preva_view43[[#This Row],[Find Process &amp; Database]]-1)</f>
        <v>#VALUE!</v>
      </c>
      <c r="BG419" s="104" t="e">
        <f ca="1">_05preva_view43[Folder Path1]&amp;"Process &amp; Database\Documentation\Colo Applications"</f>
        <v>#VALUE!</v>
      </c>
      <c r="BH419" s="104" t="e">
        <f ca="1">_05preva_view43[Folder Path2]&amp;"\Colo App "&amp;_05preva_view43[[#This Row],[Operator]]&amp;"\"</f>
        <v>#VALUE!</v>
      </c>
      <c r="BI419" s="63" t="e">
        <f ca="1">_05preva_view43[[#This Row],[Folder Path3]]&amp;_05preva_view43[[#This Row],[File Name]]</f>
        <v>#VALUE!</v>
      </c>
      <c r="BJ419" s="104"/>
      <c r="BK419" s="3"/>
      <c r="BL419" s="3"/>
      <c r="CJ419" s="5"/>
      <c r="CK419" s="5"/>
      <c r="CL419" s="3"/>
      <c r="CN419" s="5"/>
      <c r="CR419" s="3"/>
      <c r="CS419" s="3"/>
      <c r="CT419" s="5"/>
      <c r="CV419" s="3"/>
      <c r="DR419" s="5"/>
      <c r="DT419" s="3"/>
      <c r="EF419" s="7"/>
      <c r="EG419" s="7"/>
      <c r="EJ419" s="4"/>
      <c r="EK419" s="4"/>
      <c r="EU419" s="2"/>
      <c r="EV419" s="2"/>
    </row>
    <row r="420" spans="1:152">
      <c r="A420" s="125">
        <v>147</v>
      </c>
      <c r="B420" s="126" t="s">
        <v>564</v>
      </c>
      <c r="C420" s="126" t="s">
        <v>116</v>
      </c>
      <c r="D420" s="126" t="s">
        <v>163</v>
      </c>
      <c r="E420" s="126" t="s">
        <v>565</v>
      </c>
      <c r="F420" s="126" t="s">
        <v>40</v>
      </c>
      <c r="G420" s="126" t="s">
        <v>118</v>
      </c>
      <c r="H420" s="126"/>
      <c r="I420" s="126" t="s">
        <v>118</v>
      </c>
      <c r="J420" s="126"/>
      <c r="K420" s="127">
        <v>43236</v>
      </c>
      <c r="L420" s="128"/>
      <c r="M420" s="128">
        <v>3</v>
      </c>
      <c r="N420" s="126"/>
      <c r="O420" s="126" t="s">
        <v>119</v>
      </c>
      <c r="P420" s="129"/>
      <c r="Q420" s="129"/>
      <c r="R420" s="126" t="s">
        <v>24</v>
      </c>
      <c r="S420" s="126"/>
      <c r="T420" s="130" t="s">
        <v>120</v>
      </c>
      <c r="U420" s="126" t="s">
        <v>378</v>
      </c>
      <c r="V420" s="130" t="s">
        <v>120</v>
      </c>
      <c r="W420" s="126"/>
      <c r="X420" s="130" t="s">
        <v>120</v>
      </c>
      <c r="Y420" s="126" t="s">
        <v>120</v>
      </c>
      <c r="Z420" s="165" t="s">
        <v>120</v>
      </c>
      <c r="AA420" s="158"/>
      <c r="AB420" s="158"/>
      <c r="AC420" s="170"/>
      <c r="AD420" s="126" t="s">
        <v>120</v>
      </c>
      <c r="AE420" s="130" t="s">
        <v>120</v>
      </c>
      <c r="AF420" s="127" t="s">
        <v>120</v>
      </c>
      <c r="AG420" s="131"/>
      <c r="AH420" s="131">
        <v>2</v>
      </c>
      <c r="AI420" s="126" t="s">
        <v>566</v>
      </c>
      <c r="AJ420" s="130" t="s">
        <v>120</v>
      </c>
      <c r="AK420" s="126" t="s">
        <v>123</v>
      </c>
      <c r="AL420" s="126"/>
      <c r="AM420" s="130"/>
      <c r="AN420" s="126"/>
      <c r="AO420" s="132"/>
      <c r="AP420" s="126"/>
      <c r="AQ420" s="126"/>
      <c r="AR420" s="130"/>
      <c r="AS420" s="126"/>
      <c r="AT420" s="127"/>
      <c r="AU420" s="127">
        <v>43453.379026967603</v>
      </c>
      <c r="AV420" s="127"/>
      <c r="AW420" s="127"/>
      <c r="AX420" s="127"/>
      <c r="AY420" s="127"/>
      <c r="AZ420" s="133">
        <v>43236</v>
      </c>
      <c r="BA42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0" s="135">
        <f>COUNTIFS(_05preva_view43[Site ID],_05preva_view43[[#This Row],[Site ID]],_05preva_view43[Prevalidation Status],"Under Prevalidation")</f>
        <v>0</v>
      </c>
      <c r="BC420" s="157" t="e">
        <f ca="1">HYPERLINK(CheckPath(_05preva_view43[[#This Row],[File Path]],_05preva_view43[[#This Row],[File Path]],_05preva_view43[[#This Row],[Folder Path3]]),CheckPath(_05preva_view43[[#This Row],[File Path]],"Open File","No File"))</f>
        <v>#VALUE!</v>
      </c>
      <c r="BD420" s="136" t="str">
        <f>CONCATENATE(_05preva_view43[[#This Row],[Site ID]]," (",_05preva_view43[[#This Row],[tenant id]],") Application",IF(_05preva_view43[[#This Row],[Colo Rev]]&gt;0," Rev "&amp;_05preva_view43[[#This Row],[Colo Rev]],""),".xlsx")</f>
        <v>ACAY_0017 (AYW5537) Application.xlsx</v>
      </c>
      <c r="BE420" s="64" t="e">
        <f t="shared" ca="1" si="8"/>
        <v>#VALUE!</v>
      </c>
      <c r="BF420" s="104" t="e">
        <f ca="1">LEFT(CELL("filename",A405),_05preva_view43[[#This Row],[Find Process &amp; Database]]-1)</f>
        <v>#VALUE!</v>
      </c>
      <c r="BG420" s="104" t="e">
        <f ca="1">_05preva_view43[Folder Path1]&amp;"Process &amp; Database\Documentation\Colo Applications"</f>
        <v>#VALUE!</v>
      </c>
      <c r="BH420" s="104" t="e">
        <f ca="1">_05preva_view43[Folder Path2]&amp;"\Colo App "&amp;_05preva_view43[[#This Row],[Operator]]&amp;"\"</f>
        <v>#VALUE!</v>
      </c>
      <c r="BI420" s="63" t="e">
        <f ca="1">_05preva_view43[[#This Row],[Folder Path3]]&amp;_05preva_view43[[#This Row],[File Name]]</f>
        <v>#VALUE!</v>
      </c>
      <c r="BJ420" s="104"/>
      <c r="BK420" s="3"/>
      <c r="BL420" s="3"/>
      <c r="CJ420" s="5"/>
      <c r="CK420" s="5"/>
      <c r="CL420" s="3"/>
      <c r="CN420" s="5"/>
      <c r="CR420" s="3"/>
      <c r="CS420" s="3"/>
      <c r="CT420" s="5"/>
      <c r="CV420" s="3"/>
      <c r="DR420" s="5"/>
      <c r="DT420" s="3"/>
      <c r="EF420" s="7"/>
      <c r="EG420" s="7"/>
      <c r="EJ420" s="4"/>
      <c r="EK420" s="4"/>
      <c r="EU420" s="2"/>
      <c r="EV420" s="2"/>
    </row>
    <row r="421" spans="1:152">
      <c r="A421" s="125">
        <v>148</v>
      </c>
      <c r="B421" s="126" t="s">
        <v>567</v>
      </c>
      <c r="C421" s="126" t="s">
        <v>116</v>
      </c>
      <c r="D421" s="126" t="s">
        <v>163</v>
      </c>
      <c r="E421" s="126" t="s">
        <v>568</v>
      </c>
      <c r="F421" s="126" t="s">
        <v>40</v>
      </c>
      <c r="G421" s="126" t="s">
        <v>118</v>
      </c>
      <c r="H421" s="126"/>
      <c r="I421" s="126" t="s">
        <v>118</v>
      </c>
      <c r="J421" s="126"/>
      <c r="K421" s="127">
        <v>43236</v>
      </c>
      <c r="L421" s="128"/>
      <c r="M421" s="128">
        <v>3</v>
      </c>
      <c r="N421" s="126"/>
      <c r="O421" s="126" t="s">
        <v>119</v>
      </c>
      <c r="P421" s="129"/>
      <c r="Q421" s="129"/>
      <c r="R421" s="126" t="s">
        <v>26</v>
      </c>
      <c r="S421" s="126"/>
      <c r="T421" s="130" t="s">
        <v>120</v>
      </c>
      <c r="U421" s="126" t="s">
        <v>569</v>
      </c>
      <c r="V421" s="130" t="s">
        <v>120</v>
      </c>
      <c r="W421" s="126"/>
      <c r="X421" s="130"/>
      <c r="Y421" s="126"/>
      <c r="Z421" s="165" t="s">
        <v>144</v>
      </c>
      <c r="AA421" s="158"/>
      <c r="AB421" s="158"/>
      <c r="AC421" s="170"/>
      <c r="AD421" s="126" t="s">
        <v>145</v>
      </c>
      <c r="AE421" s="130"/>
      <c r="AF421" s="127"/>
      <c r="AG421" s="131"/>
      <c r="AH421" s="131">
        <v>2</v>
      </c>
      <c r="AI421" s="126"/>
      <c r="AJ421" s="130"/>
      <c r="AK421" s="126"/>
      <c r="AL421" s="126"/>
      <c r="AM421" s="130"/>
      <c r="AN421" s="126"/>
      <c r="AO421" s="132"/>
      <c r="AP421" s="126"/>
      <c r="AQ421" s="126"/>
      <c r="AR421" s="130"/>
      <c r="AS421" s="126"/>
      <c r="AT421" s="127"/>
      <c r="AU421" s="127"/>
      <c r="AV421" s="127"/>
      <c r="AW421" s="127"/>
      <c r="AX421" s="127"/>
      <c r="AY421" s="127"/>
      <c r="AZ421" s="133">
        <v>43236</v>
      </c>
      <c r="BA42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1" s="135">
        <f>COUNTIFS(_05preva_view43[Site ID],_05preva_view43[[#This Row],[Site ID]],_05preva_view43[Prevalidation Status],"Under Prevalidation")</f>
        <v>0</v>
      </c>
      <c r="BC421" s="157" t="e">
        <f ca="1">HYPERLINK(CheckPath(_05preva_view43[[#This Row],[File Path]],_05preva_view43[[#This Row],[File Path]],_05preva_view43[[#This Row],[Folder Path3]]),CheckPath(_05preva_view43[[#This Row],[File Path]],"Open File","No File"))</f>
        <v>#VALUE!</v>
      </c>
      <c r="BD421" s="136" t="str">
        <f>CONCATENATE(_05preva_view43[[#This Row],[Site ID]]," (",_05preva_view43[[#This Row],[tenant id]],") Application",IF(_05preva_view43[[#This Row],[Colo Rev]]&gt;0," Rev "&amp;_05preva_view43[[#This Row],[Colo Rev]],""),".xlsx")</f>
        <v>ASMO_0261 (MOW6219) Application.xlsx</v>
      </c>
      <c r="BE421" s="64" t="e">
        <f t="shared" ca="1" si="8"/>
        <v>#VALUE!</v>
      </c>
      <c r="BF421" s="104" t="e">
        <f ca="1">LEFT(CELL("filename",A406),_05preva_view43[[#This Row],[Find Process &amp; Database]]-1)</f>
        <v>#VALUE!</v>
      </c>
      <c r="BG421" s="104" t="e">
        <f ca="1">_05preva_view43[Folder Path1]&amp;"Process &amp; Database\Documentation\Colo Applications"</f>
        <v>#VALUE!</v>
      </c>
      <c r="BH421" s="104" t="e">
        <f ca="1">_05preva_view43[Folder Path2]&amp;"\Colo App "&amp;_05preva_view43[[#This Row],[Operator]]&amp;"\"</f>
        <v>#VALUE!</v>
      </c>
      <c r="BI421" s="63" t="e">
        <f ca="1">_05preva_view43[[#This Row],[Folder Path3]]&amp;_05preva_view43[[#This Row],[File Name]]</f>
        <v>#VALUE!</v>
      </c>
      <c r="BJ421" s="104"/>
      <c r="BK421" s="3"/>
      <c r="BL421" s="3"/>
      <c r="CJ421" s="5"/>
      <c r="CK421" s="5"/>
      <c r="CL421" s="3"/>
      <c r="CN421" s="5"/>
      <c r="CR421" s="3"/>
      <c r="CS421" s="3"/>
      <c r="CT421" s="5"/>
      <c r="CV421" s="3"/>
      <c r="DR421" s="5"/>
      <c r="DT421" s="3"/>
      <c r="EF421" s="7"/>
      <c r="EG421" s="7"/>
      <c r="EJ421" s="4"/>
      <c r="EK421" s="4"/>
      <c r="EU421" s="2"/>
      <c r="EV421" s="2"/>
    </row>
    <row r="422" spans="1:152">
      <c r="A422" s="125">
        <v>150</v>
      </c>
      <c r="B422" s="126" t="s">
        <v>570</v>
      </c>
      <c r="C422" s="126" t="s">
        <v>116</v>
      </c>
      <c r="D422" s="126" t="s">
        <v>127</v>
      </c>
      <c r="E422" s="126" t="s">
        <v>571</v>
      </c>
      <c r="F422" s="126" t="s">
        <v>40</v>
      </c>
      <c r="G422" s="126" t="s">
        <v>118</v>
      </c>
      <c r="H422" s="126"/>
      <c r="I422" s="126" t="s">
        <v>118</v>
      </c>
      <c r="J422" s="126"/>
      <c r="K422" s="127">
        <v>43236</v>
      </c>
      <c r="L422" s="128"/>
      <c r="M422" s="128">
        <v>3</v>
      </c>
      <c r="N422" s="126"/>
      <c r="O422" s="126" t="s">
        <v>119</v>
      </c>
      <c r="P422" s="129"/>
      <c r="Q422" s="129"/>
      <c r="R422" s="126" t="s">
        <v>27</v>
      </c>
      <c r="S422" s="126"/>
      <c r="T422" s="130" t="s">
        <v>120</v>
      </c>
      <c r="U422" s="126" t="s">
        <v>378</v>
      </c>
      <c r="V422" s="130" t="s">
        <v>120</v>
      </c>
      <c r="W422" s="126"/>
      <c r="X422" s="130" t="s">
        <v>120</v>
      </c>
      <c r="Y422" s="126" t="s">
        <v>120</v>
      </c>
      <c r="Z422" s="165" t="s">
        <v>120</v>
      </c>
      <c r="AA422" s="158"/>
      <c r="AB422" s="158"/>
      <c r="AC422" s="170" t="s">
        <v>454</v>
      </c>
      <c r="AD422" s="126" t="s">
        <v>572</v>
      </c>
      <c r="AE422" s="130" t="s">
        <v>125</v>
      </c>
      <c r="AF422" s="127"/>
      <c r="AG422" s="131"/>
      <c r="AH422" s="131"/>
      <c r="AI422" s="126" t="s">
        <v>384</v>
      </c>
      <c r="AJ422" s="130" t="s">
        <v>120</v>
      </c>
      <c r="AK422" s="126" t="s">
        <v>123</v>
      </c>
      <c r="AL422" s="126"/>
      <c r="AM422" s="130"/>
      <c r="AN422" s="126"/>
      <c r="AO422" s="132"/>
      <c r="AP422" s="126"/>
      <c r="AQ422" s="126"/>
      <c r="AR422" s="130"/>
      <c r="AS422" s="126"/>
      <c r="AT422" s="127"/>
      <c r="AU422" s="127"/>
      <c r="AV422" s="127"/>
      <c r="AW422" s="127"/>
      <c r="AX422" s="127"/>
      <c r="AY422" s="127"/>
      <c r="AZ422" s="133"/>
      <c r="BA42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2" s="135">
        <f>COUNTIFS(_05preva_view43[Site ID],_05preva_view43[[#This Row],[Site ID]],_05preva_view43[Prevalidation Status],"Under Prevalidation")</f>
        <v>0</v>
      </c>
      <c r="BC422" s="157" t="e">
        <f ca="1">HYPERLINK(CheckPath(_05preva_view43[[#This Row],[File Path]],_05preva_view43[[#This Row],[File Path]],_05preva_view43[[#This Row],[Folder Path3]]),CheckPath(_05preva_view43[[#This Row],[File Path]],"Open File","No File"))</f>
        <v>#VALUE!</v>
      </c>
      <c r="BD422" s="136" t="str">
        <f>CONCATENATE(_05preva_view43[[#This Row],[Site ID]]," (",_05preva_view43[[#This Row],[tenant id]],") Application",IF(_05preva_view43[[#This Row],[Colo Rev]]&gt;0," Rev "&amp;_05preva_view43[[#This Row],[Colo Rev]],""),".xlsx")</f>
        <v>ANMD_0015 (MAW2998) Application.xlsx</v>
      </c>
      <c r="BE422" s="64" t="e">
        <f t="shared" ca="1" si="8"/>
        <v>#VALUE!</v>
      </c>
      <c r="BF422" s="104" t="e">
        <f ca="1">LEFT(CELL("filename",A407),_05preva_view43[[#This Row],[Find Process &amp; Database]]-1)</f>
        <v>#VALUE!</v>
      </c>
      <c r="BG422" s="104" t="e">
        <f ca="1">_05preva_view43[Folder Path1]&amp;"Process &amp; Database\Documentation\Colo Applications"</f>
        <v>#VALUE!</v>
      </c>
      <c r="BH422" s="104" t="e">
        <f ca="1">_05preva_view43[Folder Path2]&amp;"\Colo App "&amp;_05preva_view43[[#This Row],[Operator]]&amp;"\"</f>
        <v>#VALUE!</v>
      </c>
      <c r="BI422" s="63" t="e">
        <f ca="1">_05preva_view43[[#This Row],[Folder Path3]]&amp;_05preva_view43[[#This Row],[File Name]]</f>
        <v>#VALUE!</v>
      </c>
      <c r="BJ422" s="104"/>
      <c r="BK422" s="3"/>
      <c r="BL422" s="3"/>
      <c r="CJ422" s="5"/>
      <c r="CK422" s="5"/>
      <c r="CL422" s="3"/>
      <c r="CN422" s="5"/>
      <c r="CR422" s="3"/>
      <c r="CS422" s="3"/>
      <c r="CT422" s="5"/>
      <c r="CV422" s="3"/>
      <c r="DR422" s="5"/>
      <c r="DT422" s="3"/>
      <c r="EF422" s="7"/>
      <c r="EG422" s="7"/>
      <c r="EJ422" s="4"/>
      <c r="EK422" s="4"/>
      <c r="EU422" s="2"/>
      <c r="EV422" s="2"/>
    </row>
    <row r="423" spans="1:152">
      <c r="A423" s="125">
        <v>151</v>
      </c>
      <c r="B423" s="126" t="s">
        <v>573</v>
      </c>
      <c r="C423" s="126" t="s">
        <v>116</v>
      </c>
      <c r="D423" s="126" t="s">
        <v>127</v>
      </c>
      <c r="E423" s="126" t="s">
        <v>574</v>
      </c>
      <c r="F423" s="126" t="s">
        <v>40</v>
      </c>
      <c r="G423" s="126" t="s">
        <v>118</v>
      </c>
      <c r="H423" s="126"/>
      <c r="I423" s="126" t="s">
        <v>118</v>
      </c>
      <c r="J423" s="126"/>
      <c r="K423" s="127">
        <v>43236</v>
      </c>
      <c r="L423" s="128"/>
      <c r="M423" s="128">
        <v>3</v>
      </c>
      <c r="N423" s="126"/>
      <c r="O423" s="126" t="s">
        <v>119</v>
      </c>
      <c r="P423" s="129"/>
      <c r="Q423" s="129"/>
      <c r="R423" s="126" t="s">
        <v>24</v>
      </c>
      <c r="S423" s="126"/>
      <c r="T423" s="130" t="s">
        <v>120</v>
      </c>
      <c r="U423" s="126" t="s">
        <v>378</v>
      </c>
      <c r="V423" s="130" t="s">
        <v>120</v>
      </c>
      <c r="W423" s="126"/>
      <c r="X423" s="130" t="s">
        <v>120</v>
      </c>
      <c r="Y423" s="126" t="s">
        <v>379</v>
      </c>
      <c r="Z423" s="165" t="s">
        <v>120</v>
      </c>
      <c r="AA423" s="158"/>
      <c r="AB423" s="158"/>
      <c r="AC423" s="170"/>
      <c r="AD423" s="126" t="s">
        <v>120</v>
      </c>
      <c r="AE423" s="130" t="s">
        <v>120</v>
      </c>
      <c r="AF423" s="127" t="s">
        <v>372</v>
      </c>
      <c r="AG423" s="131"/>
      <c r="AH423" s="131">
        <v>2</v>
      </c>
      <c r="AI423" s="126" t="s">
        <v>384</v>
      </c>
      <c r="AJ423" s="130" t="s">
        <v>120</v>
      </c>
      <c r="AK423" s="126" t="s">
        <v>123</v>
      </c>
      <c r="AL423" s="126"/>
      <c r="AM423" s="130"/>
      <c r="AN423" s="126"/>
      <c r="AO423" s="132"/>
      <c r="AP423" s="126"/>
      <c r="AQ423" s="126"/>
      <c r="AR423" s="130"/>
      <c r="AS423" s="126"/>
      <c r="AT423" s="127"/>
      <c r="AU423" s="127">
        <v>43453.379029513897</v>
      </c>
      <c r="AV423" s="127"/>
      <c r="AW423" s="127"/>
      <c r="AX423" s="127"/>
      <c r="AY423" s="127"/>
      <c r="AZ423" s="133">
        <v>43236</v>
      </c>
      <c r="BA42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3" s="135">
        <f>COUNTIFS(_05preva_view43[Site ID],_05preva_view43[[#This Row],[Site ID]],_05preva_view43[Prevalidation Status],"Under Prevalidation")</f>
        <v>0</v>
      </c>
      <c r="BC423" s="157" t="e">
        <f ca="1">HYPERLINK(CheckPath(_05preva_view43[[#This Row],[File Path]],_05preva_view43[[#This Row],[File Path]],_05preva_view43[[#This Row],[Folder Path3]]),CheckPath(_05preva_view43[[#This Row],[File Path]],"Open File","No File"))</f>
        <v>#VALUE!</v>
      </c>
      <c r="BD423" s="136" t="str">
        <f>CONCATENATE(_05preva_view43[[#This Row],[Site ID]]," (",_05preva_view43[[#This Row],[tenant id]],") Application",IF(_05preva_view43[[#This Row],[Colo Rev]]&gt;0," Rev "&amp;_05preva_view43[[#This Row],[Colo Rev]],""),".xlsx")</f>
        <v>ANSG_0351 (SAW0721) Application.xlsx</v>
      </c>
      <c r="BE423" s="64" t="e">
        <f t="shared" ca="1" si="8"/>
        <v>#VALUE!</v>
      </c>
      <c r="BF423" s="104" t="e">
        <f ca="1">LEFT(CELL("filename",A408),_05preva_view43[[#This Row],[Find Process &amp; Database]]-1)</f>
        <v>#VALUE!</v>
      </c>
      <c r="BG423" s="104" t="e">
        <f ca="1">_05preva_view43[Folder Path1]&amp;"Process &amp; Database\Documentation\Colo Applications"</f>
        <v>#VALUE!</v>
      </c>
      <c r="BH423" s="104" t="e">
        <f ca="1">_05preva_view43[Folder Path2]&amp;"\Colo App "&amp;_05preva_view43[[#This Row],[Operator]]&amp;"\"</f>
        <v>#VALUE!</v>
      </c>
      <c r="BI423" s="63" t="e">
        <f ca="1">_05preva_view43[[#This Row],[Folder Path3]]&amp;_05preva_view43[[#This Row],[File Name]]</f>
        <v>#VALUE!</v>
      </c>
      <c r="BJ423" s="104"/>
      <c r="BK423" s="3"/>
      <c r="BL423" s="3"/>
      <c r="CJ423" s="5"/>
      <c r="CK423" s="5"/>
      <c r="CL423" s="3"/>
      <c r="CN423" s="5"/>
      <c r="CR423" s="3"/>
      <c r="CS423" s="3"/>
      <c r="CT423" s="5"/>
      <c r="CV423" s="3"/>
      <c r="DR423" s="5"/>
      <c r="DT423" s="3"/>
      <c r="EF423" s="7"/>
      <c r="EG423" s="7"/>
      <c r="EJ423" s="4"/>
      <c r="EK423" s="4"/>
      <c r="EU423" s="2"/>
      <c r="EV423" s="2"/>
    </row>
    <row r="424" spans="1:152">
      <c r="A424" s="125">
        <v>152</v>
      </c>
      <c r="B424" s="126" t="s">
        <v>575</v>
      </c>
      <c r="C424" s="126" t="s">
        <v>116</v>
      </c>
      <c r="D424" s="126" t="s">
        <v>127</v>
      </c>
      <c r="E424" s="126" t="s">
        <v>576</v>
      </c>
      <c r="F424" s="126" t="s">
        <v>40</v>
      </c>
      <c r="G424" s="126" t="s">
        <v>118</v>
      </c>
      <c r="H424" s="126"/>
      <c r="I424" s="126" t="s">
        <v>118</v>
      </c>
      <c r="J424" s="126"/>
      <c r="K424" s="127">
        <v>43236</v>
      </c>
      <c r="L424" s="128"/>
      <c r="M424" s="128">
        <v>3</v>
      </c>
      <c r="N424" s="126"/>
      <c r="O424" s="126" t="s">
        <v>119</v>
      </c>
      <c r="P424" s="129"/>
      <c r="Q424" s="129"/>
      <c r="R424" s="126" t="s">
        <v>24</v>
      </c>
      <c r="S424" s="126"/>
      <c r="T424" s="130" t="s">
        <v>120</v>
      </c>
      <c r="U424" s="126" t="s">
        <v>378</v>
      </c>
      <c r="V424" s="130" t="s">
        <v>120</v>
      </c>
      <c r="W424" s="126"/>
      <c r="X424" s="130" t="s">
        <v>120</v>
      </c>
      <c r="Y424" s="126" t="s">
        <v>120</v>
      </c>
      <c r="Z424" s="165" t="s">
        <v>120</v>
      </c>
      <c r="AA424" s="158"/>
      <c r="AB424" s="158"/>
      <c r="AC424" s="170"/>
      <c r="AD424" s="126" t="s">
        <v>120</v>
      </c>
      <c r="AE424" s="130" t="s">
        <v>120</v>
      </c>
      <c r="AF424" s="127" t="s">
        <v>372</v>
      </c>
      <c r="AG424" s="131"/>
      <c r="AH424" s="131">
        <v>2</v>
      </c>
      <c r="AI424" s="126" t="s">
        <v>384</v>
      </c>
      <c r="AJ424" s="130" t="s">
        <v>120</v>
      </c>
      <c r="AK424" s="126" t="s">
        <v>123</v>
      </c>
      <c r="AL424" s="126"/>
      <c r="AM424" s="130"/>
      <c r="AN424" s="126"/>
      <c r="AO424" s="132"/>
      <c r="AP424" s="126"/>
      <c r="AQ424" s="126"/>
      <c r="AR424" s="130"/>
      <c r="AS424" s="126"/>
      <c r="AT424" s="127"/>
      <c r="AU424" s="127">
        <v>43453.379030324097</v>
      </c>
      <c r="AV424" s="127"/>
      <c r="AW424" s="127"/>
      <c r="AX424" s="127"/>
      <c r="AY424" s="127"/>
      <c r="AZ424" s="133">
        <v>43236</v>
      </c>
      <c r="BA42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4" s="135">
        <f>COUNTIFS(_05preva_view43[Site ID],_05preva_view43[[#This Row],[Site ID]],_05preva_view43[Prevalidation Status],"Under Prevalidation")</f>
        <v>0</v>
      </c>
      <c r="BC424" s="157" t="e">
        <f ca="1">HYPERLINK(CheckPath(_05preva_view43[[#This Row],[File Path]],_05preva_view43[[#This Row],[File Path]],_05preva_view43[[#This Row],[Folder Path3]]),CheckPath(_05preva_view43[[#This Row],[File Path]],"Open File","No File"))</f>
        <v>#VALUE!</v>
      </c>
      <c r="BD424" s="136" t="str">
        <f>CONCATENATE(_05preva_view43[[#This Row],[Site ID]]," (",_05preva_view43[[#This Row],[tenant id]],") Application",IF(_05preva_view43[[#This Row],[Colo Rev]]&gt;0," Rev "&amp;_05preva_view43[[#This Row],[Colo Rev]],""),".xlsx")</f>
        <v>ANSG_0358 (SAW0716) Application.xlsx</v>
      </c>
      <c r="BE424" s="64" t="e">
        <f t="shared" ca="1" si="8"/>
        <v>#VALUE!</v>
      </c>
      <c r="BF424" s="104" t="e">
        <f ca="1">LEFT(CELL("filename",A409),_05preva_view43[[#This Row],[Find Process &amp; Database]]-1)</f>
        <v>#VALUE!</v>
      </c>
      <c r="BG424" s="104" t="e">
        <f ca="1">_05preva_view43[Folder Path1]&amp;"Process &amp; Database\Documentation\Colo Applications"</f>
        <v>#VALUE!</v>
      </c>
      <c r="BH424" s="104" t="e">
        <f ca="1">_05preva_view43[Folder Path2]&amp;"\Colo App "&amp;_05preva_view43[[#This Row],[Operator]]&amp;"\"</f>
        <v>#VALUE!</v>
      </c>
      <c r="BI424" s="63" t="e">
        <f ca="1">_05preva_view43[[#This Row],[Folder Path3]]&amp;_05preva_view43[[#This Row],[File Name]]</f>
        <v>#VALUE!</v>
      </c>
      <c r="BJ424" s="104"/>
      <c r="BK424" s="3"/>
      <c r="BL424" s="3"/>
      <c r="CJ424" s="5"/>
      <c r="CK424" s="5"/>
      <c r="CL424" s="3"/>
      <c r="CN424" s="5"/>
      <c r="CR424" s="3"/>
      <c r="CS424" s="3"/>
      <c r="CT424" s="5"/>
      <c r="CV424" s="3"/>
      <c r="DR424" s="5"/>
      <c r="DT424" s="3"/>
      <c r="EF424" s="7"/>
      <c r="EG424" s="7"/>
      <c r="EJ424" s="4"/>
      <c r="EK424" s="4"/>
      <c r="EU424" s="2"/>
      <c r="EV424" s="2"/>
    </row>
    <row r="425" spans="1:152">
      <c r="A425" s="125">
        <v>153</v>
      </c>
      <c r="B425" s="126" t="s">
        <v>577</v>
      </c>
      <c r="C425" s="126" t="s">
        <v>116</v>
      </c>
      <c r="D425" s="126" t="s">
        <v>127</v>
      </c>
      <c r="E425" s="126" t="s">
        <v>578</v>
      </c>
      <c r="F425" s="126" t="s">
        <v>40</v>
      </c>
      <c r="G425" s="126" t="s">
        <v>118</v>
      </c>
      <c r="H425" s="126"/>
      <c r="I425" s="126" t="s">
        <v>118</v>
      </c>
      <c r="J425" s="126"/>
      <c r="K425" s="127">
        <v>43236</v>
      </c>
      <c r="L425" s="128"/>
      <c r="M425" s="128">
        <v>3</v>
      </c>
      <c r="N425" s="126"/>
      <c r="O425" s="126" t="s">
        <v>119</v>
      </c>
      <c r="P425" s="129"/>
      <c r="Q425" s="129"/>
      <c r="R425" s="126" t="s">
        <v>27</v>
      </c>
      <c r="S425" s="126" t="s">
        <v>428</v>
      </c>
      <c r="T425" s="130" t="s">
        <v>120</v>
      </c>
      <c r="U425" s="126" t="s">
        <v>403</v>
      </c>
      <c r="V425" s="130" t="s">
        <v>120</v>
      </c>
      <c r="W425" s="126"/>
      <c r="X425" s="130" t="s">
        <v>120</v>
      </c>
      <c r="Y425" s="126" t="s">
        <v>404</v>
      </c>
      <c r="Z425" s="165" t="s">
        <v>125</v>
      </c>
      <c r="AA425" s="158"/>
      <c r="AB425" s="158"/>
      <c r="AC425" s="170" t="s">
        <v>123</v>
      </c>
      <c r="AD425" s="126" t="s">
        <v>430</v>
      </c>
      <c r="AE425" s="130" t="s">
        <v>120</v>
      </c>
      <c r="AF425" s="127" t="s">
        <v>479</v>
      </c>
      <c r="AG425" s="131"/>
      <c r="AH425" s="131">
        <v>2</v>
      </c>
      <c r="AI425" s="126" t="s">
        <v>512</v>
      </c>
      <c r="AJ425" s="130" t="s">
        <v>120</v>
      </c>
      <c r="AK425" s="126" t="s">
        <v>123</v>
      </c>
      <c r="AL425" s="126" t="s">
        <v>579</v>
      </c>
      <c r="AM425" s="130"/>
      <c r="AN425" s="126"/>
      <c r="AO425" s="132"/>
      <c r="AP425" s="126"/>
      <c r="AQ425" s="126"/>
      <c r="AR425" s="130"/>
      <c r="AS425" s="126"/>
      <c r="AT425" s="127"/>
      <c r="AU425" s="127">
        <v>43453.3790310185</v>
      </c>
      <c r="AV425" s="127"/>
      <c r="AW425" s="127"/>
      <c r="AX425" s="127"/>
      <c r="AY425" s="127"/>
      <c r="AZ425" s="133">
        <v>43453.3790310185</v>
      </c>
      <c r="BA425" s="134">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B425" s="135">
        <f>COUNTIFS(_05preva_view43[Site ID],_05preva_view43[[#This Row],[Site ID]],_05preva_view43[Prevalidation Status],"Under Prevalidation")</f>
        <v>0</v>
      </c>
      <c r="BC425" s="157" t="e">
        <f ca="1">HYPERLINK(CheckPath(_05preva_view43[[#This Row],[File Path]],_05preva_view43[[#This Row],[File Path]],_05preva_view43[[#This Row],[Folder Path3]]),CheckPath(_05preva_view43[[#This Row],[File Path]],"Open File","No File"))</f>
        <v>#VALUE!</v>
      </c>
      <c r="BD425" s="136" t="str">
        <f>CONCATENATE(_05preva_view43[[#This Row],[Site ID]]," (",_05preva_view43[[#This Row],[tenant id]],") Application",IF(_05preva_view43[[#This Row],[Colo Rev]]&gt;0," Rev "&amp;_05preva_view43[[#This Row],[Colo Rev]],""),".xlsx")</f>
        <v>ANMD_0012 (MAW2977) Application.xlsx</v>
      </c>
      <c r="BE425" s="64" t="e">
        <f t="shared" ca="1" si="8"/>
        <v>#VALUE!</v>
      </c>
      <c r="BF425" s="104" t="e">
        <f ca="1">LEFT(CELL("filename",A410),_05preva_view43[[#This Row],[Find Process &amp; Database]]-1)</f>
        <v>#VALUE!</v>
      </c>
      <c r="BG425" s="104" t="e">
        <f ca="1">_05preva_view43[Folder Path1]&amp;"Process &amp; Database\Documentation\Colo Applications"</f>
        <v>#VALUE!</v>
      </c>
      <c r="BH425" s="104" t="e">
        <f ca="1">_05preva_view43[Folder Path2]&amp;"\Colo App "&amp;_05preva_view43[[#This Row],[Operator]]&amp;"\"</f>
        <v>#VALUE!</v>
      </c>
      <c r="BI425" s="63" t="e">
        <f ca="1">_05preva_view43[[#This Row],[Folder Path3]]&amp;_05preva_view43[[#This Row],[File Name]]</f>
        <v>#VALUE!</v>
      </c>
      <c r="BJ425" s="104"/>
      <c r="BK425" s="3"/>
      <c r="BL425" s="3"/>
      <c r="CJ425" s="5"/>
      <c r="CK425" s="5"/>
      <c r="CL425" s="3"/>
      <c r="CN425" s="5"/>
      <c r="CR425" s="3"/>
      <c r="CS425" s="3"/>
      <c r="CT425" s="5"/>
      <c r="CV425" s="3"/>
      <c r="DR425" s="5"/>
      <c r="DT425" s="3"/>
      <c r="EF425" s="7"/>
      <c r="EG425" s="7"/>
      <c r="EJ425" s="4"/>
      <c r="EK425" s="4"/>
      <c r="EU425" s="2"/>
      <c r="EV425" s="2"/>
    </row>
    <row r="426" spans="1:152">
      <c r="A426" s="125">
        <v>155</v>
      </c>
      <c r="B426" s="126" t="s">
        <v>580</v>
      </c>
      <c r="C426" s="126" t="s">
        <v>116</v>
      </c>
      <c r="D426" s="126" t="s">
        <v>127</v>
      </c>
      <c r="E426" s="126" t="s">
        <v>581</v>
      </c>
      <c r="F426" s="126" t="s">
        <v>40</v>
      </c>
      <c r="G426" s="126" t="s">
        <v>118</v>
      </c>
      <c r="H426" s="126"/>
      <c r="I426" s="126" t="s">
        <v>118</v>
      </c>
      <c r="J426" s="126"/>
      <c r="K426" s="127">
        <v>43236</v>
      </c>
      <c r="L426" s="128"/>
      <c r="M426" s="128">
        <v>3</v>
      </c>
      <c r="N426" s="126"/>
      <c r="O426" s="126" t="s">
        <v>119</v>
      </c>
      <c r="P426" s="129"/>
      <c r="Q426" s="129"/>
      <c r="R426" s="126" t="s">
        <v>24</v>
      </c>
      <c r="S426" s="126"/>
      <c r="T426" s="130" t="s">
        <v>120</v>
      </c>
      <c r="U426" s="126" t="s">
        <v>378</v>
      </c>
      <c r="V426" s="130" t="s">
        <v>120</v>
      </c>
      <c r="W426" s="126"/>
      <c r="X426" s="130" t="s">
        <v>120</v>
      </c>
      <c r="Y426" s="126" t="s">
        <v>120</v>
      </c>
      <c r="Z426" s="165" t="s">
        <v>120</v>
      </c>
      <c r="AA426" s="158"/>
      <c r="AB426" s="158"/>
      <c r="AC426" s="170"/>
      <c r="AD426" s="126" t="s">
        <v>419</v>
      </c>
      <c r="AE426" s="130" t="s">
        <v>120</v>
      </c>
      <c r="AF426" s="127" t="s">
        <v>372</v>
      </c>
      <c r="AG426" s="131"/>
      <c r="AH426" s="131">
        <v>2</v>
      </c>
      <c r="AI426" s="126" t="s">
        <v>384</v>
      </c>
      <c r="AJ426" s="130" t="s">
        <v>120</v>
      </c>
      <c r="AK426" s="126" t="s">
        <v>123</v>
      </c>
      <c r="AL426" s="126"/>
      <c r="AM426" s="130"/>
      <c r="AN426" s="126"/>
      <c r="AO426" s="132"/>
      <c r="AP426" s="126"/>
      <c r="AQ426" s="126"/>
      <c r="AR426" s="130"/>
      <c r="AS426" s="126"/>
      <c r="AT426" s="127"/>
      <c r="AU426" s="127">
        <v>43453.379031712997</v>
      </c>
      <c r="AV426" s="127"/>
      <c r="AW426" s="127"/>
      <c r="AX426" s="127"/>
      <c r="AY426" s="127"/>
      <c r="AZ426" s="133">
        <v>43236</v>
      </c>
      <c r="BA42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6" s="135">
        <f>COUNTIFS(_05preva_view43[Site ID],_05preva_view43[[#This Row],[Site ID]],_05preva_view43[Prevalidation Status],"Under Prevalidation")</f>
        <v>0</v>
      </c>
      <c r="BC426" s="157" t="e">
        <f ca="1">HYPERLINK(CheckPath(_05preva_view43[[#This Row],[File Path]],_05preva_view43[[#This Row],[File Path]],_05preva_view43[[#This Row],[Folder Path3]]),CheckPath(_05preva_view43[[#This Row],[File Path]],"Open File","No File"))</f>
        <v>#VALUE!</v>
      </c>
      <c r="BD426" s="136" t="str">
        <f>CONCATENATE(_05preva_view43[[#This Row],[Site ID]]," (",_05preva_view43[[#This Row],[tenant id]],") Application",IF(_05preva_view43[[#This Row],[Colo Rev]]&gt;0," Rev "&amp;_05preva_view43[[#This Row],[Colo Rev]],""),".xlsx")</f>
        <v>ANSG_0349 (SAW0714) Application.xlsx</v>
      </c>
      <c r="BE426" s="64" t="e">
        <f t="shared" ca="1" si="8"/>
        <v>#VALUE!</v>
      </c>
      <c r="BF426" s="104" t="e">
        <f ca="1">LEFT(CELL("filename",A411),_05preva_view43[[#This Row],[Find Process &amp; Database]]-1)</f>
        <v>#VALUE!</v>
      </c>
      <c r="BG426" s="104" t="e">
        <f ca="1">_05preva_view43[Folder Path1]&amp;"Process &amp; Database\Documentation\Colo Applications"</f>
        <v>#VALUE!</v>
      </c>
      <c r="BH426" s="104" t="e">
        <f ca="1">_05preva_view43[Folder Path2]&amp;"\Colo App "&amp;_05preva_view43[[#This Row],[Operator]]&amp;"\"</f>
        <v>#VALUE!</v>
      </c>
      <c r="BI426" s="63" t="e">
        <f ca="1">_05preva_view43[[#This Row],[Folder Path3]]&amp;_05preva_view43[[#This Row],[File Name]]</f>
        <v>#VALUE!</v>
      </c>
      <c r="BJ426" s="104"/>
      <c r="BK426" s="3"/>
      <c r="BL426" s="3"/>
      <c r="CJ426" s="5"/>
      <c r="CK426" s="5"/>
      <c r="CL426" s="3"/>
      <c r="CN426" s="5"/>
      <c r="CR426" s="3"/>
      <c r="CS426" s="3"/>
      <c r="CT426" s="5"/>
      <c r="CV426" s="3"/>
      <c r="DR426" s="5"/>
      <c r="DT426" s="3"/>
      <c r="EF426" s="7"/>
      <c r="EG426" s="7"/>
      <c r="EJ426" s="4"/>
      <c r="EK426" s="4"/>
      <c r="EU426" s="2"/>
      <c r="EV426" s="2"/>
    </row>
    <row r="427" spans="1:152">
      <c r="A427" s="125">
        <v>156</v>
      </c>
      <c r="B427" s="126" t="s">
        <v>582</v>
      </c>
      <c r="C427" s="126" t="s">
        <v>116</v>
      </c>
      <c r="D427" s="126" t="s">
        <v>127</v>
      </c>
      <c r="E427" s="126" t="s">
        <v>583</v>
      </c>
      <c r="F427" s="126" t="s">
        <v>40</v>
      </c>
      <c r="G427" s="126" t="s">
        <v>118</v>
      </c>
      <c r="H427" s="126"/>
      <c r="I427" s="126" t="s">
        <v>118</v>
      </c>
      <c r="J427" s="126"/>
      <c r="K427" s="127">
        <v>43236</v>
      </c>
      <c r="L427" s="128"/>
      <c r="M427" s="128">
        <v>3</v>
      </c>
      <c r="N427" s="126"/>
      <c r="O427" s="126" t="s">
        <v>119</v>
      </c>
      <c r="P427" s="129"/>
      <c r="Q427" s="129"/>
      <c r="R427" s="126" t="s">
        <v>24</v>
      </c>
      <c r="S427" s="126" t="s">
        <v>584</v>
      </c>
      <c r="T427" s="130" t="s">
        <v>120</v>
      </c>
      <c r="U427" s="126" t="s">
        <v>403</v>
      </c>
      <c r="V427" s="130" t="s">
        <v>120</v>
      </c>
      <c r="W427" s="126"/>
      <c r="X427" s="130" t="s">
        <v>120</v>
      </c>
      <c r="Y427" s="126" t="s">
        <v>404</v>
      </c>
      <c r="Z427" s="165" t="s">
        <v>125</v>
      </c>
      <c r="AA427" s="158"/>
      <c r="AB427" s="158"/>
      <c r="AC427" s="170" t="s">
        <v>123</v>
      </c>
      <c r="AD427" s="126" t="s">
        <v>405</v>
      </c>
      <c r="AE427" s="130" t="s">
        <v>120</v>
      </c>
      <c r="AF427" s="127" t="s">
        <v>511</v>
      </c>
      <c r="AG427" s="131"/>
      <c r="AH427" s="131">
        <v>2</v>
      </c>
      <c r="AI427" s="126" t="s">
        <v>512</v>
      </c>
      <c r="AJ427" s="130" t="s">
        <v>120</v>
      </c>
      <c r="AK427" s="126" t="s">
        <v>240</v>
      </c>
      <c r="AL427" s="126" t="s">
        <v>585</v>
      </c>
      <c r="AM427" s="130"/>
      <c r="AN427" s="126"/>
      <c r="AO427" s="132"/>
      <c r="AP427" s="126"/>
      <c r="AQ427" s="126"/>
      <c r="AR427" s="130"/>
      <c r="AS427" s="126"/>
      <c r="AT427" s="127"/>
      <c r="AU427" s="127">
        <v>43453.3790324074</v>
      </c>
      <c r="AV427" s="127"/>
      <c r="AW427" s="127"/>
      <c r="AX427" s="127"/>
      <c r="AY427" s="127"/>
      <c r="AZ427" s="133">
        <v>43236</v>
      </c>
      <c r="BA42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7" s="135">
        <f>COUNTIFS(_05preva_view43[Site ID],_05preva_view43[[#This Row],[Site ID]],_05preva_view43[Prevalidation Status],"Under Prevalidation")</f>
        <v>0</v>
      </c>
      <c r="BC427" s="157" t="e">
        <f ca="1">HYPERLINK(CheckPath(_05preva_view43[[#This Row],[File Path]],_05preva_view43[[#This Row],[File Path]],_05preva_view43[[#This Row],[Folder Path3]]),CheckPath(_05preva_view43[[#This Row],[File Path]],"Open File","No File"))</f>
        <v>#VALUE!</v>
      </c>
      <c r="BD427" s="136" t="str">
        <f>CONCATENATE(_05preva_view43[[#This Row],[Site ID]]," (",_05preva_view43[[#This Row],[tenant id]],") Application",IF(_05preva_view43[[#This Row],[Colo Rev]]&gt;0," Rev "&amp;_05preva_view43[[#This Row],[Colo Rev]],""),".xlsx")</f>
        <v>ANMD_0163 (MAW2983) Application.xlsx</v>
      </c>
      <c r="BE427" s="64" t="e">
        <f t="shared" ca="1" si="8"/>
        <v>#VALUE!</v>
      </c>
      <c r="BF427" s="104" t="e">
        <f ca="1">LEFT(CELL("filename",A412),_05preva_view43[[#This Row],[Find Process &amp; Database]]-1)</f>
        <v>#VALUE!</v>
      </c>
      <c r="BG427" s="104" t="e">
        <f ca="1">_05preva_view43[Folder Path1]&amp;"Process &amp; Database\Documentation\Colo Applications"</f>
        <v>#VALUE!</v>
      </c>
      <c r="BH427" s="104" t="e">
        <f ca="1">_05preva_view43[Folder Path2]&amp;"\Colo App "&amp;_05preva_view43[[#This Row],[Operator]]&amp;"\"</f>
        <v>#VALUE!</v>
      </c>
      <c r="BI427" s="63" t="e">
        <f ca="1">_05preva_view43[[#This Row],[Folder Path3]]&amp;_05preva_view43[[#This Row],[File Name]]</f>
        <v>#VALUE!</v>
      </c>
      <c r="BJ427" s="104"/>
      <c r="BK427" s="3"/>
      <c r="BL427" s="3"/>
      <c r="CJ427" s="5"/>
      <c r="CK427" s="5"/>
      <c r="CL427" s="3"/>
      <c r="CN427" s="5"/>
      <c r="CR427" s="3"/>
      <c r="CS427" s="3"/>
      <c r="CT427" s="5"/>
      <c r="CV427" s="3"/>
      <c r="DR427" s="5"/>
      <c r="DT427" s="3"/>
      <c r="EF427" s="7"/>
      <c r="EG427" s="7"/>
      <c r="EJ427" s="4"/>
      <c r="EK427" s="4"/>
      <c r="EU427" s="2"/>
      <c r="EV427" s="2"/>
    </row>
    <row r="428" spans="1:152">
      <c r="A428" s="125">
        <v>157</v>
      </c>
      <c r="B428" s="126" t="s">
        <v>586</v>
      </c>
      <c r="C428" s="126" t="s">
        <v>116</v>
      </c>
      <c r="D428" s="126" t="s">
        <v>127</v>
      </c>
      <c r="E428" s="126" t="s">
        <v>587</v>
      </c>
      <c r="F428" s="126" t="s">
        <v>40</v>
      </c>
      <c r="G428" s="126" t="s">
        <v>118</v>
      </c>
      <c r="H428" s="126"/>
      <c r="I428" s="126" t="s">
        <v>118</v>
      </c>
      <c r="J428" s="126"/>
      <c r="K428" s="127">
        <v>43236</v>
      </c>
      <c r="L428" s="128"/>
      <c r="M428" s="128">
        <v>3</v>
      </c>
      <c r="N428" s="126"/>
      <c r="O428" s="126" t="s">
        <v>119</v>
      </c>
      <c r="P428" s="129"/>
      <c r="Q428" s="129"/>
      <c r="R428" s="126" t="s">
        <v>26</v>
      </c>
      <c r="S428" s="126"/>
      <c r="T428" s="130" t="s">
        <v>120</v>
      </c>
      <c r="U428" s="126" t="s">
        <v>378</v>
      </c>
      <c r="V428" s="130" t="s">
        <v>120</v>
      </c>
      <c r="W428" s="126"/>
      <c r="X428" s="130" t="s">
        <v>120</v>
      </c>
      <c r="Y428" s="126" t="s">
        <v>120</v>
      </c>
      <c r="Z428" s="165" t="s">
        <v>120</v>
      </c>
      <c r="AA428" s="158"/>
      <c r="AB428" s="158"/>
      <c r="AC428" s="170"/>
      <c r="AD428" s="126" t="s">
        <v>120</v>
      </c>
      <c r="AE428" s="130" t="s">
        <v>144</v>
      </c>
      <c r="AF428" s="127"/>
      <c r="AG428" s="131"/>
      <c r="AH428" s="131">
        <v>2</v>
      </c>
      <c r="AI428" s="126" t="s">
        <v>588</v>
      </c>
      <c r="AJ428" s="130" t="s">
        <v>120</v>
      </c>
      <c r="AK428" s="126" t="s">
        <v>123</v>
      </c>
      <c r="AL428" s="126"/>
      <c r="AM428" s="130"/>
      <c r="AN428" s="126"/>
      <c r="AO428" s="132"/>
      <c r="AP428" s="126"/>
      <c r="AQ428" s="126"/>
      <c r="AR428" s="130"/>
      <c r="AS428" s="126"/>
      <c r="AT428" s="127"/>
      <c r="AU428" s="127"/>
      <c r="AV428" s="127"/>
      <c r="AW428" s="127"/>
      <c r="AX428" s="127"/>
      <c r="AY428" s="127"/>
      <c r="AZ428" s="133">
        <v>43236</v>
      </c>
      <c r="BA42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8" s="135">
        <f>COUNTIFS(_05preva_view43[Site ID],_05preva_view43[[#This Row],[Site ID]],_05preva_view43[Prevalidation Status],"Under Prevalidation")</f>
        <v>0</v>
      </c>
      <c r="BC428" s="157" t="e">
        <f ca="1">HYPERLINK(CheckPath(_05preva_view43[[#This Row],[File Path]],_05preva_view43[[#This Row],[File Path]],_05preva_view43[[#This Row],[Folder Path3]]),CheckPath(_05preva_view43[[#This Row],[File Path]],"Open File","No File"))</f>
        <v>#VALUE!</v>
      </c>
      <c r="BD428" s="136" t="str">
        <f>CONCATENATE(_05preva_view43[[#This Row],[Site ID]]," (",_05preva_view43[[#This Row],[tenant id]],") Application",IF(_05preva_view43[[#This Row],[Colo Rev]]&gt;0," Rev "&amp;_05preva_view43[[#This Row],[Colo Rev]],""),".xlsx")</f>
        <v>ANSG_0377 (SAW0728) Application.xlsx</v>
      </c>
      <c r="BE428" s="64" t="e">
        <f t="shared" ca="1" si="8"/>
        <v>#VALUE!</v>
      </c>
      <c r="BF428" s="104" t="e">
        <f ca="1">LEFT(CELL("filename",A413),_05preva_view43[[#This Row],[Find Process &amp; Database]]-1)</f>
        <v>#VALUE!</v>
      </c>
      <c r="BG428" s="104" t="e">
        <f ca="1">_05preva_view43[Folder Path1]&amp;"Process &amp; Database\Documentation\Colo Applications"</f>
        <v>#VALUE!</v>
      </c>
      <c r="BH428" s="104" t="e">
        <f ca="1">_05preva_view43[Folder Path2]&amp;"\Colo App "&amp;_05preva_view43[[#This Row],[Operator]]&amp;"\"</f>
        <v>#VALUE!</v>
      </c>
      <c r="BI428" s="63" t="e">
        <f ca="1">_05preva_view43[[#This Row],[Folder Path3]]&amp;_05preva_view43[[#This Row],[File Name]]</f>
        <v>#VALUE!</v>
      </c>
      <c r="BJ428" s="104"/>
      <c r="BK428" s="3"/>
      <c r="BL428" s="3"/>
      <c r="CJ428" s="5"/>
      <c r="CK428" s="5"/>
      <c r="CL428" s="3"/>
      <c r="CN428" s="5"/>
      <c r="CR428" s="3"/>
      <c r="CS428" s="3"/>
      <c r="CT428" s="5"/>
      <c r="CV428" s="3"/>
      <c r="DR428" s="5"/>
      <c r="DT428" s="3"/>
      <c r="EF428" s="7"/>
      <c r="EG428" s="7"/>
      <c r="EJ428" s="4"/>
      <c r="EK428" s="4"/>
      <c r="EU428" s="2"/>
      <c r="EV428" s="2"/>
    </row>
    <row r="429" spans="1:152">
      <c r="A429" s="125">
        <v>159</v>
      </c>
      <c r="B429" s="126" t="s">
        <v>589</v>
      </c>
      <c r="C429" s="126" t="s">
        <v>116</v>
      </c>
      <c r="D429" s="126" t="s">
        <v>163</v>
      </c>
      <c r="E429" s="126" t="s">
        <v>590</v>
      </c>
      <c r="F429" s="126" t="s">
        <v>40</v>
      </c>
      <c r="G429" s="126" t="s">
        <v>118</v>
      </c>
      <c r="H429" s="126"/>
      <c r="I429" s="126" t="s">
        <v>118</v>
      </c>
      <c r="J429" s="126"/>
      <c r="K429" s="127">
        <v>43236</v>
      </c>
      <c r="L429" s="128"/>
      <c r="M429" s="128">
        <v>3</v>
      </c>
      <c r="N429" s="126"/>
      <c r="O429" s="126" t="s">
        <v>119</v>
      </c>
      <c r="P429" s="129"/>
      <c r="Q429" s="129"/>
      <c r="R429" s="126" t="s">
        <v>27</v>
      </c>
      <c r="S429" s="126"/>
      <c r="T429" s="130" t="s">
        <v>120</v>
      </c>
      <c r="U429" s="126" t="s">
        <v>378</v>
      </c>
      <c r="V429" s="130" t="s">
        <v>125</v>
      </c>
      <c r="W429" s="126"/>
      <c r="X429" s="130" t="s">
        <v>120</v>
      </c>
      <c r="Y429" s="126" t="s">
        <v>120</v>
      </c>
      <c r="Z429" s="165" t="s">
        <v>120</v>
      </c>
      <c r="AA429" s="158"/>
      <c r="AB429" s="158"/>
      <c r="AC429" s="170" t="s">
        <v>454</v>
      </c>
      <c r="AD429" s="126"/>
      <c r="AE429" s="130" t="s">
        <v>125</v>
      </c>
      <c r="AF429" s="127"/>
      <c r="AG429" s="131"/>
      <c r="AH429" s="131"/>
      <c r="AI429" s="126" t="s">
        <v>591</v>
      </c>
      <c r="AJ429" s="130" t="s">
        <v>120</v>
      </c>
      <c r="AK429" s="126" t="s">
        <v>123</v>
      </c>
      <c r="AL429" s="126"/>
      <c r="AM429" s="130"/>
      <c r="AN429" s="126"/>
      <c r="AO429" s="132"/>
      <c r="AP429" s="126"/>
      <c r="AQ429" s="126"/>
      <c r="AR429" s="130"/>
      <c r="AS429" s="126"/>
      <c r="AT429" s="127"/>
      <c r="AU429" s="127"/>
      <c r="AV429" s="127"/>
      <c r="AW429" s="127"/>
      <c r="AX429" s="127"/>
      <c r="AY429" s="127"/>
      <c r="AZ429" s="133"/>
      <c r="BA42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9" s="135">
        <f>COUNTIFS(_05preva_view43[Site ID],_05preva_view43[[#This Row],[Site ID]],_05preva_view43[Prevalidation Status],"Under Prevalidation")</f>
        <v>0</v>
      </c>
      <c r="BC429" s="157" t="e">
        <f ca="1">HYPERLINK(CheckPath(_05preva_view43[[#This Row],[File Path]],_05preva_view43[[#This Row],[File Path]],_05preva_view43[[#This Row],[Folder Path3]]),CheckPath(_05preva_view43[[#This Row],[File Path]],"Open File","No File"))</f>
        <v>#VALUE!</v>
      </c>
      <c r="BD429" s="136" t="str">
        <f>CONCATENATE(_05preva_view43[[#This Row],[Site ID]]," (",_05preva_view43[[#This Row],[tenant id]],") Application",IF(_05preva_view43[[#This Row],[Colo Rev]]&gt;0," Rev "&amp;_05preva_view43[[#This Row],[Colo Rev]],""),".xlsx")</f>
        <v>ACAY_0146 (AYW5596) Application.xlsx</v>
      </c>
      <c r="BE429" s="64" t="e">
        <f t="shared" ca="1" si="8"/>
        <v>#VALUE!</v>
      </c>
      <c r="BF429" s="104" t="e">
        <f ca="1">LEFT(CELL("filename",A414),_05preva_view43[[#This Row],[Find Process &amp; Database]]-1)</f>
        <v>#VALUE!</v>
      </c>
      <c r="BG429" s="104" t="e">
        <f ca="1">_05preva_view43[Folder Path1]&amp;"Process &amp; Database\Documentation\Colo Applications"</f>
        <v>#VALUE!</v>
      </c>
      <c r="BH429" s="104" t="e">
        <f ca="1">_05preva_view43[Folder Path2]&amp;"\Colo App "&amp;_05preva_view43[[#This Row],[Operator]]&amp;"\"</f>
        <v>#VALUE!</v>
      </c>
      <c r="BI429" s="63" t="e">
        <f ca="1">_05preva_view43[[#This Row],[Folder Path3]]&amp;_05preva_view43[[#This Row],[File Name]]</f>
        <v>#VALUE!</v>
      </c>
      <c r="BJ429" s="104"/>
      <c r="BK429" s="3"/>
      <c r="BL429" s="3"/>
      <c r="CJ429" s="5"/>
      <c r="CK429" s="5"/>
      <c r="CL429" s="3"/>
      <c r="CN429" s="5"/>
      <c r="CR429" s="3"/>
      <c r="CS429" s="3"/>
      <c r="CT429" s="5"/>
      <c r="CV429" s="3"/>
      <c r="DR429" s="5"/>
      <c r="DT429" s="3"/>
      <c r="EF429" s="7"/>
      <c r="EG429" s="7"/>
      <c r="EJ429" s="4"/>
      <c r="EK429" s="4"/>
      <c r="EU429" s="2"/>
      <c r="EV429" s="2"/>
    </row>
    <row r="430" spans="1:152">
      <c r="A430" s="125">
        <v>160</v>
      </c>
      <c r="B430" s="126" t="s">
        <v>592</v>
      </c>
      <c r="C430" s="126" t="s">
        <v>116</v>
      </c>
      <c r="D430" s="126" t="s">
        <v>127</v>
      </c>
      <c r="E430" s="126" t="s">
        <v>593</v>
      </c>
      <c r="F430" s="126" t="s">
        <v>40</v>
      </c>
      <c r="G430" s="126" t="s">
        <v>118</v>
      </c>
      <c r="H430" s="126"/>
      <c r="I430" s="126" t="s">
        <v>118</v>
      </c>
      <c r="J430" s="126"/>
      <c r="K430" s="127">
        <v>43236</v>
      </c>
      <c r="L430" s="128"/>
      <c r="M430" s="128">
        <v>3</v>
      </c>
      <c r="N430" s="126"/>
      <c r="O430" s="126" t="s">
        <v>119</v>
      </c>
      <c r="P430" s="129"/>
      <c r="Q430" s="129"/>
      <c r="R430" s="126" t="s">
        <v>26</v>
      </c>
      <c r="S430" s="126"/>
      <c r="T430" s="130" t="s">
        <v>120</v>
      </c>
      <c r="U430" s="126" t="s">
        <v>378</v>
      </c>
      <c r="V430" s="130" t="s">
        <v>120</v>
      </c>
      <c r="W430" s="126"/>
      <c r="X430" s="130" t="s">
        <v>120</v>
      </c>
      <c r="Y430" s="126" t="s">
        <v>399</v>
      </c>
      <c r="Z430" s="165" t="s">
        <v>120</v>
      </c>
      <c r="AA430" s="158"/>
      <c r="AB430" s="158"/>
      <c r="AC430" s="170"/>
      <c r="AD430" s="126" t="s">
        <v>419</v>
      </c>
      <c r="AE430" s="130" t="s">
        <v>144</v>
      </c>
      <c r="AF430" s="127"/>
      <c r="AG430" s="131"/>
      <c r="AH430" s="131">
        <v>2</v>
      </c>
      <c r="AI430" s="126" t="s">
        <v>594</v>
      </c>
      <c r="AJ430" s="130" t="s">
        <v>120</v>
      </c>
      <c r="AK430" s="126" t="s">
        <v>123</v>
      </c>
      <c r="AL430" s="126"/>
      <c r="AM430" s="130"/>
      <c r="AN430" s="126"/>
      <c r="AO430" s="132"/>
      <c r="AP430" s="126"/>
      <c r="AQ430" s="126"/>
      <c r="AR430" s="130"/>
      <c r="AS430" s="126"/>
      <c r="AT430" s="127"/>
      <c r="AU430" s="127"/>
      <c r="AV430" s="127"/>
      <c r="AW430" s="127"/>
      <c r="AX430" s="127"/>
      <c r="AY430" s="127"/>
      <c r="AZ430" s="133">
        <v>43236</v>
      </c>
      <c r="BA43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0" s="135">
        <f>COUNTIFS(_05preva_view43[Site ID],_05preva_view43[[#This Row],[Site ID]],_05preva_view43[Prevalidation Status],"Under Prevalidation")</f>
        <v>0</v>
      </c>
      <c r="BC430" s="157" t="e">
        <f ca="1">HYPERLINK(CheckPath(_05preva_view43[[#This Row],[File Path]],_05preva_view43[[#This Row],[File Path]],_05preva_view43[[#This Row],[Folder Path3]]),CheckPath(_05preva_view43[[#This Row],[File Path]],"Open File","No File"))</f>
        <v>#VALUE!</v>
      </c>
      <c r="BD430" s="136" t="str">
        <f>CONCATENATE(_05preva_view43[[#This Row],[Site ID]]," (",_05preva_view43[[#This Row],[tenant id]],") Application",IF(_05preva_view43[[#This Row],[Colo Rev]]&gt;0," Rev "&amp;_05preva_view43[[#This Row],[Colo Rev]],""),".xlsx")</f>
        <v>ANSG_0382 (SAW0727) Application.xlsx</v>
      </c>
      <c r="BE430" s="64" t="e">
        <f t="shared" ca="1" si="8"/>
        <v>#VALUE!</v>
      </c>
      <c r="BF430" s="104" t="e">
        <f ca="1">LEFT(CELL("filename",A415),_05preva_view43[[#This Row],[Find Process &amp; Database]]-1)</f>
        <v>#VALUE!</v>
      </c>
      <c r="BG430" s="104" t="e">
        <f ca="1">_05preva_view43[Folder Path1]&amp;"Process &amp; Database\Documentation\Colo Applications"</f>
        <v>#VALUE!</v>
      </c>
      <c r="BH430" s="104" t="e">
        <f ca="1">_05preva_view43[Folder Path2]&amp;"\Colo App "&amp;_05preva_view43[[#This Row],[Operator]]&amp;"\"</f>
        <v>#VALUE!</v>
      </c>
      <c r="BI430" s="63" t="e">
        <f ca="1">_05preva_view43[[#This Row],[Folder Path3]]&amp;_05preva_view43[[#This Row],[File Name]]</f>
        <v>#VALUE!</v>
      </c>
      <c r="BJ430" s="104"/>
      <c r="BK430" s="3"/>
      <c r="BL430" s="3"/>
      <c r="CJ430" s="5"/>
      <c r="CK430" s="5"/>
      <c r="CL430" s="3"/>
      <c r="CN430" s="5"/>
      <c r="CR430" s="3"/>
      <c r="CS430" s="3"/>
      <c r="CT430" s="5"/>
      <c r="CV430" s="3"/>
      <c r="DR430" s="5"/>
      <c r="DT430" s="3"/>
      <c r="EF430" s="7"/>
      <c r="EG430" s="7"/>
      <c r="EJ430" s="4"/>
      <c r="EK430" s="4"/>
      <c r="EU430" s="2"/>
      <c r="EV430" s="2"/>
    </row>
    <row r="431" spans="1:152">
      <c r="A431" s="125">
        <v>162</v>
      </c>
      <c r="B431" s="126" t="s">
        <v>595</v>
      </c>
      <c r="C431" s="126" t="s">
        <v>116</v>
      </c>
      <c r="D431" s="126" t="s">
        <v>127</v>
      </c>
      <c r="E431" s="126" t="s">
        <v>596</v>
      </c>
      <c r="F431" s="126" t="s">
        <v>40</v>
      </c>
      <c r="G431" s="126" t="s">
        <v>118</v>
      </c>
      <c r="H431" s="126"/>
      <c r="I431" s="126" t="s">
        <v>118</v>
      </c>
      <c r="J431" s="126"/>
      <c r="K431" s="127">
        <v>43236</v>
      </c>
      <c r="L431" s="128"/>
      <c r="M431" s="128">
        <v>3</v>
      </c>
      <c r="N431" s="126"/>
      <c r="O431" s="126" t="s">
        <v>119</v>
      </c>
      <c r="P431" s="129"/>
      <c r="Q431" s="129"/>
      <c r="R431" s="126" t="s">
        <v>26</v>
      </c>
      <c r="S431" s="126"/>
      <c r="T431" s="130" t="s">
        <v>144</v>
      </c>
      <c r="U431" s="126" t="s">
        <v>371</v>
      </c>
      <c r="V431" s="130" t="s">
        <v>120</v>
      </c>
      <c r="W431" s="126"/>
      <c r="X431" s="130"/>
      <c r="Y431" s="126"/>
      <c r="Z431" s="165" t="s">
        <v>125</v>
      </c>
      <c r="AA431" s="158"/>
      <c r="AB431" s="158"/>
      <c r="AC431" s="170"/>
      <c r="AD431" s="126" t="s">
        <v>336</v>
      </c>
      <c r="AE431" s="130"/>
      <c r="AF431" s="127"/>
      <c r="AG431" s="131"/>
      <c r="AH431" s="131">
        <v>2</v>
      </c>
      <c r="AI431" s="126"/>
      <c r="AJ431" s="130"/>
      <c r="AK431" s="126"/>
      <c r="AL431" s="126"/>
      <c r="AM431" s="130"/>
      <c r="AN431" s="126"/>
      <c r="AO431" s="132"/>
      <c r="AP431" s="126"/>
      <c r="AQ431" s="126"/>
      <c r="AR431" s="130"/>
      <c r="AS431" s="126"/>
      <c r="AT431" s="127"/>
      <c r="AU431" s="127"/>
      <c r="AV431" s="127"/>
      <c r="AW431" s="127"/>
      <c r="AX431" s="127"/>
      <c r="AY431" s="127"/>
      <c r="AZ431" s="133">
        <v>43236</v>
      </c>
      <c r="BA43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1" s="135">
        <f>COUNTIFS(_05preva_view43[Site ID],_05preva_view43[[#This Row],[Site ID]],_05preva_view43[Prevalidation Status],"Under Prevalidation")</f>
        <v>0</v>
      </c>
      <c r="BC431" s="157" t="e">
        <f ca="1">HYPERLINK(CheckPath(_05preva_view43[[#This Row],[File Path]],_05preva_view43[[#This Row],[File Path]],_05preva_view43[[#This Row],[Folder Path3]]),CheckPath(_05preva_view43[[#This Row],[File Path]],"Open File","No File"))</f>
        <v>#VALUE!</v>
      </c>
      <c r="BD431" s="136" t="str">
        <f>CONCATENATE(_05preva_view43[[#This Row],[Site ID]]," (",_05preva_view43[[#This Row],[tenant id]],") Application",IF(_05preva_view43[[#This Row],[Colo Rev]]&gt;0," Rev "&amp;_05preva_view43[[#This Row],[Colo Rev]],""),".xlsx")</f>
        <v>ANMD_0018 (MAW2217) Application.xlsx</v>
      </c>
      <c r="BE431" s="64" t="e">
        <f t="shared" ca="1" si="8"/>
        <v>#VALUE!</v>
      </c>
      <c r="BF431" s="104" t="e">
        <f ca="1">LEFT(CELL("filename",A416),_05preva_view43[[#This Row],[Find Process &amp; Database]]-1)</f>
        <v>#VALUE!</v>
      </c>
      <c r="BG431" s="104" t="e">
        <f ca="1">_05preva_view43[Folder Path1]&amp;"Process &amp; Database\Documentation\Colo Applications"</f>
        <v>#VALUE!</v>
      </c>
      <c r="BH431" s="104" t="e">
        <f ca="1">_05preva_view43[Folder Path2]&amp;"\Colo App "&amp;_05preva_view43[[#This Row],[Operator]]&amp;"\"</f>
        <v>#VALUE!</v>
      </c>
      <c r="BI431" s="63" t="e">
        <f ca="1">_05preva_view43[[#This Row],[Folder Path3]]&amp;_05preva_view43[[#This Row],[File Name]]</f>
        <v>#VALUE!</v>
      </c>
      <c r="BJ431" s="104"/>
      <c r="BK431" s="3"/>
      <c r="BL431" s="3"/>
      <c r="CJ431" s="5"/>
      <c r="CK431" s="5"/>
      <c r="CL431" s="3"/>
      <c r="CN431" s="5"/>
      <c r="CR431" s="3"/>
      <c r="CS431" s="3"/>
      <c r="CT431" s="5"/>
      <c r="CV431" s="3"/>
      <c r="DR431" s="5"/>
      <c r="DT431" s="3"/>
      <c r="EF431" s="7"/>
      <c r="EG431" s="7"/>
      <c r="EJ431" s="4"/>
      <c r="EK431" s="4"/>
      <c r="EU431" s="2"/>
      <c r="EV431" s="2"/>
    </row>
    <row r="432" spans="1:152">
      <c r="A432" s="125">
        <v>164</v>
      </c>
      <c r="B432" s="126" t="s">
        <v>597</v>
      </c>
      <c r="C432" s="126" t="s">
        <v>116</v>
      </c>
      <c r="D432" s="126" t="s">
        <v>127</v>
      </c>
      <c r="E432" s="126" t="s">
        <v>598</v>
      </c>
      <c r="F432" s="126" t="s">
        <v>40</v>
      </c>
      <c r="G432" s="126" t="s">
        <v>118</v>
      </c>
      <c r="H432" s="126"/>
      <c r="I432" s="126" t="s">
        <v>118</v>
      </c>
      <c r="J432" s="126"/>
      <c r="K432" s="127">
        <v>43236</v>
      </c>
      <c r="L432" s="128"/>
      <c r="M432" s="128">
        <v>3</v>
      </c>
      <c r="N432" s="126"/>
      <c r="O432" s="126" t="s">
        <v>119</v>
      </c>
      <c r="P432" s="129"/>
      <c r="Q432" s="129"/>
      <c r="R432" s="126" t="s">
        <v>26</v>
      </c>
      <c r="S432" s="126"/>
      <c r="T432" s="130" t="s">
        <v>144</v>
      </c>
      <c r="U432" s="126" t="s">
        <v>599</v>
      </c>
      <c r="V432" s="130" t="s">
        <v>120</v>
      </c>
      <c r="W432" s="126"/>
      <c r="X432" s="130"/>
      <c r="Y432" s="126"/>
      <c r="Z432" s="165" t="s">
        <v>125</v>
      </c>
      <c r="AA432" s="158"/>
      <c r="AB432" s="158"/>
      <c r="AC432" s="170"/>
      <c r="AD432" s="126" t="s">
        <v>336</v>
      </c>
      <c r="AE432" s="130"/>
      <c r="AF432" s="127"/>
      <c r="AG432" s="131"/>
      <c r="AH432" s="131">
        <v>2</v>
      </c>
      <c r="AI432" s="126"/>
      <c r="AJ432" s="130"/>
      <c r="AK432" s="126"/>
      <c r="AL432" s="126"/>
      <c r="AM432" s="130"/>
      <c r="AN432" s="126"/>
      <c r="AO432" s="132"/>
      <c r="AP432" s="126"/>
      <c r="AQ432" s="126"/>
      <c r="AR432" s="130"/>
      <c r="AS432" s="126"/>
      <c r="AT432" s="127"/>
      <c r="AU432" s="127"/>
      <c r="AV432" s="127"/>
      <c r="AW432" s="127"/>
      <c r="AX432" s="127"/>
      <c r="AY432" s="127"/>
      <c r="AZ432" s="133">
        <v>43236</v>
      </c>
      <c r="BA43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2" s="135">
        <f>COUNTIFS(_05preva_view43[Site ID],_05preva_view43[[#This Row],[Site ID]],_05preva_view43[Prevalidation Status],"Under Prevalidation")</f>
        <v>0</v>
      </c>
      <c r="BC432" s="157" t="e">
        <f ca="1">HYPERLINK(CheckPath(_05preva_view43[[#This Row],[File Path]],_05preva_view43[[#This Row],[File Path]],_05preva_view43[[#This Row],[Folder Path3]]),CheckPath(_05preva_view43[[#This Row],[File Path]],"Open File","No File"))</f>
        <v>#VALUE!</v>
      </c>
      <c r="BD432" s="136" t="str">
        <f>CONCATENATE(_05preva_view43[[#This Row],[Site ID]]," (",_05preva_view43[[#This Row],[tenant id]],") Application",IF(_05preva_view43[[#This Row],[Colo Rev]]&gt;0," Rev "&amp;_05preva_view43[[#This Row],[Colo Rev]],""),".xlsx")</f>
        <v>ANMD_0095 (MAW2996) Application.xlsx</v>
      </c>
      <c r="BE432" s="64" t="e">
        <f t="shared" ca="1" si="8"/>
        <v>#VALUE!</v>
      </c>
      <c r="BF432" s="104" t="e">
        <f ca="1">LEFT(CELL("filename",A417),_05preva_view43[[#This Row],[Find Process &amp; Database]]-1)</f>
        <v>#VALUE!</v>
      </c>
      <c r="BG432" s="104" t="e">
        <f ca="1">_05preva_view43[Folder Path1]&amp;"Process &amp; Database\Documentation\Colo Applications"</f>
        <v>#VALUE!</v>
      </c>
      <c r="BH432" s="104" t="e">
        <f ca="1">_05preva_view43[Folder Path2]&amp;"\Colo App "&amp;_05preva_view43[[#This Row],[Operator]]&amp;"\"</f>
        <v>#VALUE!</v>
      </c>
      <c r="BI432" s="63" t="e">
        <f ca="1">_05preva_view43[[#This Row],[Folder Path3]]&amp;_05preva_view43[[#This Row],[File Name]]</f>
        <v>#VALUE!</v>
      </c>
      <c r="BJ432" s="104"/>
      <c r="BK432" s="3"/>
      <c r="BL432" s="3"/>
      <c r="CJ432" s="5"/>
      <c r="CK432" s="5"/>
      <c r="CL432" s="3"/>
      <c r="CN432" s="5"/>
      <c r="CR432" s="3"/>
      <c r="CS432" s="3"/>
      <c r="CT432" s="5"/>
      <c r="CV432" s="3"/>
      <c r="DR432" s="5"/>
      <c r="DT432" s="3"/>
      <c r="EF432" s="7"/>
      <c r="EG432" s="7"/>
      <c r="EJ432" s="4"/>
      <c r="EK432" s="4"/>
      <c r="EU432" s="2"/>
      <c r="EV432" s="2"/>
    </row>
    <row r="433" spans="1:152">
      <c r="A433" s="125">
        <v>165</v>
      </c>
      <c r="B433" s="126" t="s">
        <v>600</v>
      </c>
      <c r="C433" s="126" t="s">
        <v>116</v>
      </c>
      <c r="D433" s="126" t="s">
        <v>127</v>
      </c>
      <c r="E433" s="126" t="s">
        <v>601</v>
      </c>
      <c r="F433" s="126" t="s">
        <v>40</v>
      </c>
      <c r="G433" s="126" t="s">
        <v>118</v>
      </c>
      <c r="H433" s="126"/>
      <c r="I433" s="126" t="s">
        <v>118</v>
      </c>
      <c r="J433" s="126"/>
      <c r="K433" s="127">
        <v>43236</v>
      </c>
      <c r="L433" s="128"/>
      <c r="M433" s="128">
        <v>3</v>
      </c>
      <c r="N433" s="126"/>
      <c r="O433" s="126" t="s">
        <v>119</v>
      </c>
      <c r="P433" s="129"/>
      <c r="Q433" s="129"/>
      <c r="R433" s="126" t="s">
        <v>24</v>
      </c>
      <c r="S433" s="126"/>
      <c r="T433" s="130" t="s">
        <v>120</v>
      </c>
      <c r="U433" s="126" t="s">
        <v>378</v>
      </c>
      <c r="V433" s="130" t="s">
        <v>120</v>
      </c>
      <c r="W433" s="126"/>
      <c r="X433" s="130" t="s">
        <v>120</v>
      </c>
      <c r="Y433" s="126" t="s">
        <v>120</v>
      </c>
      <c r="Z433" s="165" t="s">
        <v>120</v>
      </c>
      <c r="AA433" s="158"/>
      <c r="AB433" s="158"/>
      <c r="AC433" s="170"/>
      <c r="AD433" s="126" t="s">
        <v>120</v>
      </c>
      <c r="AE433" s="130" t="s">
        <v>120</v>
      </c>
      <c r="AF433" s="127" t="s">
        <v>120</v>
      </c>
      <c r="AG433" s="131"/>
      <c r="AH433" s="131">
        <v>2</v>
      </c>
      <c r="AI433" s="126" t="s">
        <v>384</v>
      </c>
      <c r="AJ433" s="130" t="s">
        <v>120</v>
      </c>
      <c r="AK433" s="126" t="s">
        <v>123</v>
      </c>
      <c r="AL433" s="126"/>
      <c r="AM433" s="130"/>
      <c r="AN433" s="126"/>
      <c r="AO433" s="132"/>
      <c r="AP433" s="126"/>
      <c r="AQ433" s="126"/>
      <c r="AR433" s="130"/>
      <c r="AS433" s="126"/>
      <c r="AT433" s="127"/>
      <c r="AU433" s="127">
        <v>43453.379036458296</v>
      </c>
      <c r="AV433" s="127"/>
      <c r="AW433" s="127"/>
      <c r="AX433" s="127"/>
      <c r="AY433" s="127"/>
      <c r="AZ433" s="133">
        <v>43236</v>
      </c>
      <c r="BA43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3" s="135">
        <f>COUNTIFS(_05preva_view43[Site ID],_05preva_view43[[#This Row],[Site ID]],_05preva_view43[Prevalidation Status],"Under Prevalidation")</f>
        <v>0</v>
      </c>
      <c r="BC433" s="157" t="e">
        <f ca="1">HYPERLINK(CheckPath(_05preva_view43[[#This Row],[File Path]],_05preva_view43[[#This Row],[File Path]],_05preva_view43[[#This Row],[Folder Path3]]),CheckPath(_05preva_view43[[#This Row],[File Path]],"Open File","No File"))</f>
        <v>#VALUE!</v>
      </c>
      <c r="BD433" s="136" t="str">
        <f>CONCATENATE(_05preva_view43[[#This Row],[Site ID]]," (",_05preva_view43[[#This Row],[tenant id]],") Application",IF(_05preva_view43[[#This Row],[Colo Rev]]&gt;0," Rev "&amp;_05preva_view43[[#This Row],[Colo Rev]],""),".xlsx")</f>
        <v>ANMD_0171 (MAW2992) Application.xlsx</v>
      </c>
      <c r="BE433" s="64" t="e">
        <f t="shared" ca="1" si="8"/>
        <v>#VALUE!</v>
      </c>
      <c r="BF433" s="104" t="e">
        <f ca="1">LEFT(CELL("filename",A418),_05preva_view43[[#This Row],[Find Process &amp; Database]]-1)</f>
        <v>#VALUE!</v>
      </c>
      <c r="BG433" s="104" t="e">
        <f ca="1">_05preva_view43[Folder Path1]&amp;"Process &amp; Database\Documentation\Colo Applications"</f>
        <v>#VALUE!</v>
      </c>
      <c r="BH433" s="104" t="e">
        <f ca="1">_05preva_view43[Folder Path2]&amp;"\Colo App "&amp;_05preva_view43[[#This Row],[Operator]]&amp;"\"</f>
        <v>#VALUE!</v>
      </c>
      <c r="BI433" s="63" t="e">
        <f ca="1">_05preva_view43[[#This Row],[Folder Path3]]&amp;_05preva_view43[[#This Row],[File Name]]</f>
        <v>#VALUE!</v>
      </c>
      <c r="BJ433" s="104"/>
      <c r="BK433" s="3"/>
      <c r="BL433" s="3"/>
      <c r="CJ433" s="5"/>
      <c r="CK433" s="5"/>
      <c r="CL433" s="3"/>
      <c r="CN433" s="5"/>
      <c r="CR433" s="3"/>
      <c r="CS433" s="3"/>
      <c r="CT433" s="5"/>
      <c r="CV433" s="3"/>
      <c r="DR433" s="5"/>
      <c r="DT433" s="3"/>
      <c r="EF433" s="7"/>
      <c r="EG433" s="7"/>
      <c r="EJ433" s="4"/>
      <c r="EK433" s="4"/>
      <c r="EU433" s="2"/>
      <c r="EV433" s="2"/>
    </row>
    <row r="434" spans="1:152">
      <c r="A434" s="125">
        <v>167</v>
      </c>
      <c r="B434" s="126" t="s">
        <v>602</v>
      </c>
      <c r="C434" s="126" t="s">
        <v>116</v>
      </c>
      <c r="D434" s="126" t="s">
        <v>163</v>
      </c>
      <c r="E434" s="126" t="s">
        <v>603</v>
      </c>
      <c r="F434" s="126" t="s">
        <v>40</v>
      </c>
      <c r="G434" s="126" t="s">
        <v>118</v>
      </c>
      <c r="H434" s="126"/>
      <c r="I434" s="126" t="s">
        <v>118</v>
      </c>
      <c r="J434" s="126"/>
      <c r="K434" s="127">
        <v>43236</v>
      </c>
      <c r="L434" s="128"/>
      <c r="M434" s="128">
        <v>3</v>
      </c>
      <c r="N434" s="126"/>
      <c r="O434" s="126" t="s">
        <v>119</v>
      </c>
      <c r="P434" s="129"/>
      <c r="Q434" s="129"/>
      <c r="R434" s="126" t="s">
        <v>26</v>
      </c>
      <c r="S434" s="126"/>
      <c r="T434" s="130" t="s">
        <v>120</v>
      </c>
      <c r="U434" s="126" t="s">
        <v>531</v>
      </c>
      <c r="V434" s="130" t="s">
        <v>144</v>
      </c>
      <c r="W434" s="126"/>
      <c r="X434" s="130"/>
      <c r="Y434" s="126"/>
      <c r="Z434" s="165" t="s">
        <v>120</v>
      </c>
      <c r="AA434" s="158"/>
      <c r="AB434" s="158"/>
      <c r="AC434" s="170"/>
      <c r="AD434" s="126" t="s">
        <v>419</v>
      </c>
      <c r="AE434" s="130" t="s">
        <v>120</v>
      </c>
      <c r="AF434" s="127" t="s">
        <v>241</v>
      </c>
      <c r="AG434" s="131"/>
      <c r="AH434" s="131">
        <v>3.5</v>
      </c>
      <c r="AI434" s="126" t="s">
        <v>487</v>
      </c>
      <c r="AJ434" s="130" t="s">
        <v>120</v>
      </c>
      <c r="AK434" s="126" t="s">
        <v>123</v>
      </c>
      <c r="AL434" s="126"/>
      <c r="AM434" s="130"/>
      <c r="AN434" s="126"/>
      <c r="AO434" s="132"/>
      <c r="AP434" s="126"/>
      <c r="AQ434" s="126"/>
      <c r="AR434" s="130"/>
      <c r="AS434" s="126"/>
      <c r="AT434" s="127"/>
      <c r="AU434" s="127">
        <v>43453.379037268503</v>
      </c>
      <c r="AV434" s="127"/>
      <c r="AW434" s="127"/>
      <c r="AX434" s="127"/>
      <c r="AY434" s="127"/>
      <c r="AZ434" s="133">
        <v>43236</v>
      </c>
      <c r="BA43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4" s="135">
        <f>COUNTIFS(_05preva_view43[Site ID],_05preva_view43[[#This Row],[Site ID]],_05preva_view43[Prevalidation Status],"Under Prevalidation")</f>
        <v>0</v>
      </c>
      <c r="BC434" s="157" t="e">
        <f ca="1">HYPERLINK(CheckPath(_05preva_view43[[#This Row],[File Path]],_05preva_view43[[#This Row],[File Path]],_05preva_view43[[#This Row],[Folder Path3]]),CheckPath(_05preva_view43[[#This Row],[File Path]],"Open File","No File"))</f>
        <v>#VALUE!</v>
      </c>
      <c r="BD434" s="136" t="str">
        <f>CONCATENATE(_05preva_view43[[#This Row],[Site ID]]," (",_05preva_view43[[#This Row],[tenant id]],") Application",IF(_05preva_view43[[#This Row],[Colo Rev]]&gt;0," Rev "&amp;_05preva_view43[[#This Row],[Colo Rev]],""),".xlsx")</f>
        <v>ACAY_0163 (AYW5526) Application.xlsx</v>
      </c>
      <c r="BE434" s="64" t="e">
        <f t="shared" ca="1" si="8"/>
        <v>#VALUE!</v>
      </c>
      <c r="BF434" s="104" t="e">
        <f ca="1">LEFT(CELL("filename",A419),_05preva_view43[[#This Row],[Find Process &amp; Database]]-1)</f>
        <v>#VALUE!</v>
      </c>
      <c r="BG434" s="104" t="e">
        <f ca="1">_05preva_view43[Folder Path1]&amp;"Process &amp; Database\Documentation\Colo Applications"</f>
        <v>#VALUE!</v>
      </c>
      <c r="BH434" s="104" t="e">
        <f ca="1">_05preva_view43[Folder Path2]&amp;"\Colo App "&amp;_05preva_view43[[#This Row],[Operator]]&amp;"\"</f>
        <v>#VALUE!</v>
      </c>
      <c r="BI434" s="63" t="e">
        <f ca="1">_05preva_view43[[#This Row],[Folder Path3]]&amp;_05preva_view43[[#This Row],[File Name]]</f>
        <v>#VALUE!</v>
      </c>
      <c r="BJ434" s="104"/>
      <c r="BK434" s="3"/>
      <c r="BL434" s="3"/>
      <c r="CJ434" s="5"/>
      <c r="CK434" s="5"/>
      <c r="CL434" s="3"/>
      <c r="CN434" s="5"/>
      <c r="CR434" s="3"/>
      <c r="CS434" s="3"/>
      <c r="CT434" s="5"/>
      <c r="CV434" s="3"/>
      <c r="DR434" s="5"/>
      <c r="DT434" s="3"/>
      <c r="EF434" s="7"/>
      <c r="EG434" s="7"/>
      <c r="EJ434" s="4"/>
      <c r="EK434" s="4"/>
      <c r="EU434" s="2"/>
      <c r="EV434" s="2"/>
    </row>
    <row r="435" spans="1:152">
      <c r="A435" s="125">
        <v>168</v>
      </c>
      <c r="B435" s="126" t="s">
        <v>604</v>
      </c>
      <c r="C435" s="126" t="s">
        <v>116</v>
      </c>
      <c r="D435" s="126" t="s">
        <v>117</v>
      </c>
      <c r="E435" s="126" t="s">
        <v>605</v>
      </c>
      <c r="F435" s="126" t="s">
        <v>40</v>
      </c>
      <c r="G435" s="126" t="s">
        <v>118</v>
      </c>
      <c r="H435" s="126"/>
      <c r="I435" s="126" t="s">
        <v>118</v>
      </c>
      <c r="J435" s="126"/>
      <c r="K435" s="127">
        <v>43236</v>
      </c>
      <c r="L435" s="128"/>
      <c r="M435" s="128">
        <v>3</v>
      </c>
      <c r="N435" s="126"/>
      <c r="O435" s="126" t="s">
        <v>119</v>
      </c>
      <c r="P435" s="129"/>
      <c r="Q435" s="129"/>
      <c r="R435" s="126" t="s">
        <v>24</v>
      </c>
      <c r="S435" s="126"/>
      <c r="T435" s="130" t="s">
        <v>120</v>
      </c>
      <c r="U435" s="126" t="s">
        <v>378</v>
      </c>
      <c r="V435" s="130" t="s">
        <v>120</v>
      </c>
      <c r="W435" s="126"/>
      <c r="X435" s="130" t="s">
        <v>120</v>
      </c>
      <c r="Y435" s="126" t="s">
        <v>399</v>
      </c>
      <c r="Z435" s="165" t="s">
        <v>120</v>
      </c>
      <c r="AA435" s="158"/>
      <c r="AB435" s="158"/>
      <c r="AC435" s="170"/>
      <c r="AD435" s="126" t="s">
        <v>120</v>
      </c>
      <c r="AE435" s="130" t="s">
        <v>120</v>
      </c>
      <c r="AF435" s="127" t="s">
        <v>241</v>
      </c>
      <c r="AG435" s="131"/>
      <c r="AH435" s="131">
        <v>3.5</v>
      </c>
      <c r="AI435" s="126" t="s">
        <v>387</v>
      </c>
      <c r="AJ435" s="130" t="s">
        <v>120</v>
      </c>
      <c r="AK435" s="126" t="s">
        <v>123</v>
      </c>
      <c r="AL435" s="126"/>
      <c r="AM435" s="130"/>
      <c r="AN435" s="126"/>
      <c r="AO435" s="132"/>
      <c r="AP435" s="126"/>
      <c r="AQ435" s="126"/>
      <c r="AR435" s="130"/>
      <c r="AS435" s="126"/>
      <c r="AT435" s="127"/>
      <c r="AU435" s="127">
        <v>43453.379037963001</v>
      </c>
      <c r="AV435" s="127"/>
      <c r="AW435" s="127"/>
      <c r="AX435" s="127"/>
      <c r="AY435" s="127"/>
      <c r="AZ435" s="133">
        <v>43236</v>
      </c>
      <c r="BA43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5" s="135">
        <f>COUNTIFS(_05preva_view43[Site ID],_05preva_view43[[#This Row],[Site ID]],_05preva_view43[Prevalidation Status],"Under Prevalidation")</f>
        <v>0</v>
      </c>
      <c r="BC435" s="157" t="e">
        <f ca="1">HYPERLINK(CheckPath(_05preva_view43[[#This Row],[File Path]],_05preva_view43[[#This Row],[File Path]],_05preva_view43[[#This Row],[Folder Path3]]),CheckPath(_05preva_view43[[#This Row],[File Path]],"Open File","No File"))</f>
        <v>#VALUE!</v>
      </c>
      <c r="BD435" s="136" t="str">
        <f>CONCATENATE(_05preva_view43[[#This Row],[Site ID]]," (",_05preva_view43[[#This Row],[tenant id]],") Application",IF(_05preva_view43[[#This Row],[Colo Rev]]&gt;0," Rev "&amp;_05preva_view43[[#This Row],[Colo Rev]],""),".xlsx")</f>
        <v>ANMG_0052 (MWW3498) Application.xlsx</v>
      </c>
      <c r="BE435" s="64" t="e">
        <f t="shared" ca="1" si="8"/>
        <v>#VALUE!</v>
      </c>
      <c r="BF435" s="104" t="e">
        <f ca="1">LEFT(CELL("filename",A420),_05preva_view43[[#This Row],[Find Process &amp; Database]]-1)</f>
        <v>#VALUE!</v>
      </c>
      <c r="BG435" s="104" t="e">
        <f ca="1">_05preva_view43[Folder Path1]&amp;"Process &amp; Database\Documentation\Colo Applications"</f>
        <v>#VALUE!</v>
      </c>
      <c r="BH435" s="104" t="e">
        <f ca="1">_05preva_view43[Folder Path2]&amp;"\Colo App "&amp;_05preva_view43[[#This Row],[Operator]]&amp;"\"</f>
        <v>#VALUE!</v>
      </c>
      <c r="BI435" s="63" t="e">
        <f ca="1">_05preva_view43[[#This Row],[Folder Path3]]&amp;_05preva_view43[[#This Row],[File Name]]</f>
        <v>#VALUE!</v>
      </c>
      <c r="BJ435" s="104"/>
      <c r="BK435" s="3"/>
      <c r="BL435" s="3"/>
      <c r="CJ435" s="5"/>
      <c r="CK435" s="5"/>
      <c r="CL435" s="3"/>
      <c r="CN435" s="5"/>
      <c r="CR435" s="3"/>
      <c r="CS435" s="3"/>
      <c r="CT435" s="5"/>
      <c r="CV435" s="3"/>
      <c r="DR435" s="5"/>
      <c r="DT435" s="3"/>
      <c r="EF435" s="7"/>
      <c r="EG435" s="7"/>
      <c r="EJ435" s="4"/>
      <c r="EK435" s="4"/>
      <c r="EU435" s="2"/>
      <c r="EV435" s="2"/>
    </row>
    <row r="436" spans="1:152">
      <c r="A436" s="125">
        <v>169</v>
      </c>
      <c r="B436" s="126" t="s">
        <v>606</v>
      </c>
      <c r="C436" s="126" t="s">
        <v>116</v>
      </c>
      <c r="D436" s="126" t="s">
        <v>117</v>
      </c>
      <c r="E436" s="126" t="s">
        <v>607</v>
      </c>
      <c r="F436" s="126" t="s">
        <v>40</v>
      </c>
      <c r="G436" s="126" t="s">
        <v>118</v>
      </c>
      <c r="H436" s="126"/>
      <c r="I436" s="126" t="s">
        <v>118</v>
      </c>
      <c r="J436" s="126"/>
      <c r="K436" s="127">
        <v>43236</v>
      </c>
      <c r="L436" s="128"/>
      <c r="M436" s="128">
        <v>3</v>
      </c>
      <c r="N436" s="126"/>
      <c r="O436" s="126" t="s">
        <v>119</v>
      </c>
      <c r="P436" s="129"/>
      <c r="Q436" s="129"/>
      <c r="R436" s="126" t="s">
        <v>24</v>
      </c>
      <c r="S436" s="126"/>
      <c r="T436" s="130" t="s">
        <v>120</v>
      </c>
      <c r="U436" s="126" t="s">
        <v>378</v>
      </c>
      <c r="V436" s="130" t="s">
        <v>120</v>
      </c>
      <c r="W436" s="126"/>
      <c r="X436" s="130" t="s">
        <v>120</v>
      </c>
      <c r="Y436" s="126" t="s">
        <v>120</v>
      </c>
      <c r="Z436" s="165" t="s">
        <v>120</v>
      </c>
      <c r="AA436" s="158"/>
      <c r="AB436" s="158"/>
      <c r="AC436" s="170"/>
      <c r="AD436" s="126" t="s">
        <v>120</v>
      </c>
      <c r="AE436" s="130" t="s">
        <v>120</v>
      </c>
      <c r="AF436" s="127" t="s">
        <v>241</v>
      </c>
      <c r="AG436" s="131"/>
      <c r="AH436" s="131">
        <v>3.5</v>
      </c>
      <c r="AI436" s="126" t="s">
        <v>387</v>
      </c>
      <c r="AJ436" s="130" t="s">
        <v>120</v>
      </c>
      <c r="AK436" s="126" t="s">
        <v>123</v>
      </c>
      <c r="AL436" s="126"/>
      <c r="AM436" s="130"/>
      <c r="AN436" s="126"/>
      <c r="AO436" s="132"/>
      <c r="AP436" s="126"/>
      <c r="AQ436" s="126"/>
      <c r="AR436" s="130"/>
      <c r="AS436" s="126"/>
      <c r="AT436" s="127"/>
      <c r="AU436" s="127">
        <v>43453.379038657396</v>
      </c>
      <c r="AV436" s="127"/>
      <c r="AW436" s="127"/>
      <c r="AX436" s="127"/>
      <c r="AY436" s="127"/>
      <c r="AZ436" s="133">
        <v>43236</v>
      </c>
      <c r="BA43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6" s="135">
        <f>COUNTIFS(_05preva_view43[Site ID],_05preva_view43[[#This Row],[Site ID]],_05preva_view43[Prevalidation Status],"Under Prevalidation")</f>
        <v>0</v>
      </c>
      <c r="BC436" s="157" t="e">
        <f ca="1">HYPERLINK(CheckPath(_05preva_view43[[#This Row],[File Path]],_05preva_view43[[#This Row],[File Path]],_05preva_view43[[#This Row],[Folder Path3]]),CheckPath(_05preva_view43[[#This Row],[File Path]],"Open File","No File"))</f>
        <v>#VALUE!</v>
      </c>
      <c r="BD436" s="136" t="str">
        <f>CONCATENATE(_05preva_view43[[#This Row],[Site ID]]," (",_05preva_view43[[#This Row],[tenant id]],") Application",IF(_05preva_view43[[#This Row],[Colo Rev]]&gt;0," Rev "&amp;_05preva_view43[[#This Row],[Colo Rev]],""),".xlsx")</f>
        <v>ANMG_0006 (MWW3499) Application.xlsx</v>
      </c>
      <c r="BE436" s="64" t="e">
        <f t="shared" ca="1" si="8"/>
        <v>#VALUE!</v>
      </c>
      <c r="BF436" s="104" t="e">
        <f ca="1">LEFT(CELL("filename",A421),_05preva_view43[[#This Row],[Find Process &amp; Database]]-1)</f>
        <v>#VALUE!</v>
      </c>
      <c r="BG436" s="104" t="e">
        <f ca="1">_05preva_view43[Folder Path1]&amp;"Process &amp; Database\Documentation\Colo Applications"</f>
        <v>#VALUE!</v>
      </c>
      <c r="BH436" s="104" t="e">
        <f ca="1">_05preva_view43[Folder Path2]&amp;"\Colo App "&amp;_05preva_view43[[#This Row],[Operator]]&amp;"\"</f>
        <v>#VALUE!</v>
      </c>
      <c r="BI436" s="63" t="e">
        <f ca="1">_05preva_view43[[#This Row],[Folder Path3]]&amp;_05preva_view43[[#This Row],[File Name]]</f>
        <v>#VALUE!</v>
      </c>
      <c r="BJ436" s="104"/>
      <c r="BK436" s="3"/>
      <c r="BL436" s="3"/>
      <c r="CJ436" s="5"/>
      <c r="CK436" s="5"/>
      <c r="CL436" s="3"/>
      <c r="CN436" s="5"/>
      <c r="CR436" s="3"/>
      <c r="CS436" s="3"/>
      <c r="CT436" s="5"/>
      <c r="CV436" s="3"/>
      <c r="DR436" s="5"/>
      <c r="DT436" s="3"/>
      <c r="EF436" s="7"/>
      <c r="EG436" s="7"/>
      <c r="EJ436" s="4"/>
      <c r="EK436" s="4"/>
      <c r="EU436" s="2"/>
      <c r="EV436" s="2"/>
    </row>
    <row r="437" spans="1:152">
      <c r="A437" s="125">
        <v>170</v>
      </c>
      <c r="B437" s="126" t="s">
        <v>608</v>
      </c>
      <c r="C437" s="126" t="s">
        <v>116</v>
      </c>
      <c r="D437" s="126" t="s">
        <v>117</v>
      </c>
      <c r="E437" s="126" t="s">
        <v>609</v>
      </c>
      <c r="F437" s="126" t="s">
        <v>40</v>
      </c>
      <c r="G437" s="126" t="s">
        <v>118</v>
      </c>
      <c r="H437" s="126"/>
      <c r="I437" s="126" t="s">
        <v>118</v>
      </c>
      <c r="J437" s="126"/>
      <c r="K437" s="127">
        <v>43236</v>
      </c>
      <c r="L437" s="128"/>
      <c r="M437" s="128">
        <v>3</v>
      </c>
      <c r="N437" s="126"/>
      <c r="O437" s="126" t="s">
        <v>119</v>
      </c>
      <c r="P437" s="129"/>
      <c r="Q437" s="129"/>
      <c r="R437" s="126" t="s">
        <v>24</v>
      </c>
      <c r="S437" s="126"/>
      <c r="T437" s="130" t="s">
        <v>120</v>
      </c>
      <c r="U437" s="126" t="s">
        <v>378</v>
      </c>
      <c r="V437" s="130" t="s">
        <v>120</v>
      </c>
      <c r="W437" s="126"/>
      <c r="X437" s="130" t="s">
        <v>120</v>
      </c>
      <c r="Y437" s="126" t="s">
        <v>120</v>
      </c>
      <c r="Z437" s="165" t="s">
        <v>120</v>
      </c>
      <c r="AA437" s="158"/>
      <c r="AB437" s="158"/>
      <c r="AC437" s="170"/>
      <c r="AD437" s="126" t="s">
        <v>120</v>
      </c>
      <c r="AE437" s="130" t="s">
        <v>120</v>
      </c>
      <c r="AF437" s="127" t="s">
        <v>467</v>
      </c>
      <c r="AG437" s="131"/>
      <c r="AH437" s="131">
        <v>3.5</v>
      </c>
      <c r="AI437" s="126" t="s">
        <v>440</v>
      </c>
      <c r="AJ437" s="130" t="s">
        <v>120</v>
      </c>
      <c r="AK437" s="126" t="s">
        <v>123</v>
      </c>
      <c r="AL437" s="126"/>
      <c r="AM437" s="130"/>
      <c r="AN437" s="126"/>
      <c r="AO437" s="132"/>
      <c r="AP437" s="126"/>
      <c r="AQ437" s="126"/>
      <c r="AR437" s="130"/>
      <c r="AS437" s="126"/>
      <c r="AT437" s="127"/>
      <c r="AU437" s="127">
        <v>43453.379039351901</v>
      </c>
      <c r="AV437" s="127"/>
      <c r="AW437" s="127"/>
      <c r="AX437" s="127"/>
      <c r="AY437" s="127"/>
      <c r="AZ437" s="133">
        <v>43236</v>
      </c>
      <c r="BA43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7" s="135">
        <f>COUNTIFS(_05preva_view43[Site ID],_05preva_view43[[#This Row],[Site ID]],_05preva_view43[Prevalidation Status],"Under Prevalidation")</f>
        <v>0</v>
      </c>
      <c r="BC437" s="157" t="e">
        <f ca="1">HYPERLINK(CheckPath(_05preva_view43[[#This Row],[File Path]],_05preva_view43[[#This Row],[File Path]],_05preva_view43[[#This Row],[Folder Path3]]),CheckPath(_05preva_view43[[#This Row],[File Path]],"Open File","No File"))</f>
        <v>#VALUE!</v>
      </c>
      <c r="BD437" s="136" t="str">
        <f>CONCATENATE(_05preva_view43[[#This Row],[Site ID]]," (",_05preva_view43[[#This Row],[tenant id]],") Application",IF(_05preva_view43[[#This Row],[Colo Rev]]&gt;0," Rev "&amp;_05preva_view43[[#This Row],[Colo Rev]],""),".xlsx")</f>
        <v>ANMG_0026 (MWW3500) Application.xlsx</v>
      </c>
      <c r="BE437" s="64" t="e">
        <f t="shared" ca="1" si="8"/>
        <v>#VALUE!</v>
      </c>
      <c r="BF437" s="104" t="e">
        <f ca="1">LEFT(CELL("filename",A422),_05preva_view43[[#This Row],[Find Process &amp; Database]]-1)</f>
        <v>#VALUE!</v>
      </c>
      <c r="BG437" s="104" t="e">
        <f ca="1">_05preva_view43[Folder Path1]&amp;"Process &amp; Database\Documentation\Colo Applications"</f>
        <v>#VALUE!</v>
      </c>
      <c r="BH437" s="104" t="e">
        <f ca="1">_05preva_view43[Folder Path2]&amp;"\Colo App "&amp;_05preva_view43[[#This Row],[Operator]]&amp;"\"</f>
        <v>#VALUE!</v>
      </c>
      <c r="BI437" s="63" t="e">
        <f ca="1">_05preva_view43[[#This Row],[Folder Path3]]&amp;_05preva_view43[[#This Row],[File Name]]</f>
        <v>#VALUE!</v>
      </c>
      <c r="BJ437" s="104"/>
      <c r="BK437" s="3"/>
      <c r="BL437" s="3"/>
      <c r="CJ437" s="5"/>
      <c r="CK437" s="5"/>
      <c r="CL437" s="3"/>
      <c r="CN437" s="5"/>
      <c r="CR437" s="3"/>
      <c r="CS437" s="3"/>
      <c r="CT437" s="5"/>
      <c r="CV437" s="3"/>
      <c r="DR437" s="5"/>
      <c r="DT437" s="3"/>
      <c r="EF437" s="7"/>
      <c r="EG437" s="7"/>
      <c r="EJ437" s="4"/>
      <c r="EK437" s="4"/>
      <c r="EU437" s="2"/>
      <c r="EV437" s="2"/>
    </row>
    <row r="438" spans="1:152">
      <c r="A438" s="125">
        <v>171</v>
      </c>
      <c r="B438" s="126" t="s">
        <v>610</v>
      </c>
      <c r="C438" s="126" t="s">
        <v>116</v>
      </c>
      <c r="D438" s="126" t="s">
        <v>127</v>
      </c>
      <c r="E438" s="126" t="s">
        <v>611</v>
      </c>
      <c r="F438" s="126" t="s">
        <v>40</v>
      </c>
      <c r="G438" s="126" t="s">
        <v>118</v>
      </c>
      <c r="H438" s="126"/>
      <c r="I438" s="126" t="s">
        <v>118</v>
      </c>
      <c r="J438" s="126"/>
      <c r="K438" s="127">
        <v>43236</v>
      </c>
      <c r="L438" s="128"/>
      <c r="M438" s="128">
        <v>3</v>
      </c>
      <c r="N438" s="126"/>
      <c r="O438" s="126" t="s">
        <v>119</v>
      </c>
      <c r="P438" s="129"/>
      <c r="Q438" s="129"/>
      <c r="R438" s="126" t="s">
        <v>24</v>
      </c>
      <c r="S438" s="126"/>
      <c r="T438" s="130" t="s">
        <v>120</v>
      </c>
      <c r="U438" s="126" t="s">
        <v>378</v>
      </c>
      <c r="V438" s="130" t="s">
        <v>120</v>
      </c>
      <c r="W438" s="126"/>
      <c r="X438" s="130" t="s">
        <v>120</v>
      </c>
      <c r="Y438" s="126" t="s">
        <v>120</v>
      </c>
      <c r="Z438" s="165" t="s">
        <v>120</v>
      </c>
      <c r="AA438" s="158"/>
      <c r="AB438" s="158"/>
      <c r="AC438" s="170"/>
      <c r="AD438" s="126" t="s">
        <v>120</v>
      </c>
      <c r="AE438" s="130" t="s">
        <v>120</v>
      </c>
      <c r="AF438" s="127" t="s">
        <v>120</v>
      </c>
      <c r="AG438" s="131"/>
      <c r="AH438" s="131">
        <v>2</v>
      </c>
      <c r="AI438" s="126" t="s">
        <v>384</v>
      </c>
      <c r="AJ438" s="130" t="s">
        <v>120</v>
      </c>
      <c r="AK438" s="126" t="s">
        <v>123</v>
      </c>
      <c r="AL438" s="126"/>
      <c r="AM438" s="130"/>
      <c r="AN438" s="126"/>
      <c r="AO438" s="132"/>
      <c r="AP438" s="126"/>
      <c r="AQ438" s="126"/>
      <c r="AR438" s="130"/>
      <c r="AS438" s="126"/>
      <c r="AT438" s="127"/>
      <c r="AU438" s="127">
        <v>43453.379041203698</v>
      </c>
      <c r="AV438" s="127"/>
      <c r="AW438" s="127"/>
      <c r="AX438" s="127"/>
      <c r="AY438" s="127"/>
      <c r="AZ438" s="133">
        <v>43236</v>
      </c>
      <c r="BA43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8" s="135">
        <f>COUNTIFS(_05preva_view43[Site ID],_05preva_view43[[#This Row],[Site ID]],_05preva_view43[Prevalidation Status],"Under Prevalidation")</f>
        <v>0</v>
      </c>
      <c r="BC438" s="157" t="e">
        <f ca="1">HYPERLINK(CheckPath(_05preva_view43[[#This Row],[File Path]],_05preva_view43[[#This Row],[File Path]],_05preva_view43[[#This Row],[Folder Path3]]),CheckPath(_05preva_view43[[#This Row],[File Path]],"Open File","No File"))</f>
        <v>#VALUE!</v>
      </c>
      <c r="BD438" s="136" t="str">
        <f>CONCATENATE(_05preva_view43[[#This Row],[Site ID]]," (",_05preva_view43[[#This Row],[tenant id]],") Application",IF(_05preva_view43[[#This Row],[Colo Rev]]&gt;0," Rev "&amp;_05preva_view43[[#This Row],[Colo Rev]],""),".xlsx")</f>
        <v>ANSG_0381 (SAW0731) Application.xlsx</v>
      </c>
      <c r="BE438" s="64" t="e">
        <f t="shared" ca="1" si="8"/>
        <v>#VALUE!</v>
      </c>
      <c r="BF438" s="104" t="e">
        <f ca="1">LEFT(CELL("filename",A423),_05preva_view43[[#This Row],[Find Process &amp; Database]]-1)</f>
        <v>#VALUE!</v>
      </c>
      <c r="BG438" s="104" t="e">
        <f ca="1">_05preva_view43[Folder Path1]&amp;"Process &amp; Database\Documentation\Colo Applications"</f>
        <v>#VALUE!</v>
      </c>
      <c r="BH438" s="104" t="e">
        <f ca="1">_05preva_view43[Folder Path2]&amp;"\Colo App "&amp;_05preva_view43[[#This Row],[Operator]]&amp;"\"</f>
        <v>#VALUE!</v>
      </c>
      <c r="BI438" s="63" t="e">
        <f ca="1">_05preva_view43[[#This Row],[Folder Path3]]&amp;_05preva_view43[[#This Row],[File Name]]</f>
        <v>#VALUE!</v>
      </c>
      <c r="BJ438" s="104"/>
      <c r="BK438" s="3"/>
      <c r="BL438" s="3"/>
      <c r="CJ438" s="5"/>
      <c r="CK438" s="5"/>
      <c r="CL438" s="3"/>
      <c r="CN438" s="5"/>
      <c r="CR438" s="3"/>
      <c r="CS438" s="3"/>
      <c r="CT438" s="5"/>
      <c r="CV438" s="3"/>
      <c r="DR438" s="5"/>
      <c r="DT438" s="3"/>
      <c r="EF438" s="7"/>
      <c r="EG438" s="7"/>
      <c r="EJ438" s="4"/>
      <c r="EK438" s="4"/>
      <c r="EU438" s="2"/>
      <c r="EV438" s="2"/>
    </row>
    <row r="439" spans="1:152">
      <c r="A439" s="125">
        <v>172</v>
      </c>
      <c r="B439" s="126" t="s">
        <v>612</v>
      </c>
      <c r="C439" s="126" t="s">
        <v>116</v>
      </c>
      <c r="D439" s="126" t="s">
        <v>117</v>
      </c>
      <c r="E439" s="126" t="s">
        <v>613</v>
      </c>
      <c r="F439" s="126" t="s">
        <v>40</v>
      </c>
      <c r="G439" s="126" t="s">
        <v>118</v>
      </c>
      <c r="H439" s="126"/>
      <c r="I439" s="126" t="s">
        <v>118</v>
      </c>
      <c r="J439" s="126"/>
      <c r="K439" s="127">
        <v>43236</v>
      </c>
      <c r="L439" s="128"/>
      <c r="M439" s="128">
        <v>3</v>
      </c>
      <c r="N439" s="126"/>
      <c r="O439" s="126" t="s">
        <v>119</v>
      </c>
      <c r="P439" s="129"/>
      <c r="Q439" s="129"/>
      <c r="R439" s="126" t="s">
        <v>24</v>
      </c>
      <c r="S439" s="126"/>
      <c r="T439" s="130" t="s">
        <v>120</v>
      </c>
      <c r="U439" s="126" t="s">
        <v>378</v>
      </c>
      <c r="V439" s="130" t="s">
        <v>120</v>
      </c>
      <c r="W439" s="126"/>
      <c r="X439" s="130" t="s">
        <v>120</v>
      </c>
      <c r="Y439" s="126" t="s">
        <v>120</v>
      </c>
      <c r="Z439" s="165" t="s">
        <v>120</v>
      </c>
      <c r="AA439" s="158"/>
      <c r="AB439" s="158"/>
      <c r="AC439" s="170"/>
      <c r="AD439" s="126" t="s">
        <v>120</v>
      </c>
      <c r="AE439" s="130" t="s">
        <v>120</v>
      </c>
      <c r="AF439" s="127" t="s">
        <v>241</v>
      </c>
      <c r="AG439" s="131"/>
      <c r="AH439" s="131">
        <v>3.5</v>
      </c>
      <c r="AI439" s="126" t="s">
        <v>487</v>
      </c>
      <c r="AJ439" s="130" t="s">
        <v>120</v>
      </c>
      <c r="AK439" s="126" t="s">
        <v>123</v>
      </c>
      <c r="AL439" s="126"/>
      <c r="AM439" s="130"/>
      <c r="AN439" s="126"/>
      <c r="AO439" s="132"/>
      <c r="AP439" s="126"/>
      <c r="AQ439" s="126"/>
      <c r="AR439" s="130"/>
      <c r="AS439" s="126"/>
      <c r="AT439" s="127"/>
      <c r="AU439" s="127">
        <v>43453.379042013898</v>
      </c>
      <c r="AV439" s="127"/>
      <c r="AW439" s="127"/>
      <c r="AX439" s="127"/>
      <c r="AY439" s="127"/>
      <c r="AZ439" s="133">
        <v>43236</v>
      </c>
      <c r="BA43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9" s="135">
        <f>COUNTIFS(_05preva_view43[Site ID],_05preva_view43[[#This Row],[Site ID]],_05preva_view43[Prevalidation Status],"Under Prevalidation")</f>
        <v>0</v>
      </c>
      <c r="BC439" s="157" t="e">
        <f ca="1">HYPERLINK(CheckPath(_05preva_view43[[#This Row],[File Path]],_05preva_view43[[#This Row],[File Path]],_05preva_view43[[#This Row],[Folder Path3]]),CheckPath(_05preva_view43[[#This Row],[File Path]],"Open File","No File"))</f>
        <v>#VALUE!</v>
      </c>
      <c r="BD439" s="136" t="str">
        <f>CONCATENATE(_05preva_view43[[#This Row],[Site ID]]," (",_05preva_view43[[#This Row],[tenant id]],") Application",IF(_05preva_view43[[#This Row],[Colo Rev]]&gt;0," Rev "&amp;_05preva_view43[[#This Row],[Colo Rev]],""),".xlsx")</f>
        <v>ANMG_0167 (MWW3502) Application.xlsx</v>
      </c>
      <c r="BE439" s="64" t="e">
        <f t="shared" ca="1" si="8"/>
        <v>#VALUE!</v>
      </c>
      <c r="BF439" s="104" t="e">
        <f ca="1">LEFT(CELL("filename",A424),_05preva_view43[[#This Row],[Find Process &amp; Database]]-1)</f>
        <v>#VALUE!</v>
      </c>
      <c r="BG439" s="104" t="e">
        <f ca="1">_05preva_view43[Folder Path1]&amp;"Process &amp; Database\Documentation\Colo Applications"</f>
        <v>#VALUE!</v>
      </c>
      <c r="BH439" s="104" t="e">
        <f ca="1">_05preva_view43[Folder Path2]&amp;"\Colo App "&amp;_05preva_view43[[#This Row],[Operator]]&amp;"\"</f>
        <v>#VALUE!</v>
      </c>
      <c r="BI439" s="63" t="e">
        <f ca="1">_05preva_view43[[#This Row],[Folder Path3]]&amp;_05preva_view43[[#This Row],[File Name]]</f>
        <v>#VALUE!</v>
      </c>
      <c r="BJ439" s="104"/>
      <c r="BK439" s="3"/>
      <c r="BL439" s="3"/>
      <c r="CJ439" s="5"/>
      <c r="CK439" s="5"/>
      <c r="CL439" s="3"/>
      <c r="CN439" s="5"/>
      <c r="CR439" s="3"/>
      <c r="CS439" s="3"/>
      <c r="CT439" s="5"/>
      <c r="CV439" s="3"/>
      <c r="DR439" s="5"/>
      <c r="DT439" s="3"/>
      <c r="EF439" s="7"/>
      <c r="EG439" s="7"/>
      <c r="EJ439" s="4"/>
      <c r="EK439" s="4"/>
      <c r="EU439" s="2"/>
      <c r="EV439" s="2"/>
    </row>
    <row r="440" spans="1:152">
      <c r="A440" s="125">
        <v>173</v>
      </c>
      <c r="B440" s="126" t="s">
        <v>614</v>
      </c>
      <c r="C440" s="126" t="s">
        <v>116</v>
      </c>
      <c r="D440" s="126" t="s">
        <v>127</v>
      </c>
      <c r="E440" s="126" t="s">
        <v>615</v>
      </c>
      <c r="F440" s="126" t="s">
        <v>40</v>
      </c>
      <c r="G440" s="126" t="s">
        <v>118</v>
      </c>
      <c r="H440" s="126"/>
      <c r="I440" s="126" t="s">
        <v>118</v>
      </c>
      <c r="J440" s="126"/>
      <c r="K440" s="127">
        <v>43236</v>
      </c>
      <c r="L440" s="128"/>
      <c r="M440" s="128">
        <v>3</v>
      </c>
      <c r="N440" s="126"/>
      <c r="O440" s="126" t="s">
        <v>119</v>
      </c>
      <c r="P440" s="129"/>
      <c r="Q440" s="129"/>
      <c r="R440" s="126" t="s">
        <v>24</v>
      </c>
      <c r="S440" s="126"/>
      <c r="T440" s="130" t="s">
        <v>120</v>
      </c>
      <c r="U440" s="126" t="s">
        <v>378</v>
      </c>
      <c r="V440" s="130" t="s">
        <v>120</v>
      </c>
      <c r="W440" s="126"/>
      <c r="X440" s="130" t="s">
        <v>120</v>
      </c>
      <c r="Y440" s="126" t="s">
        <v>399</v>
      </c>
      <c r="Z440" s="165" t="s">
        <v>120</v>
      </c>
      <c r="AA440" s="158"/>
      <c r="AB440" s="158"/>
      <c r="AC440" s="170"/>
      <c r="AD440" s="126" t="s">
        <v>120</v>
      </c>
      <c r="AE440" s="130" t="s">
        <v>120</v>
      </c>
      <c r="AF440" s="127" t="s">
        <v>120</v>
      </c>
      <c r="AG440" s="131"/>
      <c r="AH440" s="131">
        <v>2</v>
      </c>
      <c r="AI440" s="126" t="s">
        <v>384</v>
      </c>
      <c r="AJ440" s="130" t="s">
        <v>120</v>
      </c>
      <c r="AK440" s="126" t="s">
        <v>123</v>
      </c>
      <c r="AL440" s="126"/>
      <c r="AM440" s="130"/>
      <c r="AN440" s="126"/>
      <c r="AO440" s="132"/>
      <c r="AP440" s="126"/>
      <c r="AQ440" s="126"/>
      <c r="AR440" s="130"/>
      <c r="AS440" s="126"/>
      <c r="AT440" s="127"/>
      <c r="AU440" s="127">
        <v>43453.3790427083</v>
      </c>
      <c r="AV440" s="127"/>
      <c r="AW440" s="127"/>
      <c r="AX440" s="127"/>
      <c r="AY440" s="127"/>
      <c r="AZ440" s="133">
        <v>43236</v>
      </c>
      <c r="BA44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0" s="135">
        <f>COUNTIFS(_05preva_view43[Site ID],_05preva_view43[[#This Row],[Site ID]],_05preva_view43[Prevalidation Status],"Under Prevalidation")</f>
        <v>0</v>
      </c>
      <c r="BC440" s="157" t="e">
        <f ca="1">HYPERLINK(CheckPath(_05preva_view43[[#This Row],[File Path]],_05preva_view43[[#This Row],[File Path]],_05preva_view43[[#This Row],[Folder Path3]]),CheckPath(_05preva_view43[[#This Row],[File Path]],"Open File","No File"))</f>
        <v>#VALUE!</v>
      </c>
      <c r="BD440" s="136" t="str">
        <f>CONCATENATE(_05preva_view43[[#This Row],[Site ID]]," (",_05preva_view43[[#This Row],[tenant id]],") Application",IF(_05preva_view43[[#This Row],[Colo Rev]]&gt;0," Rev "&amp;_05preva_view43[[#This Row],[Colo Rev]],""),".xlsx")</f>
        <v>ANSG_0361 (SAW0719) Application.xlsx</v>
      </c>
      <c r="BE440" s="64" t="e">
        <f t="shared" ca="1" si="8"/>
        <v>#VALUE!</v>
      </c>
      <c r="BF440" s="104" t="e">
        <f ca="1">LEFT(CELL("filename",A425),_05preva_view43[[#This Row],[Find Process &amp; Database]]-1)</f>
        <v>#VALUE!</v>
      </c>
      <c r="BG440" s="104" t="e">
        <f ca="1">_05preva_view43[Folder Path1]&amp;"Process &amp; Database\Documentation\Colo Applications"</f>
        <v>#VALUE!</v>
      </c>
      <c r="BH440" s="104" t="e">
        <f ca="1">_05preva_view43[Folder Path2]&amp;"\Colo App "&amp;_05preva_view43[[#This Row],[Operator]]&amp;"\"</f>
        <v>#VALUE!</v>
      </c>
      <c r="BI440" s="63" t="e">
        <f ca="1">_05preva_view43[[#This Row],[Folder Path3]]&amp;_05preva_view43[[#This Row],[File Name]]</f>
        <v>#VALUE!</v>
      </c>
      <c r="BJ440" s="104"/>
      <c r="BK440" s="3"/>
      <c r="BL440" s="3"/>
      <c r="CJ440" s="5"/>
      <c r="CK440" s="5"/>
      <c r="CL440" s="3"/>
      <c r="CN440" s="5"/>
      <c r="CR440" s="3"/>
      <c r="CS440" s="3"/>
      <c r="CT440" s="5"/>
      <c r="CV440" s="3"/>
      <c r="DR440" s="5"/>
      <c r="DT440" s="3"/>
      <c r="EF440" s="7"/>
      <c r="EG440" s="7"/>
      <c r="EJ440" s="4"/>
      <c r="EK440" s="4"/>
      <c r="EU440" s="2"/>
      <c r="EV440" s="2"/>
    </row>
    <row r="441" spans="1:152">
      <c r="A441" s="125">
        <v>174</v>
      </c>
      <c r="B441" s="126" t="s">
        <v>616</v>
      </c>
      <c r="C441" s="126" t="s">
        <v>116</v>
      </c>
      <c r="D441" s="126" t="s">
        <v>127</v>
      </c>
      <c r="E441" s="126" t="s">
        <v>617</v>
      </c>
      <c r="F441" s="126" t="s">
        <v>40</v>
      </c>
      <c r="G441" s="126" t="s">
        <v>118</v>
      </c>
      <c r="H441" s="126"/>
      <c r="I441" s="126" t="s">
        <v>118</v>
      </c>
      <c r="J441" s="126"/>
      <c r="K441" s="127">
        <v>43236</v>
      </c>
      <c r="L441" s="128"/>
      <c r="M441" s="128">
        <v>3</v>
      </c>
      <c r="N441" s="126"/>
      <c r="O441" s="126" t="s">
        <v>119</v>
      </c>
      <c r="P441" s="129"/>
      <c r="Q441" s="129"/>
      <c r="R441" s="126" t="s">
        <v>24</v>
      </c>
      <c r="S441" s="126"/>
      <c r="T441" s="130" t="s">
        <v>120</v>
      </c>
      <c r="U441" s="126" t="s">
        <v>403</v>
      </c>
      <c r="V441" s="130" t="s">
        <v>120</v>
      </c>
      <c r="W441" s="126"/>
      <c r="X441" s="130" t="s">
        <v>120</v>
      </c>
      <c r="Y441" s="126" t="s">
        <v>404</v>
      </c>
      <c r="Z441" s="165" t="s">
        <v>125</v>
      </c>
      <c r="AA441" s="158"/>
      <c r="AB441" s="158"/>
      <c r="AC441" s="170" t="s">
        <v>123</v>
      </c>
      <c r="AD441" s="126" t="s">
        <v>405</v>
      </c>
      <c r="AE441" s="130" t="s">
        <v>120</v>
      </c>
      <c r="AF441" s="127" t="s">
        <v>618</v>
      </c>
      <c r="AG441" s="131"/>
      <c r="AH441" s="131">
        <v>2</v>
      </c>
      <c r="AI441" s="126" t="s">
        <v>512</v>
      </c>
      <c r="AJ441" s="130" t="s">
        <v>120</v>
      </c>
      <c r="AK441" s="126" t="s">
        <v>240</v>
      </c>
      <c r="AL441" s="126" t="s">
        <v>585</v>
      </c>
      <c r="AM441" s="130"/>
      <c r="AN441" s="126"/>
      <c r="AO441" s="132"/>
      <c r="AP441" s="126"/>
      <c r="AQ441" s="126"/>
      <c r="AR441" s="130"/>
      <c r="AS441" s="126"/>
      <c r="AT441" s="127"/>
      <c r="AU441" s="127">
        <v>43453.379043287001</v>
      </c>
      <c r="AV441" s="127"/>
      <c r="AW441" s="127"/>
      <c r="AX441" s="127"/>
      <c r="AY441" s="127"/>
      <c r="AZ441" s="133">
        <v>43236</v>
      </c>
      <c r="BA44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1" s="135">
        <f>COUNTIFS(_05preva_view43[Site ID],_05preva_view43[[#This Row],[Site ID]],_05preva_view43[Prevalidation Status],"Under Prevalidation")</f>
        <v>0</v>
      </c>
      <c r="BC441" s="157" t="e">
        <f ca="1">HYPERLINK(CheckPath(_05preva_view43[[#This Row],[File Path]],_05preva_view43[[#This Row],[File Path]],_05preva_view43[[#This Row],[Folder Path3]]),CheckPath(_05preva_view43[[#This Row],[File Path]],"Open File","No File"))</f>
        <v>#VALUE!</v>
      </c>
      <c r="BD441" s="136" t="str">
        <f>CONCATENATE(_05preva_view43[[#This Row],[Site ID]]," (",_05preva_view43[[#This Row],[tenant id]],") Application",IF(_05preva_view43[[#This Row],[Colo Rev]]&gt;0," Rev "&amp;_05preva_view43[[#This Row],[Colo Rev]],""),".xlsx")</f>
        <v>ANMD_0118 (MAW2441) Application.xlsx</v>
      </c>
      <c r="BE441" s="64" t="e">
        <f t="shared" ca="1" si="8"/>
        <v>#VALUE!</v>
      </c>
      <c r="BF441" s="104" t="e">
        <f ca="1">LEFT(CELL("filename",A426),_05preva_view43[[#This Row],[Find Process &amp; Database]]-1)</f>
        <v>#VALUE!</v>
      </c>
      <c r="BG441" s="104" t="e">
        <f ca="1">_05preva_view43[Folder Path1]&amp;"Process &amp; Database\Documentation\Colo Applications"</f>
        <v>#VALUE!</v>
      </c>
      <c r="BH441" s="104" t="e">
        <f ca="1">_05preva_view43[Folder Path2]&amp;"\Colo App "&amp;_05preva_view43[[#This Row],[Operator]]&amp;"\"</f>
        <v>#VALUE!</v>
      </c>
      <c r="BI441" s="63" t="e">
        <f ca="1">_05preva_view43[[#This Row],[Folder Path3]]&amp;_05preva_view43[[#This Row],[File Name]]</f>
        <v>#VALUE!</v>
      </c>
      <c r="BJ441" s="104"/>
      <c r="BK441" s="3"/>
      <c r="BL441" s="3"/>
      <c r="CJ441" s="5"/>
      <c r="CK441" s="5"/>
      <c r="CL441" s="3"/>
      <c r="CN441" s="5"/>
      <c r="CR441" s="3"/>
      <c r="CS441" s="3"/>
      <c r="CT441" s="5"/>
      <c r="CV441" s="3"/>
      <c r="DR441" s="5"/>
      <c r="DT441" s="3"/>
      <c r="EF441" s="7"/>
      <c r="EG441" s="7"/>
      <c r="EJ441" s="4"/>
      <c r="EK441" s="4"/>
      <c r="EU441" s="2"/>
      <c r="EV441" s="2"/>
    </row>
    <row r="442" spans="1:152">
      <c r="A442" s="125">
        <v>176</v>
      </c>
      <c r="B442" s="126" t="s">
        <v>619</v>
      </c>
      <c r="C442" s="126" t="s">
        <v>116</v>
      </c>
      <c r="D442" s="126" t="s">
        <v>127</v>
      </c>
      <c r="E442" s="126" t="s">
        <v>620</v>
      </c>
      <c r="F442" s="126" t="s">
        <v>40</v>
      </c>
      <c r="G442" s="126" t="s">
        <v>118</v>
      </c>
      <c r="H442" s="126"/>
      <c r="I442" s="126" t="s">
        <v>118</v>
      </c>
      <c r="J442" s="126"/>
      <c r="K442" s="127">
        <v>43236</v>
      </c>
      <c r="L442" s="128"/>
      <c r="M442" s="128">
        <v>3</v>
      </c>
      <c r="N442" s="126"/>
      <c r="O442" s="126" t="s">
        <v>119</v>
      </c>
      <c r="P442" s="129"/>
      <c r="Q442" s="129"/>
      <c r="R442" s="126" t="s">
        <v>25</v>
      </c>
      <c r="S442" s="126"/>
      <c r="T442" s="130" t="s">
        <v>120</v>
      </c>
      <c r="U442" s="126" t="s">
        <v>403</v>
      </c>
      <c r="V442" s="130" t="s">
        <v>120</v>
      </c>
      <c r="W442" s="126"/>
      <c r="X442" s="130" t="s">
        <v>120</v>
      </c>
      <c r="Y442" s="126" t="s">
        <v>404</v>
      </c>
      <c r="Z442" s="165" t="s">
        <v>125</v>
      </c>
      <c r="AA442" s="158"/>
      <c r="AB442" s="158"/>
      <c r="AC442" s="170" t="s">
        <v>123</v>
      </c>
      <c r="AD442" s="126" t="s">
        <v>405</v>
      </c>
      <c r="AE442" s="130" t="s">
        <v>120</v>
      </c>
      <c r="AF442" s="127" t="s">
        <v>618</v>
      </c>
      <c r="AG442" s="131"/>
      <c r="AH442" s="131">
        <v>2</v>
      </c>
      <c r="AI442" s="126" t="s">
        <v>512</v>
      </c>
      <c r="AJ442" s="130" t="s">
        <v>120</v>
      </c>
      <c r="AK442" s="126" t="s">
        <v>240</v>
      </c>
      <c r="AL442" s="126" t="s">
        <v>621</v>
      </c>
      <c r="AM442" s="130"/>
      <c r="AN442" s="126"/>
      <c r="AO442" s="132"/>
      <c r="AP442" s="126"/>
      <c r="AQ442" s="126"/>
      <c r="AR442" s="130" t="s">
        <v>120</v>
      </c>
      <c r="AS442" s="126" t="s">
        <v>1893</v>
      </c>
      <c r="AT442" s="127">
        <v>43417.622350231497</v>
      </c>
      <c r="AU442" s="127">
        <v>43417.673041087997</v>
      </c>
      <c r="AV442" s="127"/>
      <c r="AW442" s="127">
        <v>43417.729835069404</v>
      </c>
      <c r="AX442" s="127">
        <v>43417.688149884299</v>
      </c>
      <c r="AY442" s="127">
        <v>43417.684575347201</v>
      </c>
      <c r="AZ442" s="133"/>
      <c r="BA442" s="134">
        <f ca="1">IF(_05preva_view43[[#This Row],[Prevalidation Status]]="Under Prevalidation",NOW()-_05preva_view43[[#This Row],[Request Date]],IF(_05preva_view43[[#This Row],[Close Date]]&gt;_05preva_view43[[#This Row],[Request Date]],_05preva_view43[[#This Row],[Close Date]]-_05preva_view43[[#This Row],[Request Date]],"Not  Calculated"))</f>
        <v>252.70510648148047</v>
      </c>
      <c r="BB442" s="135">
        <f>COUNTIFS(_05preva_view43[Site ID],_05preva_view43[[#This Row],[Site ID]],_05preva_view43[Prevalidation Status],"Under Prevalidation")</f>
        <v>1</v>
      </c>
      <c r="BC442" s="157" t="e">
        <f ca="1">HYPERLINK(CheckPath(_05preva_view43[[#This Row],[File Path]],_05preva_view43[[#This Row],[File Path]],_05preva_view43[[#This Row],[Folder Path3]]),CheckPath(_05preva_view43[[#This Row],[File Path]],"Open File","No File"))</f>
        <v>#VALUE!</v>
      </c>
      <c r="BD442" s="136" t="str">
        <f>CONCATENATE(_05preva_view43[[#This Row],[Site ID]]," (",_05preva_view43[[#This Row],[tenant id]],") Application",IF(_05preva_view43[[#This Row],[Colo Rev]]&gt;0," Rev "&amp;_05preva_view43[[#This Row],[Colo Rev]],""),".xlsx")</f>
        <v>ANMD_0170 (MAW2986) Application.xlsx</v>
      </c>
      <c r="BE442" s="64" t="e">
        <f t="shared" ca="1" si="8"/>
        <v>#VALUE!</v>
      </c>
      <c r="BF442" s="104" t="e">
        <f ca="1">LEFT(CELL("filename",A427),_05preva_view43[[#This Row],[Find Process &amp; Database]]-1)</f>
        <v>#VALUE!</v>
      </c>
      <c r="BG442" s="104" t="e">
        <f ca="1">_05preva_view43[Folder Path1]&amp;"Process &amp; Database\Documentation\Colo Applications"</f>
        <v>#VALUE!</v>
      </c>
      <c r="BH442" s="104" t="e">
        <f ca="1">_05preva_view43[Folder Path2]&amp;"\Colo App "&amp;_05preva_view43[[#This Row],[Operator]]&amp;"\"</f>
        <v>#VALUE!</v>
      </c>
      <c r="BI442" s="63" t="e">
        <f ca="1">_05preva_view43[[#This Row],[Folder Path3]]&amp;_05preva_view43[[#This Row],[File Name]]</f>
        <v>#VALUE!</v>
      </c>
      <c r="BJ442" s="104"/>
      <c r="BK442" s="3"/>
      <c r="BL442" s="3"/>
      <c r="CJ442" s="5"/>
      <c r="CK442" s="5"/>
      <c r="CL442" s="3"/>
      <c r="CN442" s="5"/>
      <c r="CR442" s="3"/>
      <c r="CS442" s="3"/>
      <c r="CT442" s="5"/>
      <c r="CV442" s="3"/>
      <c r="DR442" s="5"/>
      <c r="DT442" s="3"/>
      <c r="EF442" s="7"/>
      <c r="EG442" s="7"/>
      <c r="EJ442" s="4"/>
      <c r="EK442" s="4"/>
      <c r="EU442" s="2"/>
      <c r="EV442" s="2"/>
    </row>
    <row r="443" spans="1:152">
      <c r="A443" s="125">
        <v>177</v>
      </c>
      <c r="B443" s="126" t="s">
        <v>622</v>
      </c>
      <c r="C443" s="126" t="s">
        <v>116</v>
      </c>
      <c r="D443" s="126" t="s">
        <v>127</v>
      </c>
      <c r="E443" s="126" t="s">
        <v>623</v>
      </c>
      <c r="F443" s="126" t="s">
        <v>40</v>
      </c>
      <c r="G443" s="126" t="s">
        <v>118</v>
      </c>
      <c r="H443" s="126"/>
      <c r="I443" s="126" t="s">
        <v>118</v>
      </c>
      <c r="J443" s="126"/>
      <c r="K443" s="127">
        <v>43236</v>
      </c>
      <c r="L443" s="128"/>
      <c r="M443" s="128">
        <v>3</v>
      </c>
      <c r="N443" s="126"/>
      <c r="O443" s="126" t="s">
        <v>119</v>
      </c>
      <c r="P443" s="129"/>
      <c r="Q443" s="129"/>
      <c r="R443" s="126" t="s">
        <v>24</v>
      </c>
      <c r="S443" s="126"/>
      <c r="T443" s="130" t="s">
        <v>120</v>
      </c>
      <c r="U443" s="126" t="s">
        <v>378</v>
      </c>
      <c r="V443" s="130" t="s">
        <v>120</v>
      </c>
      <c r="W443" s="126"/>
      <c r="X443" s="130" t="s">
        <v>120</v>
      </c>
      <c r="Y443" s="126" t="s">
        <v>120</v>
      </c>
      <c r="Z443" s="165" t="s">
        <v>120</v>
      </c>
      <c r="AA443" s="158"/>
      <c r="AB443" s="158"/>
      <c r="AC443" s="170"/>
      <c r="AD443" s="126" t="s">
        <v>120</v>
      </c>
      <c r="AE443" s="130" t="s">
        <v>120</v>
      </c>
      <c r="AF443" s="127" t="s">
        <v>120</v>
      </c>
      <c r="AG443" s="131"/>
      <c r="AH443" s="131">
        <v>2</v>
      </c>
      <c r="AI443" s="126" t="s">
        <v>384</v>
      </c>
      <c r="AJ443" s="130" t="s">
        <v>120</v>
      </c>
      <c r="AK443" s="126" t="s">
        <v>123</v>
      </c>
      <c r="AL443" s="126"/>
      <c r="AM443" s="130"/>
      <c r="AN443" s="126"/>
      <c r="AO443" s="132"/>
      <c r="AP443" s="126"/>
      <c r="AQ443" s="126"/>
      <c r="AR443" s="130"/>
      <c r="AS443" s="126"/>
      <c r="AT443" s="127"/>
      <c r="AU443" s="127">
        <v>43453.379044212998</v>
      </c>
      <c r="AV443" s="127"/>
      <c r="AW443" s="127"/>
      <c r="AX443" s="127"/>
      <c r="AY443" s="127"/>
      <c r="AZ443" s="133">
        <v>43236</v>
      </c>
      <c r="BA44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3" s="135">
        <f>COUNTIFS(_05preva_view43[Site ID],_05preva_view43[[#This Row],[Site ID]],_05preva_view43[Prevalidation Status],"Under Prevalidation")</f>
        <v>0</v>
      </c>
      <c r="BC443" s="157" t="e">
        <f ca="1">HYPERLINK(CheckPath(_05preva_view43[[#This Row],[File Path]],_05preva_view43[[#This Row],[File Path]],_05preva_view43[[#This Row],[Folder Path3]]),CheckPath(_05preva_view43[[#This Row],[File Path]],"Open File","No File"))</f>
        <v>#VALUE!</v>
      </c>
      <c r="BD443" s="136" t="str">
        <f>CONCATENATE(_05preva_view43[[#This Row],[Site ID]]," (",_05preva_view43[[#This Row],[tenant id]],") Application",IF(_05preva_view43[[#This Row],[Colo Rev]]&gt;0," Rev "&amp;_05preva_view43[[#This Row],[Colo Rev]],""),".xlsx")</f>
        <v>ANMD_0266 (MAW2985) Application.xlsx</v>
      </c>
      <c r="BE443" s="64" t="e">
        <f t="shared" ca="1" si="8"/>
        <v>#VALUE!</v>
      </c>
      <c r="BF443" s="104" t="e">
        <f ca="1">LEFT(CELL("filename",A428),_05preva_view43[[#This Row],[Find Process &amp; Database]]-1)</f>
        <v>#VALUE!</v>
      </c>
      <c r="BG443" s="104" t="e">
        <f ca="1">_05preva_view43[Folder Path1]&amp;"Process &amp; Database\Documentation\Colo Applications"</f>
        <v>#VALUE!</v>
      </c>
      <c r="BH443" s="104" t="e">
        <f ca="1">_05preva_view43[Folder Path2]&amp;"\Colo App "&amp;_05preva_view43[[#This Row],[Operator]]&amp;"\"</f>
        <v>#VALUE!</v>
      </c>
      <c r="BI443" s="63" t="e">
        <f ca="1">_05preva_view43[[#This Row],[Folder Path3]]&amp;_05preva_view43[[#This Row],[File Name]]</f>
        <v>#VALUE!</v>
      </c>
      <c r="BJ443" s="104"/>
      <c r="BK443" s="3"/>
      <c r="BL443" s="3"/>
      <c r="CJ443" s="5"/>
      <c r="CK443" s="5"/>
      <c r="CL443" s="3"/>
      <c r="CN443" s="5"/>
      <c r="CR443" s="3"/>
      <c r="CS443" s="3"/>
      <c r="CT443" s="5"/>
      <c r="CV443" s="3"/>
      <c r="DR443" s="5"/>
      <c r="DT443" s="3"/>
      <c r="EF443" s="7"/>
      <c r="EG443" s="7"/>
      <c r="EJ443" s="4"/>
      <c r="EK443" s="4"/>
      <c r="EU443" s="2"/>
      <c r="EV443" s="2"/>
    </row>
    <row r="444" spans="1:152">
      <c r="A444" s="125">
        <v>178</v>
      </c>
      <c r="B444" s="126" t="s">
        <v>624</v>
      </c>
      <c r="C444" s="126" t="s">
        <v>116</v>
      </c>
      <c r="D444" s="126" t="s">
        <v>127</v>
      </c>
      <c r="E444" s="126" t="s">
        <v>625</v>
      </c>
      <c r="F444" s="126" t="s">
        <v>40</v>
      </c>
      <c r="G444" s="126" t="s">
        <v>118</v>
      </c>
      <c r="H444" s="126"/>
      <c r="I444" s="126" t="s">
        <v>118</v>
      </c>
      <c r="J444" s="126"/>
      <c r="K444" s="127">
        <v>43236</v>
      </c>
      <c r="L444" s="128"/>
      <c r="M444" s="128">
        <v>3</v>
      </c>
      <c r="N444" s="126"/>
      <c r="O444" s="126" t="s">
        <v>119</v>
      </c>
      <c r="P444" s="129"/>
      <c r="Q444" s="129"/>
      <c r="R444" s="126" t="s">
        <v>24</v>
      </c>
      <c r="S444" s="126"/>
      <c r="T444" s="130" t="s">
        <v>120</v>
      </c>
      <c r="U444" s="126" t="s">
        <v>378</v>
      </c>
      <c r="V444" s="130" t="s">
        <v>120</v>
      </c>
      <c r="W444" s="126"/>
      <c r="X444" s="130" t="s">
        <v>120</v>
      </c>
      <c r="Y444" s="126" t="s">
        <v>537</v>
      </c>
      <c r="Z444" s="165" t="s">
        <v>120</v>
      </c>
      <c r="AA444" s="158"/>
      <c r="AB444" s="158"/>
      <c r="AC444" s="170"/>
      <c r="AD444" s="126" t="s">
        <v>120</v>
      </c>
      <c r="AE444" s="130" t="s">
        <v>125</v>
      </c>
      <c r="AF444" s="127"/>
      <c r="AG444" s="131"/>
      <c r="AH444" s="131"/>
      <c r="AI444" s="126" t="s">
        <v>626</v>
      </c>
      <c r="AJ444" s="130" t="s">
        <v>120</v>
      </c>
      <c r="AK444" s="126" t="s">
        <v>123</v>
      </c>
      <c r="AL444" s="126"/>
      <c r="AM444" s="130"/>
      <c r="AN444" s="126"/>
      <c r="AO444" s="132"/>
      <c r="AP444" s="126"/>
      <c r="AQ444" s="126"/>
      <c r="AR444" s="130"/>
      <c r="AS444" s="126"/>
      <c r="AT444" s="127"/>
      <c r="AU444" s="127"/>
      <c r="AV444" s="127"/>
      <c r="AW444" s="127"/>
      <c r="AX444" s="127"/>
      <c r="AY444" s="127"/>
      <c r="AZ444" s="133">
        <v>43236</v>
      </c>
      <c r="BA44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4" s="135">
        <f>COUNTIFS(_05preva_view43[Site ID],_05preva_view43[[#This Row],[Site ID]],_05preva_view43[Prevalidation Status],"Under Prevalidation")</f>
        <v>0</v>
      </c>
      <c r="BC444" s="157" t="e">
        <f ca="1">HYPERLINK(CheckPath(_05preva_view43[[#This Row],[File Path]],_05preva_view43[[#This Row],[File Path]],_05preva_view43[[#This Row],[Folder Path3]]),CheckPath(_05preva_view43[[#This Row],[File Path]],"Open File","No File"))</f>
        <v>#VALUE!</v>
      </c>
      <c r="BD444" s="136" t="str">
        <f>CONCATENATE(_05preva_view43[[#This Row],[Site ID]]," (",_05preva_view43[[#This Row],[tenant id]],") Application",IF(_05preva_view43[[#This Row],[Colo Rev]]&gt;0," Rev "&amp;_05preva_view43[[#This Row],[Colo Rev]],""),".xlsx")</f>
        <v>ANMD_0167 (MAW2984) Application.xlsx</v>
      </c>
      <c r="BE444" s="64" t="e">
        <f t="shared" ca="1" si="8"/>
        <v>#VALUE!</v>
      </c>
      <c r="BF444" s="104" t="e">
        <f ca="1">LEFT(CELL("filename",A429),_05preva_view43[[#This Row],[Find Process &amp; Database]]-1)</f>
        <v>#VALUE!</v>
      </c>
      <c r="BG444" s="104" t="e">
        <f ca="1">_05preva_view43[Folder Path1]&amp;"Process &amp; Database\Documentation\Colo Applications"</f>
        <v>#VALUE!</v>
      </c>
      <c r="BH444" s="104" t="e">
        <f ca="1">_05preva_view43[Folder Path2]&amp;"\Colo App "&amp;_05preva_view43[[#This Row],[Operator]]&amp;"\"</f>
        <v>#VALUE!</v>
      </c>
      <c r="BI444" s="63" t="e">
        <f ca="1">_05preva_view43[[#This Row],[Folder Path3]]&amp;_05preva_view43[[#This Row],[File Name]]</f>
        <v>#VALUE!</v>
      </c>
      <c r="BJ444" s="104"/>
      <c r="BK444" s="3"/>
      <c r="BL444" s="3"/>
      <c r="CJ444" s="5"/>
      <c r="CK444" s="5"/>
      <c r="CL444" s="3"/>
      <c r="CN444" s="5"/>
      <c r="CR444" s="3"/>
      <c r="CS444" s="3"/>
      <c r="CT444" s="5"/>
      <c r="CV444" s="3"/>
      <c r="DR444" s="5"/>
      <c r="DT444" s="3"/>
      <c r="EF444" s="7"/>
      <c r="EG444" s="7"/>
      <c r="EJ444" s="4"/>
      <c r="EK444" s="4"/>
      <c r="EU444" s="2"/>
      <c r="EV444" s="2"/>
    </row>
    <row r="445" spans="1:152">
      <c r="A445" s="125">
        <v>179</v>
      </c>
      <c r="B445" s="126" t="s">
        <v>627</v>
      </c>
      <c r="C445" s="126" t="s">
        <v>116</v>
      </c>
      <c r="D445" s="126" t="s">
        <v>117</v>
      </c>
      <c r="E445" s="126" t="s">
        <v>628</v>
      </c>
      <c r="F445" s="126" t="s">
        <v>40</v>
      </c>
      <c r="G445" s="126" t="s">
        <v>118</v>
      </c>
      <c r="H445" s="126"/>
      <c r="I445" s="126" t="s">
        <v>118</v>
      </c>
      <c r="J445" s="126"/>
      <c r="K445" s="127">
        <v>43236</v>
      </c>
      <c r="L445" s="128"/>
      <c r="M445" s="128">
        <v>3</v>
      </c>
      <c r="N445" s="126"/>
      <c r="O445" s="126" t="s">
        <v>119</v>
      </c>
      <c r="P445" s="129"/>
      <c r="Q445" s="129"/>
      <c r="R445" s="126" t="s">
        <v>26</v>
      </c>
      <c r="S445" s="126" t="s">
        <v>629</v>
      </c>
      <c r="T445" s="130" t="s">
        <v>120</v>
      </c>
      <c r="U445" s="126" t="s">
        <v>378</v>
      </c>
      <c r="V445" s="130" t="s">
        <v>120</v>
      </c>
      <c r="W445" s="126"/>
      <c r="X445" s="130" t="s">
        <v>120</v>
      </c>
      <c r="Y445" s="126" t="s">
        <v>120</v>
      </c>
      <c r="Z445" s="165" t="s">
        <v>120</v>
      </c>
      <c r="AA445" s="158"/>
      <c r="AB445" s="158"/>
      <c r="AC445" s="170"/>
      <c r="AD445" s="126" t="s">
        <v>120</v>
      </c>
      <c r="AE445" s="130" t="s">
        <v>120</v>
      </c>
      <c r="AF445" s="127" t="s">
        <v>241</v>
      </c>
      <c r="AG445" s="131"/>
      <c r="AH445" s="131">
        <v>3.5</v>
      </c>
      <c r="AI445" s="126" t="s">
        <v>242</v>
      </c>
      <c r="AJ445" s="130" t="s">
        <v>120</v>
      </c>
      <c r="AK445" s="126" t="s">
        <v>123</v>
      </c>
      <c r="AL445" s="126"/>
      <c r="AM445" s="130"/>
      <c r="AN445" s="126"/>
      <c r="AO445" s="132"/>
      <c r="AP445" s="126"/>
      <c r="AQ445" s="126"/>
      <c r="AR445" s="130"/>
      <c r="AS445" s="126"/>
      <c r="AT445" s="127"/>
      <c r="AU445" s="127">
        <v>43453.379046064802</v>
      </c>
      <c r="AV445" s="127"/>
      <c r="AW445" s="127"/>
      <c r="AX445" s="127"/>
      <c r="AY445" s="127"/>
      <c r="AZ445" s="133">
        <v>43236</v>
      </c>
      <c r="BA44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5" s="135">
        <f>COUNTIFS(_05preva_view43[Site ID],_05preva_view43[[#This Row],[Site ID]],_05preva_view43[Prevalidation Status],"Under Prevalidation")</f>
        <v>0</v>
      </c>
      <c r="BC445" s="157" t="e">
        <f ca="1">HYPERLINK(CheckPath(_05preva_view43[[#This Row],[File Path]],_05preva_view43[[#This Row],[File Path]],_05preva_view43[[#This Row],[Folder Path3]]),CheckPath(_05preva_view43[[#This Row],[File Path]],"Open File","No File"))</f>
        <v>#VALUE!</v>
      </c>
      <c r="BD445" s="136" t="str">
        <f>CONCATENATE(_05preva_view43[[#This Row],[Site ID]]," (",_05preva_view43[[#This Row],[tenant id]],") Application",IF(_05preva_view43[[#This Row],[Colo Rev]]&gt;0," Rev "&amp;_05preva_view43[[#This Row],[Colo Rev]],""),".xlsx")</f>
        <v>ANMG_0172 (MWW3507) Application.xlsx</v>
      </c>
      <c r="BE445" s="64" t="e">
        <f t="shared" ca="1" si="8"/>
        <v>#VALUE!</v>
      </c>
      <c r="BF445" s="104" t="e">
        <f ca="1">LEFT(CELL("filename",A430),_05preva_view43[[#This Row],[Find Process &amp; Database]]-1)</f>
        <v>#VALUE!</v>
      </c>
      <c r="BG445" s="104" t="e">
        <f ca="1">_05preva_view43[Folder Path1]&amp;"Process &amp; Database\Documentation\Colo Applications"</f>
        <v>#VALUE!</v>
      </c>
      <c r="BH445" s="104" t="e">
        <f ca="1">_05preva_view43[Folder Path2]&amp;"\Colo App "&amp;_05preva_view43[[#This Row],[Operator]]&amp;"\"</f>
        <v>#VALUE!</v>
      </c>
      <c r="BI445" s="63" t="e">
        <f ca="1">_05preva_view43[[#This Row],[Folder Path3]]&amp;_05preva_view43[[#This Row],[File Name]]</f>
        <v>#VALUE!</v>
      </c>
      <c r="BJ445" s="104"/>
      <c r="BK445" s="3"/>
      <c r="BL445" s="3"/>
      <c r="CJ445" s="5"/>
      <c r="CK445" s="5"/>
      <c r="CL445" s="3"/>
      <c r="CN445" s="5"/>
      <c r="CR445" s="3"/>
      <c r="CS445" s="3"/>
      <c r="CT445" s="5"/>
      <c r="CV445" s="3"/>
      <c r="DR445" s="5"/>
      <c r="DT445" s="3"/>
      <c r="EF445" s="7"/>
      <c r="EG445" s="7"/>
      <c r="EJ445" s="4"/>
      <c r="EK445" s="4"/>
      <c r="EU445" s="2"/>
      <c r="EV445" s="2"/>
    </row>
    <row r="446" spans="1:152">
      <c r="A446" s="125">
        <v>180</v>
      </c>
      <c r="B446" s="126" t="s">
        <v>630</v>
      </c>
      <c r="C446" s="126" t="s">
        <v>116</v>
      </c>
      <c r="D446" s="126" t="s">
        <v>117</v>
      </c>
      <c r="E446" s="126" t="s">
        <v>631</v>
      </c>
      <c r="F446" s="126" t="s">
        <v>40</v>
      </c>
      <c r="G446" s="126" t="s">
        <v>118</v>
      </c>
      <c r="H446" s="126"/>
      <c r="I446" s="126" t="s">
        <v>118</v>
      </c>
      <c r="J446" s="126"/>
      <c r="K446" s="127">
        <v>43236</v>
      </c>
      <c r="L446" s="128"/>
      <c r="M446" s="128">
        <v>3</v>
      </c>
      <c r="N446" s="126"/>
      <c r="O446" s="126" t="s">
        <v>119</v>
      </c>
      <c r="P446" s="129"/>
      <c r="Q446" s="129"/>
      <c r="R446" s="126" t="s">
        <v>24</v>
      </c>
      <c r="S446" s="126"/>
      <c r="T446" s="130" t="s">
        <v>120</v>
      </c>
      <c r="U446" s="126" t="s">
        <v>378</v>
      </c>
      <c r="V446" s="130" t="s">
        <v>120</v>
      </c>
      <c r="W446" s="126"/>
      <c r="X446" s="130" t="s">
        <v>120</v>
      </c>
      <c r="Y446" s="126" t="s">
        <v>120</v>
      </c>
      <c r="Z446" s="165" t="s">
        <v>120</v>
      </c>
      <c r="AA446" s="158"/>
      <c r="AB446" s="158"/>
      <c r="AC446" s="170"/>
      <c r="AD446" s="126" t="s">
        <v>120</v>
      </c>
      <c r="AE446" s="130" t="s">
        <v>120</v>
      </c>
      <c r="AF446" s="127" t="s">
        <v>467</v>
      </c>
      <c r="AG446" s="131"/>
      <c r="AH446" s="131">
        <v>3.5</v>
      </c>
      <c r="AI446" s="126" t="s">
        <v>245</v>
      </c>
      <c r="AJ446" s="130" t="s">
        <v>120</v>
      </c>
      <c r="AK446" s="126" t="s">
        <v>123</v>
      </c>
      <c r="AL446" s="126"/>
      <c r="AM446" s="130"/>
      <c r="AN446" s="126"/>
      <c r="AO446" s="132"/>
      <c r="AP446" s="126"/>
      <c r="AQ446" s="126"/>
      <c r="AR446" s="130"/>
      <c r="AS446" s="126"/>
      <c r="AT446" s="127"/>
      <c r="AU446" s="127">
        <v>43453.379046643502</v>
      </c>
      <c r="AV446" s="127"/>
      <c r="AW446" s="127"/>
      <c r="AX446" s="127"/>
      <c r="AY446" s="127"/>
      <c r="AZ446" s="133">
        <v>43236</v>
      </c>
      <c r="BA44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6" s="135">
        <f>COUNTIFS(_05preva_view43[Site ID],_05preva_view43[[#This Row],[Site ID]],_05preva_view43[Prevalidation Status],"Under Prevalidation")</f>
        <v>0</v>
      </c>
      <c r="BC446" s="157" t="e">
        <f ca="1">HYPERLINK(CheckPath(_05preva_view43[[#This Row],[File Path]],_05preva_view43[[#This Row],[File Path]],_05preva_view43[[#This Row],[Folder Path3]]),CheckPath(_05preva_view43[[#This Row],[File Path]],"Open File","No File"))</f>
        <v>#VALUE!</v>
      </c>
      <c r="BD446" s="136" t="str">
        <f>CONCATENATE(_05preva_view43[[#This Row],[Site ID]]," (",_05preva_view43[[#This Row],[tenant id]],") Application",IF(_05preva_view43[[#This Row],[Colo Rev]]&gt;0," Rev "&amp;_05preva_view43[[#This Row],[Colo Rev]],""),".xlsx")</f>
        <v>ANMG_0173 (MWW3508) Application.xlsx</v>
      </c>
      <c r="BE446" s="64" t="e">
        <f t="shared" ca="1" si="8"/>
        <v>#VALUE!</v>
      </c>
      <c r="BF446" s="104" t="e">
        <f ca="1">LEFT(CELL("filename",A431),_05preva_view43[[#This Row],[Find Process &amp; Database]]-1)</f>
        <v>#VALUE!</v>
      </c>
      <c r="BG446" s="104" t="e">
        <f ca="1">_05preva_view43[Folder Path1]&amp;"Process &amp; Database\Documentation\Colo Applications"</f>
        <v>#VALUE!</v>
      </c>
      <c r="BH446" s="104" t="e">
        <f ca="1">_05preva_view43[Folder Path2]&amp;"\Colo App "&amp;_05preva_view43[[#This Row],[Operator]]&amp;"\"</f>
        <v>#VALUE!</v>
      </c>
      <c r="BI446" s="63" t="e">
        <f ca="1">_05preva_view43[[#This Row],[Folder Path3]]&amp;_05preva_view43[[#This Row],[File Name]]</f>
        <v>#VALUE!</v>
      </c>
      <c r="BJ446" s="104"/>
      <c r="BK446" s="3"/>
      <c r="BL446" s="3"/>
      <c r="CJ446" s="5"/>
      <c r="CK446" s="5"/>
      <c r="CL446" s="3"/>
      <c r="CN446" s="5"/>
      <c r="CR446" s="3"/>
      <c r="CS446" s="3"/>
      <c r="CT446" s="5"/>
      <c r="CV446" s="3"/>
      <c r="DR446" s="5"/>
      <c r="DT446" s="3"/>
      <c r="EF446" s="7"/>
      <c r="EG446" s="7"/>
      <c r="EJ446" s="4"/>
      <c r="EK446" s="4"/>
      <c r="EU446" s="2"/>
      <c r="EV446" s="2"/>
    </row>
    <row r="447" spans="1:152">
      <c r="A447" s="125">
        <v>181</v>
      </c>
      <c r="B447" s="126" t="s">
        <v>632</v>
      </c>
      <c r="C447" s="126" t="s">
        <v>116</v>
      </c>
      <c r="D447" s="126" t="s">
        <v>127</v>
      </c>
      <c r="E447" s="126" t="s">
        <v>633</v>
      </c>
      <c r="F447" s="126" t="s">
        <v>40</v>
      </c>
      <c r="G447" s="126" t="s">
        <v>118</v>
      </c>
      <c r="H447" s="126"/>
      <c r="I447" s="126" t="s">
        <v>118</v>
      </c>
      <c r="J447" s="126"/>
      <c r="K447" s="127">
        <v>43236</v>
      </c>
      <c r="L447" s="128"/>
      <c r="M447" s="128">
        <v>3</v>
      </c>
      <c r="N447" s="126"/>
      <c r="O447" s="126" t="s">
        <v>119</v>
      </c>
      <c r="P447" s="129"/>
      <c r="Q447" s="129"/>
      <c r="R447" s="126" t="s">
        <v>24</v>
      </c>
      <c r="S447" s="126"/>
      <c r="T447" s="130" t="s">
        <v>120</v>
      </c>
      <c r="U447" s="126" t="s">
        <v>378</v>
      </c>
      <c r="V447" s="130" t="s">
        <v>120</v>
      </c>
      <c r="W447" s="126"/>
      <c r="X447" s="130" t="s">
        <v>120</v>
      </c>
      <c r="Y447" s="126" t="s">
        <v>120</v>
      </c>
      <c r="Z447" s="165" t="s">
        <v>120</v>
      </c>
      <c r="AA447" s="158"/>
      <c r="AB447" s="158"/>
      <c r="AC447" s="170"/>
      <c r="AD447" s="126" t="s">
        <v>120</v>
      </c>
      <c r="AE447" s="130" t="s">
        <v>120</v>
      </c>
      <c r="AF447" s="127" t="s">
        <v>120</v>
      </c>
      <c r="AG447" s="131"/>
      <c r="AH447" s="131">
        <v>2</v>
      </c>
      <c r="AI447" s="126" t="s">
        <v>634</v>
      </c>
      <c r="AJ447" s="130" t="s">
        <v>120</v>
      </c>
      <c r="AK447" s="126" t="s">
        <v>123</v>
      </c>
      <c r="AL447" s="126"/>
      <c r="AM447" s="130"/>
      <c r="AN447" s="126"/>
      <c r="AO447" s="132"/>
      <c r="AP447" s="126"/>
      <c r="AQ447" s="126"/>
      <c r="AR447" s="130"/>
      <c r="AS447" s="126"/>
      <c r="AT447" s="127"/>
      <c r="AU447" s="127">
        <v>43453.379047338</v>
      </c>
      <c r="AV447" s="127"/>
      <c r="AW447" s="127"/>
      <c r="AX447" s="127"/>
      <c r="AY447" s="127"/>
      <c r="AZ447" s="133">
        <v>43236</v>
      </c>
      <c r="BA44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7" s="135">
        <f>COUNTIFS(_05preva_view43[Site ID],_05preva_view43[[#This Row],[Site ID]],_05preva_view43[Prevalidation Status],"Under Prevalidation")</f>
        <v>0</v>
      </c>
      <c r="BC447" s="157" t="e">
        <f ca="1">HYPERLINK(CheckPath(_05preva_view43[[#This Row],[File Path]],_05preva_view43[[#This Row],[File Path]],_05preva_view43[[#This Row],[Folder Path3]]),CheckPath(_05preva_view43[[#This Row],[File Path]],"Open File","No File"))</f>
        <v>#VALUE!</v>
      </c>
      <c r="BD447" s="136" t="str">
        <f>CONCATENATE(_05preva_view43[[#This Row],[Site ID]]," (",_05preva_view43[[#This Row],[tenant id]],") Application",IF(_05preva_view43[[#This Row],[Colo Rev]]&gt;0," Rev "&amp;_05preva_view43[[#This Row],[Colo Rev]],""),".xlsx")</f>
        <v>ANSH_0086 (SHW1908) Application.xlsx</v>
      </c>
      <c r="BE447" s="64" t="e">
        <f t="shared" ca="1" si="8"/>
        <v>#VALUE!</v>
      </c>
      <c r="BF447" s="104" t="e">
        <f ca="1">LEFT(CELL("filename",A432),_05preva_view43[[#This Row],[Find Process &amp; Database]]-1)</f>
        <v>#VALUE!</v>
      </c>
      <c r="BG447" s="104" t="e">
        <f ca="1">_05preva_view43[Folder Path1]&amp;"Process &amp; Database\Documentation\Colo Applications"</f>
        <v>#VALUE!</v>
      </c>
      <c r="BH447" s="104" t="e">
        <f ca="1">_05preva_view43[Folder Path2]&amp;"\Colo App "&amp;_05preva_view43[[#This Row],[Operator]]&amp;"\"</f>
        <v>#VALUE!</v>
      </c>
      <c r="BI447" s="63" t="e">
        <f ca="1">_05preva_view43[[#This Row],[Folder Path3]]&amp;_05preva_view43[[#This Row],[File Name]]</f>
        <v>#VALUE!</v>
      </c>
      <c r="BJ447" s="104"/>
      <c r="BK447" s="3"/>
      <c r="BL447" s="3"/>
      <c r="CJ447" s="5"/>
      <c r="CK447" s="5"/>
      <c r="CL447" s="3"/>
      <c r="CN447" s="5"/>
      <c r="CR447" s="3"/>
      <c r="CS447" s="3"/>
      <c r="CT447" s="5"/>
      <c r="CV447" s="3"/>
      <c r="DR447" s="5"/>
      <c r="DT447" s="3"/>
      <c r="EF447" s="7"/>
      <c r="EG447" s="7"/>
      <c r="EJ447" s="4"/>
      <c r="EK447" s="4"/>
      <c r="EU447" s="2"/>
      <c r="EV447" s="2"/>
    </row>
    <row r="448" spans="1:152">
      <c r="A448" s="125">
        <v>182</v>
      </c>
      <c r="B448" s="126" t="s">
        <v>635</v>
      </c>
      <c r="C448" s="126" t="s">
        <v>116</v>
      </c>
      <c r="D448" s="126" t="s">
        <v>127</v>
      </c>
      <c r="E448" s="126" t="s">
        <v>636</v>
      </c>
      <c r="F448" s="126" t="s">
        <v>40</v>
      </c>
      <c r="G448" s="126" t="s">
        <v>118</v>
      </c>
      <c r="H448" s="126"/>
      <c r="I448" s="126" t="s">
        <v>118</v>
      </c>
      <c r="J448" s="126"/>
      <c r="K448" s="127">
        <v>43236</v>
      </c>
      <c r="L448" s="128"/>
      <c r="M448" s="128">
        <v>3</v>
      </c>
      <c r="N448" s="126"/>
      <c r="O448" s="126" t="s">
        <v>119</v>
      </c>
      <c r="P448" s="129"/>
      <c r="Q448" s="129"/>
      <c r="R448" s="126" t="s">
        <v>24</v>
      </c>
      <c r="S448" s="126"/>
      <c r="T448" s="130" t="s">
        <v>120</v>
      </c>
      <c r="U448" s="126" t="s">
        <v>378</v>
      </c>
      <c r="V448" s="130" t="s">
        <v>120</v>
      </c>
      <c r="W448" s="126"/>
      <c r="X448" s="130" t="s">
        <v>120</v>
      </c>
      <c r="Y448" s="126" t="s">
        <v>120</v>
      </c>
      <c r="Z448" s="165" t="s">
        <v>120</v>
      </c>
      <c r="AA448" s="158"/>
      <c r="AB448" s="158"/>
      <c r="AC448" s="170"/>
      <c r="AD448" s="126" t="s">
        <v>419</v>
      </c>
      <c r="AE448" s="130" t="s">
        <v>120</v>
      </c>
      <c r="AF448" s="127" t="s">
        <v>120</v>
      </c>
      <c r="AG448" s="131"/>
      <c r="AH448" s="131">
        <v>2</v>
      </c>
      <c r="AI448" s="126" t="s">
        <v>384</v>
      </c>
      <c r="AJ448" s="130" t="s">
        <v>120</v>
      </c>
      <c r="AK448" s="126" t="s">
        <v>123</v>
      </c>
      <c r="AL448" s="126"/>
      <c r="AM448" s="130"/>
      <c r="AN448" s="126"/>
      <c r="AO448" s="132"/>
      <c r="AP448" s="126"/>
      <c r="AQ448" s="126"/>
      <c r="AR448" s="130"/>
      <c r="AS448" s="126"/>
      <c r="AT448" s="127"/>
      <c r="AU448" s="127">
        <v>43453.379048148097</v>
      </c>
      <c r="AV448" s="127"/>
      <c r="AW448" s="127"/>
      <c r="AX448" s="127"/>
      <c r="AY448" s="127"/>
      <c r="AZ448" s="133">
        <v>43236</v>
      </c>
      <c r="BA44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8" s="135">
        <f>COUNTIFS(_05preva_view43[Site ID],_05preva_view43[[#This Row],[Site ID]],_05preva_view43[Prevalidation Status],"Under Prevalidation")</f>
        <v>0</v>
      </c>
      <c r="BC448" s="157" t="e">
        <f ca="1">HYPERLINK(CheckPath(_05preva_view43[[#This Row],[File Path]],_05preva_view43[[#This Row],[File Path]],_05preva_view43[[#This Row],[Folder Path3]]),CheckPath(_05preva_view43[[#This Row],[File Path]],"Open File","No File"))</f>
        <v>#VALUE!</v>
      </c>
      <c r="BD448" s="136" t="str">
        <f>CONCATENATE(_05preva_view43[[#This Row],[Site ID]]," (",_05preva_view43[[#This Row],[tenant id]],") Application",IF(_05preva_view43[[#This Row],[Colo Rev]]&gt;0," Rev "&amp;_05preva_view43[[#This Row],[Colo Rev]],""),".xlsx")</f>
        <v>ANSG_0379 (SAW0726) Application.xlsx</v>
      </c>
      <c r="BE448" s="64" t="e">
        <f t="shared" ca="1" si="8"/>
        <v>#VALUE!</v>
      </c>
      <c r="BF448" s="104" t="e">
        <f ca="1">LEFT(CELL("filename",A433),_05preva_view43[[#This Row],[Find Process &amp; Database]]-1)</f>
        <v>#VALUE!</v>
      </c>
      <c r="BG448" s="104" t="e">
        <f ca="1">_05preva_view43[Folder Path1]&amp;"Process &amp; Database\Documentation\Colo Applications"</f>
        <v>#VALUE!</v>
      </c>
      <c r="BH448" s="104" t="e">
        <f ca="1">_05preva_view43[Folder Path2]&amp;"\Colo App "&amp;_05preva_view43[[#This Row],[Operator]]&amp;"\"</f>
        <v>#VALUE!</v>
      </c>
      <c r="BI448" s="63" t="e">
        <f ca="1">_05preva_view43[[#This Row],[Folder Path3]]&amp;_05preva_view43[[#This Row],[File Name]]</f>
        <v>#VALUE!</v>
      </c>
      <c r="BJ448" s="104"/>
      <c r="BK448" s="3"/>
      <c r="BL448" s="3"/>
      <c r="CJ448" s="5"/>
      <c r="CK448" s="5"/>
      <c r="CL448" s="3"/>
      <c r="CN448" s="5"/>
      <c r="CR448" s="3"/>
      <c r="CS448" s="3"/>
      <c r="CT448" s="5"/>
      <c r="CV448" s="3"/>
      <c r="DR448" s="5"/>
      <c r="DT448" s="3"/>
      <c r="EF448" s="7"/>
      <c r="EG448" s="7"/>
      <c r="EJ448" s="4"/>
      <c r="EK448" s="4"/>
      <c r="EU448" s="2"/>
      <c r="EV448" s="2"/>
    </row>
    <row r="449" spans="1:152">
      <c r="A449" s="125">
        <v>183</v>
      </c>
      <c r="B449" s="126" t="s">
        <v>637</v>
      </c>
      <c r="C449" s="126" t="s">
        <v>116</v>
      </c>
      <c r="D449" s="126" t="s">
        <v>127</v>
      </c>
      <c r="E449" s="126" t="s">
        <v>638</v>
      </c>
      <c r="F449" s="126" t="s">
        <v>40</v>
      </c>
      <c r="G449" s="126" t="s">
        <v>118</v>
      </c>
      <c r="H449" s="126"/>
      <c r="I449" s="126" t="s">
        <v>118</v>
      </c>
      <c r="J449" s="126"/>
      <c r="K449" s="127">
        <v>43236</v>
      </c>
      <c r="L449" s="128"/>
      <c r="M449" s="128">
        <v>3</v>
      </c>
      <c r="N449" s="126"/>
      <c r="O449" s="126" t="s">
        <v>119</v>
      </c>
      <c r="P449" s="129"/>
      <c r="Q449" s="129"/>
      <c r="R449" s="126" t="s">
        <v>27</v>
      </c>
      <c r="S449" s="126"/>
      <c r="T449" s="130" t="s">
        <v>120</v>
      </c>
      <c r="U449" s="126" t="s">
        <v>378</v>
      </c>
      <c r="V449" s="130" t="s">
        <v>120</v>
      </c>
      <c r="W449" s="126"/>
      <c r="X449" s="130" t="s">
        <v>120</v>
      </c>
      <c r="Y449" s="126" t="s">
        <v>120</v>
      </c>
      <c r="Z449" s="165" t="s">
        <v>120</v>
      </c>
      <c r="AA449" s="158"/>
      <c r="AB449" s="158"/>
      <c r="AC449" s="170"/>
      <c r="AD449" s="126" t="s">
        <v>639</v>
      </c>
      <c r="AE449" s="130" t="s">
        <v>125</v>
      </c>
      <c r="AF449" s="127"/>
      <c r="AG449" s="131"/>
      <c r="AH449" s="131"/>
      <c r="AI449" s="126" t="s">
        <v>640</v>
      </c>
      <c r="AJ449" s="130" t="s">
        <v>120</v>
      </c>
      <c r="AK449" s="126" t="s">
        <v>123</v>
      </c>
      <c r="AL449" s="126"/>
      <c r="AM449" s="130"/>
      <c r="AN449" s="126"/>
      <c r="AO449" s="132"/>
      <c r="AP449" s="126"/>
      <c r="AQ449" s="126"/>
      <c r="AR449" s="130"/>
      <c r="AS449" s="126"/>
      <c r="AT449" s="127"/>
      <c r="AU449" s="127"/>
      <c r="AV449" s="127"/>
      <c r="AW449" s="127"/>
      <c r="AX449" s="127"/>
      <c r="AY449" s="127"/>
      <c r="AZ449" s="133"/>
      <c r="BA44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9" s="135">
        <f>COUNTIFS(_05preva_view43[Site ID],_05preva_view43[[#This Row],[Site ID]],_05preva_view43[Prevalidation Status],"Under Prevalidation")</f>
        <v>0</v>
      </c>
      <c r="BC449" s="157" t="e">
        <f ca="1">HYPERLINK(CheckPath(_05preva_view43[[#This Row],[File Path]],_05preva_view43[[#This Row],[File Path]],_05preva_view43[[#This Row],[Folder Path3]]),CheckPath(_05preva_view43[[#This Row],[File Path]],"Open File","No File"))</f>
        <v>#VALUE!</v>
      </c>
      <c r="BD449" s="136" t="str">
        <f>CONCATENATE(_05preva_view43[[#This Row],[Site ID]]," (",_05preva_view43[[#This Row],[tenant id]],") Application",IF(_05preva_view43[[#This Row],[Colo Rev]]&gt;0," Rev "&amp;_05preva_view43[[#This Row],[Colo Rev]],""),".xlsx")</f>
        <v>ANMD_0098 (MAW2979) Application.xlsx</v>
      </c>
      <c r="BE449" s="64" t="e">
        <f t="shared" ca="1" si="8"/>
        <v>#VALUE!</v>
      </c>
      <c r="BF449" s="104" t="e">
        <f ca="1">LEFT(CELL("filename",A434),_05preva_view43[[#This Row],[Find Process &amp; Database]]-1)</f>
        <v>#VALUE!</v>
      </c>
      <c r="BG449" s="104" t="e">
        <f ca="1">_05preva_view43[Folder Path1]&amp;"Process &amp; Database\Documentation\Colo Applications"</f>
        <v>#VALUE!</v>
      </c>
      <c r="BH449" s="104" t="e">
        <f ca="1">_05preva_view43[Folder Path2]&amp;"\Colo App "&amp;_05preva_view43[[#This Row],[Operator]]&amp;"\"</f>
        <v>#VALUE!</v>
      </c>
      <c r="BI449" s="63" t="e">
        <f ca="1">_05preva_view43[[#This Row],[Folder Path3]]&amp;_05preva_view43[[#This Row],[File Name]]</f>
        <v>#VALUE!</v>
      </c>
      <c r="BJ449" s="104"/>
      <c r="BK449" s="3"/>
      <c r="BL449" s="3"/>
      <c r="CJ449" s="5"/>
      <c r="CK449" s="5"/>
      <c r="CL449" s="3"/>
      <c r="CN449" s="5"/>
      <c r="CR449" s="3"/>
      <c r="CS449" s="3"/>
      <c r="CT449" s="5"/>
      <c r="CV449" s="3"/>
      <c r="DR449" s="5"/>
      <c r="DT449" s="3"/>
      <c r="EF449" s="7"/>
      <c r="EG449" s="7"/>
      <c r="EJ449" s="4"/>
      <c r="EK449" s="4"/>
      <c r="EU449" s="2"/>
      <c r="EV449" s="2"/>
    </row>
    <row r="450" spans="1:152">
      <c r="A450" s="125">
        <v>184</v>
      </c>
      <c r="B450" s="126" t="s">
        <v>641</v>
      </c>
      <c r="C450" s="126" t="s">
        <v>116</v>
      </c>
      <c r="D450" s="126" t="s">
        <v>127</v>
      </c>
      <c r="E450" s="126" t="s">
        <v>642</v>
      </c>
      <c r="F450" s="126" t="s">
        <v>40</v>
      </c>
      <c r="G450" s="126" t="s">
        <v>118</v>
      </c>
      <c r="H450" s="126"/>
      <c r="I450" s="126" t="s">
        <v>118</v>
      </c>
      <c r="J450" s="126"/>
      <c r="K450" s="127">
        <v>43236</v>
      </c>
      <c r="L450" s="128"/>
      <c r="M450" s="128">
        <v>3</v>
      </c>
      <c r="N450" s="126"/>
      <c r="O450" s="126" t="s">
        <v>119</v>
      </c>
      <c r="P450" s="129"/>
      <c r="Q450" s="129"/>
      <c r="R450" s="126" t="s">
        <v>24</v>
      </c>
      <c r="S450" s="126"/>
      <c r="T450" s="130" t="s">
        <v>120</v>
      </c>
      <c r="U450" s="126" t="s">
        <v>378</v>
      </c>
      <c r="V450" s="130" t="s">
        <v>120</v>
      </c>
      <c r="W450" s="126"/>
      <c r="X450" s="130" t="s">
        <v>120</v>
      </c>
      <c r="Y450" s="126" t="s">
        <v>537</v>
      </c>
      <c r="Z450" s="165" t="s">
        <v>120</v>
      </c>
      <c r="AA450" s="158"/>
      <c r="AB450" s="158"/>
      <c r="AC450" s="170"/>
      <c r="AD450" s="126" t="s">
        <v>120</v>
      </c>
      <c r="AE450" s="130" t="s">
        <v>120</v>
      </c>
      <c r="AF450" s="127" t="s">
        <v>120</v>
      </c>
      <c r="AG450" s="131"/>
      <c r="AH450" s="131">
        <v>2</v>
      </c>
      <c r="AI450" s="126" t="s">
        <v>384</v>
      </c>
      <c r="AJ450" s="130" t="s">
        <v>120</v>
      </c>
      <c r="AK450" s="126" t="s">
        <v>123</v>
      </c>
      <c r="AL450" s="126"/>
      <c r="AM450" s="130"/>
      <c r="AN450" s="126"/>
      <c r="AO450" s="132"/>
      <c r="AP450" s="126"/>
      <c r="AQ450" s="126"/>
      <c r="AR450" s="130"/>
      <c r="AS450" s="126"/>
      <c r="AT450" s="127"/>
      <c r="AU450" s="127">
        <v>43453.3790493056</v>
      </c>
      <c r="AV450" s="127"/>
      <c r="AW450" s="127"/>
      <c r="AX450" s="127"/>
      <c r="AY450" s="127"/>
      <c r="AZ450" s="133">
        <v>43236</v>
      </c>
      <c r="BA45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0" s="135">
        <f>COUNTIFS(_05preva_view43[Site ID],_05preva_view43[[#This Row],[Site ID]],_05preva_view43[Prevalidation Status],"Under Prevalidation")</f>
        <v>0</v>
      </c>
      <c r="BC450" s="157" t="e">
        <f ca="1">HYPERLINK(CheckPath(_05preva_view43[[#This Row],[File Path]],_05preva_view43[[#This Row],[File Path]],_05preva_view43[[#This Row],[Folder Path3]]),CheckPath(_05preva_view43[[#This Row],[File Path]],"Open File","No File"))</f>
        <v>#VALUE!</v>
      </c>
      <c r="BD450" s="136" t="str">
        <f>CONCATENATE(_05preva_view43[[#This Row],[Site ID]]," (",_05preva_view43[[#This Row],[tenant id]],") Application",IF(_05preva_view43[[#This Row],[Colo Rev]]&gt;0," Rev "&amp;_05preva_view43[[#This Row],[Colo Rev]],""),".xlsx")</f>
        <v>ANSG_0347 (SAW0717) Application.xlsx</v>
      </c>
      <c r="BE450" s="64" t="e">
        <f t="shared" ca="1" si="8"/>
        <v>#VALUE!</v>
      </c>
      <c r="BF450" s="104" t="e">
        <f ca="1">LEFT(CELL("filename",A435),_05preva_view43[[#This Row],[Find Process &amp; Database]]-1)</f>
        <v>#VALUE!</v>
      </c>
      <c r="BG450" s="104" t="e">
        <f ca="1">_05preva_view43[Folder Path1]&amp;"Process &amp; Database\Documentation\Colo Applications"</f>
        <v>#VALUE!</v>
      </c>
      <c r="BH450" s="104" t="e">
        <f ca="1">_05preva_view43[Folder Path2]&amp;"\Colo App "&amp;_05preva_view43[[#This Row],[Operator]]&amp;"\"</f>
        <v>#VALUE!</v>
      </c>
      <c r="BI450" s="63" t="e">
        <f ca="1">_05preva_view43[[#This Row],[Folder Path3]]&amp;_05preva_view43[[#This Row],[File Name]]</f>
        <v>#VALUE!</v>
      </c>
      <c r="BJ450" s="104"/>
      <c r="BK450" s="3"/>
      <c r="BL450" s="3"/>
      <c r="CJ450" s="5"/>
      <c r="CK450" s="5"/>
      <c r="CL450" s="3"/>
      <c r="CN450" s="5"/>
      <c r="CR450" s="3"/>
      <c r="CS450" s="3"/>
      <c r="CT450" s="5"/>
      <c r="CV450" s="3"/>
      <c r="DR450" s="5"/>
      <c r="DT450" s="3"/>
      <c r="EF450" s="7"/>
      <c r="EG450" s="7"/>
      <c r="EJ450" s="4"/>
      <c r="EK450" s="4"/>
      <c r="EU450" s="2"/>
      <c r="EV450" s="2"/>
    </row>
    <row r="451" spans="1:152">
      <c r="A451" s="125">
        <v>185</v>
      </c>
      <c r="B451" s="126" t="s">
        <v>207</v>
      </c>
      <c r="C451" s="126" t="s">
        <v>116</v>
      </c>
      <c r="D451" s="126" t="s">
        <v>127</v>
      </c>
      <c r="E451" s="126" t="s">
        <v>643</v>
      </c>
      <c r="F451" s="126" t="s">
        <v>40</v>
      </c>
      <c r="G451" s="126" t="s">
        <v>118</v>
      </c>
      <c r="H451" s="126"/>
      <c r="I451" s="126" t="s">
        <v>118</v>
      </c>
      <c r="J451" s="126"/>
      <c r="K451" s="127">
        <v>43236</v>
      </c>
      <c r="L451" s="128"/>
      <c r="M451" s="128">
        <v>3</v>
      </c>
      <c r="N451" s="126"/>
      <c r="O451" s="126" t="s">
        <v>119</v>
      </c>
      <c r="P451" s="129"/>
      <c r="Q451" s="129"/>
      <c r="R451" s="126" t="s">
        <v>26</v>
      </c>
      <c r="S451" s="126" t="s">
        <v>644</v>
      </c>
      <c r="T451" s="130" t="s">
        <v>120</v>
      </c>
      <c r="U451" s="126" t="s">
        <v>403</v>
      </c>
      <c r="V451" s="130" t="s">
        <v>120</v>
      </c>
      <c r="W451" s="126"/>
      <c r="X451" s="130"/>
      <c r="Y451" s="126"/>
      <c r="Z451" s="165" t="s">
        <v>125</v>
      </c>
      <c r="AA451" s="158"/>
      <c r="AB451" s="158"/>
      <c r="AC451" s="170"/>
      <c r="AD451" s="126" t="s">
        <v>336</v>
      </c>
      <c r="AE451" s="130" t="s">
        <v>125</v>
      </c>
      <c r="AF451" s="127" t="s">
        <v>372</v>
      </c>
      <c r="AG451" s="131"/>
      <c r="AH451" s="131">
        <v>2</v>
      </c>
      <c r="AI451" s="126" t="s">
        <v>422</v>
      </c>
      <c r="AJ451" s="130"/>
      <c r="AK451" s="126"/>
      <c r="AL451" s="126"/>
      <c r="AM451" s="130"/>
      <c r="AN451" s="126"/>
      <c r="AO451" s="132"/>
      <c r="AP451" s="126"/>
      <c r="AQ451" s="126"/>
      <c r="AR451" s="130"/>
      <c r="AS451" s="126"/>
      <c r="AT451" s="127"/>
      <c r="AU451" s="127"/>
      <c r="AV451" s="127"/>
      <c r="AW451" s="127"/>
      <c r="AX451" s="127"/>
      <c r="AY451" s="127"/>
      <c r="AZ451" s="133">
        <v>43236</v>
      </c>
      <c r="BA45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1" s="135">
        <f>COUNTIFS(_05preva_view43[Site ID],_05preva_view43[[#This Row],[Site ID]],_05preva_view43[Prevalidation Status],"Under Prevalidation")</f>
        <v>0</v>
      </c>
      <c r="BC451" s="157" t="e">
        <f ca="1">HYPERLINK(CheckPath(_05preva_view43[[#This Row],[File Path]],_05preva_view43[[#This Row],[File Path]],_05preva_view43[[#This Row],[Folder Path3]]),CheckPath(_05preva_view43[[#This Row],[File Path]],"Open File","No File"))</f>
        <v>#VALUE!</v>
      </c>
      <c r="BD451" s="136" t="str">
        <f>CONCATENATE(_05preva_view43[[#This Row],[Site ID]]," (",_05preva_view43[[#This Row],[tenant id]],") Application",IF(_05preva_view43[[#This Row],[Colo Rev]]&gt;0," Rev "&amp;_05preva_view43[[#This Row],[Colo Rev]],""),".xlsx")</f>
        <v>ANMD_0273 (MAW2383) Application.xlsx</v>
      </c>
      <c r="BE451" s="64" t="e">
        <f t="shared" ca="1" si="8"/>
        <v>#VALUE!</v>
      </c>
      <c r="BF451" s="104" t="e">
        <f ca="1">LEFT(CELL("filename",A436),_05preva_view43[[#This Row],[Find Process &amp; Database]]-1)</f>
        <v>#VALUE!</v>
      </c>
      <c r="BG451" s="104" t="e">
        <f ca="1">_05preva_view43[Folder Path1]&amp;"Process &amp; Database\Documentation\Colo Applications"</f>
        <v>#VALUE!</v>
      </c>
      <c r="BH451" s="104" t="e">
        <f ca="1">_05preva_view43[Folder Path2]&amp;"\Colo App "&amp;_05preva_view43[[#This Row],[Operator]]&amp;"\"</f>
        <v>#VALUE!</v>
      </c>
      <c r="BI451" s="63" t="e">
        <f ca="1">_05preva_view43[[#This Row],[Folder Path3]]&amp;_05preva_view43[[#This Row],[File Name]]</f>
        <v>#VALUE!</v>
      </c>
      <c r="BJ451" s="104"/>
      <c r="BK451" s="3"/>
      <c r="BL451" s="3"/>
      <c r="CJ451" s="5"/>
      <c r="CK451" s="5"/>
      <c r="CL451" s="3"/>
      <c r="CN451" s="5"/>
      <c r="CR451" s="3"/>
      <c r="CS451" s="3"/>
      <c r="CT451" s="5"/>
      <c r="CV451" s="3"/>
      <c r="DR451" s="5"/>
      <c r="DT451" s="3"/>
      <c r="EF451" s="7"/>
      <c r="EG451" s="7"/>
      <c r="EJ451" s="4"/>
      <c r="EK451" s="4"/>
      <c r="EU451" s="2"/>
      <c r="EV451" s="2"/>
    </row>
    <row r="452" spans="1:152">
      <c r="A452" s="125">
        <v>186</v>
      </c>
      <c r="B452" s="126" t="s">
        <v>645</v>
      </c>
      <c r="C452" s="126" t="s">
        <v>116</v>
      </c>
      <c r="D452" s="126" t="s">
        <v>127</v>
      </c>
      <c r="E452" s="126" t="s">
        <v>646</v>
      </c>
      <c r="F452" s="126" t="s">
        <v>40</v>
      </c>
      <c r="G452" s="126" t="s">
        <v>118</v>
      </c>
      <c r="H452" s="126"/>
      <c r="I452" s="126" t="s">
        <v>118</v>
      </c>
      <c r="J452" s="126"/>
      <c r="K452" s="127">
        <v>43236</v>
      </c>
      <c r="L452" s="128"/>
      <c r="M452" s="128">
        <v>3</v>
      </c>
      <c r="N452" s="126"/>
      <c r="O452" s="126" t="s">
        <v>119</v>
      </c>
      <c r="P452" s="129"/>
      <c r="Q452" s="129"/>
      <c r="R452" s="126" t="s">
        <v>26</v>
      </c>
      <c r="S452" s="126"/>
      <c r="T452" s="130" t="s">
        <v>144</v>
      </c>
      <c r="U452" s="126" t="s">
        <v>371</v>
      </c>
      <c r="V452" s="130" t="s">
        <v>120</v>
      </c>
      <c r="W452" s="126"/>
      <c r="X452" s="130"/>
      <c r="Y452" s="126"/>
      <c r="Z452" s="165" t="s">
        <v>125</v>
      </c>
      <c r="AA452" s="158"/>
      <c r="AB452" s="158"/>
      <c r="AC452" s="170"/>
      <c r="AD452" s="126" t="s">
        <v>336</v>
      </c>
      <c r="AE452" s="130"/>
      <c r="AF452" s="127"/>
      <c r="AG452" s="131"/>
      <c r="AH452" s="131">
        <v>2</v>
      </c>
      <c r="AI452" s="126"/>
      <c r="AJ452" s="130"/>
      <c r="AK452" s="126"/>
      <c r="AL452" s="126"/>
      <c r="AM452" s="130"/>
      <c r="AN452" s="126"/>
      <c r="AO452" s="132"/>
      <c r="AP452" s="126"/>
      <c r="AQ452" s="126"/>
      <c r="AR452" s="130"/>
      <c r="AS452" s="126"/>
      <c r="AT452" s="127"/>
      <c r="AU452" s="127"/>
      <c r="AV452" s="127"/>
      <c r="AW452" s="127"/>
      <c r="AX452" s="127"/>
      <c r="AY452" s="127"/>
      <c r="AZ452" s="133">
        <v>43236</v>
      </c>
      <c r="BA45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2" s="135">
        <f>COUNTIFS(_05preva_view43[Site ID],_05preva_view43[[#This Row],[Site ID]],_05preva_view43[Prevalidation Status],"Under Prevalidation")</f>
        <v>0</v>
      </c>
      <c r="BC452" s="157" t="e">
        <f ca="1">HYPERLINK(CheckPath(_05preva_view43[[#This Row],[File Path]],_05preva_view43[[#This Row],[File Path]],_05preva_view43[[#This Row],[Folder Path3]]),CheckPath(_05preva_view43[[#This Row],[File Path]],"Open File","No File"))</f>
        <v>#VALUE!</v>
      </c>
      <c r="BD452" s="136" t="str">
        <f>CONCATENATE(_05preva_view43[[#This Row],[Site ID]]," (",_05preva_view43[[#This Row],[tenant id]],") Application",IF(_05preva_view43[[#This Row],[Colo Rev]]&gt;0," Rev "&amp;_05preva_view43[[#This Row],[Colo Rev]],""),".xlsx")</f>
        <v>ANMD_0117 (MAW2999) Application.xlsx</v>
      </c>
      <c r="BE452" s="64" t="e">
        <f t="shared" ca="1" si="8"/>
        <v>#VALUE!</v>
      </c>
      <c r="BF452" s="104" t="e">
        <f ca="1">LEFT(CELL("filename",A437),_05preva_view43[[#This Row],[Find Process &amp; Database]]-1)</f>
        <v>#VALUE!</v>
      </c>
      <c r="BG452" s="104" t="e">
        <f ca="1">_05preva_view43[Folder Path1]&amp;"Process &amp; Database\Documentation\Colo Applications"</f>
        <v>#VALUE!</v>
      </c>
      <c r="BH452" s="104" t="e">
        <f ca="1">_05preva_view43[Folder Path2]&amp;"\Colo App "&amp;_05preva_view43[[#This Row],[Operator]]&amp;"\"</f>
        <v>#VALUE!</v>
      </c>
      <c r="BI452" s="63" t="e">
        <f ca="1">_05preva_view43[[#This Row],[Folder Path3]]&amp;_05preva_view43[[#This Row],[File Name]]</f>
        <v>#VALUE!</v>
      </c>
      <c r="BJ452" s="104"/>
      <c r="BK452" s="3"/>
      <c r="BL452" s="3"/>
      <c r="CJ452" s="5"/>
      <c r="CK452" s="5"/>
      <c r="CL452" s="3"/>
      <c r="CN452" s="5"/>
      <c r="CR452" s="3"/>
      <c r="CS452" s="3"/>
      <c r="CT452" s="5"/>
      <c r="CV452" s="3"/>
      <c r="DR452" s="5"/>
      <c r="DT452" s="3"/>
      <c r="EF452" s="7"/>
      <c r="EG452" s="7"/>
      <c r="EJ452" s="4"/>
      <c r="EK452" s="4"/>
      <c r="EU452" s="2"/>
      <c r="EV452" s="2"/>
    </row>
    <row r="453" spans="1:152">
      <c r="A453" s="125">
        <v>187</v>
      </c>
      <c r="B453" s="126" t="s">
        <v>647</v>
      </c>
      <c r="C453" s="126" t="s">
        <v>116</v>
      </c>
      <c r="D453" s="126" t="s">
        <v>127</v>
      </c>
      <c r="E453" s="126" t="s">
        <v>648</v>
      </c>
      <c r="F453" s="126" t="s">
        <v>40</v>
      </c>
      <c r="G453" s="126" t="s">
        <v>118</v>
      </c>
      <c r="H453" s="126"/>
      <c r="I453" s="126" t="s">
        <v>118</v>
      </c>
      <c r="J453" s="126"/>
      <c r="K453" s="127">
        <v>43236</v>
      </c>
      <c r="L453" s="128"/>
      <c r="M453" s="128">
        <v>3</v>
      </c>
      <c r="N453" s="126"/>
      <c r="O453" s="126" t="s">
        <v>119</v>
      </c>
      <c r="P453" s="129"/>
      <c r="Q453" s="129"/>
      <c r="R453" s="126" t="s">
        <v>26</v>
      </c>
      <c r="S453" s="126"/>
      <c r="T453" s="130" t="s">
        <v>144</v>
      </c>
      <c r="U453" s="126" t="s">
        <v>649</v>
      </c>
      <c r="V453" s="130" t="s">
        <v>144</v>
      </c>
      <c r="W453" s="126"/>
      <c r="X453" s="130"/>
      <c r="Y453" s="126"/>
      <c r="Z453" s="165" t="s">
        <v>125</v>
      </c>
      <c r="AA453" s="158"/>
      <c r="AB453" s="158"/>
      <c r="AC453" s="170"/>
      <c r="AD453" s="126" t="s">
        <v>336</v>
      </c>
      <c r="AE453" s="130"/>
      <c r="AF453" s="127"/>
      <c r="AG453" s="131"/>
      <c r="AH453" s="131">
        <v>2</v>
      </c>
      <c r="AI453" s="126"/>
      <c r="AJ453" s="130"/>
      <c r="AK453" s="126"/>
      <c r="AL453" s="126"/>
      <c r="AM453" s="130"/>
      <c r="AN453" s="126"/>
      <c r="AO453" s="132"/>
      <c r="AP453" s="126"/>
      <c r="AQ453" s="126"/>
      <c r="AR453" s="130"/>
      <c r="AS453" s="126"/>
      <c r="AT453" s="127"/>
      <c r="AU453" s="127"/>
      <c r="AV453" s="127"/>
      <c r="AW453" s="127"/>
      <c r="AX453" s="127"/>
      <c r="AY453" s="127"/>
      <c r="AZ453" s="133">
        <v>43236</v>
      </c>
      <c r="BA45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3" s="135">
        <f>COUNTIFS(_05preva_view43[Site ID],_05preva_view43[[#This Row],[Site ID]],_05preva_view43[Prevalidation Status],"Under Prevalidation")</f>
        <v>0</v>
      </c>
      <c r="BC453" s="157" t="e">
        <f ca="1">HYPERLINK(CheckPath(_05preva_view43[[#This Row],[File Path]],_05preva_view43[[#This Row],[File Path]],_05preva_view43[[#This Row],[Folder Path3]]),CheckPath(_05preva_view43[[#This Row],[File Path]],"Open File","No File"))</f>
        <v>#VALUE!</v>
      </c>
      <c r="BD453" s="136" t="str">
        <f>CONCATENATE(_05preva_view43[[#This Row],[Site ID]]," (",_05preva_view43[[#This Row],[tenant id]],") Application",IF(_05preva_view43[[#This Row],[Colo Rev]]&gt;0," Rev "&amp;_05preva_view43[[#This Row],[Colo Rev]],""),".xlsx")</f>
        <v>ANMD_0005 (MAW2976) Application.xlsx</v>
      </c>
      <c r="BE453" s="64" t="e">
        <f t="shared" ca="1" si="8"/>
        <v>#VALUE!</v>
      </c>
      <c r="BF453" s="104" t="e">
        <f ca="1">LEFT(CELL("filename",A438),_05preva_view43[[#This Row],[Find Process &amp; Database]]-1)</f>
        <v>#VALUE!</v>
      </c>
      <c r="BG453" s="104" t="e">
        <f ca="1">_05preva_view43[Folder Path1]&amp;"Process &amp; Database\Documentation\Colo Applications"</f>
        <v>#VALUE!</v>
      </c>
      <c r="BH453" s="104" t="e">
        <f ca="1">_05preva_view43[Folder Path2]&amp;"\Colo App "&amp;_05preva_view43[[#This Row],[Operator]]&amp;"\"</f>
        <v>#VALUE!</v>
      </c>
      <c r="BI453" s="63" t="e">
        <f ca="1">_05preva_view43[[#This Row],[Folder Path3]]&amp;_05preva_view43[[#This Row],[File Name]]</f>
        <v>#VALUE!</v>
      </c>
      <c r="BJ453" s="104"/>
      <c r="BK453" s="3"/>
      <c r="BL453" s="3"/>
      <c r="CJ453" s="5"/>
      <c r="CK453" s="5"/>
      <c r="CL453" s="3"/>
      <c r="CN453" s="5"/>
      <c r="CR453" s="3"/>
      <c r="CS453" s="3"/>
      <c r="CT453" s="5"/>
      <c r="CV453" s="3"/>
      <c r="DR453" s="5"/>
      <c r="DT453" s="3"/>
      <c r="EF453" s="7"/>
      <c r="EG453" s="7"/>
      <c r="EJ453" s="4"/>
      <c r="EK453" s="4"/>
      <c r="EU453" s="2"/>
      <c r="EV453" s="2"/>
    </row>
    <row r="454" spans="1:152">
      <c r="A454" s="125">
        <v>188</v>
      </c>
      <c r="B454" s="126" t="s">
        <v>650</v>
      </c>
      <c r="C454" s="126" t="s">
        <v>116</v>
      </c>
      <c r="D454" s="126" t="s">
        <v>127</v>
      </c>
      <c r="E454" s="126" t="s">
        <v>651</v>
      </c>
      <c r="F454" s="126" t="s">
        <v>40</v>
      </c>
      <c r="G454" s="126" t="s">
        <v>118</v>
      </c>
      <c r="H454" s="126"/>
      <c r="I454" s="126" t="s">
        <v>118</v>
      </c>
      <c r="J454" s="126"/>
      <c r="K454" s="127">
        <v>43236</v>
      </c>
      <c r="L454" s="128"/>
      <c r="M454" s="128">
        <v>3</v>
      </c>
      <c r="N454" s="126"/>
      <c r="O454" s="126" t="s">
        <v>119</v>
      </c>
      <c r="P454" s="129"/>
      <c r="Q454" s="129"/>
      <c r="R454" s="126" t="s">
        <v>26</v>
      </c>
      <c r="S454" s="126"/>
      <c r="T454" s="130" t="s">
        <v>144</v>
      </c>
      <c r="U454" s="126" t="s">
        <v>652</v>
      </c>
      <c r="V454" s="130" t="s">
        <v>120</v>
      </c>
      <c r="W454" s="126"/>
      <c r="X454" s="130"/>
      <c r="Y454" s="126"/>
      <c r="Z454" s="165" t="s">
        <v>125</v>
      </c>
      <c r="AA454" s="158"/>
      <c r="AB454" s="158"/>
      <c r="AC454" s="170"/>
      <c r="AD454" s="126" t="s">
        <v>336</v>
      </c>
      <c r="AE454" s="130"/>
      <c r="AF454" s="127"/>
      <c r="AG454" s="131"/>
      <c r="AH454" s="131">
        <v>2</v>
      </c>
      <c r="AI454" s="126"/>
      <c r="AJ454" s="130"/>
      <c r="AK454" s="126"/>
      <c r="AL454" s="126"/>
      <c r="AM454" s="130"/>
      <c r="AN454" s="126"/>
      <c r="AO454" s="132"/>
      <c r="AP454" s="126"/>
      <c r="AQ454" s="126"/>
      <c r="AR454" s="130"/>
      <c r="AS454" s="126"/>
      <c r="AT454" s="127"/>
      <c r="AU454" s="127"/>
      <c r="AV454" s="127"/>
      <c r="AW454" s="127"/>
      <c r="AX454" s="127"/>
      <c r="AY454" s="127"/>
      <c r="AZ454" s="133">
        <v>43236</v>
      </c>
      <c r="BA45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4" s="135">
        <f>COUNTIFS(_05preva_view43[Site ID],_05preva_view43[[#This Row],[Site ID]],_05preva_view43[Prevalidation Status],"Under Prevalidation")</f>
        <v>0</v>
      </c>
      <c r="BC454" s="157" t="e">
        <f ca="1">HYPERLINK(CheckPath(_05preva_view43[[#This Row],[File Path]],_05preva_view43[[#This Row],[File Path]],_05preva_view43[[#This Row],[Folder Path3]]),CheckPath(_05preva_view43[[#This Row],[File Path]],"Open File","No File"))</f>
        <v>#VALUE!</v>
      </c>
      <c r="BD454" s="136" t="str">
        <f>CONCATENATE(_05preva_view43[[#This Row],[Site ID]]," (",_05preva_view43[[#This Row],[tenant id]],") Application",IF(_05preva_view43[[#This Row],[Colo Rev]]&gt;0," Rev "&amp;_05preva_view43[[#This Row],[Colo Rev]],""),".xlsx")</f>
        <v>ANMD_0092 (MAW2196) Application.xlsx</v>
      </c>
      <c r="BE454" s="64" t="e">
        <f t="shared" ca="1" si="8"/>
        <v>#VALUE!</v>
      </c>
      <c r="BF454" s="104" t="e">
        <f ca="1">LEFT(CELL("filename",A439),_05preva_view43[[#This Row],[Find Process &amp; Database]]-1)</f>
        <v>#VALUE!</v>
      </c>
      <c r="BG454" s="104" t="e">
        <f ca="1">_05preva_view43[Folder Path1]&amp;"Process &amp; Database\Documentation\Colo Applications"</f>
        <v>#VALUE!</v>
      </c>
      <c r="BH454" s="104" t="e">
        <f ca="1">_05preva_view43[Folder Path2]&amp;"\Colo App "&amp;_05preva_view43[[#This Row],[Operator]]&amp;"\"</f>
        <v>#VALUE!</v>
      </c>
      <c r="BI454" s="63" t="e">
        <f ca="1">_05preva_view43[[#This Row],[Folder Path3]]&amp;_05preva_view43[[#This Row],[File Name]]</f>
        <v>#VALUE!</v>
      </c>
      <c r="BJ454" s="104"/>
      <c r="BK454" s="3"/>
      <c r="BL454" s="3"/>
      <c r="CJ454" s="5"/>
      <c r="CK454" s="5"/>
      <c r="CL454" s="3"/>
      <c r="CN454" s="5"/>
      <c r="CR454" s="3"/>
      <c r="CS454" s="3"/>
      <c r="CT454" s="5"/>
      <c r="CV454" s="3"/>
      <c r="DR454" s="5"/>
      <c r="DT454" s="3"/>
      <c r="EF454" s="7"/>
      <c r="EG454" s="7"/>
      <c r="EJ454" s="4"/>
      <c r="EK454" s="4"/>
      <c r="EU454" s="2"/>
      <c r="EV454" s="2"/>
    </row>
    <row r="455" spans="1:152">
      <c r="A455" s="125">
        <v>189</v>
      </c>
      <c r="B455" s="126" t="s">
        <v>653</v>
      </c>
      <c r="C455" s="126" t="s">
        <v>116</v>
      </c>
      <c r="D455" s="126" t="s">
        <v>127</v>
      </c>
      <c r="E455" s="126" t="s">
        <v>654</v>
      </c>
      <c r="F455" s="126" t="s">
        <v>40</v>
      </c>
      <c r="G455" s="126" t="s">
        <v>118</v>
      </c>
      <c r="H455" s="126"/>
      <c r="I455" s="126" t="s">
        <v>118</v>
      </c>
      <c r="J455" s="126"/>
      <c r="K455" s="127">
        <v>43236</v>
      </c>
      <c r="L455" s="128"/>
      <c r="M455" s="128">
        <v>3</v>
      </c>
      <c r="N455" s="126"/>
      <c r="O455" s="126" t="s">
        <v>119</v>
      </c>
      <c r="P455" s="129"/>
      <c r="Q455" s="129"/>
      <c r="R455" s="126" t="s">
        <v>26</v>
      </c>
      <c r="S455" s="126"/>
      <c r="T455" s="130" t="s">
        <v>120</v>
      </c>
      <c r="U455" s="126" t="s">
        <v>378</v>
      </c>
      <c r="V455" s="130" t="s">
        <v>120</v>
      </c>
      <c r="W455" s="126"/>
      <c r="X455" s="130" t="s">
        <v>120</v>
      </c>
      <c r="Y455" s="126" t="s">
        <v>120</v>
      </c>
      <c r="Z455" s="165" t="s">
        <v>120</v>
      </c>
      <c r="AA455" s="158"/>
      <c r="AB455" s="158"/>
      <c r="AC455" s="170"/>
      <c r="AD455" s="126" t="s">
        <v>120</v>
      </c>
      <c r="AE455" s="130" t="s">
        <v>144</v>
      </c>
      <c r="AF455" s="127"/>
      <c r="AG455" s="131"/>
      <c r="AH455" s="131">
        <v>2</v>
      </c>
      <c r="AI455" s="126" t="s">
        <v>655</v>
      </c>
      <c r="AJ455" s="130" t="s">
        <v>120</v>
      </c>
      <c r="AK455" s="126" t="s">
        <v>123</v>
      </c>
      <c r="AL455" s="126"/>
      <c r="AM455" s="130"/>
      <c r="AN455" s="126"/>
      <c r="AO455" s="132"/>
      <c r="AP455" s="126"/>
      <c r="AQ455" s="126"/>
      <c r="AR455" s="130"/>
      <c r="AS455" s="126"/>
      <c r="AT455" s="127"/>
      <c r="AU455" s="127"/>
      <c r="AV455" s="127"/>
      <c r="AW455" s="127"/>
      <c r="AX455" s="127"/>
      <c r="AY455" s="127"/>
      <c r="AZ455" s="133">
        <v>43236</v>
      </c>
      <c r="BA45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5" s="135">
        <f>COUNTIFS(_05preva_view43[Site ID],_05preva_view43[[#This Row],[Site ID]],_05preva_view43[Prevalidation Status],"Under Prevalidation")</f>
        <v>0</v>
      </c>
      <c r="BC455" s="157" t="e">
        <f ca="1">HYPERLINK(CheckPath(_05preva_view43[[#This Row],[File Path]],_05preva_view43[[#This Row],[File Path]],_05preva_view43[[#This Row],[Folder Path3]]),CheckPath(_05preva_view43[[#This Row],[File Path]],"Open File","No File"))</f>
        <v>#VALUE!</v>
      </c>
      <c r="BD455" s="136" t="str">
        <f>CONCATENATE(_05preva_view43[[#This Row],[Site ID]]," (",_05preva_view43[[#This Row],[tenant id]],") Application",IF(_05preva_view43[[#This Row],[Colo Rev]]&gt;0," Rev "&amp;_05preva_view43[[#This Row],[Colo Rev]],""),".xlsx")</f>
        <v>ANMD_0164 (MAW2764) Application.xlsx</v>
      </c>
      <c r="BE455" s="64" t="e">
        <f t="shared" ca="1" si="8"/>
        <v>#VALUE!</v>
      </c>
      <c r="BF455" s="104" t="e">
        <f ca="1">LEFT(CELL("filename",A440),_05preva_view43[[#This Row],[Find Process &amp; Database]]-1)</f>
        <v>#VALUE!</v>
      </c>
      <c r="BG455" s="104" t="e">
        <f ca="1">_05preva_view43[Folder Path1]&amp;"Process &amp; Database\Documentation\Colo Applications"</f>
        <v>#VALUE!</v>
      </c>
      <c r="BH455" s="104" t="e">
        <f ca="1">_05preva_view43[Folder Path2]&amp;"\Colo App "&amp;_05preva_view43[[#This Row],[Operator]]&amp;"\"</f>
        <v>#VALUE!</v>
      </c>
      <c r="BI455" s="63" t="e">
        <f ca="1">_05preva_view43[[#This Row],[Folder Path3]]&amp;_05preva_view43[[#This Row],[File Name]]</f>
        <v>#VALUE!</v>
      </c>
      <c r="BJ455" s="104"/>
      <c r="BK455" s="3"/>
      <c r="BL455" s="3"/>
      <c r="CJ455" s="5"/>
      <c r="CK455" s="5"/>
      <c r="CL455" s="3"/>
      <c r="CN455" s="5"/>
      <c r="CR455" s="3"/>
      <c r="CS455" s="3"/>
      <c r="CT455" s="5"/>
      <c r="CV455" s="3"/>
      <c r="DR455" s="5"/>
      <c r="DT455" s="3"/>
      <c r="EF455" s="7"/>
      <c r="EG455" s="7"/>
      <c r="EJ455" s="4"/>
      <c r="EK455" s="4"/>
      <c r="EU455" s="2"/>
      <c r="EV455" s="2"/>
    </row>
    <row r="456" spans="1:152">
      <c r="A456" s="125">
        <v>191</v>
      </c>
      <c r="B456" s="126" t="s">
        <v>280</v>
      </c>
      <c r="C456" s="126" t="s">
        <v>116</v>
      </c>
      <c r="D456" s="126" t="s">
        <v>127</v>
      </c>
      <c r="E456" s="126" t="s">
        <v>656</v>
      </c>
      <c r="F456" s="126" t="s">
        <v>40</v>
      </c>
      <c r="G456" s="126" t="s">
        <v>118</v>
      </c>
      <c r="H456" s="126"/>
      <c r="I456" s="126" t="s">
        <v>118</v>
      </c>
      <c r="J456" s="126"/>
      <c r="K456" s="127">
        <v>43236</v>
      </c>
      <c r="L456" s="128"/>
      <c r="M456" s="128">
        <v>3</v>
      </c>
      <c r="N456" s="126"/>
      <c r="O456" s="126" t="s">
        <v>119</v>
      </c>
      <c r="P456" s="129"/>
      <c r="Q456" s="129"/>
      <c r="R456" s="126" t="s">
        <v>24</v>
      </c>
      <c r="S456" s="126"/>
      <c r="T456" s="130" t="s">
        <v>120</v>
      </c>
      <c r="U456" s="126" t="s">
        <v>378</v>
      </c>
      <c r="V456" s="130" t="s">
        <v>120</v>
      </c>
      <c r="W456" s="126"/>
      <c r="X456" s="130" t="s">
        <v>120</v>
      </c>
      <c r="Y456" s="126" t="s">
        <v>657</v>
      </c>
      <c r="Z456" s="165" t="s">
        <v>120</v>
      </c>
      <c r="AA456" s="158"/>
      <c r="AB456" s="158"/>
      <c r="AC456" s="170"/>
      <c r="AD456" s="126" t="s">
        <v>120</v>
      </c>
      <c r="AE456" s="130" t="s">
        <v>120</v>
      </c>
      <c r="AF456" s="127" t="s">
        <v>120</v>
      </c>
      <c r="AG456" s="131"/>
      <c r="AH456" s="131">
        <v>2</v>
      </c>
      <c r="AI456" s="126" t="s">
        <v>658</v>
      </c>
      <c r="AJ456" s="130" t="s">
        <v>120</v>
      </c>
      <c r="AK456" s="126" t="s">
        <v>123</v>
      </c>
      <c r="AL456" s="126"/>
      <c r="AM456" s="130"/>
      <c r="AN456" s="126"/>
      <c r="AO456" s="132"/>
      <c r="AP456" s="126"/>
      <c r="AQ456" s="126"/>
      <c r="AR456" s="130"/>
      <c r="AS456" s="126"/>
      <c r="AT456" s="127"/>
      <c r="AU456" s="127">
        <v>43453.379052777796</v>
      </c>
      <c r="AV456" s="127"/>
      <c r="AW456" s="127"/>
      <c r="AX456" s="127"/>
      <c r="AY456" s="127"/>
      <c r="AZ456" s="133">
        <v>43236</v>
      </c>
      <c r="BA45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6" s="135">
        <f>COUNTIFS(_05preva_view43[Site ID],_05preva_view43[[#This Row],[Site ID]],_05preva_view43[Prevalidation Status],"Under Prevalidation")</f>
        <v>0</v>
      </c>
      <c r="BC456" s="157" t="e">
        <f ca="1">HYPERLINK(CheckPath(_05preva_view43[[#This Row],[File Path]],_05preva_view43[[#This Row],[File Path]],_05preva_view43[[#This Row],[Folder Path3]]),CheckPath(_05preva_view43[[#This Row],[File Path]],"Open File","No File"))</f>
        <v>#VALUE!</v>
      </c>
      <c r="BD456" s="136" t="str">
        <f>CONCATENATE(_05preva_view43[[#This Row],[Site ID]]," (",_05preva_view43[[#This Row],[tenant id]],") Application",IF(_05preva_view43[[#This Row],[Colo Rev]]&gt;0," Rev "&amp;_05preva_view43[[#This Row],[Colo Rev]],""),".xlsx")</f>
        <v>ANMD_0073 (MAW2959) Application.xlsx</v>
      </c>
      <c r="BE456" s="64" t="e">
        <f t="shared" ca="1" si="8"/>
        <v>#VALUE!</v>
      </c>
      <c r="BF456" s="104" t="e">
        <f ca="1">LEFT(CELL("filename",A441),_05preva_view43[[#This Row],[Find Process &amp; Database]]-1)</f>
        <v>#VALUE!</v>
      </c>
      <c r="BG456" s="104" t="e">
        <f ca="1">_05preva_view43[Folder Path1]&amp;"Process &amp; Database\Documentation\Colo Applications"</f>
        <v>#VALUE!</v>
      </c>
      <c r="BH456" s="104" t="e">
        <f ca="1">_05preva_view43[Folder Path2]&amp;"\Colo App "&amp;_05preva_view43[[#This Row],[Operator]]&amp;"\"</f>
        <v>#VALUE!</v>
      </c>
      <c r="BI456" s="63" t="e">
        <f ca="1">_05preva_view43[[#This Row],[Folder Path3]]&amp;_05preva_view43[[#This Row],[File Name]]</f>
        <v>#VALUE!</v>
      </c>
      <c r="BJ456" s="104"/>
      <c r="BK456" s="3"/>
      <c r="BL456" s="3"/>
      <c r="CJ456" s="5"/>
      <c r="CK456" s="5"/>
      <c r="CL456" s="3"/>
      <c r="CN456" s="5"/>
      <c r="CR456" s="3"/>
      <c r="CS456" s="3"/>
      <c r="CT456" s="5"/>
      <c r="CV456" s="3"/>
      <c r="DR456" s="5"/>
      <c r="DT456" s="3"/>
      <c r="EF456" s="7"/>
      <c r="EG456" s="7"/>
      <c r="EJ456" s="4"/>
      <c r="EK456" s="4"/>
      <c r="EU456" s="2"/>
      <c r="EV456" s="2"/>
    </row>
    <row r="457" spans="1:152">
      <c r="A457" s="125">
        <v>192</v>
      </c>
      <c r="B457" s="126" t="s">
        <v>659</v>
      </c>
      <c r="C457" s="126" t="s">
        <v>116</v>
      </c>
      <c r="D457" s="126" t="s">
        <v>127</v>
      </c>
      <c r="E457" s="126" t="s">
        <v>660</v>
      </c>
      <c r="F457" s="126" t="s">
        <v>40</v>
      </c>
      <c r="G457" s="126" t="s">
        <v>118</v>
      </c>
      <c r="H457" s="126"/>
      <c r="I457" s="126" t="s">
        <v>118</v>
      </c>
      <c r="J457" s="126"/>
      <c r="K457" s="127">
        <v>43236</v>
      </c>
      <c r="L457" s="128"/>
      <c r="M457" s="128">
        <v>3</v>
      </c>
      <c r="N457" s="126"/>
      <c r="O457" s="126" t="s">
        <v>119</v>
      </c>
      <c r="P457" s="129"/>
      <c r="Q457" s="129"/>
      <c r="R457" s="126" t="s">
        <v>27</v>
      </c>
      <c r="S457" s="126"/>
      <c r="T457" s="130" t="s">
        <v>120</v>
      </c>
      <c r="U457" s="126" t="s">
        <v>378</v>
      </c>
      <c r="V457" s="130" t="s">
        <v>120</v>
      </c>
      <c r="W457" s="126"/>
      <c r="X457" s="130" t="s">
        <v>120</v>
      </c>
      <c r="Y457" s="126" t="s">
        <v>120</v>
      </c>
      <c r="Z457" s="165" t="s">
        <v>120</v>
      </c>
      <c r="AA457" s="158"/>
      <c r="AB457" s="158"/>
      <c r="AC457" s="170" t="s">
        <v>454</v>
      </c>
      <c r="AD457" s="126"/>
      <c r="AE457" s="130" t="s">
        <v>125</v>
      </c>
      <c r="AF457" s="127"/>
      <c r="AG457" s="131"/>
      <c r="AH457" s="131"/>
      <c r="AI457" s="126" t="s">
        <v>384</v>
      </c>
      <c r="AJ457" s="130" t="s">
        <v>120</v>
      </c>
      <c r="AK457" s="126" t="s">
        <v>123</v>
      </c>
      <c r="AL457" s="126"/>
      <c r="AM457" s="130"/>
      <c r="AN457" s="126"/>
      <c r="AO457" s="132"/>
      <c r="AP457" s="126"/>
      <c r="AQ457" s="126"/>
      <c r="AR457" s="130"/>
      <c r="AS457" s="126"/>
      <c r="AT457" s="127"/>
      <c r="AU457" s="127"/>
      <c r="AV457" s="127"/>
      <c r="AW457" s="127"/>
      <c r="AX457" s="127"/>
      <c r="AY457" s="127"/>
      <c r="AZ457" s="133"/>
      <c r="BA45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7" s="135">
        <f>COUNTIFS(_05preva_view43[Site ID],_05preva_view43[[#This Row],[Site ID]],_05preva_view43[Prevalidation Status],"Under Prevalidation")</f>
        <v>0</v>
      </c>
      <c r="BC457" s="157" t="e">
        <f ca="1">HYPERLINK(CheckPath(_05preva_view43[[#This Row],[File Path]],_05preva_view43[[#This Row],[File Path]],_05preva_view43[[#This Row],[Folder Path3]]),CheckPath(_05preva_view43[[#This Row],[File Path]],"Open File","No File"))</f>
        <v>#VALUE!</v>
      </c>
      <c r="BD457" s="136" t="str">
        <f>CONCATENATE(_05preva_view43[[#This Row],[Site ID]]," (",_05preva_view43[[#This Row],[tenant id]],") Application",IF(_05preva_view43[[#This Row],[Colo Rev]]&gt;0," Rev "&amp;_05preva_view43[[#This Row],[Colo Rev]],""),".xlsx")</f>
        <v>ANMD_0168 (MAW2993) Application.xlsx</v>
      </c>
      <c r="BE457" s="64" t="e">
        <f t="shared" ca="1" si="8"/>
        <v>#VALUE!</v>
      </c>
      <c r="BF457" s="104" t="e">
        <f ca="1">LEFT(CELL("filename",A442),_05preva_view43[[#This Row],[Find Process &amp; Database]]-1)</f>
        <v>#VALUE!</v>
      </c>
      <c r="BG457" s="104" t="e">
        <f ca="1">_05preva_view43[Folder Path1]&amp;"Process &amp; Database\Documentation\Colo Applications"</f>
        <v>#VALUE!</v>
      </c>
      <c r="BH457" s="104" t="e">
        <f ca="1">_05preva_view43[Folder Path2]&amp;"\Colo App "&amp;_05preva_view43[[#This Row],[Operator]]&amp;"\"</f>
        <v>#VALUE!</v>
      </c>
      <c r="BI457" s="63" t="e">
        <f ca="1">_05preva_view43[[#This Row],[Folder Path3]]&amp;_05preva_view43[[#This Row],[File Name]]</f>
        <v>#VALUE!</v>
      </c>
      <c r="BJ457" s="104"/>
      <c r="BK457" s="3"/>
      <c r="BL457" s="3"/>
      <c r="CJ457" s="5"/>
      <c r="CK457" s="5"/>
      <c r="CL457" s="3"/>
      <c r="CN457" s="5"/>
      <c r="CR457" s="3"/>
      <c r="CS457" s="3"/>
      <c r="CT457" s="5"/>
      <c r="CV457" s="3"/>
      <c r="DR457" s="5"/>
      <c r="DT457" s="3"/>
      <c r="EF457" s="7"/>
      <c r="EG457" s="7"/>
      <c r="EJ457" s="4"/>
      <c r="EK457" s="4"/>
      <c r="EU457" s="2"/>
      <c r="EV457" s="2"/>
    </row>
    <row r="458" spans="1:152">
      <c r="A458" s="125">
        <v>193</v>
      </c>
      <c r="B458" s="126" t="s">
        <v>661</v>
      </c>
      <c r="C458" s="126" t="s">
        <v>116</v>
      </c>
      <c r="D458" s="126" t="s">
        <v>117</v>
      </c>
      <c r="E458" s="126" t="s">
        <v>662</v>
      </c>
      <c r="F458" s="126" t="s">
        <v>40</v>
      </c>
      <c r="G458" s="126" t="s">
        <v>118</v>
      </c>
      <c r="H458" s="126"/>
      <c r="I458" s="126" t="s">
        <v>118</v>
      </c>
      <c r="J458" s="126"/>
      <c r="K458" s="127">
        <v>43236</v>
      </c>
      <c r="L458" s="128"/>
      <c r="M458" s="128">
        <v>3</v>
      </c>
      <c r="N458" s="126"/>
      <c r="O458" s="126" t="s">
        <v>119</v>
      </c>
      <c r="P458" s="129"/>
      <c r="Q458" s="129"/>
      <c r="R458" s="126" t="s">
        <v>24</v>
      </c>
      <c r="S458" s="126"/>
      <c r="T458" s="130" t="s">
        <v>120</v>
      </c>
      <c r="U458" s="126" t="s">
        <v>378</v>
      </c>
      <c r="V458" s="130" t="s">
        <v>120</v>
      </c>
      <c r="W458" s="126"/>
      <c r="X458" s="130" t="s">
        <v>120</v>
      </c>
      <c r="Y458" s="126" t="s">
        <v>120</v>
      </c>
      <c r="Z458" s="165" t="s">
        <v>120</v>
      </c>
      <c r="AA458" s="158"/>
      <c r="AB458" s="158"/>
      <c r="AC458" s="170"/>
      <c r="AD458" s="126" t="s">
        <v>120</v>
      </c>
      <c r="AE458" s="130" t="s">
        <v>120</v>
      </c>
      <c r="AF458" s="127" t="s">
        <v>241</v>
      </c>
      <c r="AG458" s="131"/>
      <c r="AH458" s="131">
        <v>3.5</v>
      </c>
      <c r="AI458" s="126" t="s">
        <v>387</v>
      </c>
      <c r="AJ458" s="130" t="s">
        <v>120</v>
      </c>
      <c r="AK458" s="126" t="s">
        <v>123</v>
      </c>
      <c r="AL458" s="126"/>
      <c r="AM458" s="130"/>
      <c r="AN458" s="126"/>
      <c r="AO458" s="132"/>
      <c r="AP458" s="126"/>
      <c r="AQ458" s="126"/>
      <c r="AR458" s="130"/>
      <c r="AS458" s="126"/>
      <c r="AT458" s="127"/>
      <c r="AU458" s="127">
        <v>43453.379053935198</v>
      </c>
      <c r="AV458" s="127"/>
      <c r="AW458" s="127"/>
      <c r="AX458" s="127"/>
      <c r="AY458" s="127"/>
      <c r="AZ458" s="133">
        <v>43236</v>
      </c>
      <c r="BA45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8" s="135">
        <f>COUNTIFS(_05preva_view43[Site ID],_05preva_view43[[#This Row],[Site ID]],_05preva_view43[Prevalidation Status],"Under Prevalidation")</f>
        <v>0</v>
      </c>
      <c r="BC458" s="157" t="e">
        <f ca="1">HYPERLINK(CheckPath(_05preva_view43[[#This Row],[File Path]],_05preva_view43[[#This Row],[File Path]],_05preva_view43[[#This Row],[Folder Path3]]),CheckPath(_05preva_view43[[#This Row],[File Path]],"Open File","No File"))</f>
        <v>#VALUE!</v>
      </c>
      <c r="BD458" s="136" t="str">
        <f>CONCATENATE(_05preva_view43[[#This Row],[Site ID]]," (",_05preva_view43[[#This Row],[tenant id]],") Application",IF(_05preva_view43[[#This Row],[Colo Rev]]&gt;0," Rev "&amp;_05preva_view43[[#This Row],[Colo Rev]],""),".xlsx")</f>
        <v>ANMG_0017 (MWW3484) Application.xlsx</v>
      </c>
      <c r="BE458" s="64" t="e">
        <f t="shared" ca="1" si="8"/>
        <v>#VALUE!</v>
      </c>
      <c r="BF458" s="104" t="e">
        <f ca="1">LEFT(CELL("filename",A443),_05preva_view43[[#This Row],[Find Process &amp; Database]]-1)</f>
        <v>#VALUE!</v>
      </c>
      <c r="BG458" s="104" t="e">
        <f ca="1">_05preva_view43[Folder Path1]&amp;"Process &amp; Database\Documentation\Colo Applications"</f>
        <v>#VALUE!</v>
      </c>
      <c r="BH458" s="104" t="e">
        <f ca="1">_05preva_view43[Folder Path2]&amp;"\Colo App "&amp;_05preva_view43[[#This Row],[Operator]]&amp;"\"</f>
        <v>#VALUE!</v>
      </c>
      <c r="BI458" s="63" t="e">
        <f ca="1">_05preva_view43[[#This Row],[Folder Path3]]&amp;_05preva_view43[[#This Row],[File Name]]</f>
        <v>#VALUE!</v>
      </c>
      <c r="BJ458" s="104"/>
      <c r="BK458" s="3"/>
      <c r="BL458" s="3"/>
      <c r="CJ458" s="5"/>
      <c r="CK458" s="5"/>
      <c r="CL458" s="3"/>
      <c r="CN458" s="5"/>
      <c r="CR458" s="3"/>
      <c r="CS458" s="3"/>
      <c r="CT458" s="5"/>
      <c r="CV458" s="3"/>
      <c r="DR458" s="5"/>
      <c r="DT458" s="3"/>
      <c r="EF458" s="7"/>
      <c r="EG458" s="7"/>
      <c r="EJ458" s="4"/>
      <c r="EK458" s="4"/>
      <c r="EU458" s="2"/>
      <c r="EV458" s="2"/>
    </row>
    <row r="459" spans="1:152">
      <c r="A459" s="125">
        <v>194</v>
      </c>
      <c r="B459" s="126" t="s">
        <v>663</v>
      </c>
      <c r="C459" s="126" t="s">
        <v>116</v>
      </c>
      <c r="D459" s="126" t="s">
        <v>117</v>
      </c>
      <c r="E459" s="126" t="s">
        <v>664</v>
      </c>
      <c r="F459" s="126" t="s">
        <v>40</v>
      </c>
      <c r="G459" s="126" t="s">
        <v>118</v>
      </c>
      <c r="H459" s="126"/>
      <c r="I459" s="126" t="s">
        <v>118</v>
      </c>
      <c r="J459" s="126"/>
      <c r="K459" s="127">
        <v>43236</v>
      </c>
      <c r="L459" s="128"/>
      <c r="M459" s="128">
        <v>3</v>
      </c>
      <c r="N459" s="126"/>
      <c r="O459" s="126" t="s">
        <v>119</v>
      </c>
      <c r="P459" s="129"/>
      <c r="Q459" s="129"/>
      <c r="R459" s="126" t="s">
        <v>24</v>
      </c>
      <c r="S459" s="126"/>
      <c r="T459" s="130" t="s">
        <v>120</v>
      </c>
      <c r="U459" s="126" t="s">
        <v>378</v>
      </c>
      <c r="V459" s="130" t="s">
        <v>120</v>
      </c>
      <c r="W459" s="126"/>
      <c r="X459" s="130" t="s">
        <v>120</v>
      </c>
      <c r="Y459" s="126" t="s">
        <v>120</v>
      </c>
      <c r="Z459" s="165" t="s">
        <v>120</v>
      </c>
      <c r="AA459" s="158"/>
      <c r="AB459" s="158"/>
      <c r="AC459" s="170" t="s">
        <v>454</v>
      </c>
      <c r="AD459" s="126" t="s">
        <v>665</v>
      </c>
      <c r="AE459" s="130" t="s">
        <v>125</v>
      </c>
      <c r="AF459" s="127"/>
      <c r="AG459" s="131"/>
      <c r="AH459" s="131"/>
      <c r="AI459" s="126" t="s">
        <v>384</v>
      </c>
      <c r="AJ459" s="130" t="s">
        <v>120</v>
      </c>
      <c r="AK459" s="126" t="s">
        <v>123</v>
      </c>
      <c r="AL459" s="126"/>
      <c r="AM459" s="130"/>
      <c r="AN459" s="126"/>
      <c r="AO459" s="132"/>
      <c r="AP459" s="126"/>
      <c r="AQ459" s="126"/>
      <c r="AR459" s="130"/>
      <c r="AS459" s="126"/>
      <c r="AT459" s="127"/>
      <c r="AU459" s="127"/>
      <c r="AV459" s="127"/>
      <c r="AW459" s="127"/>
      <c r="AX459" s="127"/>
      <c r="AY459" s="127"/>
      <c r="AZ459" s="133">
        <v>43236</v>
      </c>
      <c r="BA45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9" s="135">
        <f>COUNTIFS(_05preva_view43[Site ID],_05preva_view43[[#This Row],[Site ID]],_05preva_view43[Prevalidation Status],"Under Prevalidation")</f>
        <v>0</v>
      </c>
      <c r="BC459" s="157" t="e">
        <f ca="1">HYPERLINK(CheckPath(_05preva_view43[[#This Row],[File Path]],_05preva_view43[[#This Row],[File Path]],_05preva_view43[[#This Row],[Folder Path3]]),CheckPath(_05preva_view43[[#This Row],[File Path]],"Open File","No File"))</f>
        <v>#VALUE!</v>
      </c>
      <c r="BD459" s="136" t="str">
        <f>CONCATENATE(_05preva_view43[[#This Row],[Site ID]]," (",_05preva_view43[[#This Row],[tenant id]],") Application",IF(_05preva_view43[[#This Row],[Colo Rev]]&gt;0," Rev "&amp;_05preva_view43[[#This Row],[Colo Rev]],""),".xlsx")</f>
        <v>ANNP_0276 (Replacement_43) Application.xlsx</v>
      </c>
      <c r="BE459" s="64" t="e">
        <f t="shared" ca="1" si="8"/>
        <v>#VALUE!</v>
      </c>
      <c r="BF459" s="104" t="e">
        <f ca="1">LEFT(CELL("filename",A444),_05preva_view43[[#This Row],[Find Process &amp; Database]]-1)</f>
        <v>#VALUE!</v>
      </c>
      <c r="BG459" s="104" t="e">
        <f ca="1">_05preva_view43[Folder Path1]&amp;"Process &amp; Database\Documentation\Colo Applications"</f>
        <v>#VALUE!</v>
      </c>
      <c r="BH459" s="104" t="e">
        <f ca="1">_05preva_view43[Folder Path2]&amp;"\Colo App "&amp;_05preva_view43[[#This Row],[Operator]]&amp;"\"</f>
        <v>#VALUE!</v>
      </c>
      <c r="BI459" s="63" t="e">
        <f ca="1">_05preva_view43[[#This Row],[Folder Path3]]&amp;_05preva_view43[[#This Row],[File Name]]</f>
        <v>#VALUE!</v>
      </c>
      <c r="BJ459" s="104"/>
      <c r="BK459" s="3"/>
      <c r="BL459" s="3"/>
      <c r="CJ459" s="5"/>
      <c r="CK459" s="5"/>
      <c r="CL459" s="3"/>
      <c r="CN459" s="5"/>
      <c r="CR459" s="3"/>
      <c r="CS459" s="3"/>
      <c r="CT459" s="5"/>
      <c r="CV459" s="3"/>
      <c r="DR459" s="5"/>
      <c r="DT459" s="3"/>
      <c r="EF459" s="7"/>
      <c r="EG459" s="7"/>
      <c r="EJ459" s="4"/>
      <c r="EK459" s="4"/>
      <c r="EU459" s="2"/>
      <c r="EV459" s="2"/>
    </row>
    <row r="460" spans="1:152">
      <c r="A460" s="125">
        <v>195</v>
      </c>
      <c r="B460" s="126" t="s">
        <v>666</v>
      </c>
      <c r="C460" s="126" t="s">
        <v>116</v>
      </c>
      <c r="D460" s="126" t="s">
        <v>117</v>
      </c>
      <c r="E460" s="126" t="s">
        <v>667</v>
      </c>
      <c r="F460" s="126" t="s">
        <v>40</v>
      </c>
      <c r="G460" s="126" t="s">
        <v>118</v>
      </c>
      <c r="H460" s="126"/>
      <c r="I460" s="126" t="s">
        <v>118</v>
      </c>
      <c r="J460" s="126"/>
      <c r="K460" s="127">
        <v>43236</v>
      </c>
      <c r="L460" s="128"/>
      <c r="M460" s="128">
        <v>3</v>
      </c>
      <c r="N460" s="126"/>
      <c r="O460" s="126" t="s">
        <v>119</v>
      </c>
      <c r="P460" s="129"/>
      <c r="Q460" s="129"/>
      <c r="R460" s="126" t="s">
        <v>24</v>
      </c>
      <c r="S460" s="126"/>
      <c r="T460" s="130" t="s">
        <v>120</v>
      </c>
      <c r="U460" s="126" t="s">
        <v>378</v>
      </c>
      <c r="V460" s="130" t="s">
        <v>120</v>
      </c>
      <c r="W460" s="126"/>
      <c r="X460" s="130" t="s">
        <v>120</v>
      </c>
      <c r="Y460" s="126" t="s">
        <v>120</v>
      </c>
      <c r="Z460" s="165" t="s">
        <v>120</v>
      </c>
      <c r="AA460" s="158"/>
      <c r="AB460" s="158"/>
      <c r="AC460" s="170" t="s">
        <v>454</v>
      </c>
      <c r="AD460" s="126" t="s">
        <v>572</v>
      </c>
      <c r="AE460" s="130" t="s">
        <v>125</v>
      </c>
      <c r="AF460" s="127"/>
      <c r="AG460" s="131"/>
      <c r="AH460" s="131"/>
      <c r="AI460" s="126" t="s">
        <v>668</v>
      </c>
      <c r="AJ460" s="130" t="s">
        <v>120</v>
      </c>
      <c r="AK460" s="126" t="s">
        <v>240</v>
      </c>
      <c r="AL460" s="126" t="s">
        <v>470</v>
      </c>
      <c r="AM460" s="130"/>
      <c r="AN460" s="126"/>
      <c r="AO460" s="132"/>
      <c r="AP460" s="126"/>
      <c r="AQ460" s="126"/>
      <c r="AR460" s="130"/>
      <c r="AS460" s="126"/>
      <c r="AT460" s="127"/>
      <c r="AU460" s="127"/>
      <c r="AV460" s="127"/>
      <c r="AW460" s="127"/>
      <c r="AX460" s="127"/>
      <c r="AY460" s="127"/>
      <c r="AZ460" s="133">
        <v>43236</v>
      </c>
      <c r="BA46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0" s="135">
        <f>COUNTIFS(_05preva_view43[Site ID],_05preva_view43[[#This Row],[Site ID]],_05preva_view43[Prevalidation Status],"Under Prevalidation")</f>
        <v>0</v>
      </c>
      <c r="BC460" s="157" t="e">
        <f ca="1">HYPERLINK(CheckPath(_05preva_view43[[#This Row],[File Path]],_05preva_view43[[#This Row],[File Path]],_05preva_view43[[#This Row],[Folder Path3]]),CheckPath(_05preva_view43[[#This Row],[File Path]],"Open File","No File"))</f>
        <v>#VALUE!</v>
      </c>
      <c r="BD460" s="136" t="str">
        <f>CONCATENATE(_05preva_view43[[#This Row],[Site ID]]," (",_05preva_view43[[#This Row],[tenant id]],") Application",IF(_05preva_view43[[#This Row],[Colo Rev]]&gt;0," Rev "&amp;_05preva_view43[[#This Row],[Colo Rev]],""),".xlsx")</f>
        <v>ANNP_0203 (Replacement_45) Application.xlsx</v>
      </c>
      <c r="BE460" s="64" t="e">
        <f t="shared" ca="1" si="8"/>
        <v>#VALUE!</v>
      </c>
      <c r="BF460" s="104" t="e">
        <f ca="1">LEFT(CELL("filename",A445),_05preva_view43[[#This Row],[Find Process &amp; Database]]-1)</f>
        <v>#VALUE!</v>
      </c>
      <c r="BG460" s="104" t="e">
        <f ca="1">_05preva_view43[Folder Path1]&amp;"Process &amp; Database\Documentation\Colo Applications"</f>
        <v>#VALUE!</v>
      </c>
      <c r="BH460" s="104" t="e">
        <f ca="1">_05preva_view43[Folder Path2]&amp;"\Colo App "&amp;_05preva_view43[[#This Row],[Operator]]&amp;"\"</f>
        <v>#VALUE!</v>
      </c>
      <c r="BI460" s="63" t="e">
        <f ca="1">_05preva_view43[[#This Row],[Folder Path3]]&amp;_05preva_view43[[#This Row],[File Name]]</f>
        <v>#VALUE!</v>
      </c>
      <c r="BJ460" s="104"/>
      <c r="BK460" s="3"/>
      <c r="BL460" s="3"/>
      <c r="CJ460" s="5"/>
      <c r="CK460" s="5"/>
      <c r="CL460" s="3"/>
      <c r="CN460" s="5"/>
      <c r="CR460" s="3"/>
      <c r="CS460" s="3"/>
      <c r="CT460" s="5"/>
      <c r="CV460" s="3"/>
      <c r="DR460" s="5"/>
      <c r="DT460" s="3"/>
      <c r="EF460" s="7"/>
      <c r="EG460" s="7"/>
      <c r="EJ460" s="4"/>
      <c r="EK460" s="4"/>
      <c r="EU460" s="2"/>
      <c r="EV460" s="2"/>
    </row>
    <row r="461" spans="1:152">
      <c r="A461" s="125">
        <v>196</v>
      </c>
      <c r="B461" s="126" t="s">
        <v>669</v>
      </c>
      <c r="C461" s="126" t="s">
        <v>116</v>
      </c>
      <c r="D461" s="126" t="s">
        <v>127</v>
      </c>
      <c r="E461" s="126" t="s">
        <v>670</v>
      </c>
      <c r="F461" s="126" t="s">
        <v>40</v>
      </c>
      <c r="G461" s="126" t="s">
        <v>118</v>
      </c>
      <c r="H461" s="126"/>
      <c r="I461" s="126" t="s">
        <v>118</v>
      </c>
      <c r="J461" s="126"/>
      <c r="K461" s="127">
        <v>43236</v>
      </c>
      <c r="L461" s="128"/>
      <c r="M461" s="128">
        <v>3</v>
      </c>
      <c r="N461" s="126"/>
      <c r="O461" s="126" t="s">
        <v>119</v>
      </c>
      <c r="P461" s="129"/>
      <c r="Q461" s="129"/>
      <c r="R461" s="126" t="s">
        <v>26</v>
      </c>
      <c r="S461" s="126"/>
      <c r="T461" s="130" t="s">
        <v>144</v>
      </c>
      <c r="U461" s="126" t="s">
        <v>599</v>
      </c>
      <c r="V461" s="130" t="s">
        <v>120</v>
      </c>
      <c r="W461" s="126"/>
      <c r="X461" s="130"/>
      <c r="Y461" s="126"/>
      <c r="Z461" s="165" t="s">
        <v>125</v>
      </c>
      <c r="AA461" s="158"/>
      <c r="AB461" s="158"/>
      <c r="AC461" s="170"/>
      <c r="AD461" s="126" t="s">
        <v>336</v>
      </c>
      <c r="AE461" s="130"/>
      <c r="AF461" s="127"/>
      <c r="AG461" s="131"/>
      <c r="AH461" s="131">
        <v>2</v>
      </c>
      <c r="AI461" s="126"/>
      <c r="AJ461" s="130"/>
      <c r="AK461" s="126"/>
      <c r="AL461" s="126"/>
      <c r="AM461" s="130"/>
      <c r="AN461" s="126"/>
      <c r="AO461" s="132"/>
      <c r="AP461" s="126"/>
      <c r="AQ461" s="126"/>
      <c r="AR461" s="130"/>
      <c r="AS461" s="126"/>
      <c r="AT461" s="127"/>
      <c r="AU461" s="127"/>
      <c r="AV461" s="127"/>
      <c r="AW461" s="127"/>
      <c r="AX461" s="127"/>
      <c r="AY461" s="127"/>
      <c r="AZ461" s="133">
        <v>43236</v>
      </c>
      <c r="BA46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1" s="135">
        <f>COUNTIFS(_05preva_view43[Site ID],_05preva_view43[[#This Row],[Site ID]],_05preva_view43[Prevalidation Status],"Under Prevalidation")</f>
        <v>0</v>
      </c>
      <c r="BC461" s="157" t="e">
        <f ca="1">HYPERLINK(CheckPath(_05preva_view43[[#This Row],[File Path]],_05preva_view43[[#This Row],[File Path]],_05preva_view43[[#This Row],[Folder Path3]]),CheckPath(_05preva_view43[[#This Row],[File Path]],"Open File","No File"))</f>
        <v>#VALUE!</v>
      </c>
      <c r="BD461" s="136" t="str">
        <f>CONCATENATE(_05preva_view43[[#This Row],[Site ID]]," (",_05preva_view43[[#This Row],[tenant id]],") Application",IF(_05preva_view43[[#This Row],[Colo Rev]]&gt;0," Rev "&amp;_05preva_view43[[#This Row],[Colo Rev]],""),".xlsx")</f>
        <v>ANMD_0079 (MAW2908) Application.xlsx</v>
      </c>
      <c r="BE461" s="64" t="e">
        <f t="shared" ca="1" si="8"/>
        <v>#VALUE!</v>
      </c>
      <c r="BF461" s="104" t="e">
        <f ca="1">LEFT(CELL("filename",A446),_05preva_view43[[#This Row],[Find Process &amp; Database]]-1)</f>
        <v>#VALUE!</v>
      </c>
      <c r="BG461" s="104" t="e">
        <f ca="1">_05preva_view43[Folder Path1]&amp;"Process &amp; Database\Documentation\Colo Applications"</f>
        <v>#VALUE!</v>
      </c>
      <c r="BH461" s="104" t="e">
        <f ca="1">_05preva_view43[Folder Path2]&amp;"\Colo App "&amp;_05preva_view43[[#This Row],[Operator]]&amp;"\"</f>
        <v>#VALUE!</v>
      </c>
      <c r="BI461" s="63" t="e">
        <f ca="1">_05preva_view43[[#This Row],[Folder Path3]]&amp;_05preva_view43[[#This Row],[File Name]]</f>
        <v>#VALUE!</v>
      </c>
      <c r="BJ461" s="104"/>
      <c r="BK461" s="3"/>
      <c r="BL461" s="3"/>
      <c r="CJ461" s="5"/>
      <c r="CK461" s="5"/>
      <c r="CL461" s="3"/>
      <c r="CN461" s="5"/>
      <c r="CR461" s="3"/>
      <c r="CS461" s="3"/>
      <c r="CT461" s="5"/>
      <c r="CV461" s="3"/>
      <c r="DR461" s="5"/>
      <c r="DT461" s="3"/>
      <c r="EF461" s="7"/>
      <c r="EG461" s="7"/>
      <c r="EJ461" s="4"/>
      <c r="EK461" s="4"/>
      <c r="EU461" s="2"/>
      <c r="EV461" s="2"/>
    </row>
    <row r="462" spans="1:152">
      <c r="A462" s="125">
        <v>197</v>
      </c>
      <c r="B462" s="126" t="s">
        <v>671</v>
      </c>
      <c r="C462" s="126" t="s">
        <v>116</v>
      </c>
      <c r="D462" s="126" t="s">
        <v>117</v>
      </c>
      <c r="E462" s="126" t="s">
        <v>672</v>
      </c>
      <c r="F462" s="126" t="s">
        <v>40</v>
      </c>
      <c r="G462" s="126" t="s">
        <v>118</v>
      </c>
      <c r="H462" s="126"/>
      <c r="I462" s="126" t="s">
        <v>118</v>
      </c>
      <c r="J462" s="126"/>
      <c r="K462" s="127">
        <v>43236</v>
      </c>
      <c r="L462" s="128"/>
      <c r="M462" s="128">
        <v>3</v>
      </c>
      <c r="N462" s="126"/>
      <c r="O462" s="126" t="s">
        <v>119</v>
      </c>
      <c r="P462" s="129"/>
      <c r="Q462" s="129"/>
      <c r="R462" s="126" t="s">
        <v>24</v>
      </c>
      <c r="S462" s="126"/>
      <c r="T462" s="130" t="s">
        <v>120</v>
      </c>
      <c r="U462" s="126" t="s">
        <v>378</v>
      </c>
      <c r="V462" s="130" t="s">
        <v>120</v>
      </c>
      <c r="W462" s="126"/>
      <c r="X462" s="130" t="s">
        <v>120</v>
      </c>
      <c r="Y462" s="126" t="s">
        <v>673</v>
      </c>
      <c r="Z462" s="165" t="s">
        <v>120</v>
      </c>
      <c r="AA462" s="158"/>
      <c r="AB462" s="158"/>
      <c r="AC462" s="170"/>
      <c r="AD462" s="126" t="s">
        <v>120</v>
      </c>
      <c r="AE462" s="130" t="s">
        <v>120</v>
      </c>
      <c r="AF462" s="127" t="s">
        <v>241</v>
      </c>
      <c r="AG462" s="131"/>
      <c r="AH462" s="131">
        <v>3.5</v>
      </c>
      <c r="AI462" s="126" t="s">
        <v>387</v>
      </c>
      <c r="AJ462" s="130" t="s">
        <v>120</v>
      </c>
      <c r="AK462" s="126" t="s">
        <v>123</v>
      </c>
      <c r="AL462" s="126"/>
      <c r="AM462" s="130"/>
      <c r="AN462" s="126"/>
      <c r="AO462" s="132"/>
      <c r="AP462" s="126"/>
      <c r="AQ462" s="126"/>
      <c r="AR462" s="130"/>
      <c r="AS462" s="126"/>
      <c r="AT462" s="127"/>
      <c r="AU462" s="127">
        <v>43453.37905625</v>
      </c>
      <c r="AV462" s="127"/>
      <c r="AW462" s="127"/>
      <c r="AX462" s="127"/>
      <c r="AY462" s="127"/>
      <c r="AZ462" s="133">
        <v>43236</v>
      </c>
      <c r="BA46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2" s="135">
        <f>COUNTIFS(_05preva_view43[Site ID],_05preva_view43[[#This Row],[Site ID]],_05preva_view43[Prevalidation Status],"Under Prevalidation")</f>
        <v>0</v>
      </c>
      <c r="BC462" s="157" t="e">
        <f ca="1">HYPERLINK(CheckPath(_05preva_view43[[#This Row],[File Path]],_05preva_view43[[#This Row],[File Path]],_05preva_view43[[#This Row],[Folder Path3]]),CheckPath(_05preva_view43[[#This Row],[File Path]],"Open File","No File"))</f>
        <v>#VALUE!</v>
      </c>
      <c r="BD462" s="136" t="str">
        <f>CONCATENATE(_05preva_view43[[#This Row],[Site ID]]," (",_05preva_view43[[#This Row],[tenant id]],") Application",IF(_05preva_view43[[#This Row],[Colo Rev]]&gt;0," Rev "&amp;_05preva_view43[[#This Row],[Colo Rev]],""),".xlsx")</f>
        <v>ASKH_0019 (KYW6082) Application.xlsx</v>
      </c>
      <c r="BE462" s="64" t="e">
        <f t="shared" ca="1" si="8"/>
        <v>#VALUE!</v>
      </c>
      <c r="BF462" s="104" t="e">
        <f ca="1">LEFT(CELL("filename",A447),_05preva_view43[[#This Row],[Find Process &amp; Database]]-1)</f>
        <v>#VALUE!</v>
      </c>
      <c r="BG462" s="104" t="e">
        <f ca="1">_05preva_view43[Folder Path1]&amp;"Process &amp; Database\Documentation\Colo Applications"</f>
        <v>#VALUE!</v>
      </c>
      <c r="BH462" s="104" t="e">
        <f ca="1">_05preva_view43[Folder Path2]&amp;"\Colo App "&amp;_05preva_view43[[#This Row],[Operator]]&amp;"\"</f>
        <v>#VALUE!</v>
      </c>
      <c r="BI462" s="63" t="e">
        <f ca="1">_05preva_view43[[#This Row],[Folder Path3]]&amp;_05preva_view43[[#This Row],[File Name]]</f>
        <v>#VALUE!</v>
      </c>
      <c r="BJ462" s="104"/>
      <c r="BK462" s="3"/>
      <c r="BL462" s="3"/>
      <c r="CJ462" s="5"/>
      <c r="CK462" s="5"/>
      <c r="CL462" s="3"/>
      <c r="CN462" s="5"/>
      <c r="CR462" s="3"/>
      <c r="CS462" s="3"/>
      <c r="CT462" s="5"/>
      <c r="CV462" s="3"/>
      <c r="DR462" s="5"/>
      <c r="DT462" s="3"/>
      <c r="EF462" s="7"/>
      <c r="EG462" s="7"/>
      <c r="EJ462" s="4"/>
      <c r="EK462" s="4"/>
      <c r="EU462" s="2"/>
      <c r="EV462" s="2"/>
    </row>
    <row r="463" spans="1:152">
      <c r="A463" s="125">
        <v>198</v>
      </c>
      <c r="B463" s="126" t="s">
        <v>674</v>
      </c>
      <c r="C463" s="126" t="s">
        <v>116</v>
      </c>
      <c r="D463" s="126" t="s">
        <v>163</v>
      </c>
      <c r="E463" s="126" t="s">
        <v>675</v>
      </c>
      <c r="F463" s="126" t="s">
        <v>40</v>
      </c>
      <c r="G463" s="126" t="s">
        <v>1579</v>
      </c>
      <c r="H463" s="126" t="s">
        <v>1580</v>
      </c>
      <c r="I463" s="126" t="s">
        <v>118</v>
      </c>
      <c r="J463" s="126"/>
      <c r="K463" s="127">
        <v>43236</v>
      </c>
      <c r="L463" s="128"/>
      <c r="M463" s="128">
        <v>3</v>
      </c>
      <c r="N463" s="126"/>
      <c r="O463" s="126" t="s">
        <v>119</v>
      </c>
      <c r="P463" s="129"/>
      <c r="Q463" s="129"/>
      <c r="R463" s="126" t="s">
        <v>24</v>
      </c>
      <c r="S463" s="126"/>
      <c r="T463" s="130" t="s">
        <v>120</v>
      </c>
      <c r="U463" s="126" t="s">
        <v>378</v>
      </c>
      <c r="V463" s="130" t="s">
        <v>120</v>
      </c>
      <c r="W463" s="126"/>
      <c r="X463" s="130" t="s">
        <v>120</v>
      </c>
      <c r="Y463" s="126" t="s">
        <v>120</v>
      </c>
      <c r="Z463" s="165" t="s">
        <v>120</v>
      </c>
      <c r="AA463" s="158"/>
      <c r="AB463" s="158"/>
      <c r="AC463" s="170"/>
      <c r="AD463" s="126" t="s">
        <v>120</v>
      </c>
      <c r="AE463" s="130" t="s">
        <v>120</v>
      </c>
      <c r="AF463" s="127" t="s">
        <v>467</v>
      </c>
      <c r="AG463" s="131"/>
      <c r="AH463" s="131">
        <v>3.5</v>
      </c>
      <c r="AI463" s="126" t="s">
        <v>676</v>
      </c>
      <c r="AJ463" s="130" t="s">
        <v>120</v>
      </c>
      <c r="AK463" s="126" t="s">
        <v>123</v>
      </c>
      <c r="AL463" s="126"/>
      <c r="AM463" s="130"/>
      <c r="AN463" s="126"/>
      <c r="AO463" s="132"/>
      <c r="AP463" s="126"/>
      <c r="AQ463" s="126"/>
      <c r="AR463" s="130"/>
      <c r="AS463" s="126"/>
      <c r="AT463" s="127"/>
      <c r="AU463" s="127">
        <v>43453.3790570602</v>
      </c>
      <c r="AV463" s="127"/>
      <c r="AW463" s="127"/>
      <c r="AX463" s="127"/>
      <c r="AY463" s="127"/>
      <c r="AZ463" s="133">
        <v>43236</v>
      </c>
      <c r="BA46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3" s="135">
        <f>COUNTIFS(_05preva_view43[Site ID],_05preva_view43[[#This Row],[Site ID]],_05preva_view43[Prevalidation Status],"Under Prevalidation")</f>
        <v>0</v>
      </c>
      <c r="BC463" s="157" t="e">
        <f ca="1">HYPERLINK(CheckPath(_05preva_view43[[#This Row],[File Path]],_05preva_view43[[#This Row],[File Path]],_05preva_view43[[#This Row],[Folder Path3]]),CheckPath(_05preva_view43[[#This Row],[File Path]],"Open File","No File"))</f>
        <v>#VALUE!</v>
      </c>
      <c r="BD463" s="136" t="str">
        <f>CONCATENATE(_05preva_view43[[#This Row],[Site ID]]," (",_05preva_view43[[#This Row],[tenant id]],") Application",IF(_05preva_view43[[#This Row],[Colo Rev]]&gt;0," Rev "&amp;_05preva_view43[[#This Row],[Colo Rev]],""),".xlsx")</f>
        <v>ASTN_0045 (TAW6250) Application.xlsx</v>
      </c>
      <c r="BE463" s="64" t="e">
        <f t="shared" ca="1" si="8"/>
        <v>#VALUE!</v>
      </c>
      <c r="BF463" s="104" t="e">
        <f ca="1">LEFT(CELL("filename",A448),_05preva_view43[[#This Row],[Find Process &amp; Database]]-1)</f>
        <v>#VALUE!</v>
      </c>
      <c r="BG463" s="104" t="e">
        <f ca="1">_05preva_view43[Folder Path1]&amp;"Process &amp; Database\Documentation\Colo Applications"</f>
        <v>#VALUE!</v>
      </c>
      <c r="BH463" s="104" t="e">
        <f ca="1">_05preva_view43[Folder Path2]&amp;"\Colo App "&amp;_05preva_view43[[#This Row],[Operator]]&amp;"\"</f>
        <v>#VALUE!</v>
      </c>
      <c r="BI463" s="63" t="e">
        <f ca="1">_05preva_view43[[#This Row],[Folder Path3]]&amp;_05preva_view43[[#This Row],[File Name]]</f>
        <v>#VALUE!</v>
      </c>
      <c r="BJ463" s="104"/>
      <c r="BK463" s="3"/>
      <c r="BL463" s="3"/>
      <c r="CJ463" s="5"/>
      <c r="CK463" s="5"/>
      <c r="CL463" s="3"/>
      <c r="CN463" s="5"/>
      <c r="CR463" s="3"/>
      <c r="CS463" s="3"/>
      <c r="CT463" s="5"/>
      <c r="CV463" s="3"/>
      <c r="DR463" s="5"/>
      <c r="DT463" s="3"/>
      <c r="EF463" s="7"/>
      <c r="EG463" s="7"/>
      <c r="EJ463" s="4"/>
      <c r="EK463" s="4"/>
      <c r="EU463" s="2"/>
      <c r="EV463" s="2"/>
    </row>
    <row r="464" spans="1:152">
      <c r="A464" s="125">
        <v>199</v>
      </c>
      <c r="B464" s="126" t="s">
        <v>677</v>
      </c>
      <c r="C464" s="126" t="s">
        <v>116</v>
      </c>
      <c r="D464" s="126" t="s">
        <v>163</v>
      </c>
      <c r="E464" s="126" t="s">
        <v>678</v>
      </c>
      <c r="F464" s="126" t="s">
        <v>40</v>
      </c>
      <c r="G464" s="126" t="s">
        <v>1579</v>
      </c>
      <c r="H464" s="126" t="s">
        <v>1580</v>
      </c>
      <c r="I464" s="126" t="s">
        <v>118</v>
      </c>
      <c r="J464" s="126"/>
      <c r="K464" s="127">
        <v>43236</v>
      </c>
      <c r="L464" s="128"/>
      <c r="M464" s="128">
        <v>3</v>
      </c>
      <c r="N464" s="126"/>
      <c r="O464" s="126" t="s">
        <v>119</v>
      </c>
      <c r="P464" s="129"/>
      <c r="Q464" s="129"/>
      <c r="R464" s="126" t="s">
        <v>24</v>
      </c>
      <c r="S464" s="126"/>
      <c r="T464" s="130" t="s">
        <v>120</v>
      </c>
      <c r="U464" s="126" t="s">
        <v>378</v>
      </c>
      <c r="V464" s="130" t="s">
        <v>120</v>
      </c>
      <c r="W464" s="126" t="s">
        <v>120</v>
      </c>
      <c r="X464" s="130" t="s">
        <v>120</v>
      </c>
      <c r="Y464" s="126" t="s">
        <v>120</v>
      </c>
      <c r="Z464" s="165" t="s">
        <v>120</v>
      </c>
      <c r="AA464" s="158"/>
      <c r="AB464" s="158"/>
      <c r="AC464" s="170"/>
      <c r="AD464" s="126" t="s">
        <v>120</v>
      </c>
      <c r="AE464" s="130" t="s">
        <v>125</v>
      </c>
      <c r="AF464" s="127"/>
      <c r="AG464" s="131"/>
      <c r="AH464" s="131"/>
      <c r="AI464" s="126" t="s">
        <v>487</v>
      </c>
      <c r="AJ464" s="130" t="s">
        <v>120</v>
      </c>
      <c r="AK464" s="126" t="s">
        <v>123</v>
      </c>
      <c r="AL464" s="126"/>
      <c r="AM464" s="130"/>
      <c r="AN464" s="126"/>
      <c r="AO464" s="132"/>
      <c r="AP464" s="126"/>
      <c r="AQ464" s="126"/>
      <c r="AR464" s="130" t="s">
        <v>120</v>
      </c>
      <c r="AS464" s="126"/>
      <c r="AT464" s="127">
        <v>43417.627321874999</v>
      </c>
      <c r="AU464" s="127"/>
      <c r="AV464" s="127">
        <v>43417.680085069398</v>
      </c>
      <c r="AW464" s="127">
        <v>43417.7112494213</v>
      </c>
      <c r="AX464" s="127">
        <v>43417.688151041701</v>
      </c>
      <c r="AY464" s="127">
        <v>43431.647528125002</v>
      </c>
      <c r="AZ464" s="133">
        <v>43431.647528125002</v>
      </c>
      <c r="BA464" s="134">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B464" s="135">
        <f>COUNTIFS(_05preva_view43[Site ID],_05preva_view43[[#This Row],[Site ID]],_05preva_view43[Prevalidation Status],"Under Prevalidation")</f>
        <v>0</v>
      </c>
      <c r="BC464" s="157" t="e">
        <f ca="1">HYPERLINK(CheckPath(_05preva_view43[[#This Row],[File Path]],_05preva_view43[[#This Row],[File Path]],_05preva_view43[[#This Row],[Folder Path3]]),CheckPath(_05preva_view43[[#This Row],[File Path]],"Open File","No File"))</f>
        <v>#VALUE!</v>
      </c>
      <c r="BD464" s="136" t="str">
        <f>CONCATENATE(_05preva_view43[[#This Row],[Site ID]]," (",_05preva_view43[[#This Row],[tenant id]],") Application",IF(_05preva_view43[[#This Row],[Colo Rev]]&gt;0," Rev "&amp;_05preva_view43[[#This Row],[Colo Rev]],""),".xlsx")</f>
        <v>ASTN_0035 (TAW6249) Application.xlsx</v>
      </c>
      <c r="BE464" s="64" t="e">
        <f t="shared" ref="BE464:BE527" ca="1" si="9">FIND("Process &amp; Database\",CELL("filename",$A$1))</f>
        <v>#VALUE!</v>
      </c>
      <c r="BF464" s="104" t="e">
        <f ca="1">LEFT(CELL("filename",A449),_05preva_view43[[#This Row],[Find Process &amp; Database]]-1)</f>
        <v>#VALUE!</v>
      </c>
      <c r="BG464" s="104" t="e">
        <f ca="1">_05preva_view43[Folder Path1]&amp;"Process &amp; Database\Documentation\Colo Applications"</f>
        <v>#VALUE!</v>
      </c>
      <c r="BH464" s="104" t="e">
        <f ca="1">_05preva_view43[Folder Path2]&amp;"\Colo App "&amp;_05preva_view43[[#This Row],[Operator]]&amp;"\"</f>
        <v>#VALUE!</v>
      </c>
      <c r="BI464" s="63" t="e">
        <f ca="1">_05preva_view43[[#This Row],[Folder Path3]]&amp;_05preva_view43[[#This Row],[File Name]]</f>
        <v>#VALUE!</v>
      </c>
      <c r="BJ464" s="104"/>
      <c r="BK464" s="3"/>
      <c r="BL464" s="3"/>
      <c r="CJ464" s="5"/>
      <c r="CK464" s="5"/>
      <c r="CL464" s="3"/>
      <c r="CN464" s="5"/>
      <c r="CR464" s="3"/>
      <c r="CS464" s="3"/>
      <c r="CT464" s="5"/>
      <c r="CV464" s="3"/>
      <c r="DR464" s="5"/>
      <c r="DT464" s="3"/>
      <c r="EF464" s="7"/>
      <c r="EG464" s="7"/>
      <c r="EJ464" s="4"/>
      <c r="EK464" s="4"/>
      <c r="EU464" s="2"/>
      <c r="EV464" s="2"/>
    </row>
    <row r="465" spans="1:152">
      <c r="A465" s="125">
        <v>200</v>
      </c>
      <c r="B465" s="126" t="s">
        <v>679</v>
      </c>
      <c r="C465" s="126" t="s">
        <v>116</v>
      </c>
      <c r="D465" s="126" t="s">
        <v>163</v>
      </c>
      <c r="E465" s="126" t="s">
        <v>680</v>
      </c>
      <c r="F465" s="126" t="s">
        <v>40</v>
      </c>
      <c r="G465" s="126" t="s">
        <v>118</v>
      </c>
      <c r="H465" s="126"/>
      <c r="I465" s="126" t="s">
        <v>118</v>
      </c>
      <c r="J465" s="126"/>
      <c r="K465" s="127">
        <v>43236</v>
      </c>
      <c r="L465" s="128"/>
      <c r="M465" s="128">
        <v>3</v>
      </c>
      <c r="N465" s="126"/>
      <c r="O465" s="126" t="s">
        <v>119</v>
      </c>
      <c r="P465" s="129"/>
      <c r="Q465" s="129"/>
      <c r="R465" s="126" t="s">
        <v>24</v>
      </c>
      <c r="S465" s="126"/>
      <c r="T465" s="130" t="s">
        <v>120</v>
      </c>
      <c r="U465" s="126" t="s">
        <v>403</v>
      </c>
      <c r="V465" s="130" t="s">
        <v>120</v>
      </c>
      <c r="W465" s="126"/>
      <c r="X465" s="130" t="s">
        <v>120</v>
      </c>
      <c r="Y465" s="126" t="s">
        <v>404</v>
      </c>
      <c r="Z465" s="165" t="s">
        <v>120</v>
      </c>
      <c r="AA465" s="158"/>
      <c r="AB465" s="158"/>
      <c r="AC465" s="170" t="s">
        <v>123</v>
      </c>
      <c r="AD465" s="126" t="s">
        <v>419</v>
      </c>
      <c r="AE465" s="130" t="s">
        <v>125</v>
      </c>
      <c r="AF465" s="127"/>
      <c r="AG465" s="131"/>
      <c r="AH465" s="131"/>
      <c r="AI465" s="126" t="s">
        <v>681</v>
      </c>
      <c r="AJ465" s="130" t="s">
        <v>120</v>
      </c>
      <c r="AK465" s="126" t="s">
        <v>123</v>
      </c>
      <c r="AL465" s="126"/>
      <c r="AM465" s="130"/>
      <c r="AN465" s="126"/>
      <c r="AO465" s="132"/>
      <c r="AP465" s="126"/>
      <c r="AQ465" s="126"/>
      <c r="AR465" s="130"/>
      <c r="AS465" s="126"/>
      <c r="AT465" s="127"/>
      <c r="AU465" s="127"/>
      <c r="AV465" s="127"/>
      <c r="AW465" s="127"/>
      <c r="AX465" s="127"/>
      <c r="AY465" s="127"/>
      <c r="AZ465" s="133"/>
      <c r="BA46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5" s="135">
        <f>COUNTIFS(_05preva_view43[Site ID],_05preva_view43[[#This Row],[Site ID]],_05preva_view43[Prevalidation Status],"Under Prevalidation")</f>
        <v>0</v>
      </c>
      <c r="BC465" s="157" t="e">
        <f ca="1">HYPERLINK(CheckPath(_05preva_view43[[#This Row],[File Path]],_05preva_view43[[#This Row],[File Path]],_05preva_view43[[#This Row],[Folder Path3]]),CheckPath(_05preva_view43[[#This Row],[File Path]],"Open File","No File"))</f>
        <v>#VALUE!</v>
      </c>
      <c r="BD465" s="136" t="str">
        <f>CONCATENATE(_05preva_view43[[#This Row],[Site ID]]," (",_05preva_view43[[#This Row],[tenant id]],") Application",IF(_05preva_view43[[#This Row],[Colo Rev]]&gt;0," Rev "&amp;_05preva_view43[[#This Row],[Colo Rev]],""),".xlsx")</f>
        <v>ASMO_0295 (MOW6295) Application.xlsx</v>
      </c>
      <c r="BE465" s="64" t="e">
        <f t="shared" ca="1" si="9"/>
        <v>#VALUE!</v>
      </c>
      <c r="BF465" s="104" t="e">
        <f ca="1">LEFT(CELL("filename",A450),_05preva_view43[[#This Row],[Find Process &amp; Database]]-1)</f>
        <v>#VALUE!</v>
      </c>
      <c r="BG465" s="104" t="e">
        <f ca="1">_05preva_view43[Folder Path1]&amp;"Process &amp; Database\Documentation\Colo Applications"</f>
        <v>#VALUE!</v>
      </c>
      <c r="BH465" s="104" t="e">
        <f ca="1">_05preva_view43[Folder Path2]&amp;"\Colo App "&amp;_05preva_view43[[#This Row],[Operator]]&amp;"\"</f>
        <v>#VALUE!</v>
      </c>
      <c r="BI465" s="63" t="e">
        <f ca="1">_05preva_view43[[#This Row],[Folder Path3]]&amp;_05preva_view43[[#This Row],[File Name]]</f>
        <v>#VALUE!</v>
      </c>
      <c r="BJ465" s="104"/>
      <c r="BK465" s="3"/>
      <c r="BL465" s="3"/>
      <c r="CJ465" s="5"/>
      <c r="CK465" s="5"/>
      <c r="CL465" s="3"/>
      <c r="CN465" s="5"/>
      <c r="CR465" s="3"/>
      <c r="CS465" s="3"/>
      <c r="CT465" s="5"/>
      <c r="CV465" s="3"/>
      <c r="DR465" s="5"/>
      <c r="DT465" s="3"/>
      <c r="EF465" s="7"/>
      <c r="EG465" s="7"/>
      <c r="EJ465" s="4"/>
      <c r="EK465" s="4"/>
      <c r="EU465" s="2"/>
      <c r="EV465" s="2"/>
    </row>
    <row r="466" spans="1:152">
      <c r="A466" s="125">
        <v>202</v>
      </c>
      <c r="B466" s="126" t="s">
        <v>682</v>
      </c>
      <c r="C466" s="126" t="s">
        <v>116</v>
      </c>
      <c r="D466" s="126" t="s">
        <v>117</v>
      </c>
      <c r="E466" s="126" t="s">
        <v>683</v>
      </c>
      <c r="F466" s="126" t="s">
        <v>40</v>
      </c>
      <c r="G466" s="126" t="s">
        <v>1579</v>
      </c>
      <c r="H466" s="126" t="s">
        <v>1575</v>
      </c>
      <c r="I466" s="126" t="s">
        <v>118</v>
      </c>
      <c r="J466" s="126"/>
      <c r="K466" s="127">
        <v>43236</v>
      </c>
      <c r="L466" s="128"/>
      <c r="M466" s="128">
        <v>3</v>
      </c>
      <c r="N466" s="126"/>
      <c r="O466" s="126" t="s">
        <v>119</v>
      </c>
      <c r="P466" s="129"/>
      <c r="Q466" s="129"/>
      <c r="R466" s="126" t="s">
        <v>24</v>
      </c>
      <c r="S466" s="126"/>
      <c r="T466" s="130" t="s">
        <v>120</v>
      </c>
      <c r="U466" s="126" t="s">
        <v>378</v>
      </c>
      <c r="V466" s="130" t="s">
        <v>120</v>
      </c>
      <c r="W466" s="126"/>
      <c r="X466" s="130" t="s">
        <v>120</v>
      </c>
      <c r="Y466" s="126" t="s">
        <v>120</v>
      </c>
      <c r="Z466" s="165" t="s">
        <v>120</v>
      </c>
      <c r="AA466" s="158"/>
      <c r="AB466" s="158"/>
      <c r="AC466" s="170"/>
      <c r="AD466" s="126" t="s">
        <v>120</v>
      </c>
      <c r="AE466" s="130" t="s">
        <v>120</v>
      </c>
      <c r="AF466" s="127" t="s">
        <v>241</v>
      </c>
      <c r="AG466" s="131"/>
      <c r="AH466" s="131">
        <v>3.5</v>
      </c>
      <c r="AI466" s="126" t="s">
        <v>684</v>
      </c>
      <c r="AJ466" s="130" t="s">
        <v>120</v>
      </c>
      <c r="AK466" s="126" t="s">
        <v>123</v>
      </c>
      <c r="AL466" s="126"/>
      <c r="AM466" s="130"/>
      <c r="AN466" s="126"/>
      <c r="AO466" s="132"/>
      <c r="AP466" s="126"/>
      <c r="AQ466" s="126"/>
      <c r="AR466" s="130"/>
      <c r="AS466" s="126"/>
      <c r="AT466" s="127"/>
      <c r="AU466" s="127">
        <v>43453.379059953702</v>
      </c>
      <c r="AV466" s="127"/>
      <c r="AW466" s="127"/>
      <c r="AX466" s="127"/>
      <c r="AY466" s="127"/>
      <c r="AZ466" s="133">
        <v>43236</v>
      </c>
      <c r="BA46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6" s="135">
        <f>COUNTIFS(_05preva_view43[Site ID],_05preva_view43[[#This Row],[Site ID]],_05preva_view43[Prevalidation Status],"Under Prevalidation")</f>
        <v>0</v>
      </c>
      <c r="BC466" s="157" t="e">
        <f ca="1">HYPERLINK(CheckPath(_05preva_view43[[#This Row],[File Path]],_05preva_view43[[#This Row],[File Path]],_05preva_view43[[#This Row],[Folder Path3]]),CheckPath(_05preva_view43[[#This Row],[File Path]],"Open File","No File"))</f>
        <v>#VALUE!</v>
      </c>
      <c r="BD466" s="136" t="str">
        <f>CONCATENATE(_05preva_view43[[#This Row],[Site ID]]," (",_05preva_view43[[#This Row],[tenant id]],") Application",IF(_05preva_view43[[#This Row],[Colo Rev]]&gt;0," Rev "&amp;_05preva_view43[[#This Row],[Colo Rev]],""),".xlsx")</f>
        <v>ACBA_0245 (BAW5555) Application.xlsx</v>
      </c>
      <c r="BE466" s="64" t="e">
        <f t="shared" ca="1" si="9"/>
        <v>#VALUE!</v>
      </c>
      <c r="BF466" s="104" t="e">
        <f ca="1">LEFT(CELL("filename",A451),_05preva_view43[[#This Row],[Find Process &amp; Database]]-1)</f>
        <v>#VALUE!</v>
      </c>
      <c r="BG466" s="104" t="e">
        <f ca="1">_05preva_view43[Folder Path1]&amp;"Process &amp; Database\Documentation\Colo Applications"</f>
        <v>#VALUE!</v>
      </c>
      <c r="BH466" s="104" t="e">
        <f ca="1">_05preva_view43[Folder Path2]&amp;"\Colo App "&amp;_05preva_view43[[#This Row],[Operator]]&amp;"\"</f>
        <v>#VALUE!</v>
      </c>
      <c r="BI466" s="63" t="e">
        <f ca="1">_05preva_view43[[#This Row],[Folder Path3]]&amp;_05preva_view43[[#This Row],[File Name]]</f>
        <v>#VALUE!</v>
      </c>
      <c r="BJ466" s="104"/>
      <c r="BK466" s="3"/>
      <c r="BL466" s="3"/>
      <c r="CJ466" s="5"/>
      <c r="CK466" s="5"/>
      <c r="CL466" s="3"/>
      <c r="CN466" s="5"/>
      <c r="CR466" s="3"/>
      <c r="CS466" s="3"/>
      <c r="CT466" s="5"/>
      <c r="CV466" s="3"/>
      <c r="DR466" s="5"/>
      <c r="DT466" s="3"/>
      <c r="EF466" s="7"/>
      <c r="EG466" s="7"/>
      <c r="EJ466" s="4"/>
      <c r="EK466" s="4"/>
      <c r="EU466" s="2"/>
      <c r="EV466" s="2"/>
    </row>
    <row r="467" spans="1:152">
      <c r="A467" s="125">
        <v>204</v>
      </c>
      <c r="B467" s="126" t="s">
        <v>685</v>
      </c>
      <c r="C467" s="126" t="s">
        <v>116</v>
      </c>
      <c r="D467" s="126" t="s">
        <v>163</v>
      </c>
      <c r="E467" s="126" t="s">
        <v>686</v>
      </c>
      <c r="F467" s="126" t="s">
        <v>40</v>
      </c>
      <c r="G467" s="126" t="s">
        <v>118</v>
      </c>
      <c r="H467" s="126"/>
      <c r="I467" s="126" t="s">
        <v>118</v>
      </c>
      <c r="J467" s="126"/>
      <c r="K467" s="127">
        <v>43236</v>
      </c>
      <c r="L467" s="128"/>
      <c r="M467" s="128">
        <v>3</v>
      </c>
      <c r="N467" s="126"/>
      <c r="O467" s="126" t="s">
        <v>119</v>
      </c>
      <c r="P467" s="129"/>
      <c r="Q467" s="129"/>
      <c r="R467" s="126" t="s">
        <v>24</v>
      </c>
      <c r="S467" s="126"/>
      <c r="T467" s="130" t="s">
        <v>120</v>
      </c>
      <c r="U467" s="126" t="s">
        <v>378</v>
      </c>
      <c r="V467" s="130" t="s">
        <v>120</v>
      </c>
      <c r="W467" s="126"/>
      <c r="X467" s="130" t="s">
        <v>120</v>
      </c>
      <c r="Y467" s="126" t="s">
        <v>120</v>
      </c>
      <c r="Z467" s="165" t="s">
        <v>120</v>
      </c>
      <c r="AA467" s="158"/>
      <c r="AB467" s="158"/>
      <c r="AC467" s="170"/>
      <c r="AD467" s="126" t="s">
        <v>120</v>
      </c>
      <c r="AE467" s="130" t="s">
        <v>120</v>
      </c>
      <c r="AF467" s="127" t="s">
        <v>241</v>
      </c>
      <c r="AG467" s="131"/>
      <c r="AH467" s="131">
        <v>3.5</v>
      </c>
      <c r="AI467" s="126" t="s">
        <v>242</v>
      </c>
      <c r="AJ467" s="130" t="s">
        <v>120</v>
      </c>
      <c r="AK467" s="126" t="s">
        <v>123</v>
      </c>
      <c r="AL467" s="126"/>
      <c r="AM467" s="130"/>
      <c r="AN467" s="126"/>
      <c r="AO467" s="132"/>
      <c r="AP467" s="126"/>
      <c r="AQ467" s="126"/>
      <c r="AR467" s="130"/>
      <c r="AS467" s="126"/>
      <c r="AT467" s="127"/>
      <c r="AU467" s="127">
        <v>43453.379060879597</v>
      </c>
      <c r="AV467" s="127"/>
      <c r="AW467" s="127"/>
      <c r="AX467" s="127"/>
      <c r="AY467" s="127"/>
      <c r="AZ467" s="133">
        <v>43236</v>
      </c>
      <c r="BA46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7" s="135">
        <f>COUNTIFS(_05preva_view43[Site ID],_05preva_view43[[#This Row],[Site ID]],_05preva_view43[Prevalidation Status],"Under Prevalidation")</f>
        <v>0</v>
      </c>
      <c r="BC467" s="157" t="e">
        <f ca="1">HYPERLINK(CheckPath(_05preva_view43[[#This Row],[File Path]],_05preva_view43[[#This Row],[File Path]],_05preva_view43[[#This Row],[Folder Path3]]),CheckPath(_05preva_view43[[#This Row],[File Path]],"Open File","No File"))</f>
        <v>#VALUE!</v>
      </c>
      <c r="BD467" s="136" t="str">
        <f>CONCATENATE(_05preva_view43[[#This Row],[Site ID]]," (",_05preva_view43[[#This Row],[tenant id]],") Application",IF(_05preva_view43[[#This Row],[Colo Rev]]&gt;0," Rev "&amp;_05preva_view43[[#This Row],[Colo Rev]],""),".xlsx")</f>
        <v>ACAY_0171 (AYW5539) Application.xlsx</v>
      </c>
      <c r="BE467" s="64" t="e">
        <f t="shared" ca="1" si="9"/>
        <v>#VALUE!</v>
      </c>
      <c r="BF467" s="104" t="e">
        <f ca="1">LEFT(CELL("filename",A452),_05preva_view43[[#This Row],[Find Process &amp; Database]]-1)</f>
        <v>#VALUE!</v>
      </c>
      <c r="BG467" s="104" t="e">
        <f ca="1">_05preva_view43[Folder Path1]&amp;"Process &amp; Database\Documentation\Colo Applications"</f>
        <v>#VALUE!</v>
      </c>
      <c r="BH467" s="104" t="e">
        <f ca="1">_05preva_view43[Folder Path2]&amp;"\Colo App "&amp;_05preva_view43[[#This Row],[Operator]]&amp;"\"</f>
        <v>#VALUE!</v>
      </c>
      <c r="BI467" s="63" t="e">
        <f ca="1">_05preva_view43[[#This Row],[Folder Path3]]&amp;_05preva_view43[[#This Row],[File Name]]</f>
        <v>#VALUE!</v>
      </c>
      <c r="BJ467" s="104"/>
      <c r="BK467" s="3"/>
      <c r="BL467" s="3"/>
      <c r="CJ467" s="5"/>
      <c r="CK467" s="5"/>
      <c r="CL467" s="3"/>
      <c r="CN467" s="5"/>
      <c r="CR467" s="3"/>
      <c r="CS467" s="3"/>
      <c r="CT467" s="5"/>
      <c r="CV467" s="3"/>
      <c r="DR467" s="5"/>
      <c r="DT467" s="3"/>
      <c r="EF467" s="7"/>
      <c r="EG467" s="7"/>
      <c r="EJ467" s="4"/>
      <c r="EK467" s="4"/>
      <c r="EU467" s="2"/>
      <c r="EV467" s="2"/>
    </row>
    <row r="468" spans="1:152">
      <c r="A468" s="125">
        <v>205</v>
      </c>
      <c r="B468" s="126" t="s">
        <v>687</v>
      </c>
      <c r="C468" s="126" t="s">
        <v>116</v>
      </c>
      <c r="D468" s="126" t="s">
        <v>117</v>
      </c>
      <c r="E468" s="126" t="s">
        <v>688</v>
      </c>
      <c r="F468" s="126" t="s">
        <v>40</v>
      </c>
      <c r="G468" s="126" t="s">
        <v>1579</v>
      </c>
      <c r="H468" s="126" t="s">
        <v>1580</v>
      </c>
      <c r="I468" s="126" t="s">
        <v>118</v>
      </c>
      <c r="J468" s="126"/>
      <c r="K468" s="127">
        <v>43236</v>
      </c>
      <c r="L468" s="128"/>
      <c r="M468" s="128">
        <v>3</v>
      </c>
      <c r="N468" s="126"/>
      <c r="O468" s="126" t="s">
        <v>119</v>
      </c>
      <c r="P468" s="129"/>
      <c r="Q468" s="129"/>
      <c r="R468" s="126" t="s">
        <v>24</v>
      </c>
      <c r="S468" s="126"/>
      <c r="T468" s="130" t="s">
        <v>120</v>
      </c>
      <c r="U468" s="126" t="s">
        <v>378</v>
      </c>
      <c r="V468" s="130" t="s">
        <v>120</v>
      </c>
      <c r="W468" s="126"/>
      <c r="X468" s="130" t="s">
        <v>120</v>
      </c>
      <c r="Y468" s="126" t="s">
        <v>120</v>
      </c>
      <c r="Z468" s="165" t="s">
        <v>120</v>
      </c>
      <c r="AA468" s="158"/>
      <c r="AB468" s="158"/>
      <c r="AC468" s="170"/>
      <c r="AD468" s="126" t="s">
        <v>120</v>
      </c>
      <c r="AE468" s="130" t="s">
        <v>120</v>
      </c>
      <c r="AF468" s="127" t="s">
        <v>241</v>
      </c>
      <c r="AG468" s="131"/>
      <c r="AH468" s="131">
        <v>3.5</v>
      </c>
      <c r="AI468" s="126" t="s">
        <v>387</v>
      </c>
      <c r="AJ468" s="130" t="s">
        <v>120</v>
      </c>
      <c r="AK468" s="126" t="s">
        <v>123</v>
      </c>
      <c r="AL468" s="126"/>
      <c r="AM468" s="130"/>
      <c r="AN468" s="126"/>
      <c r="AO468" s="132"/>
      <c r="AP468" s="126"/>
      <c r="AQ468" s="126"/>
      <c r="AR468" s="130"/>
      <c r="AS468" s="126"/>
      <c r="AT468" s="127"/>
      <c r="AU468" s="127">
        <v>43453.379061458298</v>
      </c>
      <c r="AV468" s="127"/>
      <c r="AW468" s="127"/>
      <c r="AX468" s="127"/>
      <c r="AY468" s="127"/>
      <c r="AZ468" s="133">
        <v>43236</v>
      </c>
      <c r="BA46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8" s="135">
        <f>COUNTIFS(_05preva_view43[Site ID],_05preva_view43[[#This Row],[Site ID]],_05preva_view43[Prevalidation Status],"Under Prevalidation")</f>
        <v>0</v>
      </c>
      <c r="BC468" s="157" t="e">
        <f ca="1">HYPERLINK(CheckPath(_05preva_view43[[#This Row],[File Path]],_05preva_view43[[#This Row],[File Path]],_05preva_view43[[#This Row],[Folder Path3]]),CheckPath(_05preva_view43[[#This Row],[File Path]],"Open File","No File"))</f>
        <v>#VALUE!</v>
      </c>
      <c r="BD468" s="136" t="str">
        <f>CONCATENATE(_05preva_view43[[#This Row],[Site ID]]," (",_05preva_view43[[#This Row],[tenant id]],") Application",IF(_05preva_view43[[#This Row],[Colo Rev]]&gt;0," Rev "&amp;_05preva_view43[[#This Row],[Colo Rev]],""),".xlsx")</f>
        <v>ANMG_0183 (MWW3494) Application.xlsx</v>
      </c>
      <c r="BE468" s="64" t="e">
        <f t="shared" ca="1" si="9"/>
        <v>#VALUE!</v>
      </c>
      <c r="BF468" s="104" t="e">
        <f ca="1">LEFT(CELL("filename",A453),_05preva_view43[[#This Row],[Find Process &amp; Database]]-1)</f>
        <v>#VALUE!</v>
      </c>
      <c r="BG468" s="104" t="e">
        <f ca="1">_05preva_view43[Folder Path1]&amp;"Process &amp; Database\Documentation\Colo Applications"</f>
        <v>#VALUE!</v>
      </c>
      <c r="BH468" s="104" t="e">
        <f ca="1">_05preva_view43[Folder Path2]&amp;"\Colo App "&amp;_05preva_view43[[#This Row],[Operator]]&amp;"\"</f>
        <v>#VALUE!</v>
      </c>
      <c r="BI468" s="63" t="e">
        <f ca="1">_05preva_view43[[#This Row],[Folder Path3]]&amp;_05preva_view43[[#This Row],[File Name]]</f>
        <v>#VALUE!</v>
      </c>
      <c r="BJ468" s="104"/>
      <c r="BK468" s="3"/>
      <c r="BL468" s="3"/>
      <c r="CJ468" s="5"/>
      <c r="CK468" s="5"/>
      <c r="CL468" s="3"/>
      <c r="CN468" s="5"/>
      <c r="CR468" s="3"/>
      <c r="CS468" s="3"/>
      <c r="CT468" s="5"/>
      <c r="CV468" s="3"/>
      <c r="DR468" s="5"/>
      <c r="DT468" s="3"/>
      <c r="EF468" s="7"/>
      <c r="EG468" s="7"/>
      <c r="EJ468" s="4"/>
      <c r="EK468" s="4"/>
      <c r="EU468" s="2"/>
      <c r="EV468" s="2"/>
    </row>
    <row r="469" spans="1:152">
      <c r="A469" s="125">
        <v>207</v>
      </c>
      <c r="B469" s="126" t="s">
        <v>689</v>
      </c>
      <c r="C469" s="126" t="s">
        <v>116</v>
      </c>
      <c r="D469" s="126" t="s">
        <v>127</v>
      </c>
      <c r="E469" s="126" t="s">
        <v>690</v>
      </c>
      <c r="F469" s="126" t="s">
        <v>40</v>
      </c>
      <c r="G469" s="126" t="s">
        <v>1579</v>
      </c>
      <c r="H469" s="126" t="s">
        <v>1580</v>
      </c>
      <c r="I469" s="126" t="s">
        <v>118</v>
      </c>
      <c r="J469" s="126"/>
      <c r="K469" s="127">
        <v>43236</v>
      </c>
      <c r="L469" s="128"/>
      <c r="M469" s="128">
        <v>3</v>
      </c>
      <c r="N469" s="126"/>
      <c r="O469" s="126" t="s">
        <v>119</v>
      </c>
      <c r="P469" s="129"/>
      <c r="Q469" s="129"/>
      <c r="R469" s="126" t="s">
        <v>24</v>
      </c>
      <c r="S469" s="126"/>
      <c r="T469" s="130" t="s">
        <v>120</v>
      </c>
      <c r="U469" s="126" t="s">
        <v>378</v>
      </c>
      <c r="V469" s="130" t="s">
        <v>120</v>
      </c>
      <c r="W469" s="126"/>
      <c r="X469" s="130" t="s">
        <v>120</v>
      </c>
      <c r="Y469" s="126" t="s">
        <v>120</v>
      </c>
      <c r="Z469" s="165" t="s">
        <v>120</v>
      </c>
      <c r="AA469" s="158"/>
      <c r="AB469" s="158"/>
      <c r="AC469" s="170"/>
      <c r="AD469" s="126" t="s">
        <v>120</v>
      </c>
      <c r="AE469" s="130" t="s">
        <v>120</v>
      </c>
      <c r="AF469" s="127" t="s">
        <v>241</v>
      </c>
      <c r="AG469" s="131"/>
      <c r="AH469" s="131">
        <v>3.5</v>
      </c>
      <c r="AI469" s="126" t="s">
        <v>242</v>
      </c>
      <c r="AJ469" s="130" t="s">
        <v>120</v>
      </c>
      <c r="AK469" s="126" t="s">
        <v>123</v>
      </c>
      <c r="AL469" s="126"/>
      <c r="AM469" s="130"/>
      <c r="AN469" s="126"/>
      <c r="AO469" s="132"/>
      <c r="AP469" s="126"/>
      <c r="AQ469" s="126"/>
      <c r="AR469" s="130"/>
      <c r="AS469" s="126"/>
      <c r="AT469" s="127"/>
      <c r="AU469" s="127">
        <v>43453.379062268497</v>
      </c>
      <c r="AV469" s="127"/>
      <c r="AW469" s="127"/>
      <c r="AX469" s="127"/>
      <c r="AY469" s="127"/>
      <c r="AZ469" s="133">
        <v>43236</v>
      </c>
      <c r="BA46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9" s="135">
        <f>COUNTIFS(_05preva_view43[Site ID],_05preva_view43[[#This Row],[Site ID]],_05preva_view43[Prevalidation Status],"Under Prevalidation")</f>
        <v>0</v>
      </c>
      <c r="BC469" s="157" t="e">
        <f ca="1">HYPERLINK(CheckPath(_05preva_view43[[#This Row],[File Path]],_05preva_view43[[#This Row],[File Path]],_05preva_view43[[#This Row],[Folder Path3]]),CheckPath(_05preva_view43[[#This Row],[File Path]],"Open File","No File"))</f>
        <v>#VALUE!</v>
      </c>
      <c r="BD469" s="136" t="str">
        <f>CONCATENATE(_05preva_view43[[#This Row],[Site ID]]," (",_05preva_view43[[#This Row],[tenant id]],") Application",IF(_05preva_view43[[#This Row],[Colo Rev]]&gt;0," Rev "&amp;_05preva_view43[[#This Row],[Colo Rev]],""),".xlsx")</f>
        <v>ANSG_0464 (SAW0732) Application.xlsx</v>
      </c>
      <c r="BE469" s="64" t="e">
        <f t="shared" ca="1" si="9"/>
        <v>#VALUE!</v>
      </c>
      <c r="BF469" s="104" t="e">
        <f ca="1">LEFT(CELL("filename",A454),_05preva_view43[[#This Row],[Find Process &amp; Database]]-1)</f>
        <v>#VALUE!</v>
      </c>
      <c r="BG469" s="104" t="e">
        <f ca="1">_05preva_view43[Folder Path1]&amp;"Process &amp; Database\Documentation\Colo Applications"</f>
        <v>#VALUE!</v>
      </c>
      <c r="BH469" s="104" t="e">
        <f ca="1">_05preva_view43[Folder Path2]&amp;"\Colo App "&amp;_05preva_view43[[#This Row],[Operator]]&amp;"\"</f>
        <v>#VALUE!</v>
      </c>
      <c r="BI469" s="63" t="e">
        <f ca="1">_05preva_view43[[#This Row],[Folder Path3]]&amp;_05preva_view43[[#This Row],[File Name]]</f>
        <v>#VALUE!</v>
      </c>
      <c r="BJ469" s="104"/>
      <c r="BK469" s="3"/>
      <c r="BL469" s="3"/>
      <c r="CJ469" s="5"/>
      <c r="CK469" s="5"/>
      <c r="CL469" s="3"/>
      <c r="CN469" s="5"/>
      <c r="CR469" s="3"/>
      <c r="CS469" s="3"/>
      <c r="CT469" s="5"/>
      <c r="CV469" s="3"/>
      <c r="DR469" s="5"/>
      <c r="DT469" s="3"/>
      <c r="EF469" s="7"/>
      <c r="EG469" s="7"/>
      <c r="EJ469" s="4"/>
      <c r="EK469" s="4"/>
      <c r="EU469" s="2"/>
      <c r="EV469" s="2"/>
    </row>
    <row r="470" spans="1:152">
      <c r="A470" s="125">
        <v>210</v>
      </c>
      <c r="B470" s="126" t="s">
        <v>691</v>
      </c>
      <c r="C470" s="126" t="s">
        <v>116</v>
      </c>
      <c r="D470" s="126" t="s">
        <v>163</v>
      </c>
      <c r="E470" s="126" t="s">
        <v>692</v>
      </c>
      <c r="F470" s="126" t="s">
        <v>40</v>
      </c>
      <c r="G470" s="126" t="s">
        <v>1579</v>
      </c>
      <c r="H470" s="126" t="s">
        <v>1575</v>
      </c>
      <c r="I470" s="126" t="s">
        <v>118</v>
      </c>
      <c r="J470" s="126"/>
      <c r="K470" s="127">
        <v>43236</v>
      </c>
      <c r="L470" s="128"/>
      <c r="M470" s="128">
        <v>3</v>
      </c>
      <c r="N470" s="126"/>
      <c r="O470" s="126" t="s">
        <v>119</v>
      </c>
      <c r="P470" s="129"/>
      <c r="Q470" s="129"/>
      <c r="R470" s="126" t="s">
        <v>24</v>
      </c>
      <c r="S470" s="126"/>
      <c r="T470" s="130" t="s">
        <v>120</v>
      </c>
      <c r="U470" s="126" t="s">
        <v>378</v>
      </c>
      <c r="V470" s="130" t="s">
        <v>120</v>
      </c>
      <c r="W470" s="126"/>
      <c r="X470" s="130" t="s">
        <v>120</v>
      </c>
      <c r="Y470" s="126" t="s">
        <v>120</v>
      </c>
      <c r="Z470" s="165" t="s">
        <v>120</v>
      </c>
      <c r="AA470" s="158"/>
      <c r="AB470" s="158"/>
      <c r="AC470" s="170"/>
      <c r="AD470" s="126" t="s">
        <v>120</v>
      </c>
      <c r="AE470" s="130" t="s">
        <v>120</v>
      </c>
      <c r="AF470" s="127" t="s">
        <v>241</v>
      </c>
      <c r="AG470" s="131"/>
      <c r="AH470" s="131">
        <v>3.5</v>
      </c>
      <c r="AI470" s="126" t="s">
        <v>533</v>
      </c>
      <c r="AJ470" s="130" t="s">
        <v>120</v>
      </c>
      <c r="AK470" s="126" t="s">
        <v>123</v>
      </c>
      <c r="AL470" s="126"/>
      <c r="AM470" s="130"/>
      <c r="AN470" s="126"/>
      <c r="AO470" s="132"/>
      <c r="AP470" s="126"/>
      <c r="AQ470" s="126"/>
      <c r="AR470" s="130"/>
      <c r="AS470" s="126"/>
      <c r="AT470" s="127"/>
      <c r="AU470" s="127">
        <v>43453.379063078697</v>
      </c>
      <c r="AV470" s="127"/>
      <c r="AW470" s="127"/>
      <c r="AX470" s="127"/>
      <c r="AY470" s="127"/>
      <c r="AZ470" s="133">
        <v>43236</v>
      </c>
      <c r="BA47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0" s="135">
        <f>COUNTIFS(_05preva_view43[Site ID],_05preva_view43[[#This Row],[Site ID]],_05preva_view43[Prevalidation Status],"Under Prevalidation")</f>
        <v>0</v>
      </c>
      <c r="BC470" s="157" t="e">
        <f ca="1">HYPERLINK(CheckPath(_05preva_view43[[#This Row],[File Path]],_05preva_view43[[#This Row],[File Path]],_05preva_view43[[#This Row],[Folder Path3]]),CheckPath(_05preva_view43[[#This Row],[File Path]],"Open File","No File"))</f>
        <v>#VALUE!</v>
      </c>
      <c r="BD470" s="136" t="str">
        <f>CONCATENATE(_05preva_view43[[#This Row],[Site ID]]," (",_05preva_view43[[#This Row],[tenant id]],") Application",IF(_05preva_view43[[#This Row],[Colo Rev]]&gt;0," Rev "&amp;_05preva_view43[[#This Row],[Colo Rev]],""),".xlsx")</f>
        <v>AYYN_0599 (YAW7859) Application.xlsx</v>
      </c>
      <c r="BE470" s="64" t="e">
        <f t="shared" ca="1" si="9"/>
        <v>#VALUE!</v>
      </c>
      <c r="BF470" s="104" t="e">
        <f ca="1">LEFT(CELL("filename",A455),_05preva_view43[[#This Row],[Find Process &amp; Database]]-1)</f>
        <v>#VALUE!</v>
      </c>
      <c r="BG470" s="104" t="e">
        <f ca="1">_05preva_view43[Folder Path1]&amp;"Process &amp; Database\Documentation\Colo Applications"</f>
        <v>#VALUE!</v>
      </c>
      <c r="BH470" s="104" t="e">
        <f ca="1">_05preva_view43[Folder Path2]&amp;"\Colo App "&amp;_05preva_view43[[#This Row],[Operator]]&amp;"\"</f>
        <v>#VALUE!</v>
      </c>
      <c r="BI470" s="63" t="e">
        <f ca="1">_05preva_view43[[#This Row],[Folder Path3]]&amp;_05preva_view43[[#This Row],[File Name]]</f>
        <v>#VALUE!</v>
      </c>
      <c r="BJ470" s="104"/>
      <c r="BK470" s="3"/>
      <c r="BL470" s="3"/>
      <c r="CJ470" s="5"/>
      <c r="CK470" s="5"/>
      <c r="CL470" s="3"/>
      <c r="CN470" s="5"/>
      <c r="CR470" s="3"/>
      <c r="CS470" s="3"/>
      <c r="CT470" s="5"/>
      <c r="CV470" s="3"/>
      <c r="DR470" s="5"/>
      <c r="DT470" s="3"/>
      <c r="EF470" s="7"/>
      <c r="EG470" s="7"/>
      <c r="EJ470" s="4"/>
      <c r="EK470" s="4"/>
      <c r="EU470" s="2"/>
      <c r="EV470" s="2"/>
    </row>
    <row r="471" spans="1:152">
      <c r="A471" s="125">
        <v>212</v>
      </c>
      <c r="B471" s="126" t="s">
        <v>693</v>
      </c>
      <c r="C471" s="126" t="s">
        <v>116</v>
      </c>
      <c r="D471" s="126" t="s">
        <v>163</v>
      </c>
      <c r="E471" s="126" t="s">
        <v>694</v>
      </c>
      <c r="F471" s="126" t="s">
        <v>40</v>
      </c>
      <c r="G471" s="126" t="s">
        <v>118</v>
      </c>
      <c r="H471" s="126"/>
      <c r="I471" s="126" t="s">
        <v>118</v>
      </c>
      <c r="J471" s="126"/>
      <c r="K471" s="127">
        <v>43236</v>
      </c>
      <c r="L471" s="128"/>
      <c r="M471" s="128">
        <v>3</v>
      </c>
      <c r="N471" s="126"/>
      <c r="O471" s="126" t="s">
        <v>119</v>
      </c>
      <c r="P471" s="129"/>
      <c r="Q471" s="129"/>
      <c r="R471" s="126" t="s">
        <v>24</v>
      </c>
      <c r="S471" s="126"/>
      <c r="T471" s="130" t="s">
        <v>120</v>
      </c>
      <c r="U471" s="126" t="s">
        <v>378</v>
      </c>
      <c r="V471" s="130" t="s">
        <v>120</v>
      </c>
      <c r="W471" s="126"/>
      <c r="X471" s="130" t="s">
        <v>120</v>
      </c>
      <c r="Y471" s="126" t="s">
        <v>120</v>
      </c>
      <c r="Z471" s="165" t="s">
        <v>120</v>
      </c>
      <c r="AA471" s="158"/>
      <c r="AB471" s="158"/>
      <c r="AC471" s="170"/>
      <c r="AD471" s="126" t="s">
        <v>419</v>
      </c>
      <c r="AE471" s="130" t="s">
        <v>120</v>
      </c>
      <c r="AF471" s="127" t="s">
        <v>120</v>
      </c>
      <c r="AG471" s="131"/>
      <c r="AH471" s="131">
        <v>2</v>
      </c>
      <c r="AI471" s="126" t="s">
        <v>695</v>
      </c>
      <c r="AJ471" s="130" t="s">
        <v>120</v>
      </c>
      <c r="AK471" s="126" t="s">
        <v>123</v>
      </c>
      <c r="AL471" s="126"/>
      <c r="AM471" s="130"/>
      <c r="AN471" s="126"/>
      <c r="AO471" s="132"/>
      <c r="AP471" s="126"/>
      <c r="AQ471" s="126"/>
      <c r="AR471" s="130"/>
      <c r="AS471" s="126"/>
      <c r="AT471" s="127"/>
      <c r="AU471" s="127">
        <v>43453.379064930603</v>
      </c>
      <c r="AV471" s="127"/>
      <c r="AW471" s="127"/>
      <c r="AX471" s="127"/>
      <c r="AY471" s="127"/>
      <c r="AZ471" s="133">
        <v>43236</v>
      </c>
      <c r="BA47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1" s="135">
        <f>COUNTIFS(_05preva_view43[Site ID],_05preva_view43[[#This Row],[Site ID]],_05preva_view43[Prevalidation Status],"Under Prevalidation")</f>
        <v>0</v>
      </c>
      <c r="BC471" s="157" t="e">
        <f ca="1">HYPERLINK(CheckPath(_05preva_view43[[#This Row],[File Path]],_05preva_view43[[#This Row],[File Path]],_05preva_view43[[#This Row],[Folder Path3]]),CheckPath(_05preva_view43[[#This Row],[File Path]],"Open File","No File"))</f>
        <v>#VALUE!</v>
      </c>
      <c r="BD471" s="136" t="str">
        <f>CONCATENATE(_05preva_view43[[#This Row],[Site ID]]," (",_05preva_view43[[#This Row],[tenant id]],") Application",IF(_05preva_view43[[#This Row],[Colo Rev]]&gt;0," Rev "&amp;_05preva_view43[[#This Row],[Colo Rev]],""),".xlsx")</f>
        <v>AYYN_0223 (YAW7853) Application.xlsx</v>
      </c>
      <c r="BE471" s="64" t="e">
        <f t="shared" ca="1" si="9"/>
        <v>#VALUE!</v>
      </c>
      <c r="BF471" s="104" t="e">
        <f ca="1">LEFT(CELL("filename",A456),_05preva_view43[[#This Row],[Find Process &amp; Database]]-1)</f>
        <v>#VALUE!</v>
      </c>
      <c r="BG471" s="104" t="e">
        <f ca="1">_05preva_view43[Folder Path1]&amp;"Process &amp; Database\Documentation\Colo Applications"</f>
        <v>#VALUE!</v>
      </c>
      <c r="BH471" s="104" t="e">
        <f ca="1">_05preva_view43[Folder Path2]&amp;"\Colo App "&amp;_05preva_view43[[#This Row],[Operator]]&amp;"\"</f>
        <v>#VALUE!</v>
      </c>
      <c r="BI471" s="63" t="e">
        <f ca="1">_05preva_view43[[#This Row],[Folder Path3]]&amp;_05preva_view43[[#This Row],[File Name]]</f>
        <v>#VALUE!</v>
      </c>
      <c r="BJ471" s="104"/>
      <c r="BK471" s="3"/>
      <c r="BL471" s="3"/>
      <c r="CJ471" s="5"/>
      <c r="CK471" s="5"/>
      <c r="CL471" s="3"/>
      <c r="CN471" s="5"/>
      <c r="CR471" s="3"/>
      <c r="CS471" s="3"/>
      <c r="CT471" s="5"/>
      <c r="CV471" s="3"/>
      <c r="DR471" s="5"/>
      <c r="DT471" s="3"/>
      <c r="EF471" s="7"/>
      <c r="EG471" s="7"/>
      <c r="EJ471" s="4"/>
      <c r="EK471" s="4"/>
      <c r="EU471" s="2"/>
      <c r="EV471" s="2"/>
    </row>
    <row r="472" spans="1:152">
      <c r="A472" s="125">
        <v>213</v>
      </c>
      <c r="B472" s="126" t="s">
        <v>696</v>
      </c>
      <c r="C472" s="126" t="s">
        <v>116</v>
      </c>
      <c r="D472" s="126" t="s">
        <v>163</v>
      </c>
      <c r="E472" s="126" t="s">
        <v>697</v>
      </c>
      <c r="F472" s="126" t="s">
        <v>40</v>
      </c>
      <c r="G472" s="126" t="s">
        <v>1579</v>
      </c>
      <c r="H472" s="126" t="s">
        <v>1575</v>
      </c>
      <c r="I472" s="126" t="s">
        <v>118</v>
      </c>
      <c r="J472" s="126"/>
      <c r="K472" s="127">
        <v>43236</v>
      </c>
      <c r="L472" s="128"/>
      <c r="M472" s="128">
        <v>3</v>
      </c>
      <c r="N472" s="126"/>
      <c r="O472" s="126" t="s">
        <v>119</v>
      </c>
      <c r="P472" s="129"/>
      <c r="Q472" s="129"/>
      <c r="R472" s="126" t="s">
        <v>24</v>
      </c>
      <c r="S472" s="126"/>
      <c r="T472" s="130" t="s">
        <v>120</v>
      </c>
      <c r="U472" s="126" t="s">
        <v>378</v>
      </c>
      <c r="V472" s="130" t="s">
        <v>120</v>
      </c>
      <c r="W472" s="126"/>
      <c r="X472" s="130" t="s">
        <v>120</v>
      </c>
      <c r="Y472" s="126" t="s">
        <v>120</v>
      </c>
      <c r="Z472" s="165" t="s">
        <v>120</v>
      </c>
      <c r="AA472" s="158"/>
      <c r="AB472" s="158"/>
      <c r="AC472" s="170"/>
      <c r="AD472" s="126" t="s">
        <v>120</v>
      </c>
      <c r="AE472" s="130" t="s">
        <v>120</v>
      </c>
      <c r="AF472" s="127" t="s">
        <v>241</v>
      </c>
      <c r="AG472" s="131"/>
      <c r="AH472" s="131">
        <v>3.5</v>
      </c>
      <c r="AI472" s="126" t="s">
        <v>387</v>
      </c>
      <c r="AJ472" s="130" t="s">
        <v>120</v>
      </c>
      <c r="AK472" s="126" t="s">
        <v>123</v>
      </c>
      <c r="AL472" s="126"/>
      <c r="AM472" s="130"/>
      <c r="AN472" s="126"/>
      <c r="AO472" s="132"/>
      <c r="AP472" s="126"/>
      <c r="AQ472" s="126"/>
      <c r="AR472" s="130"/>
      <c r="AS472" s="126"/>
      <c r="AT472" s="127"/>
      <c r="AU472" s="127">
        <v>43453.379065740701</v>
      </c>
      <c r="AV472" s="127"/>
      <c r="AW472" s="127"/>
      <c r="AX472" s="127"/>
      <c r="AY472" s="127"/>
      <c r="AZ472" s="133">
        <v>43236</v>
      </c>
      <c r="BA47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2" s="135">
        <f>COUNTIFS(_05preva_view43[Site ID],_05preva_view43[[#This Row],[Site ID]],_05preva_view43[Prevalidation Status],"Under Prevalidation")</f>
        <v>0</v>
      </c>
      <c r="BC472" s="157" t="e">
        <f ca="1">HYPERLINK(CheckPath(_05preva_view43[[#This Row],[File Path]],_05preva_view43[[#This Row],[File Path]],_05preva_view43[[#This Row],[Folder Path3]]),CheckPath(_05preva_view43[[#This Row],[File Path]],"Open File","No File"))</f>
        <v>#VALUE!</v>
      </c>
      <c r="BD472" s="136" t="str">
        <f>CONCATENATE(_05preva_view43[[#This Row],[Site ID]]," (",_05preva_view43[[#This Row],[tenant id]],") Application",IF(_05preva_view43[[#This Row],[Colo Rev]]&gt;0," Rev "&amp;_05preva_view43[[#This Row],[Colo Rev]],""),".xlsx")</f>
        <v>AYYN_0206 (YAW7848) Application.xlsx</v>
      </c>
      <c r="BE472" s="64" t="e">
        <f t="shared" ca="1" si="9"/>
        <v>#VALUE!</v>
      </c>
      <c r="BF472" s="104" t="e">
        <f ca="1">LEFT(CELL("filename",A457),_05preva_view43[[#This Row],[Find Process &amp; Database]]-1)</f>
        <v>#VALUE!</v>
      </c>
      <c r="BG472" s="104" t="e">
        <f ca="1">_05preva_view43[Folder Path1]&amp;"Process &amp; Database\Documentation\Colo Applications"</f>
        <v>#VALUE!</v>
      </c>
      <c r="BH472" s="104" t="e">
        <f ca="1">_05preva_view43[Folder Path2]&amp;"\Colo App "&amp;_05preva_view43[[#This Row],[Operator]]&amp;"\"</f>
        <v>#VALUE!</v>
      </c>
      <c r="BI472" s="63" t="e">
        <f ca="1">_05preva_view43[[#This Row],[Folder Path3]]&amp;_05preva_view43[[#This Row],[File Name]]</f>
        <v>#VALUE!</v>
      </c>
      <c r="BJ472" s="104"/>
      <c r="BK472" s="3"/>
      <c r="BL472" s="3"/>
      <c r="CJ472" s="5"/>
      <c r="CK472" s="5"/>
      <c r="CL472" s="3"/>
      <c r="CN472" s="5"/>
      <c r="CR472" s="3"/>
      <c r="CS472" s="3"/>
      <c r="CT472" s="5"/>
      <c r="CV472" s="3"/>
      <c r="DR472" s="5"/>
      <c r="DT472" s="3"/>
      <c r="EF472" s="7"/>
      <c r="EG472" s="7"/>
      <c r="EJ472" s="4"/>
      <c r="EK472" s="4"/>
      <c r="EU472" s="2"/>
      <c r="EV472" s="2"/>
    </row>
    <row r="473" spans="1:152">
      <c r="A473" s="125">
        <v>215</v>
      </c>
      <c r="B473" s="126" t="s">
        <v>698</v>
      </c>
      <c r="C473" s="126" t="s">
        <v>116</v>
      </c>
      <c r="D473" s="126" t="s">
        <v>163</v>
      </c>
      <c r="E473" s="126" t="s">
        <v>699</v>
      </c>
      <c r="F473" s="126" t="s">
        <v>40</v>
      </c>
      <c r="G473" s="126" t="s">
        <v>1579</v>
      </c>
      <c r="H473" s="126" t="s">
        <v>1580</v>
      </c>
      <c r="I473" s="126" t="s">
        <v>118</v>
      </c>
      <c r="J473" s="126"/>
      <c r="K473" s="127">
        <v>43236</v>
      </c>
      <c r="L473" s="128"/>
      <c r="M473" s="128">
        <v>3</v>
      </c>
      <c r="N473" s="126"/>
      <c r="O473" s="126" t="s">
        <v>119</v>
      </c>
      <c r="P473" s="129"/>
      <c r="Q473" s="129"/>
      <c r="R473" s="126" t="s">
        <v>24</v>
      </c>
      <c r="S473" s="126"/>
      <c r="T473" s="130" t="s">
        <v>120</v>
      </c>
      <c r="U473" s="126" t="s">
        <v>378</v>
      </c>
      <c r="V473" s="130" t="s">
        <v>120</v>
      </c>
      <c r="W473" s="126"/>
      <c r="X473" s="130" t="s">
        <v>120</v>
      </c>
      <c r="Y473" s="126" t="s">
        <v>120</v>
      </c>
      <c r="Z473" s="165" t="s">
        <v>120</v>
      </c>
      <c r="AA473" s="158"/>
      <c r="AB473" s="158"/>
      <c r="AC473" s="170"/>
      <c r="AD473" s="126" t="s">
        <v>120</v>
      </c>
      <c r="AE473" s="130" t="s">
        <v>120</v>
      </c>
      <c r="AF473" s="127" t="s">
        <v>467</v>
      </c>
      <c r="AG473" s="131"/>
      <c r="AH473" s="131">
        <v>3.5</v>
      </c>
      <c r="AI473" s="126" t="s">
        <v>245</v>
      </c>
      <c r="AJ473" s="130" t="s">
        <v>120</v>
      </c>
      <c r="AK473" s="126" t="s">
        <v>123</v>
      </c>
      <c r="AL473" s="126"/>
      <c r="AM473" s="130"/>
      <c r="AN473" s="126"/>
      <c r="AO473" s="132"/>
      <c r="AP473" s="126"/>
      <c r="AQ473" s="126"/>
      <c r="AR473" s="130"/>
      <c r="AS473" s="126"/>
      <c r="AT473" s="127"/>
      <c r="AU473" s="127">
        <v>43453.3790665509</v>
      </c>
      <c r="AV473" s="127"/>
      <c r="AW473" s="127"/>
      <c r="AX473" s="127"/>
      <c r="AY473" s="127"/>
      <c r="AZ473" s="133">
        <v>43236</v>
      </c>
      <c r="BA47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3" s="135">
        <f>COUNTIFS(_05preva_view43[Site ID],_05preva_view43[[#This Row],[Site ID]],_05preva_view43[Prevalidation Status],"Under Prevalidation")</f>
        <v>0</v>
      </c>
      <c r="BC473" s="157" t="e">
        <f ca="1">HYPERLINK(CheckPath(_05preva_view43[[#This Row],[File Path]],_05preva_view43[[#This Row],[File Path]],_05preva_view43[[#This Row],[Folder Path3]]),CheckPath(_05preva_view43[[#This Row],[File Path]],"Open File","No File"))</f>
        <v>#VALUE!</v>
      </c>
      <c r="BD473" s="136" t="str">
        <f>CONCATENATE(_05preva_view43[[#This Row],[Site ID]]," (",_05preva_view43[[#This Row],[tenant id]],") Application",IF(_05preva_view43[[#This Row],[Colo Rev]]&gt;0," Rev "&amp;_05preva_view43[[#This Row],[Colo Rev]],""),".xlsx")</f>
        <v>AYYN_0144 (YAW7846) Application.xlsx</v>
      </c>
      <c r="BE473" s="64" t="e">
        <f t="shared" ca="1" si="9"/>
        <v>#VALUE!</v>
      </c>
      <c r="BF473" s="104" t="e">
        <f ca="1">LEFT(CELL("filename",A458),_05preva_view43[[#This Row],[Find Process &amp; Database]]-1)</f>
        <v>#VALUE!</v>
      </c>
      <c r="BG473" s="104" t="e">
        <f ca="1">_05preva_view43[Folder Path1]&amp;"Process &amp; Database\Documentation\Colo Applications"</f>
        <v>#VALUE!</v>
      </c>
      <c r="BH473" s="104" t="e">
        <f ca="1">_05preva_view43[Folder Path2]&amp;"\Colo App "&amp;_05preva_view43[[#This Row],[Operator]]&amp;"\"</f>
        <v>#VALUE!</v>
      </c>
      <c r="BI473" s="63" t="e">
        <f ca="1">_05preva_view43[[#This Row],[Folder Path3]]&amp;_05preva_view43[[#This Row],[File Name]]</f>
        <v>#VALUE!</v>
      </c>
      <c r="BJ473" s="104"/>
      <c r="BK473" s="3"/>
      <c r="BL473" s="3"/>
      <c r="CJ473" s="5"/>
      <c r="CK473" s="5"/>
      <c r="CL473" s="3"/>
      <c r="CN473" s="5"/>
      <c r="CR473" s="3"/>
      <c r="CS473" s="3"/>
      <c r="CT473" s="5"/>
      <c r="CV473" s="3"/>
      <c r="DR473" s="5"/>
      <c r="DT473" s="3"/>
      <c r="EF473" s="7"/>
      <c r="EG473" s="7"/>
      <c r="EJ473" s="4"/>
      <c r="EK473" s="4"/>
      <c r="EU473" s="2"/>
      <c r="EV473" s="2"/>
    </row>
    <row r="474" spans="1:152">
      <c r="A474" s="125">
        <v>216</v>
      </c>
      <c r="B474" s="126" t="s">
        <v>700</v>
      </c>
      <c r="C474" s="126" t="s">
        <v>116</v>
      </c>
      <c r="D474" s="126" t="s">
        <v>163</v>
      </c>
      <c r="E474" s="126" t="s">
        <v>701</v>
      </c>
      <c r="F474" s="126" t="s">
        <v>40</v>
      </c>
      <c r="G474" s="126" t="s">
        <v>1579</v>
      </c>
      <c r="H474" s="126" t="s">
        <v>1580</v>
      </c>
      <c r="I474" s="126" t="s">
        <v>118</v>
      </c>
      <c r="J474" s="126"/>
      <c r="K474" s="127">
        <v>43236</v>
      </c>
      <c r="L474" s="128"/>
      <c r="M474" s="128">
        <v>3</v>
      </c>
      <c r="N474" s="126"/>
      <c r="O474" s="126" t="s">
        <v>119</v>
      </c>
      <c r="P474" s="129"/>
      <c r="Q474" s="129"/>
      <c r="R474" s="126" t="s">
        <v>24</v>
      </c>
      <c r="S474" s="126"/>
      <c r="T474" s="130" t="s">
        <v>120</v>
      </c>
      <c r="U474" s="126" t="s">
        <v>378</v>
      </c>
      <c r="V474" s="130" t="s">
        <v>120</v>
      </c>
      <c r="W474" s="126"/>
      <c r="X474" s="130" t="s">
        <v>120</v>
      </c>
      <c r="Y474" s="126" t="s">
        <v>120</v>
      </c>
      <c r="Z474" s="165" t="s">
        <v>120</v>
      </c>
      <c r="AA474" s="158"/>
      <c r="AB474" s="158"/>
      <c r="AC474" s="170" t="s">
        <v>454</v>
      </c>
      <c r="AD474" s="126"/>
      <c r="AE474" s="130" t="s">
        <v>125</v>
      </c>
      <c r="AF474" s="127"/>
      <c r="AG474" s="131"/>
      <c r="AH474" s="131"/>
      <c r="AI474" s="126" t="s">
        <v>487</v>
      </c>
      <c r="AJ474" s="130" t="s">
        <v>120</v>
      </c>
      <c r="AK474" s="126" t="s">
        <v>123</v>
      </c>
      <c r="AL474" s="126"/>
      <c r="AM474" s="130"/>
      <c r="AN474" s="126"/>
      <c r="AO474" s="132"/>
      <c r="AP474" s="126"/>
      <c r="AQ474" s="126"/>
      <c r="AR474" s="130"/>
      <c r="AS474" s="126"/>
      <c r="AT474" s="127"/>
      <c r="AU474" s="127"/>
      <c r="AV474" s="127"/>
      <c r="AW474" s="127"/>
      <c r="AX474" s="127"/>
      <c r="AY474" s="127"/>
      <c r="AZ474" s="133"/>
      <c r="BA47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4" s="135">
        <f>COUNTIFS(_05preva_view43[Site ID],_05preva_view43[[#This Row],[Site ID]],_05preva_view43[Prevalidation Status],"Under Prevalidation")</f>
        <v>0</v>
      </c>
      <c r="BC474" s="157" t="e">
        <f ca="1">HYPERLINK(CheckPath(_05preva_view43[[#This Row],[File Path]],_05preva_view43[[#This Row],[File Path]],_05preva_view43[[#This Row],[Folder Path3]]),CheckPath(_05preva_view43[[#This Row],[File Path]],"Open File","No File"))</f>
        <v>#VALUE!</v>
      </c>
      <c r="BD474" s="136" t="str">
        <f>CONCATENATE(_05preva_view43[[#This Row],[Site ID]]," (",_05preva_view43[[#This Row],[tenant id]],") Application",IF(_05preva_view43[[#This Row],[Colo Rev]]&gt;0," Rev "&amp;_05preva_view43[[#This Row],[Colo Rev]],""),".xlsx")</f>
        <v>AYYN_0066 (YAW7843) Application.xlsx</v>
      </c>
      <c r="BE474" s="64" t="e">
        <f t="shared" ca="1" si="9"/>
        <v>#VALUE!</v>
      </c>
      <c r="BF474" s="104" t="e">
        <f ca="1">LEFT(CELL("filename",A459),_05preva_view43[[#This Row],[Find Process &amp; Database]]-1)</f>
        <v>#VALUE!</v>
      </c>
      <c r="BG474" s="104" t="e">
        <f ca="1">_05preva_view43[Folder Path1]&amp;"Process &amp; Database\Documentation\Colo Applications"</f>
        <v>#VALUE!</v>
      </c>
      <c r="BH474" s="104" t="e">
        <f ca="1">_05preva_view43[Folder Path2]&amp;"\Colo App "&amp;_05preva_view43[[#This Row],[Operator]]&amp;"\"</f>
        <v>#VALUE!</v>
      </c>
      <c r="BI474" s="63" t="e">
        <f ca="1">_05preva_view43[[#This Row],[Folder Path3]]&amp;_05preva_view43[[#This Row],[File Name]]</f>
        <v>#VALUE!</v>
      </c>
      <c r="BJ474" s="104"/>
      <c r="BK474" s="3"/>
      <c r="BL474" s="3"/>
      <c r="CJ474" s="5"/>
      <c r="CK474" s="5"/>
      <c r="CL474" s="3"/>
      <c r="CN474" s="5"/>
      <c r="CR474" s="3"/>
      <c r="CS474" s="3"/>
      <c r="CT474" s="5"/>
      <c r="CV474" s="3"/>
      <c r="DR474" s="5"/>
      <c r="DT474" s="3"/>
      <c r="EF474" s="7"/>
      <c r="EG474" s="7"/>
      <c r="EJ474" s="4"/>
      <c r="EK474" s="4"/>
      <c r="EU474" s="2"/>
      <c r="EV474" s="2"/>
    </row>
    <row r="475" spans="1:152">
      <c r="A475" s="125">
        <v>59</v>
      </c>
      <c r="B475" s="126" t="s">
        <v>367</v>
      </c>
      <c r="C475" s="126" t="s">
        <v>116</v>
      </c>
      <c r="D475" s="126" t="s">
        <v>163</v>
      </c>
      <c r="E475" s="126" t="s">
        <v>368</v>
      </c>
      <c r="F475" s="126" t="s">
        <v>40</v>
      </c>
      <c r="G475" s="126" t="s">
        <v>1578</v>
      </c>
      <c r="H475" s="126" t="s">
        <v>1575</v>
      </c>
      <c r="I475" s="126" t="s">
        <v>118</v>
      </c>
      <c r="J475" s="126"/>
      <c r="K475" s="127">
        <v>43234</v>
      </c>
      <c r="L475" s="128"/>
      <c r="M475" s="128">
        <v>3</v>
      </c>
      <c r="N475" s="126">
        <v>6</v>
      </c>
      <c r="O475" s="126" t="s">
        <v>119</v>
      </c>
      <c r="P475" s="129" t="s">
        <v>362</v>
      </c>
      <c r="Q475" s="129" t="s">
        <v>363</v>
      </c>
      <c r="R475" s="126" t="s">
        <v>24</v>
      </c>
      <c r="S475" s="126"/>
      <c r="T475" s="130" t="s">
        <v>120</v>
      </c>
      <c r="U475" s="126" t="s">
        <v>369</v>
      </c>
      <c r="V475" s="130" t="s">
        <v>120</v>
      </c>
      <c r="W475" s="126"/>
      <c r="X475" s="130" t="s">
        <v>120</v>
      </c>
      <c r="Y475" s="126"/>
      <c r="Z475" s="165" t="s">
        <v>120</v>
      </c>
      <c r="AA475" s="158"/>
      <c r="AB475" s="158"/>
      <c r="AC475" s="170"/>
      <c r="AD475" s="126"/>
      <c r="AE475" s="130" t="s">
        <v>120</v>
      </c>
      <c r="AF475" s="127" t="s">
        <v>241</v>
      </c>
      <c r="AG475" s="131"/>
      <c r="AH475" s="131">
        <v>3.5</v>
      </c>
      <c r="AI475" s="126" t="s">
        <v>366</v>
      </c>
      <c r="AJ475" s="130" t="s">
        <v>120</v>
      </c>
      <c r="AK475" s="126" t="s">
        <v>240</v>
      </c>
      <c r="AL475" s="126"/>
      <c r="AM475" s="130"/>
      <c r="AN475" s="126"/>
      <c r="AO475" s="132"/>
      <c r="AP475" s="126"/>
      <c r="AQ475" s="126"/>
      <c r="AR475" s="130"/>
      <c r="AS475" s="126"/>
      <c r="AT475" s="127"/>
      <c r="AU475" s="127">
        <v>43453.378968750003</v>
      </c>
      <c r="AV475" s="127"/>
      <c r="AW475" s="127"/>
      <c r="AX475" s="127"/>
      <c r="AY475" s="127"/>
      <c r="AZ475" s="133">
        <v>43234</v>
      </c>
      <c r="BA47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5" s="135">
        <f>COUNTIFS(_05preva_view43[Site ID],_05preva_view43[[#This Row],[Site ID]],_05preva_view43[Prevalidation Status],"Under Prevalidation")</f>
        <v>0</v>
      </c>
      <c r="BC475" s="157" t="e">
        <f ca="1">HYPERLINK(CheckPath(_05preva_view43[[#This Row],[File Path]],_05preva_view43[[#This Row],[File Path]],_05preva_view43[[#This Row],[Folder Path3]]),CheckPath(_05preva_view43[[#This Row],[File Path]],"Open File","No File"))</f>
        <v>#VALUE!</v>
      </c>
      <c r="BD475" s="136" t="str">
        <f>CONCATENATE(_05preva_view43[[#This Row],[Site ID]]," (",_05preva_view43[[#This Row],[tenant id]],") Application",IF(_05preva_view43[[#This Row],[Colo Rev]]&gt;0," Rev "&amp;_05preva_view43[[#This Row],[Colo Rev]],""),".xlsx")</f>
        <v>ASKA_0137 (KNW6140) Application.xlsx</v>
      </c>
      <c r="BE475" s="64" t="e">
        <f t="shared" ca="1" si="9"/>
        <v>#VALUE!</v>
      </c>
      <c r="BF475" s="104" t="e">
        <f ca="1">LEFT(CELL("filename",A460),_05preva_view43[[#This Row],[Find Process &amp; Database]]-1)</f>
        <v>#VALUE!</v>
      </c>
      <c r="BG475" s="104" t="e">
        <f ca="1">_05preva_view43[Folder Path1]&amp;"Process &amp; Database\Documentation\Colo Applications"</f>
        <v>#VALUE!</v>
      </c>
      <c r="BH475" s="104" t="e">
        <f ca="1">_05preva_view43[Folder Path2]&amp;"\Colo App "&amp;_05preva_view43[[#This Row],[Operator]]&amp;"\"</f>
        <v>#VALUE!</v>
      </c>
      <c r="BI475" s="63" t="e">
        <f ca="1">_05preva_view43[[#This Row],[Folder Path3]]&amp;_05preva_view43[[#This Row],[File Name]]</f>
        <v>#VALUE!</v>
      </c>
      <c r="BJ475" s="104"/>
      <c r="BK475" s="3"/>
      <c r="BL475" s="3"/>
      <c r="CJ475" s="5"/>
      <c r="CK475" s="5"/>
      <c r="CL475" s="3"/>
      <c r="CN475" s="5"/>
      <c r="CR475" s="3"/>
      <c r="CS475" s="3"/>
      <c r="CT475" s="5"/>
      <c r="CV475" s="3"/>
      <c r="DR475" s="5"/>
      <c r="DT475" s="3"/>
      <c r="EF475" s="7"/>
      <c r="EG475" s="7"/>
      <c r="EJ475" s="4"/>
      <c r="EK475" s="4"/>
      <c r="EU475" s="2"/>
      <c r="EV475" s="2"/>
    </row>
    <row r="476" spans="1:152">
      <c r="A476" s="125">
        <v>52</v>
      </c>
      <c r="B476" s="126" t="s">
        <v>282</v>
      </c>
      <c r="C476" s="126" t="s">
        <v>116</v>
      </c>
      <c r="D476" s="126" t="s">
        <v>127</v>
      </c>
      <c r="E476" s="126" t="s">
        <v>283</v>
      </c>
      <c r="F476" s="126" t="s">
        <v>34</v>
      </c>
      <c r="G476" s="126" t="s">
        <v>118</v>
      </c>
      <c r="H476" s="126"/>
      <c r="I476" s="126" t="s">
        <v>118</v>
      </c>
      <c r="J476" s="126"/>
      <c r="K476" s="127">
        <v>43224</v>
      </c>
      <c r="L476" s="128"/>
      <c r="M476" s="128">
        <v>2</v>
      </c>
      <c r="N476" s="126">
        <v>6</v>
      </c>
      <c r="O476" s="126" t="s">
        <v>119</v>
      </c>
      <c r="P476" s="129" t="s">
        <v>338</v>
      </c>
      <c r="Q476" s="129" t="s">
        <v>339</v>
      </c>
      <c r="R476" s="126" t="s">
        <v>26</v>
      </c>
      <c r="S476" s="126"/>
      <c r="T476" s="130" t="s">
        <v>144</v>
      </c>
      <c r="U476" s="126" t="s">
        <v>340</v>
      </c>
      <c r="V476" s="130" t="s">
        <v>120</v>
      </c>
      <c r="W476" s="126"/>
      <c r="X476" s="130" t="s">
        <v>120</v>
      </c>
      <c r="Y476" s="126"/>
      <c r="Z476" s="165" t="s">
        <v>125</v>
      </c>
      <c r="AA476" s="158"/>
      <c r="AB476" s="158"/>
      <c r="AC476" s="170"/>
      <c r="AD476" s="126" t="s">
        <v>336</v>
      </c>
      <c r="AE476" s="130" t="s">
        <v>125</v>
      </c>
      <c r="AF476" s="127"/>
      <c r="AG476" s="131"/>
      <c r="AH476" s="131">
        <v>2</v>
      </c>
      <c r="AI476" s="126" t="s">
        <v>341</v>
      </c>
      <c r="AJ476" s="130"/>
      <c r="AK476" s="126"/>
      <c r="AL476" s="126"/>
      <c r="AM476" s="130"/>
      <c r="AN476" s="126"/>
      <c r="AO476" s="132"/>
      <c r="AP476" s="126"/>
      <c r="AQ476" s="126"/>
      <c r="AR476" s="130"/>
      <c r="AS476" s="126"/>
      <c r="AT476" s="127"/>
      <c r="AU476" s="127"/>
      <c r="AV476" s="127"/>
      <c r="AW476" s="127"/>
      <c r="AX476" s="127"/>
      <c r="AY476" s="127"/>
      <c r="AZ476" s="133">
        <v>43224</v>
      </c>
      <c r="BA47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6" s="135">
        <f>COUNTIFS(_05preva_view43[Site ID],_05preva_view43[[#This Row],[Site ID]],_05preva_view43[Prevalidation Status],"Under Prevalidation")</f>
        <v>0</v>
      </c>
      <c r="BC476" s="157" t="e">
        <f ca="1">HYPERLINK(CheckPath(_05preva_view43[[#This Row],[File Path]],_05preva_view43[[#This Row],[File Path]],_05preva_view43[[#This Row],[Folder Path3]]),CheckPath(_05preva_view43[[#This Row],[File Path]],"Open File","No File"))</f>
        <v>#VALUE!</v>
      </c>
      <c r="BD476" s="136" t="str">
        <f>CONCATENATE(_05preva_view43[[#This Row],[Site ID]]," (",_05preva_view43[[#This Row],[tenant id]],") Application",IF(_05preva_view43[[#This Row],[Colo Rev]]&gt;0," Rev "&amp;_05preva_view43[[#This Row],[Colo Rev]],""),".xlsx")</f>
        <v>ANMD_0088 (MDY0023) Application.xlsx</v>
      </c>
      <c r="BE476" s="64" t="e">
        <f t="shared" ca="1" si="9"/>
        <v>#VALUE!</v>
      </c>
      <c r="BF476" s="104" t="e">
        <f ca="1">LEFT(CELL("filename",A461),_05preva_view43[[#This Row],[Find Process &amp; Database]]-1)</f>
        <v>#VALUE!</v>
      </c>
      <c r="BG476" s="104" t="e">
        <f ca="1">_05preva_view43[Folder Path1]&amp;"Process &amp; Database\Documentation\Colo Applications"</f>
        <v>#VALUE!</v>
      </c>
      <c r="BH476" s="104" t="e">
        <f ca="1">_05preva_view43[Folder Path2]&amp;"\Colo App "&amp;_05preva_view43[[#This Row],[Operator]]&amp;"\"</f>
        <v>#VALUE!</v>
      </c>
      <c r="BI476" s="63" t="e">
        <f ca="1">_05preva_view43[[#This Row],[Folder Path3]]&amp;_05preva_view43[[#This Row],[File Name]]</f>
        <v>#VALUE!</v>
      </c>
      <c r="BJ476" s="104"/>
      <c r="BK476" s="3"/>
      <c r="BL476" s="3"/>
      <c r="CJ476" s="5"/>
      <c r="CK476" s="5"/>
      <c r="CL476" s="3"/>
      <c r="CN476" s="5"/>
      <c r="CR476" s="3"/>
      <c r="CS476" s="3"/>
      <c r="CT476" s="5"/>
      <c r="CV476" s="3"/>
      <c r="DR476" s="5"/>
      <c r="DT476" s="3"/>
      <c r="EF476" s="7"/>
      <c r="EG476" s="7"/>
      <c r="EJ476" s="4"/>
      <c r="EK476" s="4"/>
      <c r="EU476" s="2"/>
      <c r="EV476" s="2"/>
    </row>
    <row r="477" spans="1:152">
      <c r="A477" s="125">
        <v>53</v>
      </c>
      <c r="B477" s="126" t="s">
        <v>342</v>
      </c>
      <c r="C477" s="126" t="s">
        <v>116</v>
      </c>
      <c r="D477" s="126" t="s">
        <v>127</v>
      </c>
      <c r="E477" s="126" t="s">
        <v>343</v>
      </c>
      <c r="F477" s="126" t="s">
        <v>34</v>
      </c>
      <c r="G477" s="126"/>
      <c r="H477" s="126"/>
      <c r="I477" s="126"/>
      <c r="J477" s="126"/>
      <c r="K477" s="127">
        <v>43224</v>
      </c>
      <c r="L477" s="128"/>
      <c r="M477" s="128">
        <v>2</v>
      </c>
      <c r="N477" s="126">
        <v>6</v>
      </c>
      <c r="O477" s="126" t="s">
        <v>119</v>
      </c>
      <c r="P477" s="129" t="s">
        <v>338</v>
      </c>
      <c r="Q477" s="129" t="s">
        <v>339</v>
      </c>
      <c r="R477" s="126" t="s">
        <v>27</v>
      </c>
      <c r="S477" s="126"/>
      <c r="T477" s="130" t="s">
        <v>120</v>
      </c>
      <c r="U477" s="126" t="s">
        <v>121</v>
      </c>
      <c r="V477" s="130" t="s">
        <v>120</v>
      </c>
      <c r="W477" s="126"/>
      <c r="X477" s="130" t="s">
        <v>120</v>
      </c>
      <c r="Y477" s="126"/>
      <c r="Z477" s="165" t="s">
        <v>120</v>
      </c>
      <c r="AA477" s="158"/>
      <c r="AB477" s="158"/>
      <c r="AC477" s="170"/>
      <c r="AD477" s="126" t="s">
        <v>344</v>
      </c>
      <c r="AE477" s="130" t="s">
        <v>265</v>
      </c>
      <c r="AF477" s="127" t="s">
        <v>346</v>
      </c>
      <c r="AG477" s="131"/>
      <c r="AH477" s="131">
        <v>2</v>
      </c>
      <c r="AI477" s="126" t="s">
        <v>347</v>
      </c>
      <c r="AJ477" s="130" t="s">
        <v>120</v>
      </c>
      <c r="AK477" s="126" t="s">
        <v>240</v>
      </c>
      <c r="AL477" s="126" t="s">
        <v>345</v>
      </c>
      <c r="AM477" s="130"/>
      <c r="AN477" s="126"/>
      <c r="AO477" s="132"/>
      <c r="AP477" s="126"/>
      <c r="AQ477" s="126"/>
      <c r="AR477" s="130"/>
      <c r="AS477" s="126"/>
      <c r="AT477" s="127"/>
      <c r="AU477" s="127">
        <v>43453.378963194402</v>
      </c>
      <c r="AV477" s="127"/>
      <c r="AW477" s="127"/>
      <c r="AX477" s="127"/>
      <c r="AY477" s="127"/>
      <c r="AZ477" s="133">
        <v>43224</v>
      </c>
      <c r="BA47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7" s="135">
        <f>COUNTIFS(_05preva_view43[Site ID],_05preva_view43[[#This Row],[Site ID]],_05preva_view43[Prevalidation Status],"Under Prevalidation")</f>
        <v>0</v>
      </c>
      <c r="BC477" s="157" t="e">
        <f ca="1">HYPERLINK(CheckPath(_05preva_view43[[#This Row],[File Path]],_05preva_view43[[#This Row],[File Path]],_05preva_view43[[#This Row],[Folder Path3]]),CheckPath(_05preva_view43[[#This Row],[File Path]],"Open File","No File"))</f>
        <v>#VALUE!</v>
      </c>
      <c r="BD477" s="136" t="str">
        <f>CONCATENATE(_05preva_view43[[#This Row],[Site ID]]," (",_05preva_view43[[#This Row],[tenant id]],") Application",IF(_05preva_view43[[#This Row],[Colo Rev]]&gt;0," Rev "&amp;_05preva_view43[[#This Row],[Colo Rev]],""),".xlsx")</f>
        <v>ANMD_0122 (MDY0080) Application.xlsx</v>
      </c>
      <c r="BE477" s="64" t="e">
        <f t="shared" ca="1" si="9"/>
        <v>#VALUE!</v>
      </c>
      <c r="BF477" s="104" t="e">
        <f ca="1">LEFT(CELL("filename",A462),_05preva_view43[[#This Row],[Find Process &amp; Database]]-1)</f>
        <v>#VALUE!</v>
      </c>
      <c r="BG477" s="104" t="e">
        <f ca="1">_05preva_view43[Folder Path1]&amp;"Process &amp; Database\Documentation\Colo Applications"</f>
        <v>#VALUE!</v>
      </c>
      <c r="BH477" s="104" t="e">
        <f ca="1">_05preva_view43[Folder Path2]&amp;"\Colo App "&amp;_05preva_view43[[#This Row],[Operator]]&amp;"\"</f>
        <v>#VALUE!</v>
      </c>
      <c r="BI477" s="63" t="e">
        <f ca="1">_05preva_view43[[#This Row],[Folder Path3]]&amp;_05preva_view43[[#This Row],[File Name]]</f>
        <v>#VALUE!</v>
      </c>
      <c r="BJ477" s="104"/>
      <c r="BK477" s="3"/>
      <c r="BL477" s="3"/>
      <c r="CJ477" s="5"/>
      <c r="CK477" s="5"/>
      <c r="CL477" s="3"/>
      <c r="CN477" s="5"/>
      <c r="CR477" s="3"/>
      <c r="CS477" s="3"/>
      <c r="CT477" s="5"/>
      <c r="CV477" s="3"/>
      <c r="DR477" s="5"/>
      <c r="DT477" s="3"/>
      <c r="EF477" s="7"/>
      <c r="EG477" s="7"/>
      <c r="EJ477" s="4"/>
      <c r="EK477" s="4"/>
      <c r="EU477" s="2"/>
      <c r="EV477" s="2"/>
    </row>
    <row r="478" spans="1:152">
      <c r="A478" s="125">
        <v>54</v>
      </c>
      <c r="B478" s="126" t="s">
        <v>348</v>
      </c>
      <c r="C478" s="126" t="s">
        <v>116</v>
      </c>
      <c r="D478" s="126" t="s">
        <v>127</v>
      </c>
      <c r="E478" s="126" t="s">
        <v>349</v>
      </c>
      <c r="F478" s="126" t="s">
        <v>34</v>
      </c>
      <c r="G478" s="126"/>
      <c r="H478" s="126"/>
      <c r="I478" s="126"/>
      <c r="J478" s="126"/>
      <c r="K478" s="127">
        <v>43224</v>
      </c>
      <c r="L478" s="128"/>
      <c r="M478" s="128">
        <v>2</v>
      </c>
      <c r="N478" s="126">
        <v>6</v>
      </c>
      <c r="O478" s="126" t="s">
        <v>119</v>
      </c>
      <c r="P478" s="129" t="s">
        <v>264</v>
      </c>
      <c r="Q478" s="129" t="s">
        <v>350</v>
      </c>
      <c r="R478" s="126" t="s">
        <v>27</v>
      </c>
      <c r="S478" s="126"/>
      <c r="T478" s="130" t="s">
        <v>120</v>
      </c>
      <c r="U478" s="126" t="s">
        <v>121</v>
      </c>
      <c r="V478" s="130" t="s">
        <v>120</v>
      </c>
      <c r="W478" s="126"/>
      <c r="X478" s="130" t="s">
        <v>120</v>
      </c>
      <c r="Y478" s="126"/>
      <c r="Z478" s="165" t="s">
        <v>120</v>
      </c>
      <c r="AA478" s="158"/>
      <c r="AB478" s="158"/>
      <c r="AC478" s="170"/>
      <c r="AD478" s="126"/>
      <c r="AE478" s="130" t="s">
        <v>120</v>
      </c>
      <c r="AF478" s="127" t="s">
        <v>351</v>
      </c>
      <c r="AG478" s="131"/>
      <c r="AH478" s="131">
        <v>2</v>
      </c>
      <c r="AI478" s="126" t="s">
        <v>352</v>
      </c>
      <c r="AJ478" s="130" t="s">
        <v>120</v>
      </c>
      <c r="AK478" s="126" t="s">
        <v>123</v>
      </c>
      <c r="AL478" s="126"/>
      <c r="AM478" s="130"/>
      <c r="AN478" s="126"/>
      <c r="AO478" s="132"/>
      <c r="AP478" s="126"/>
      <c r="AQ478" s="126"/>
      <c r="AR478" s="130"/>
      <c r="AS478" s="126"/>
      <c r="AT478" s="127"/>
      <c r="AU478" s="127">
        <v>43453.378964236101</v>
      </c>
      <c r="AV478" s="127"/>
      <c r="AW478" s="127"/>
      <c r="AX478" s="127"/>
      <c r="AY478" s="127"/>
      <c r="AZ478" s="133">
        <v>43224</v>
      </c>
      <c r="BA47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8" s="135">
        <f>COUNTIFS(_05preva_view43[Site ID],_05preva_view43[[#This Row],[Site ID]],_05preva_view43[Prevalidation Status],"Under Prevalidation")</f>
        <v>0</v>
      </c>
      <c r="BC478" s="157" t="e">
        <f ca="1">HYPERLINK(CheckPath(_05preva_view43[[#This Row],[File Path]],_05preva_view43[[#This Row],[File Path]],_05preva_view43[[#This Row],[Folder Path3]]),CheckPath(_05preva_view43[[#This Row],[File Path]],"Open File","No File"))</f>
        <v>#VALUE!</v>
      </c>
      <c r="BD478" s="136" t="str">
        <f>CONCATENATE(_05preva_view43[[#This Row],[Site ID]]," (",_05preva_view43[[#This Row],[tenant id]],") Application",IF(_05preva_view43[[#This Row],[Colo Rev]]&gt;0," Rev "&amp;_05preva_view43[[#This Row],[Colo Rev]],""),".xlsx")</f>
        <v>ANMD_0166 (MDY0188) Application.xlsx</v>
      </c>
      <c r="BE478" s="64" t="e">
        <f t="shared" ca="1" si="9"/>
        <v>#VALUE!</v>
      </c>
      <c r="BF478" s="104" t="e">
        <f ca="1">LEFT(CELL("filename",A463),_05preva_view43[[#This Row],[Find Process &amp; Database]]-1)</f>
        <v>#VALUE!</v>
      </c>
      <c r="BG478" s="104" t="e">
        <f ca="1">_05preva_view43[Folder Path1]&amp;"Process &amp; Database\Documentation\Colo Applications"</f>
        <v>#VALUE!</v>
      </c>
      <c r="BH478" s="104" t="e">
        <f ca="1">_05preva_view43[Folder Path2]&amp;"\Colo App "&amp;_05preva_view43[[#This Row],[Operator]]&amp;"\"</f>
        <v>#VALUE!</v>
      </c>
      <c r="BI478" s="63" t="e">
        <f ca="1">_05preva_view43[[#This Row],[Folder Path3]]&amp;_05preva_view43[[#This Row],[File Name]]</f>
        <v>#VALUE!</v>
      </c>
      <c r="BJ478" s="104"/>
      <c r="BK478" s="3"/>
      <c r="BL478" s="3"/>
      <c r="CJ478" s="5"/>
      <c r="CK478" s="5"/>
      <c r="CL478" s="3"/>
      <c r="CN478" s="5"/>
      <c r="CR478" s="3"/>
      <c r="CS478" s="3"/>
      <c r="CT478" s="5"/>
      <c r="CV478" s="3"/>
      <c r="DR478" s="5"/>
      <c r="DT478" s="3"/>
      <c r="EF478" s="7"/>
      <c r="EG478" s="7"/>
      <c r="EJ478" s="4"/>
      <c r="EK478" s="4"/>
      <c r="EU478" s="2"/>
      <c r="EV478" s="2"/>
    </row>
    <row r="479" spans="1:152">
      <c r="A479" s="125">
        <v>55</v>
      </c>
      <c r="B479" s="126" t="s">
        <v>353</v>
      </c>
      <c r="C479" s="126" t="s">
        <v>116</v>
      </c>
      <c r="D479" s="126" t="s">
        <v>127</v>
      </c>
      <c r="E479" s="126" t="s">
        <v>354</v>
      </c>
      <c r="F479" s="126" t="s">
        <v>34</v>
      </c>
      <c r="G479" s="126" t="s">
        <v>1574</v>
      </c>
      <c r="H479" s="126" t="s">
        <v>1575</v>
      </c>
      <c r="I479" s="126" t="s">
        <v>118</v>
      </c>
      <c r="J479" s="126"/>
      <c r="K479" s="127">
        <v>43224</v>
      </c>
      <c r="L479" s="128"/>
      <c r="M479" s="128">
        <v>2</v>
      </c>
      <c r="N479" s="126">
        <v>6</v>
      </c>
      <c r="O479" s="126" t="s">
        <v>119</v>
      </c>
      <c r="P479" s="129" t="s">
        <v>285</v>
      </c>
      <c r="Q479" s="129" t="s">
        <v>263</v>
      </c>
      <c r="R479" s="126" t="s">
        <v>24</v>
      </c>
      <c r="S479" s="126"/>
      <c r="T479" s="130" t="s">
        <v>120</v>
      </c>
      <c r="U479" s="126" t="s">
        <v>121</v>
      </c>
      <c r="V479" s="130" t="s">
        <v>120</v>
      </c>
      <c r="W479" s="126"/>
      <c r="X479" s="130" t="s">
        <v>120</v>
      </c>
      <c r="Y479" s="126"/>
      <c r="Z479" s="165" t="s">
        <v>120</v>
      </c>
      <c r="AA479" s="158"/>
      <c r="AB479" s="158"/>
      <c r="AC479" s="170"/>
      <c r="AD479" s="126"/>
      <c r="AE479" s="130" t="s">
        <v>120</v>
      </c>
      <c r="AF479" s="127"/>
      <c r="AG479" s="131"/>
      <c r="AH479" s="131">
        <v>2</v>
      </c>
      <c r="AI479" s="126" t="s">
        <v>355</v>
      </c>
      <c r="AJ479" s="130" t="s">
        <v>120</v>
      </c>
      <c r="AK479" s="126" t="s">
        <v>123</v>
      </c>
      <c r="AL479" s="126"/>
      <c r="AM479" s="130"/>
      <c r="AN479" s="126"/>
      <c r="AO479" s="132"/>
      <c r="AP479" s="126"/>
      <c r="AQ479" s="126"/>
      <c r="AR479" s="130"/>
      <c r="AS479" s="126"/>
      <c r="AT479" s="127"/>
      <c r="AU479" s="127">
        <v>43453.378965162003</v>
      </c>
      <c r="AV479" s="127"/>
      <c r="AW479" s="127"/>
      <c r="AX479" s="127"/>
      <c r="AY479" s="127"/>
      <c r="AZ479" s="133">
        <v>43224</v>
      </c>
      <c r="BA47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9" s="135">
        <f>COUNTIFS(_05preva_view43[Site ID],_05preva_view43[[#This Row],[Site ID]],_05preva_view43[Prevalidation Status],"Under Prevalidation")</f>
        <v>0</v>
      </c>
      <c r="BC479" s="157" t="e">
        <f ca="1">HYPERLINK(CheckPath(_05preva_view43[[#This Row],[File Path]],_05preva_view43[[#This Row],[File Path]],_05preva_view43[[#This Row],[Folder Path3]]),CheckPath(_05preva_view43[[#This Row],[File Path]],"Open File","No File"))</f>
        <v>#VALUE!</v>
      </c>
      <c r="BD479" s="136" t="str">
        <f>CONCATENATE(_05preva_view43[[#This Row],[Site ID]]," (",_05preva_view43[[#This Row],[tenant id]],") Application",IF(_05preva_view43[[#This Row],[Colo Rev]]&gt;0," Rev "&amp;_05preva_view43[[#This Row],[Colo Rev]],""),".xlsx")</f>
        <v>ANMD_0080 (MDY0299) Application.xlsx</v>
      </c>
      <c r="BE479" s="64" t="e">
        <f t="shared" ca="1" si="9"/>
        <v>#VALUE!</v>
      </c>
      <c r="BF479" s="104" t="e">
        <f ca="1">LEFT(CELL("filename",A464),_05preva_view43[[#This Row],[Find Process &amp; Database]]-1)</f>
        <v>#VALUE!</v>
      </c>
      <c r="BG479" s="104" t="e">
        <f ca="1">_05preva_view43[Folder Path1]&amp;"Process &amp; Database\Documentation\Colo Applications"</f>
        <v>#VALUE!</v>
      </c>
      <c r="BH479" s="104" t="e">
        <f ca="1">_05preva_view43[Folder Path2]&amp;"\Colo App "&amp;_05preva_view43[[#This Row],[Operator]]&amp;"\"</f>
        <v>#VALUE!</v>
      </c>
      <c r="BI479" s="63" t="e">
        <f ca="1">_05preva_view43[[#This Row],[Folder Path3]]&amp;_05preva_view43[[#This Row],[File Name]]</f>
        <v>#VALUE!</v>
      </c>
      <c r="BJ479" s="104"/>
      <c r="BK479" s="3"/>
      <c r="BL479" s="3"/>
      <c r="CJ479" s="5"/>
      <c r="CK479" s="5"/>
      <c r="CL479" s="3"/>
      <c r="CN479" s="5"/>
      <c r="CR479" s="3"/>
      <c r="CS479" s="3"/>
      <c r="CT479" s="5"/>
      <c r="CV479" s="3"/>
      <c r="DR479" s="5"/>
      <c r="DT479" s="3"/>
      <c r="EF479" s="7"/>
      <c r="EG479" s="7"/>
      <c r="EJ479" s="4"/>
      <c r="EK479" s="4"/>
      <c r="EU479" s="2"/>
      <c r="EV479" s="2"/>
    </row>
    <row r="480" spans="1:152">
      <c r="A480" s="125">
        <v>56</v>
      </c>
      <c r="B480" s="126" t="s">
        <v>356</v>
      </c>
      <c r="C480" s="126" t="s">
        <v>116</v>
      </c>
      <c r="D480" s="126" t="s">
        <v>127</v>
      </c>
      <c r="E480" s="126" t="s">
        <v>357</v>
      </c>
      <c r="F480" s="126" t="s">
        <v>34</v>
      </c>
      <c r="G480" s="126"/>
      <c r="H480" s="126"/>
      <c r="I480" s="126"/>
      <c r="J480" s="126"/>
      <c r="K480" s="127">
        <v>43224</v>
      </c>
      <c r="L480" s="128"/>
      <c r="M480" s="128">
        <v>2</v>
      </c>
      <c r="N480" s="126">
        <v>6</v>
      </c>
      <c r="O480" s="126" t="s">
        <v>119</v>
      </c>
      <c r="P480" s="129" t="s">
        <v>270</v>
      </c>
      <c r="Q480" s="129" t="s">
        <v>256</v>
      </c>
      <c r="R480" s="126" t="s">
        <v>27</v>
      </c>
      <c r="S480" s="126"/>
      <c r="T480" s="130" t="s">
        <v>120</v>
      </c>
      <c r="U480" s="126" t="s">
        <v>121</v>
      </c>
      <c r="V480" s="130" t="s">
        <v>120</v>
      </c>
      <c r="W480" s="126"/>
      <c r="X480" s="130" t="s">
        <v>120</v>
      </c>
      <c r="Y480" s="126"/>
      <c r="Z480" s="165" t="s">
        <v>120</v>
      </c>
      <c r="AA480" s="158"/>
      <c r="AB480" s="158"/>
      <c r="AC480" s="170"/>
      <c r="AD480" s="126" t="s">
        <v>358</v>
      </c>
      <c r="AE480" s="130" t="s">
        <v>120</v>
      </c>
      <c r="AF480" s="127"/>
      <c r="AG480" s="131"/>
      <c r="AH480" s="131">
        <v>2</v>
      </c>
      <c r="AI480" s="126" t="s">
        <v>359</v>
      </c>
      <c r="AJ480" s="130"/>
      <c r="AK480" s="126"/>
      <c r="AL480" s="126"/>
      <c r="AM480" s="130"/>
      <c r="AN480" s="126"/>
      <c r="AO480" s="132"/>
      <c r="AP480" s="126"/>
      <c r="AQ480" s="126"/>
      <c r="AR480" s="130"/>
      <c r="AS480" s="126"/>
      <c r="AT480" s="127"/>
      <c r="AU480" s="127">
        <v>43453.3789672454</v>
      </c>
      <c r="AV480" s="127"/>
      <c r="AW480" s="127"/>
      <c r="AX480" s="127"/>
      <c r="AY480" s="127"/>
      <c r="AZ480" s="133">
        <v>43224</v>
      </c>
      <c r="BA48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0" s="135">
        <f>COUNTIFS(_05preva_view43[Site ID],_05preva_view43[[#This Row],[Site ID]],_05preva_view43[Prevalidation Status],"Under Prevalidation")</f>
        <v>1</v>
      </c>
      <c r="BC480" s="157" t="e">
        <f ca="1">HYPERLINK(CheckPath(_05preva_view43[[#This Row],[File Path]],_05preva_view43[[#This Row],[File Path]],_05preva_view43[[#This Row],[Folder Path3]]),CheckPath(_05preva_view43[[#This Row],[File Path]],"Open File","No File"))</f>
        <v>#VALUE!</v>
      </c>
      <c r="BD480" s="136" t="str">
        <f>CONCATENATE(_05preva_view43[[#This Row],[Site ID]]," (",_05preva_view43[[#This Row],[tenant id]],") Application",IF(_05preva_view43[[#This Row],[Colo Rev]]&gt;0," Rev "&amp;_05preva_view43[[#This Row],[Colo Rev]],""),".xlsx")</f>
        <v>ANMD_0004 (MDY0338) Application.xlsx</v>
      </c>
      <c r="BE480" s="64" t="e">
        <f t="shared" ca="1" si="9"/>
        <v>#VALUE!</v>
      </c>
      <c r="BF480" s="104" t="e">
        <f ca="1">LEFT(CELL("filename",A465),_05preva_view43[[#This Row],[Find Process &amp; Database]]-1)</f>
        <v>#VALUE!</v>
      </c>
      <c r="BG480" s="104" t="e">
        <f ca="1">_05preva_view43[Folder Path1]&amp;"Process &amp; Database\Documentation\Colo Applications"</f>
        <v>#VALUE!</v>
      </c>
      <c r="BH480" s="104" t="e">
        <f ca="1">_05preva_view43[Folder Path2]&amp;"\Colo App "&amp;_05preva_view43[[#This Row],[Operator]]&amp;"\"</f>
        <v>#VALUE!</v>
      </c>
      <c r="BI480" s="63" t="e">
        <f ca="1">_05preva_view43[[#This Row],[Folder Path3]]&amp;_05preva_view43[[#This Row],[File Name]]</f>
        <v>#VALUE!</v>
      </c>
      <c r="BJ480" s="104"/>
      <c r="BK480" s="3"/>
      <c r="BL480" s="3"/>
      <c r="CJ480" s="5"/>
      <c r="CK480" s="5"/>
      <c r="CL480" s="3"/>
      <c r="CN480" s="5"/>
      <c r="CR480" s="3"/>
      <c r="CS480" s="3"/>
      <c r="CT480" s="5"/>
      <c r="CV480" s="3"/>
      <c r="DR480" s="5"/>
      <c r="DT480" s="3"/>
      <c r="EF480" s="7"/>
      <c r="EG480" s="7"/>
      <c r="EJ480" s="4"/>
      <c r="EK480" s="4"/>
      <c r="EU480" s="2"/>
      <c r="EV480" s="2"/>
    </row>
    <row r="481" spans="1:152">
      <c r="A481" s="125">
        <v>57</v>
      </c>
      <c r="B481" s="126" t="s">
        <v>360</v>
      </c>
      <c r="C481" s="126" t="s">
        <v>116</v>
      </c>
      <c r="D481" s="126" t="s">
        <v>163</v>
      </c>
      <c r="E481" s="126" t="s">
        <v>361</v>
      </c>
      <c r="F481" s="126" t="s">
        <v>40</v>
      </c>
      <c r="G481" s="126" t="s">
        <v>1579</v>
      </c>
      <c r="H481" s="126" t="s">
        <v>1575</v>
      </c>
      <c r="I481" s="126" t="s">
        <v>118</v>
      </c>
      <c r="J481" s="126"/>
      <c r="K481" s="127">
        <v>43224</v>
      </c>
      <c r="L481" s="128"/>
      <c r="M481" s="128">
        <v>3</v>
      </c>
      <c r="N481" s="126">
        <v>6</v>
      </c>
      <c r="O481" s="126" t="s">
        <v>119</v>
      </c>
      <c r="P481" s="129" t="s">
        <v>362</v>
      </c>
      <c r="Q481" s="129" t="s">
        <v>363</v>
      </c>
      <c r="R481" s="126" t="s">
        <v>24</v>
      </c>
      <c r="S481" s="126"/>
      <c r="T481" s="130" t="s">
        <v>120</v>
      </c>
      <c r="U481" s="126" t="s">
        <v>121</v>
      </c>
      <c r="V481" s="130" t="s">
        <v>120</v>
      </c>
      <c r="W481" s="126"/>
      <c r="X481" s="130" t="s">
        <v>120</v>
      </c>
      <c r="Y481" s="126"/>
      <c r="Z481" s="165" t="s">
        <v>120</v>
      </c>
      <c r="AA481" s="158"/>
      <c r="AB481" s="158"/>
      <c r="AC481" s="170"/>
      <c r="AD481" s="126" t="s">
        <v>364</v>
      </c>
      <c r="AE481" s="130" t="s">
        <v>120</v>
      </c>
      <c r="AF481" s="127" t="s">
        <v>241</v>
      </c>
      <c r="AG481" s="131"/>
      <c r="AH481" s="131">
        <v>3.5</v>
      </c>
      <c r="AI481" s="126" t="s">
        <v>366</v>
      </c>
      <c r="AJ481" s="130" t="s">
        <v>120</v>
      </c>
      <c r="AK481" s="126" t="s">
        <v>123</v>
      </c>
      <c r="AL481" s="126" t="s">
        <v>365</v>
      </c>
      <c r="AM481" s="130"/>
      <c r="AN481" s="126"/>
      <c r="AO481" s="132"/>
      <c r="AP481" s="126"/>
      <c r="AQ481" s="126"/>
      <c r="AR481" s="130"/>
      <c r="AS481" s="126"/>
      <c r="AT481" s="127"/>
      <c r="AU481" s="127">
        <v>43453.3789680556</v>
      </c>
      <c r="AV481" s="127"/>
      <c r="AW481" s="127"/>
      <c r="AX481" s="127"/>
      <c r="AY481" s="127"/>
      <c r="AZ481" s="133">
        <v>43224</v>
      </c>
      <c r="BA48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1" s="135">
        <f>COUNTIFS(_05preva_view43[Site ID],_05preva_view43[[#This Row],[Site ID]],_05preva_view43[Prevalidation Status],"Under Prevalidation")</f>
        <v>0</v>
      </c>
      <c r="BC481" s="157" t="e">
        <f ca="1">HYPERLINK(CheckPath(_05preva_view43[[#This Row],[File Path]],_05preva_view43[[#This Row],[File Path]],_05preva_view43[[#This Row],[Folder Path3]]),CheckPath(_05preva_view43[[#This Row],[File Path]],"Open File","No File"))</f>
        <v>#VALUE!</v>
      </c>
      <c r="BD481" s="136" t="str">
        <f>CONCATENATE(_05preva_view43[[#This Row],[Site ID]]," (",_05preva_view43[[#This Row],[tenant id]],") Application",IF(_05preva_view43[[#This Row],[Colo Rev]]&gt;0," Rev "&amp;_05preva_view43[[#This Row],[Colo Rev]],""),".xlsx")</f>
        <v>AYYN_0527 (YAW7098) Application.xlsx</v>
      </c>
      <c r="BE481" s="64" t="e">
        <f t="shared" ca="1" si="9"/>
        <v>#VALUE!</v>
      </c>
      <c r="BF481" s="104" t="e">
        <f ca="1">LEFT(CELL("filename",A466),_05preva_view43[[#This Row],[Find Process &amp; Database]]-1)</f>
        <v>#VALUE!</v>
      </c>
      <c r="BG481" s="104" t="e">
        <f ca="1">_05preva_view43[Folder Path1]&amp;"Process &amp; Database\Documentation\Colo Applications"</f>
        <v>#VALUE!</v>
      </c>
      <c r="BH481" s="104" t="e">
        <f ca="1">_05preva_view43[Folder Path2]&amp;"\Colo App "&amp;_05preva_view43[[#This Row],[Operator]]&amp;"\"</f>
        <v>#VALUE!</v>
      </c>
      <c r="BI481" s="63" t="e">
        <f ca="1">_05preva_view43[[#This Row],[Folder Path3]]&amp;_05preva_view43[[#This Row],[File Name]]</f>
        <v>#VALUE!</v>
      </c>
      <c r="BJ481" s="104"/>
      <c r="BK481" s="3"/>
      <c r="BL481" s="3"/>
      <c r="CJ481" s="5"/>
      <c r="CK481" s="5"/>
      <c r="CL481" s="3"/>
      <c r="CN481" s="5"/>
      <c r="CR481" s="3"/>
      <c r="CS481" s="3"/>
      <c r="CT481" s="5"/>
      <c r="CV481" s="3"/>
      <c r="DR481" s="5"/>
      <c r="DT481" s="3"/>
      <c r="EF481" s="7"/>
      <c r="EG481" s="7"/>
      <c r="EJ481" s="4"/>
      <c r="EK481" s="4"/>
      <c r="EU481" s="2"/>
      <c r="EV481" s="2"/>
    </row>
    <row r="482" spans="1:152">
      <c r="A482" s="125">
        <v>257</v>
      </c>
      <c r="B482" s="126" t="s">
        <v>837</v>
      </c>
      <c r="C482" s="126" t="s">
        <v>116</v>
      </c>
      <c r="D482" s="126" t="s">
        <v>163</v>
      </c>
      <c r="E482" s="126" t="s">
        <v>838</v>
      </c>
      <c r="F482" s="126" t="s">
        <v>41</v>
      </c>
      <c r="G482" s="126" t="s">
        <v>118</v>
      </c>
      <c r="H482" s="126"/>
      <c r="I482" s="126" t="s">
        <v>118</v>
      </c>
      <c r="J482" s="126"/>
      <c r="K482" s="127">
        <v>43223</v>
      </c>
      <c r="L482" s="128"/>
      <c r="M482" s="128">
        <v>2</v>
      </c>
      <c r="N482" s="126">
        <v>3</v>
      </c>
      <c r="O482" s="126" t="s">
        <v>119</v>
      </c>
      <c r="P482" s="129" t="s">
        <v>839</v>
      </c>
      <c r="Q482" s="129" t="s">
        <v>840</v>
      </c>
      <c r="R482" s="126" t="s">
        <v>26</v>
      </c>
      <c r="S482" s="126"/>
      <c r="T482" s="130" t="s">
        <v>144</v>
      </c>
      <c r="U482" s="126" t="s">
        <v>841</v>
      </c>
      <c r="V482" s="130" t="s">
        <v>120</v>
      </c>
      <c r="W482" s="126"/>
      <c r="X482" s="130" t="s">
        <v>120</v>
      </c>
      <c r="Y482" s="126" t="s">
        <v>120</v>
      </c>
      <c r="Z482" s="165"/>
      <c r="AA482" s="158"/>
      <c r="AB482" s="158"/>
      <c r="AC482" s="170" t="s">
        <v>123</v>
      </c>
      <c r="AD482" s="126"/>
      <c r="AE482" s="130" t="s">
        <v>265</v>
      </c>
      <c r="AF482" s="127" t="s">
        <v>815</v>
      </c>
      <c r="AG482" s="131"/>
      <c r="AH482" s="131"/>
      <c r="AI482" s="126" t="s">
        <v>816</v>
      </c>
      <c r="AJ482" s="130" t="s">
        <v>144</v>
      </c>
      <c r="AK482" s="126" t="s">
        <v>240</v>
      </c>
      <c r="AL482" s="126" t="s">
        <v>842</v>
      </c>
      <c r="AM482" s="130"/>
      <c r="AN482" s="126"/>
      <c r="AO482" s="132"/>
      <c r="AP482" s="126"/>
      <c r="AQ482" s="126"/>
      <c r="AR482" s="130"/>
      <c r="AS482" s="126"/>
      <c r="AT482" s="127"/>
      <c r="AU482" s="127">
        <v>43453.379092708303</v>
      </c>
      <c r="AV482" s="127"/>
      <c r="AW482" s="127"/>
      <c r="AX482" s="127"/>
      <c r="AY482" s="127"/>
      <c r="AZ482" s="133">
        <v>43223</v>
      </c>
      <c r="BA48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2" s="135">
        <f>COUNTIFS(_05preva_view43[Site ID],_05preva_view43[[#This Row],[Site ID]],_05preva_view43[Prevalidation Status],"Under Prevalidation")</f>
        <v>0</v>
      </c>
      <c r="BC482" s="157" t="e">
        <f ca="1">HYPERLINK(CheckPath(_05preva_view43[[#This Row],[File Path]],_05preva_view43[[#This Row],[File Path]],_05preva_view43[[#This Row],[Folder Path3]]),CheckPath(_05preva_view43[[#This Row],[File Path]],"Open File","No File"))</f>
        <v>#VALUE!</v>
      </c>
      <c r="BD482" s="136" t="str">
        <f>CONCATENATE(_05preva_view43[[#This Row],[Site ID]]," (",_05preva_view43[[#This Row],[tenant id]],") Application",IF(_05preva_view43[[#This Row],[Colo Rev]]&gt;0," Rev "&amp;_05preva_view43[[#This Row],[Colo Rev]],""),".xlsx")</f>
        <v>AYYN_0416 (YGNDWBN001) Application.xlsx</v>
      </c>
      <c r="BE482" s="64" t="e">
        <f t="shared" ca="1" si="9"/>
        <v>#VALUE!</v>
      </c>
      <c r="BF482" s="104" t="e">
        <f ca="1">LEFT(CELL("filename",A467),_05preva_view43[[#This Row],[Find Process &amp; Database]]-1)</f>
        <v>#VALUE!</v>
      </c>
      <c r="BG482" s="104" t="e">
        <f ca="1">_05preva_view43[Folder Path1]&amp;"Process &amp; Database\Documentation\Colo Applications"</f>
        <v>#VALUE!</v>
      </c>
      <c r="BH482" s="104" t="e">
        <f ca="1">_05preva_view43[Folder Path2]&amp;"\Colo App "&amp;_05preva_view43[[#This Row],[Operator]]&amp;"\"</f>
        <v>#VALUE!</v>
      </c>
      <c r="BI482" s="63" t="e">
        <f ca="1">_05preva_view43[[#This Row],[Folder Path3]]&amp;_05preva_view43[[#This Row],[File Name]]</f>
        <v>#VALUE!</v>
      </c>
      <c r="BJ482" s="104"/>
      <c r="BK482" s="3"/>
      <c r="BL482" s="3"/>
      <c r="CJ482" s="5"/>
      <c r="CK482" s="5"/>
      <c r="CL482" s="3"/>
      <c r="CN482" s="5"/>
      <c r="CR482" s="3"/>
      <c r="CS482" s="3"/>
      <c r="CT482" s="5"/>
      <c r="CV482" s="3"/>
      <c r="DR482" s="5"/>
      <c r="DT482" s="3"/>
      <c r="EF482" s="7"/>
      <c r="EG482" s="7"/>
      <c r="EJ482" s="4"/>
      <c r="EK482" s="4"/>
      <c r="EU482" s="2"/>
      <c r="EV482" s="2"/>
    </row>
    <row r="483" spans="1:152">
      <c r="A483" s="125">
        <v>51</v>
      </c>
      <c r="B483" s="126" t="s">
        <v>330</v>
      </c>
      <c r="C483" s="126" t="s">
        <v>331</v>
      </c>
      <c r="D483" s="126" t="s">
        <v>127</v>
      </c>
      <c r="E483" s="126" t="s">
        <v>332</v>
      </c>
      <c r="F483" s="126" t="s">
        <v>40</v>
      </c>
      <c r="G483" s="126" t="s">
        <v>1581</v>
      </c>
      <c r="H483" s="126" t="s">
        <v>1575</v>
      </c>
      <c r="I483" s="126" t="s">
        <v>118</v>
      </c>
      <c r="J483" s="126"/>
      <c r="K483" s="127">
        <v>43223</v>
      </c>
      <c r="L483" s="128"/>
      <c r="M483" s="128">
        <v>3</v>
      </c>
      <c r="N483" s="126">
        <v>6</v>
      </c>
      <c r="O483" s="126" t="s">
        <v>119</v>
      </c>
      <c r="P483" s="129" t="s">
        <v>333</v>
      </c>
      <c r="Q483" s="129" t="s">
        <v>334</v>
      </c>
      <c r="R483" s="126" t="s">
        <v>26</v>
      </c>
      <c r="S483" s="126" t="s">
        <v>335</v>
      </c>
      <c r="T483" s="130" t="s">
        <v>120</v>
      </c>
      <c r="U483" s="126" t="s">
        <v>121</v>
      </c>
      <c r="V483" s="130" t="s">
        <v>120</v>
      </c>
      <c r="W483" s="126"/>
      <c r="X483" s="130" t="s">
        <v>120</v>
      </c>
      <c r="Y483" s="126"/>
      <c r="Z483" s="165" t="s">
        <v>125</v>
      </c>
      <c r="AA483" s="158"/>
      <c r="AB483" s="158"/>
      <c r="AC483" s="170"/>
      <c r="AD483" s="126" t="s">
        <v>336</v>
      </c>
      <c r="AE483" s="130" t="s">
        <v>120</v>
      </c>
      <c r="AF483" s="127"/>
      <c r="AG483" s="131"/>
      <c r="AH483" s="131">
        <v>2</v>
      </c>
      <c r="AI483" s="126" t="s">
        <v>337</v>
      </c>
      <c r="AJ483" s="130"/>
      <c r="AK483" s="126"/>
      <c r="AL483" s="126"/>
      <c r="AM483" s="130"/>
      <c r="AN483" s="126"/>
      <c r="AO483" s="132"/>
      <c r="AP483" s="126"/>
      <c r="AQ483" s="126"/>
      <c r="AR483" s="130"/>
      <c r="AS483" s="126"/>
      <c r="AT483" s="127"/>
      <c r="AU483" s="127">
        <v>43453.3789600694</v>
      </c>
      <c r="AV483" s="127"/>
      <c r="AW483" s="127"/>
      <c r="AX483" s="127"/>
      <c r="AY483" s="127"/>
      <c r="AZ483" s="133">
        <v>43223</v>
      </c>
      <c r="BA48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3" s="135">
        <f>COUNTIFS(_05preva_view43[Site ID],_05preva_view43[[#This Row],[Site ID]],_05preva_view43[Prevalidation Status],"Under Prevalidation")</f>
        <v>0</v>
      </c>
      <c r="BC483" s="157" t="e">
        <f ca="1">HYPERLINK(CheckPath(_05preva_view43[[#This Row],[File Path]],_05preva_view43[[#This Row],[File Path]],_05preva_view43[[#This Row],[Folder Path3]]),CheckPath(_05preva_view43[[#This Row],[File Path]],"Open File","No File"))</f>
        <v>#VALUE!</v>
      </c>
      <c r="BD483" s="136" t="str">
        <f>CONCATENATE(_05preva_view43[[#This Row],[Site ID]]," (",_05preva_view43[[#This Row],[tenant id]],") Application",IF(_05preva_view43[[#This Row],[Colo Rev]]&gt;0," Rev "&amp;_05preva_view43[[#This Row],[Colo Rev]],""),".xlsx")</f>
        <v>1-01-15010-001 (SHW1189) Application.xlsx</v>
      </c>
      <c r="BE483" s="64" t="e">
        <f t="shared" ca="1" si="9"/>
        <v>#VALUE!</v>
      </c>
      <c r="BF483" s="104" t="e">
        <f ca="1">LEFT(CELL("filename",A468),_05preva_view43[[#This Row],[Find Process &amp; Database]]-1)</f>
        <v>#VALUE!</v>
      </c>
      <c r="BG483" s="104" t="e">
        <f ca="1">_05preva_view43[Folder Path1]&amp;"Process &amp; Database\Documentation\Colo Applications"</f>
        <v>#VALUE!</v>
      </c>
      <c r="BH483" s="104" t="e">
        <f ca="1">_05preva_view43[Folder Path2]&amp;"\Colo App "&amp;_05preva_view43[[#This Row],[Operator]]&amp;"\"</f>
        <v>#VALUE!</v>
      </c>
      <c r="BI483" s="63" t="e">
        <f ca="1">_05preva_view43[[#This Row],[Folder Path3]]&amp;_05preva_view43[[#This Row],[File Name]]</f>
        <v>#VALUE!</v>
      </c>
      <c r="BJ483" s="104"/>
      <c r="BK483" s="3"/>
      <c r="BL483" s="3"/>
      <c r="CJ483" s="5"/>
      <c r="CK483" s="5"/>
      <c r="CL483" s="3"/>
      <c r="CN483" s="5"/>
      <c r="CR483" s="3"/>
      <c r="CS483" s="3"/>
      <c r="CT483" s="5"/>
      <c r="CV483" s="3"/>
      <c r="DR483" s="5"/>
      <c r="DT483" s="3"/>
      <c r="EF483" s="7"/>
      <c r="EG483" s="7"/>
      <c r="EJ483" s="4"/>
      <c r="EK483" s="4"/>
      <c r="EU483" s="2"/>
      <c r="EV483" s="2"/>
    </row>
    <row r="484" spans="1:152">
      <c r="A484" s="125">
        <v>50</v>
      </c>
      <c r="B484" s="126" t="s">
        <v>327</v>
      </c>
      <c r="C484" s="126" t="s">
        <v>116</v>
      </c>
      <c r="D484" s="126" t="s">
        <v>163</v>
      </c>
      <c r="E484" s="126" t="s">
        <v>328</v>
      </c>
      <c r="F484" s="126" t="s">
        <v>40</v>
      </c>
      <c r="G484" s="126" t="s">
        <v>118</v>
      </c>
      <c r="H484" s="126"/>
      <c r="I484" s="126" t="s">
        <v>118</v>
      </c>
      <c r="J484" s="126"/>
      <c r="K484" s="127">
        <v>43217</v>
      </c>
      <c r="L484" s="128"/>
      <c r="M484" s="128">
        <v>3</v>
      </c>
      <c r="N484" s="126">
        <v>10</v>
      </c>
      <c r="O484" s="126" t="s">
        <v>119</v>
      </c>
      <c r="P484" s="129" t="s">
        <v>277</v>
      </c>
      <c r="Q484" s="129" t="s">
        <v>291</v>
      </c>
      <c r="R484" s="126" t="s">
        <v>26</v>
      </c>
      <c r="S484" s="126"/>
      <c r="T484" s="130" t="s">
        <v>120</v>
      </c>
      <c r="U484" s="126" t="s">
        <v>121</v>
      </c>
      <c r="V484" s="130" t="s">
        <v>120</v>
      </c>
      <c r="W484" s="126"/>
      <c r="X484" s="130" t="s">
        <v>120</v>
      </c>
      <c r="Y484" s="126"/>
      <c r="Z484" s="165" t="s">
        <v>120</v>
      </c>
      <c r="AA484" s="158"/>
      <c r="AB484" s="158"/>
      <c r="AC484" s="170"/>
      <c r="AD484" s="126"/>
      <c r="AE484" s="130" t="s">
        <v>144</v>
      </c>
      <c r="AF484" s="127"/>
      <c r="AG484" s="131"/>
      <c r="AH484" s="131">
        <v>2</v>
      </c>
      <c r="AI484" s="126" t="s">
        <v>329</v>
      </c>
      <c r="AJ484" s="130"/>
      <c r="AK484" s="126"/>
      <c r="AL484" s="126"/>
      <c r="AM484" s="130"/>
      <c r="AN484" s="126"/>
      <c r="AO484" s="132"/>
      <c r="AP484" s="126"/>
      <c r="AQ484" s="126"/>
      <c r="AR484" s="130"/>
      <c r="AS484" s="126"/>
      <c r="AT484" s="127"/>
      <c r="AU484" s="127"/>
      <c r="AV484" s="127"/>
      <c r="AW484" s="127"/>
      <c r="AX484" s="127"/>
      <c r="AY484" s="127"/>
      <c r="AZ484" s="133">
        <v>43217</v>
      </c>
      <c r="BA48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4" s="135">
        <f>COUNTIFS(_05preva_view43[Site ID],_05preva_view43[[#This Row],[Site ID]],_05preva_view43[Prevalidation Status],"Under Prevalidation")</f>
        <v>0</v>
      </c>
      <c r="BC484" s="157" t="e">
        <f ca="1">HYPERLINK(CheckPath(_05preva_view43[[#This Row],[File Path]],_05preva_view43[[#This Row],[File Path]],_05preva_view43[[#This Row],[Folder Path3]]),CheckPath(_05preva_view43[[#This Row],[File Path]],"Open File","No File"))</f>
        <v>#VALUE!</v>
      </c>
      <c r="BD484" s="136" t="str">
        <f>CONCATENATE(_05preva_view43[[#This Row],[Site ID]]," (",_05preva_view43[[#This Row],[tenant id]],") Application",IF(_05preva_view43[[#This Row],[Colo Rev]]&gt;0," Rev "&amp;_05preva_view43[[#This Row],[Colo Rev]],""),".xlsx")</f>
        <v>ASMO_0202 (MOW6163) Application.xlsx</v>
      </c>
      <c r="BE484" s="64" t="e">
        <f t="shared" ca="1" si="9"/>
        <v>#VALUE!</v>
      </c>
      <c r="BF484" s="104" t="e">
        <f ca="1">LEFT(CELL("filename",A469),_05preva_view43[[#This Row],[Find Process &amp; Database]]-1)</f>
        <v>#VALUE!</v>
      </c>
      <c r="BG484" s="104" t="e">
        <f ca="1">_05preva_view43[Folder Path1]&amp;"Process &amp; Database\Documentation\Colo Applications"</f>
        <v>#VALUE!</v>
      </c>
      <c r="BH484" s="104" t="e">
        <f ca="1">_05preva_view43[Folder Path2]&amp;"\Colo App "&amp;_05preva_view43[[#This Row],[Operator]]&amp;"\"</f>
        <v>#VALUE!</v>
      </c>
      <c r="BI484" s="63" t="e">
        <f ca="1">_05preva_view43[[#This Row],[Folder Path3]]&amp;_05preva_view43[[#This Row],[File Name]]</f>
        <v>#VALUE!</v>
      </c>
      <c r="BJ484" s="104"/>
      <c r="BK484" s="3"/>
      <c r="BL484" s="3"/>
      <c r="CJ484" s="5"/>
      <c r="CK484" s="5"/>
      <c r="CL484" s="3"/>
      <c r="CN484" s="5"/>
      <c r="CR484" s="3"/>
      <c r="CS484" s="3"/>
      <c r="CT484" s="5"/>
      <c r="CV484" s="3"/>
      <c r="DR484" s="5"/>
      <c r="DT484" s="3"/>
      <c r="EF484" s="7"/>
      <c r="EG484" s="7"/>
      <c r="EJ484" s="4"/>
      <c r="EK484" s="4"/>
      <c r="EU484" s="2"/>
      <c r="EV484" s="2"/>
    </row>
    <row r="485" spans="1:152">
      <c r="A485" s="125">
        <v>42</v>
      </c>
      <c r="B485" s="126" t="s">
        <v>302</v>
      </c>
      <c r="C485" s="126" t="s">
        <v>116</v>
      </c>
      <c r="D485" s="126" t="s">
        <v>163</v>
      </c>
      <c r="E485" s="126" t="s">
        <v>303</v>
      </c>
      <c r="F485" s="126" t="s">
        <v>34</v>
      </c>
      <c r="G485" s="126" t="s">
        <v>1574</v>
      </c>
      <c r="H485" s="126" t="s">
        <v>1575</v>
      </c>
      <c r="I485" s="126" t="s">
        <v>118</v>
      </c>
      <c r="J485" s="126"/>
      <c r="K485" s="127">
        <v>43202</v>
      </c>
      <c r="L485" s="128"/>
      <c r="M485" s="128">
        <v>2</v>
      </c>
      <c r="N485" s="126">
        <v>6</v>
      </c>
      <c r="O485" s="126" t="s">
        <v>119</v>
      </c>
      <c r="P485" s="129" t="s">
        <v>291</v>
      </c>
      <c r="Q485" s="129" t="s">
        <v>292</v>
      </c>
      <c r="R485" s="126" t="s">
        <v>24</v>
      </c>
      <c r="S485" s="126"/>
      <c r="T485" s="130" t="s">
        <v>120</v>
      </c>
      <c r="U485" s="126" t="s">
        <v>121</v>
      </c>
      <c r="V485" s="130" t="s">
        <v>120</v>
      </c>
      <c r="W485" s="126"/>
      <c r="X485" s="130" t="s">
        <v>120</v>
      </c>
      <c r="Y485" s="126" t="s">
        <v>304</v>
      </c>
      <c r="Z485" s="165" t="s">
        <v>120</v>
      </c>
      <c r="AA485" s="158"/>
      <c r="AB485" s="158"/>
      <c r="AC485" s="170"/>
      <c r="AD485" s="126"/>
      <c r="AE485" s="130" t="s">
        <v>120</v>
      </c>
      <c r="AF485" s="127" t="s">
        <v>305</v>
      </c>
      <c r="AG485" s="131"/>
      <c r="AH485" s="131">
        <v>2</v>
      </c>
      <c r="AI485" s="126" t="s">
        <v>306</v>
      </c>
      <c r="AJ485" s="130" t="s">
        <v>120</v>
      </c>
      <c r="AK485" s="126" t="s">
        <v>123</v>
      </c>
      <c r="AL485" s="126"/>
      <c r="AM485" s="130"/>
      <c r="AN485" s="126"/>
      <c r="AO485" s="132"/>
      <c r="AP485" s="126"/>
      <c r="AQ485" s="126"/>
      <c r="AR485" s="130"/>
      <c r="AS485" s="126"/>
      <c r="AT485" s="127"/>
      <c r="AU485" s="127">
        <v>43453.378945833298</v>
      </c>
      <c r="AV485" s="127"/>
      <c r="AW485" s="127"/>
      <c r="AX485" s="127"/>
      <c r="AY485" s="127"/>
      <c r="AZ485" s="133">
        <v>43202</v>
      </c>
      <c r="BA48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5" s="135">
        <f>COUNTIFS(_05preva_view43[Site ID],_05preva_view43[[#This Row],[Site ID]],_05preva_view43[Prevalidation Status],"Under Prevalidation")</f>
        <v>0</v>
      </c>
      <c r="BC485" s="157" t="e">
        <f ca="1">HYPERLINK(CheckPath(_05preva_view43[[#This Row],[File Path]],_05preva_view43[[#This Row],[File Path]],_05preva_view43[[#This Row],[Folder Path3]]),CheckPath(_05preva_view43[[#This Row],[File Path]],"Open File","No File"))</f>
        <v>#VALUE!</v>
      </c>
      <c r="BD485" s="136" t="str">
        <f>CONCATENATE(_05preva_view43[[#This Row],[Site ID]]," (",_05preva_view43[[#This Row],[tenant id]],") Application",IF(_05preva_view43[[#This Row],[Colo Rev]]&gt;0," Rev "&amp;_05preva_view43[[#This Row],[Colo Rev]],""),".xlsx")</f>
        <v>ACBA_0052 (BGO0947) Application.xlsx</v>
      </c>
      <c r="BE485" s="64" t="e">
        <f t="shared" ca="1" si="9"/>
        <v>#VALUE!</v>
      </c>
      <c r="BF485" s="104" t="e">
        <f ca="1">LEFT(CELL("filename",A470),_05preva_view43[[#This Row],[Find Process &amp; Database]]-1)</f>
        <v>#VALUE!</v>
      </c>
      <c r="BG485" s="104" t="e">
        <f ca="1">_05preva_view43[Folder Path1]&amp;"Process &amp; Database\Documentation\Colo Applications"</f>
        <v>#VALUE!</v>
      </c>
      <c r="BH485" s="104" t="e">
        <f ca="1">_05preva_view43[Folder Path2]&amp;"\Colo App "&amp;_05preva_view43[[#This Row],[Operator]]&amp;"\"</f>
        <v>#VALUE!</v>
      </c>
      <c r="BI485" s="63" t="e">
        <f ca="1">_05preva_view43[[#This Row],[Folder Path3]]&amp;_05preva_view43[[#This Row],[File Name]]</f>
        <v>#VALUE!</v>
      </c>
      <c r="BJ485" s="104"/>
      <c r="BK485" s="3"/>
      <c r="BL485" s="3"/>
      <c r="CJ485" s="5"/>
      <c r="CK485" s="5"/>
      <c r="CL485" s="3"/>
      <c r="CN485" s="5"/>
      <c r="CR485" s="3"/>
      <c r="CS485" s="3"/>
      <c r="CT485" s="5"/>
      <c r="CV485" s="3"/>
      <c r="DR485" s="5"/>
      <c r="DT485" s="3"/>
      <c r="EF485" s="7"/>
      <c r="EG485" s="7"/>
      <c r="EJ485" s="4"/>
      <c r="EK485" s="4"/>
      <c r="EU485" s="2"/>
      <c r="EV485" s="2"/>
    </row>
    <row r="486" spans="1:152">
      <c r="A486" s="125">
        <v>43</v>
      </c>
      <c r="B486" s="126" t="s">
        <v>307</v>
      </c>
      <c r="C486" s="126" t="s">
        <v>116</v>
      </c>
      <c r="D486" s="126" t="s">
        <v>117</v>
      </c>
      <c r="E486" s="126" t="s">
        <v>308</v>
      </c>
      <c r="F486" s="126" t="s">
        <v>34</v>
      </c>
      <c r="G486" s="126" t="s">
        <v>1574</v>
      </c>
      <c r="H486" s="126" t="s">
        <v>1575</v>
      </c>
      <c r="I486" s="126" t="s">
        <v>118</v>
      </c>
      <c r="J486" s="126"/>
      <c r="K486" s="127">
        <v>43202</v>
      </c>
      <c r="L486" s="128"/>
      <c r="M486" s="128">
        <v>2</v>
      </c>
      <c r="N486" s="126">
        <v>6</v>
      </c>
      <c r="O486" s="126" t="s">
        <v>119</v>
      </c>
      <c r="P486" s="129" t="s">
        <v>291</v>
      </c>
      <c r="Q486" s="129" t="s">
        <v>292</v>
      </c>
      <c r="R486" s="126" t="s">
        <v>24</v>
      </c>
      <c r="S486" s="126"/>
      <c r="T486" s="130" t="s">
        <v>120</v>
      </c>
      <c r="U486" s="126" t="s">
        <v>121</v>
      </c>
      <c r="V486" s="130" t="s">
        <v>120</v>
      </c>
      <c r="W486" s="126"/>
      <c r="X486" s="130" t="s">
        <v>120</v>
      </c>
      <c r="Y486" s="126" t="s">
        <v>309</v>
      </c>
      <c r="Z486" s="165" t="s">
        <v>120</v>
      </c>
      <c r="AA486" s="158"/>
      <c r="AB486" s="158"/>
      <c r="AC486" s="170"/>
      <c r="AD486" s="126"/>
      <c r="AE486" s="130" t="s">
        <v>120</v>
      </c>
      <c r="AF486" s="127" t="s">
        <v>305</v>
      </c>
      <c r="AG486" s="131"/>
      <c r="AH486" s="131">
        <v>2</v>
      </c>
      <c r="AI486" s="126" t="s">
        <v>310</v>
      </c>
      <c r="AJ486" s="130" t="s">
        <v>120</v>
      </c>
      <c r="AK486" s="126" t="s">
        <v>123</v>
      </c>
      <c r="AL486" s="126"/>
      <c r="AM486" s="130"/>
      <c r="AN486" s="126"/>
      <c r="AO486" s="132"/>
      <c r="AP486" s="126"/>
      <c r="AQ486" s="126"/>
      <c r="AR486" s="130"/>
      <c r="AS486" s="126"/>
      <c r="AT486" s="127"/>
      <c r="AU486" s="127">
        <v>43453.378948842597</v>
      </c>
      <c r="AV486" s="127"/>
      <c r="AW486" s="127"/>
      <c r="AX486" s="127"/>
      <c r="AY486" s="127"/>
      <c r="AZ486" s="133">
        <v>43202</v>
      </c>
      <c r="BA48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6" s="135">
        <f>COUNTIFS(_05preva_view43[Site ID],_05preva_view43[[#This Row],[Site ID]],_05preva_view43[Prevalidation Status],"Under Prevalidation")</f>
        <v>0</v>
      </c>
      <c r="BC486" s="157" t="e">
        <f ca="1">HYPERLINK(CheckPath(_05preva_view43[[#This Row],[File Path]],_05preva_view43[[#This Row],[File Path]],_05preva_view43[[#This Row],[Folder Path3]]),CheckPath(_05preva_view43[[#This Row],[File Path]],"Open File","No File"))</f>
        <v>#VALUE!</v>
      </c>
      <c r="BD486" s="136" t="str">
        <f>CONCATENATE(_05preva_view43[[#This Row],[Site ID]]," (",_05preva_view43[[#This Row],[tenant id]],") Application",IF(_05preva_view43[[#This Row],[Colo Rev]]&gt;0," Rev "&amp;_05preva_view43[[#This Row],[Colo Rev]],""),".xlsx")</f>
        <v>ACBA_0118 (BGO0948) Application.xlsx</v>
      </c>
      <c r="BE486" s="64" t="e">
        <f t="shared" ca="1" si="9"/>
        <v>#VALUE!</v>
      </c>
      <c r="BF486" s="104" t="e">
        <f ca="1">LEFT(CELL("filename",A471),_05preva_view43[[#This Row],[Find Process &amp; Database]]-1)</f>
        <v>#VALUE!</v>
      </c>
      <c r="BG486" s="104" t="e">
        <f ca="1">_05preva_view43[Folder Path1]&amp;"Process &amp; Database\Documentation\Colo Applications"</f>
        <v>#VALUE!</v>
      </c>
      <c r="BH486" s="104" t="e">
        <f ca="1">_05preva_view43[Folder Path2]&amp;"\Colo App "&amp;_05preva_view43[[#This Row],[Operator]]&amp;"\"</f>
        <v>#VALUE!</v>
      </c>
      <c r="BI486" s="63" t="e">
        <f ca="1">_05preva_view43[[#This Row],[Folder Path3]]&amp;_05preva_view43[[#This Row],[File Name]]</f>
        <v>#VALUE!</v>
      </c>
      <c r="BJ486" s="104"/>
      <c r="BK486" s="3"/>
      <c r="BL486" s="3"/>
      <c r="CJ486" s="5"/>
      <c r="CK486" s="5"/>
      <c r="CL486" s="3"/>
      <c r="CN486" s="5"/>
      <c r="CR486" s="3"/>
      <c r="CS486" s="3"/>
      <c r="CT486" s="5"/>
      <c r="CV486" s="3"/>
      <c r="DR486" s="5"/>
      <c r="DT486" s="3"/>
      <c r="EF486" s="7"/>
      <c r="EG486" s="7"/>
      <c r="EJ486" s="4"/>
      <c r="EK486" s="4"/>
      <c r="EU486" s="2"/>
      <c r="EV486" s="2"/>
    </row>
    <row r="487" spans="1:152">
      <c r="A487" s="125">
        <v>44</v>
      </c>
      <c r="B487" s="126" t="s">
        <v>311</v>
      </c>
      <c r="C487" s="126" t="s">
        <v>116</v>
      </c>
      <c r="D487" s="126" t="s">
        <v>117</v>
      </c>
      <c r="E487" s="126" t="s">
        <v>312</v>
      </c>
      <c r="F487" s="126" t="s">
        <v>34</v>
      </c>
      <c r="G487" s="126" t="s">
        <v>1574</v>
      </c>
      <c r="H487" s="126" t="s">
        <v>1575</v>
      </c>
      <c r="I487" s="126" t="s">
        <v>118</v>
      </c>
      <c r="J487" s="126"/>
      <c r="K487" s="127">
        <v>43202</v>
      </c>
      <c r="L487" s="128"/>
      <c r="M487" s="128">
        <v>2</v>
      </c>
      <c r="N487" s="126">
        <v>6</v>
      </c>
      <c r="O487" s="126" t="s">
        <v>119</v>
      </c>
      <c r="P487" s="129" t="s">
        <v>291</v>
      </c>
      <c r="Q487" s="129" t="s">
        <v>292</v>
      </c>
      <c r="R487" s="126" t="s">
        <v>24</v>
      </c>
      <c r="S487" s="126"/>
      <c r="T487" s="130" t="s">
        <v>120</v>
      </c>
      <c r="U487" s="126" t="s">
        <v>121</v>
      </c>
      <c r="V487" s="130" t="s">
        <v>120</v>
      </c>
      <c r="W487" s="126"/>
      <c r="X487" s="130" t="s">
        <v>120</v>
      </c>
      <c r="Y487" s="126"/>
      <c r="Z487" s="165" t="s">
        <v>120</v>
      </c>
      <c r="AA487" s="158"/>
      <c r="AB487" s="158"/>
      <c r="AC487" s="170"/>
      <c r="AD487" s="126"/>
      <c r="AE487" s="130" t="s">
        <v>120</v>
      </c>
      <c r="AF487" s="127" t="s">
        <v>305</v>
      </c>
      <c r="AG487" s="131"/>
      <c r="AH487" s="131">
        <v>2</v>
      </c>
      <c r="AI487" s="126" t="s">
        <v>310</v>
      </c>
      <c r="AJ487" s="130" t="s">
        <v>120</v>
      </c>
      <c r="AK487" s="126" t="s">
        <v>123</v>
      </c>
      <c r="AL487" s="126"/>
      <c r="AM487" s="130"/>
      <c r="AN487" s="126"/>
      <c r="AO487" s="132"/>
      <c r="AP487" s="126"/>
      <c r="AQ487" s="126"/>
      <c r="AR487" s="130"/>
      <c r="AS487" s="126"/>
      <c r="AT487" s="127"/>
      <c r="AU487" s="127">
        <v>43453.378949652797</v>
      </c>
      <c r="AV487" s="127"/>
      <c r="AW487" s="127"/>
      <c r="AX487" s="127"/>
      <c r="AY487" s="127"/>
      <c r="AZ487" s="133">
        <v>43202</v>
      </c>
      <c r="BA48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7" s="135">
        <f>COUNTIFS(_05preva_view43[Site ID],_05preva_view43[[#This Row],[Site ID]],_05preva_view43[Prevalidation Status],"Under Prevalidation")</f>
        <v>0</v>
      </c>
      <c r="BC487" s="157" t="e">
        <f ca="1">HYPERLINK(CheckPath(_05preva_view43[[#This Row],[File Path]],_05preva_view43[[#This Row],[File Path]],_05preva_view43[[#This Row],[Folder Path3]]),CheckPath(_05preva_view43[[#This Row],[File Path]],"Open File","No File"))</f>
        <v>#VALUE!</v>
      </c>
      <c r="BD487" s="136" t="str">
        <f>CONCATENATE(_05preva_view43[[#This Row],[Site ID]]," (",_05preva_view43[[#This Row],[tenant id]],") Application",IF(_05preva_view43[[#This Row],[Colo Rev]]&gt;0," Rev "&amp;_05preva_view43[[#This Row],[Colo Rev]],""),".xlsx")</f>
        <v>ACBA_0075 (BGO0949) Application.xlsx</v>
      </c>
      <c r="BE487" s="64" t="e">
        <f t="shared" ca="1" si="9"/>
        <v>#VALUE!</v>
      </c>
      <c r="BF487" s="104" t="e">
        <f ca="1">LEFT(CELL("filename",A472),_05preva_view43[[#This Row],[Find Process &amp; Database]]-1)</f>
        <v>#VALUE!</v>
      </c>
      <c r="BG487" s="104" t="e">
        <f ca="1">_05preva_view43[Folder Path1]&amp;"Process &amp; Database\Documentation\Colo Applications"</f>
        <v>#VALUE!</v>
      </c>
      <c r="BH487" s="104" t="e">
        <f ca="1">_05preva_view43[Folder Path2]&amp;"\Colo App "&amp;_05preva_view43[[#This Row],[Operator]]&amp;"\"</f>
        <v>#VALUE!</v>
      </c>
      <c r="BI487" s="63" t="e">
        <f ca="1">_05preva_view43[[#This Row],[Folder Path3]]&amp;_05preva_view43[[#This Row],[File Name]]</f>
        <v>#VALUE!</v>
      </c>
      <c r="BJ487" s="104"/>
      <c r="BK487" s="3"/>
      <c r="BL487" s="3"/>
      <c r="CJ487" s="5"/>
      <c r="CK487" s="5"/>
      <c r="CL487" s="3"/>
      <c r="CN487" s="5"/>
      <c r="CR487" s="3"/>
      <c r="CS487" s="3"/>
      <c r="CT487" s="5"/>
      <c r="CV487" s="3"/>
      <c r="DR487" s="5"/>
      <c r="DT487" s="3"/>
      <c r="EF487" s="7"/>
      <c r="EG487" s="7"/>
      <c r="EJ487" s="4"/>
      <c r="EK487" s="4"/>
      <c r="EU487" s="2"/>
      <c r="EV487" s="2"/>
    </row>
    <row r="488" spans="1:152">
      <c r="A488" s="125">
        <v>45</v>
      </c>
      <c r="B488" s="126" t="s">
        <v>313</v>
      </c>
      <c r="C488" s="126" t="s">
        <v>116</v>
      </c>
      <c r="D488" s="126" t="s">
        <v>117</v>
      </c>
      <c r="E488" s="126" t="s">
        <v>314</v>
      </c>
      <c r="F488" s="126" t="s">
        <v>34</v>
      </c>
      <c r="G488" s="126" t="s">
        <v>1574</v>
      </c>
      <c r="H488" s="126" t="s">
        <v>1575</v>
      </c>
      <c r="I488" s="126" t="s">
        <v>118</v>
      </c>
      <c r="J488" s="126"/>
      <c r="K488" s="127">
        <v>43202</v>
      </c>
      <c r="L488" s="128"/>
      <c r="M488" s="128">
        <v>2</v>
      </c>
      <c r="N488" s="126">
        <v>6</v>
      </c>
      <c r="O488" s="126" t="s">
        <v>119</v>
      </c>
      <c r="P488" s="129" t="s">
        <v>291</v>
      </c>
      <c r="Q488" s="129" t="s">
        <v>292</v>
      </c>
      <c r="R488" s="126" t="s">
        <v>24</v>
      </c>
      <c r="S488" s="126"/>
      <c r="T488" s="130" t="s">
        <v>120</v>
      </c>
      <c r="U488" s="126" t="s">
        <v>121</v>
      </c>
      <c r="V488" s="130" t="s">
        <v>120</v>
      </c>
      <c r="W488" s="126"/>
      <c r="X488" s="130" t="s">
        <v>120</v>
      </c>
      <c r="Y488" s="126"/>
      <c r="Z488" s="165" t="s">
        <v>120</v>
      </c>
      <c r="AA488" s="158"/>
      <c r="AB488" s="158"/>
      <c r="AC488" s="170"/>
      <c r="AD488" s="126"/>
      <c r="AE488" s="130" t="s">
        <v>120</v>
      </c>
      <c r="AF488" s="127" t="s">
        <v>305</v>
      </c>
      <c r="AG488" s="131"/>
      <c r="AH488" s="131">
        <v>2</v>
      </c>
      <c r="AI488" s="126" t="s">
        <v>310</v>
      </c>
      <c r="AJ488" s="130" t="s">
        <v>120</v>
      </c>
      <c r="AK488" s="126" t="s">
        <v>123</v>
      </c>
      <c r="AL488" s="126"/>
      <c r="AM488" s="130"/>
      <c r="AN488" s="126"/>
      <c r="AO488" s="132"/>
      <c r="AP488" s="126"/>
      <c r="AQ488" s="126"/>
      <c r="AR488" s="130"/>
      <c r="AS488" s="126"/>
      <c r="AT488" s="127"/>
      <c r="AU488" s="127">
        <v>43453.378952199098</v>
      </c>
      <c r="AV488" s="127"/>
      <c r="AW488" s="127"/>
      <c r="AX488" s="127"/>
      <c r="AY488" s="127"/>
      <c r="AZ488" s="133">
        <v>43202</v>
      </c>
      <c r="BA48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8" s="135">
        <f>COUNTIFS(_05preva_view43[Site ID],_05preva_view43[[#This Row],[Site ID]],_05preva_view43[Prevalidation Status],"Under Prevalidation")</f>
        <v>0</v>
      </c>
      <c r="BC488" s="157" t="e">
        <f ca="1">HYPERLINK(CheckPath(_05preva_view43[[#This Row],[File Path]],_05preva_view43[[#This Row],[File Path]],_05preva_view43[[#This Row],[Folder Path3]]),CheckPath(_05preva_view43[[#This Row],[File Path]],"Open File","No File"))</f>
        <v>#VALUE!</v>
      </c>
      <c r="BD488" s="136" t="str">
        <f>CONCATENATE(_05preva_view43[[#This Row],[Site ID]]," (",_05preva_view43[[#This Row],[tenant id]],") Application",IF(_05preva_view43[[#This Row],[Colo Rev]]&gt;0," Rev "&amp;_05preva_view43[[#This Row],[Colo Rev]],""),".xlsx")</f>
        <v>ACBA_0073 (BGO0950) Application.xlsx</v>
      </c>
      <c r="BE488" s="64" t="e">
        <f t="shared" ca="1" si="9"/>
        <v>#VALUE!</v>
      </c>
      <c r="BF488" s="104" t="e">
        <f ca="1">LEFT(CELL("filename",A473),_05preva_view43[[#This Row],[Find Process &amp; Database]]-1)</f>
        <v>#VALUE!</v>
      </c>
      <c r="BG488" s="104" t="e">
        <f ca="1">_05preva_view43[Folder Path1]&amp;"Process &amp; Database\Documentation\Colo Applications"</f>
        <v>#VALUE!</v>
      </c>
      <c r="BH488" s="104" t="e">
        <f ca="1">_05preva_view43[Folder Path2]&amp;"\Colo App "&amp;_05preva_view43[[#This Row],[Operator]]&amp;"\"</f>
        <v>#VALUE!</v>
      </c>
      <c r="BI488" s="63" t="e">
        <f ca="1">_05preva_view43[[#This Row],[Folder Path3]]&amp;_05preva_view43[[#This Row],[File Name]]</f>
        <v>#VALUE!</v>
      </c>
      <c r="BJ488" s="104"/>
      <c r="BK488" s="3"/>
      <c r="BL488" s="3"/>
      <c r="CJ488" s="5"/>
      <c r="CK488" s="5"/>
      <c r="CL488" s="3"/>
      <c r="CN488" s="5"/>
      <c r="CR488" s="3"/>
      <c r="CS488" s="3"/>
      <c r="CT488" s="5"/>
      <c r="CV488" s="3"/>
      <c r="DR488" s="5"/>
      <c r="DT488" s="3"/>
      <c r="EF488" s="7"/>
      <c r="EG488" s="7"/>
      <c r="EJ488" s="4"/>
      <c r="EK488" s="4"/>
      <c r="EU488" s="2"/>
      <c r="EV488" s="2"/>
    </row>
    <row r="489" spans="1:152">
      <c r="A489" s="125">
        <v>46</v>
      </c>
      <c r="B489" s="126" t="s">
        <v>315</v>
      </c>
      <c r="C489" s="126" t="s">
        <v>116</v>
      </c>
      <c r="D489" s="126" t="s">
        <v>117</v>
      </c>
      <c r="E489" s="126" t="s">
        <v>316</v>
      </c>
      <c r="F489" s="126" t="s">
        <v>34</v>
      </c>
      <c r="G489" s="126" t="s">
        <v>1574</v>
      </c>
      <c r="H489" s="126" t="s">
        <v>1575</v>
      </c>
      <c r="I489" s="126" t="s">
        <v>118</v>
      </c>
      <c r="J489" s="126"/>
      <c r="K489" s="127">
        <v>43202</v>
      </c>
      <c r="L489" s="128"/>
      <c r="M489" s="128">
        <v>2</v>
      </c>
      <c r="N489" s="126">
        <v>6</v>
      </c>
      <c r="O489" s="126" t="s">
        <v>119</v>
      </c>
      <c r="P489" s="129" t="s">
        <v>291</v>
      </c>
      <c r="Q489" s="129" t="s">
        <v>292</v>
      </c>
      <c r="R489" s="126" t="s">
        <v>24</v>
      </c>
      <c r="S489" s="126"/>
      <c r="T489" s="130" t="s">
        <v>120</v>
      </c>
      <c r="U489" s="126" t="s">
        <v>121</v>
      </c>
      <c r="V489" s="130" t="s">
        <v>120</v>
      </c>
      <c r="W489" s="126"/>
      <c r="X489" s="130" t="s">
        <v>120</v>
      </c>
      <c r="Y489" s="126"/>
      <c r="Z489" s="165" t="s">
        <v>120</v>
      </c>
      <c r="AA489" s="158"/>
      <c r="AB489" s="158"/>
      <c r="AC489" s="170"/>
      <c r="AD489" s="126"/>
      <c r="AE489" s="130" t="s">
        <v>120</v>
      </c>
      <c r="AF489" s="127" t="s">
        <v>305</v>
      </c>
      <c r="AG489" s="131"/>
      <c r="AH489" s="131">
        <v>2</v>
      </c>
      <c r="AI489" s="126" t="s">
        <v>310</v>
      </c>
      <c r="AJ489" s="130" t="s">
        <v>120</v>
      </c>
      <c r="AK489" s="126" t="s">
        <v>123</v>
      </c>
      <c r="AL489" s="126"/>
      <c r="AM489" s="130"/>
      <c r="AN489" s="126"/>
      <c r="AO489" s="132"/>
      <c r="AP489" s="126"/>
      <c r="AQ489" s="126"/>
      <c r="AR489" s="130"/>
      <c r="AS489" s="126"/>
      <c r="AT489" s="127"/>
      <c r="AU489" s="127">
        <v>43453.378953240703</v>
      </c>
      <c r="AV489" s="127"/>
      <c r="AW489" s="127"/>
      <c r="AX489" s="127"/>
      <c r="AY489" s="127"/>
      <c r="AZ489" s="133">
        <v>43202</v>
      </c>
      <c r="BA48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9" s="135">
        <f>COUNTIFS(_05preva_view43[Site ID],_05preva_view43[[#This Row],[Site ID]],_05preva_view43[Prevalidation Status],"Under Prevalidation")</f>
        <v>0</v>
      </c>
      <c r="BC489" s="157" t="e">
        <f ca="1">HYPERLINK(CheckPath(_05preva_view43[[#This Row],[File Path]],_05preva_view43[[#This Row],[File Path]],_05preva_view43[[#This Row],[Folder Path3]]),CheckPath(_05preva_view43[[#This Row],[File Path]],"Open File","No File"))</f>
        <v>#VALUE!</v>
      </c>
      <c r="BD489" s="136" t="str">
        <f>CONCATENATE(_05preva_view43[[#This Row],[Site ID]]," (",_05preva_view43[[#This Row],[tenant id]],") Application",IF(_05preva_view43[[#This Row],[Colo Rev]]&gt;0," Rev "&amp;_05preva_view43[[#This Row],[Colo Rev]],""),".xlsx")</f>
        <v>ACBA_0067 (BGO0965) Application.xlsx</v>
      </c>
      <c r="BE489" s="64" t="e">
        <f t="shared" ca="1" si="9"/>
        <v>#VALUE!</v>
      </c>
      <c r="BF489" s="104" t="e">
        <f ca="1">LEFT(CELL("filename",A474),_05preva_view43[[#This Row],[Find Process &amp; Database]]-1)</f>
        <v>#VALUE!</v>
      </c>
      <c r="BG489" s="104" t="e">
        <f ca="1">_05preva_view43[Folder Path1]&amp;"Process &amp; Database\Documentation\Colo Applications"</f>
        <v>#VALUE!</v>
      </c>
      <c r="BH489" s="104" t="e">
        <f ca="1">_05preva_view43[Folder Path2]&amp;"\Colo App "&amp;_05preva_view43[[#This Row],[Operator]]&amp;"\"</f>
        <v>#VALUE!</v>
      </c>
      <c r="BI489" s="63" t="e">
        <f ca="1">_05preva_view43[[#This Row],[Folder Path3]]&amp;_05preva_view43[[#This Row],[File Name]]</f>
        <v>#VALUE!</v>
      </c>
      <c r="BJ489" s="104"/>
      <c r="BK489" s="3"/>
      <c r="BL489" s="3"/>
      <c r="CJ489" s="5"/>
      <c r="CK489" s="5"/>
      <c r="CL489" s="3"/>
      <c r="CN489" s="5"/>
      <c r="CR489" s="3"/>
      <c r="CS489" s="3"/>
      <c r="CT489" s="5"/>
      <c r="CV489" s="3"/>
      <c r="DR489" s="5"/>
      <c r="DT489" s="3"/>
      <c r="EF489" s="7"/>
      <c r="EG489" s="7"/>
      <c r="EJ489" s="4"/>
      <c r="EK489" s="4"/>
      <c r="EU489" s="2"/>
      <c r="EV489" s="2"/>
    </row>
    <row r="490" spans="1:152">
      <c r="A490" s="125">
        <v>47</v>
      </c>
      <c r="B490" s="126" t="s">
        <v>317</v>
      </c>
      <c r="C490" s="126" t="s">
        <v>116</v>
      </c>
      <c r="D490" s="126" t="s">
        <v>117</v>
      </c>
      <c r="E490" s="126" t="s">
        <v>318</v>
      </c>
      <c r="F490" s="126" t="s">
        <v>34</v>
      </c>
      <c r="G490" s="126" t="s">
        <v>1574</v>
      </c>
      <c r="H490" s="126" t="s">
        <v>1575</v>
      </c>
      <c r="I490" s="126" t="s">
        <v>118</v>
      </c>
      <c r="J490" s="126"/>
      <c r="K490" s="127">
        <v>43202</v>
      </c>
      <c r="L490" s="128"/>
      <c r="M490" s="128">
        <v>2</v>
      </c>
      <c r="N490" s="126">
        <v>6</v>
      </c>
      <c r="O490" s="126" t="s">
        <v>119</v>
      </c>
      <c r="P490" s="129" t="s">
        <v>291</v>
      </c>
      <c r="Q490" s="129" t="s">
        <v>292</v>
      </c>
      <c r="R490" s="126" t="s">
        <v>24</v>
      </c>
      <c r="S490" s="126"/>
      <c r="T490" s="130" t="s">
        <v>120</v>
      </c>
      <c r="U490" s="126" t="s">
        <v>121</v>
      </c>
      <c r="V490" s="130" t="s">
        <v>120</v>
      </c>
      <c r="W490" s="126"/>
      <c r="X490" s="130" t="s">
        <v>120</v>
      </c>
      <c r="Y490" s="126"/>
      <c r="Z490" s="165" t="s">
        <v>120</v>
      </c>
      <c r="AA490" s="158"/>
      <c r="AB490" s="158"/>
      <c r="AC490" s="170"/>
      <c r="AD490" s="126"/>
      <c r="AE490" s="130" t="s">
        <v>120</v>
      </c>
      <c r="AF490" s="127" t="s">
        <v>305</v>
      </c>
      <c r="AG490" s="131"/>
      <c r="AH490" s="131">
        <v>2</v>
      </c>
      <c r="AI490" s="126" t="s">
        <v>310</v>
      </c>
      <c r="AJ490" s="130" t="s">
        <v>120</v>
      </c>
      <c r="AK490" s="126" t="s">
        <v>123</v>
      </c>
      <c r="AL490" s="126"/>
      <c r="AM490" s="130"/>
      <c r="AN490" s="126"/>
      <c r="AO490" s="132"/>
      <c r="AP490" s="126"/>
      <c r="AQ490" s="126"/>
      <c r="AR490" s="130"/>
      <c r="AS490" s="126"/>
      <c r="AT490" s="127"/>
      <c r="AU490" s="127">
        <v>43453.3789555556</v>
      </c>
      <c r="AV490" s="127"/>
      <c r="AW490" s="127"/>
      <c r="AX490" s="127"/>
      <c r="AY490" s="127"/>
      <c r="AZ490" s="133">
        <v>43202</v>
      </c>
      <c r="BA49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0" s="135">
        <f>COUNTIFS(_05preva_view43[Site ID],_05preva_view43[[#This Row],[Site ID]],_05preva_view43[Prevalidation Status],"Under Prevalidation")</f>
        <v>0</v>
      </c>
      <c r="BC490" s="157" t="e">
        <f ca="1">HYPERLINK(CheckPath(_05preva_view43[[#This Row],[File Path]],_05preva_view43[[#This Row],[File Path]],_05preva_view43[[#This Row],[Folder Path3]]),CheckPath(_05preva_view43[[#This Row],[File Path]],"Open File","No File"))</f>
        <v>#VALUE!</v>
      </c>
      <c r="BD490" s="136" t="str">
        <f>CONCATENATE(_05preva_view43[[#This Row],[Site ID]]," (",_05preva_view43[[#This Row],[tenant id]],") Application",IF(_05preva_view43[[#This Row],[Colo Rev]]&gt;0," Rev "&amp;_05preva_view43[[#This Row],[Colo Rev]],""),".xlsx")</f>
        <v>ACBA_0124 (BGO0970) Application.xlsx</v>
      </c>
      <c r="BE490" s="64" t="e">
        <f t="shared" ca="1" si="9"/>
        <v>#VALUE!</v>
      </c>
      <c r="BF490" s="104" t="e">
        <f ca="1">LEFT(CELL("filename",A475),_05preva_view43[[#This Row],[Find Process &amp; Database]]-1)</f>
        <v>#VALUE!</v>
      </c>
      <c r="BG490" s="104" t="e">
        <f ca="1">_05preva_view43[Folder Path1]&amp;"Process &amp; Database\Documentation\Colo Applications"</f>
        <v>#VALUE!</v>
      </c>
      <c r="BH490" s="104" t="e">
        <f ca="1">_05preva_view43[Folder Path2]&amp;"\Colo App "&amp;_05preva_view43[[#This Row],[Operator]]&amp;"\"</f>
        <v>#VALUE!</v>
      </c>
      <c r="BI490" s="63" t="e">
        <f ca="1">_05preva_view43[[#This Row],[Folder Path3]]&amp;_05preva_view43[[#This Row],[File Name]]</f>
        <v>#VALUE!</v>
      </c>
      <c r="BJ490" s="104"/>
      <c r="BK490" s="3"/>
      <c r="BL490" s="3"/>
      <c r="CJ490" s="5"/>
      <c r="CK490" s="5"/>
      <c r="CL490" s="3"/>
      <c r="CN490" s="5"/>
      <c r="CR490" s="3"/>
      <c r="CS490" s="3"/>
      <c r="CT490" s="5"/>
      <c r="CV490" s="3"/>
      <c r="DR490" s="5"/>
      <c r="DT490" s="3"/>
      <c r="EF490" s="7"/>
      <c r="EG490" s="7"/>
      <c r="EJ490" s="4"/>
      <c r="EK490" s="4"/>
      <c r="EU490" s="2"/>
      <c r="EV490" s="2"/>
    </row>
    <row r="491" spans="1:152">
      <c r="A491" s="125">
        <v>48</v>
      </c>
      <c r="B491" s="126" t="s">
        <v>319</v>
      </c>
      <c r="C491" s="126" t="s">
        <v>116</v>
      </c>
      <c r="D491" s="126" t="s">
        <v>117</v>
      </c>
      <c r="E491" s="126" t="s">
        <v>320</v>
      </c>
      <c r="F491" s="126" t="s">
        <v>34</v>
      </c>
      <c r="G491" s="126" t="s">
        <v>1574</v>
      </c>
      <c r="H491" s="126" t="s">
        <v>1575</v>
      </c>
      <c r="I491" s="126" t="s">
        <v>118</v>
      </c>
      <c r="J491" s="126"/>
      <c r="K491" s="127">
        <v>43202</v>
      </c>
      <c r="L491" s="128"/>
      <c r="M491" s="128">
        <v>2</v>
      </c>
      <c r="N491" s="126">
        <v>6</v>
      </c>
      <c r="O491" s="126" t="s">
        <v>119</v>
      </c>
      <c r="P491" s="129" t="s">
        <v>291</v>
      </c>
      <c r="Q491" s="129" t="s">
        <v>292</v>
      </c>
      <c r="R491" s="126" t="s">
        <v>24</v>
      </c>
      <c r="S491" s="126"/>
      <c r="T491" s="130" t="s">
        <v>120</v>
      </c>
      <c r="U491" s="126" t="s">
        <v>121</v>
      </c>
      <c r="V491" s="130" t="s">
        <v>120</v>
      </c>
      <c r="W491" s="126"/>
      <c r="X491" s="130" t="s">
        <v>120</v>
      </c>
      <c r="Y491" s="126"/>
      <c r="Z491" s="165" t="s">
        <v>120</v>
      </c>
      <c r="AA491" s="158"/>
      <c r="AB491" s="158"/>
      <c r="AC491" s="170"/>
      <c r="AD491" s="126"/>
      <c r="AE491" s="130" t="s">
        <v>120</v>
      </c>
      <c r="AF491" s="127" t="s">
        <v>305</v>
      </c>
      <c r="AG491" s="131"/>
      <c r="AH491" s="131">
        <v>2</v>
      </c>
      <c r="AI491" s="126" t="s">
        <v>279</v>
      </c>
      <c r="AJ491" s="130" t="s">
        <v>120</v>
      </c>
      <c r="AK491" s="126" t="s">
        <v>123</v>
      </c>
      <c r="AL491" s="126"/>
      <c r="AM491" s="130"/>
      <c r="AN491" s="126"/>
      <c r="AO491" s="132"/>
      <c r="AP491" s="126"/>
      <c r="AQ491" s="126"/>
      <c r="AR491" s="130"/>
      <c r="AS491" s="126"/>
      <c r="AT491" s="127"/>
      <c r="AU491" s="127">
        <v>43453.378956250002</v>
      </c>
      <c r="AV491" s="127"/>
      <c r="AW491" s="127"/>
      <c r="AX491" s="127"/>
      <c r="AY491" s="127"/>
      <c r="AZ491" s="133">
        <v>43202</v>
      </c>
      <c r="BA49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1" s="135">
        <f>COUNTIFS(_05preva_view43[Site ID],_05preva_view43[[#This Row],[Site ID]],_05preva_view43[Prevalidation Status],"Under Prevalidation")</f>
        <v>0</v>
      </c>
      <c r="BC491" s="157" t="e">
        <f ca="1">HYPERLINK(CheckPath(_05preva_view43[[#This Row],[File Path]],_05preva_view43[[#This Row],[File Path]],_05preva_view43[[#This Row],[Folder Path3]]),CheckPath(_05preva_view43[[#This Row],[File Path]],"Open File","No File"))</f>
        <v>#VALUE!</v>
      </c>
      <c r="BD491" s="136" t="str">
        <f>CONCATENATE(_05preva_view43[[#This Row],[Site ID]]," (",_05preva_view43[[#This Row],[tenant id]],") Application",IF(_05preva_view43[[#This Row],[Colo Rev]]&gt;0," Rev "&amp;_05preva_view43[[#This Row],[Colo Rev]],""),".xlsx")</f>
        <v>ANNP_0243 (NPW0263) Application.xlsx</v>
      </c>
      <c r="BE491" s="64" t="e">
        <f t="shared" ca="1" si="9"/>
        <v>#VALUE!</v>
      </c>
      <c r="BF491" s="104" t="e">
        <f ca="1">LEFT(CELL("filename",A476),_05preva_view43[[#This Row],[Find Process &amp; Database]]-1)</f>
        <v>#VALUE!</v>
      </c>
      <c r="BG491" s="104" t="e">
        <f ca="1">_05preva_view43[Folder Path1]&amp;"Process &amp; Database\Documentation\Colo Applications"</f>
        <v>#VALUE!</v>
      </c>
      <c r="BH491" s="104" t="e">
        <f ca="1">_05preva_view43[Folder Path2]&amp;"\Colo App "&amp;_05preva_view43[[#This Row],[Operator]]&amp;"\"</f>
        <v>#VALUE!</v>
      </c>
      <c r="BI491" s="63" t="e">
        <f ca="1">_05preva_view43[[#This Row],[Folder Path3]]&amp;_05preva_view43[[#This Row],[File Name]]</f>
        <v>#VALUE!</v>
      </c>
      <c r="BJ491" s="104"/>
      <c r="BK491" s="3"/>
      <c r="BL491" s="3"/>
      <c r="CJ491" s="5"/>
      <c r="CK491" s="5"/>
      <c r="CL491" s="3"/>
      <c r="CN491" s="5"/>
      <c r="CR491" s="3"/>
      <c r="CS491" s="3"/>
      <c r="CT491" s="5"/>
      <c r="CV491" s="3"/>
      <c r="DR491" s="5"/>
      <c r="DT491" s="3"/>
      <c r="EF491" s="7"/>
      <c r="EG491" s="7"/>
      <c r="EJ491" s="4"/>
      <c r="EK491" s="4"/>
      <c r="EU491" s="2"/>
      <c r="EV491" s="2"/>
    </row>
    <row r="492" spans="1:152">
      <c r="A492" s="125">
        <v>49</v>
      </c>
      <c r="B492" s="126" t="s">
        <v>321</v>
      </c>
      <c r="C492" s="126" t="s">
        <v>116</v>
      </c>
      <c r="D492" s="126" t="s">
        <v>117</v>
      </c>
      <c r="E492" s="126" t="s">
        <v>322</v>
      </c>
      <c r="F492" s="126" t="s">
        <v>34</v>
      </c>
      <c r="G492" s="126" t="s">
        <v>1574</v>
      </c>
      <c r="H492" s="126" t="s">
        <v>1575</v>
      </c>
      <c r="I492" s="126" t="s">
        <v>118</v>
      </c>
      <c r="J492" s="126"/>
      <c r="K492" s="127">
        <v>43202</v>
      </c>
      <c r="L492" s="128"/>
      <c r="M492" s="128">
        <v>2</v>
      </c>
      <c r="N492" s="126">
        <v>6</v>
      </c>
      <c r="O492" s="126" t="s">
        <v>119</v>
      </c>
      <c r="P492" s="129" t="s">
        <v>291</v>
      </c>
      <c r="Q492" s="129" t="s">
        <v>292</v>
      </c>
      <c r="R492" s="126" t="s">
        <v>24</v>
      </c>
      <c r="S492" s="126"/>
      <c r="T492" s="130" t="s">
        <v>120</v>
      </c>
      <c r="U492" s="126" t="s">
        <v>121</v>
      </c>
      <c r="V492" s="130" t="s">
        <v>120</v>
      </c>
      <c r="W492" s="126"/>
      <c r="X492" s="130" t="s">
        <v>120</v>
      </c>
      <c r="Y492" s="126" t="s">
        <v>323</v>
      </c>
      <c r="Z492" s="165" t="s">
        <v>120</v>
      </c>
      <c r="AA492" s="158"/>
      <c r="AB492" s="158"/>
      <c r="AC492" s="170"/>
      <c r="AD492" s="126" t="s">
        <v>324</v>
      </c>
      <c r="AE492" s="130" t="s">
        <v>120</v>
      </c>
      <c r="AF492" s="127" t="s">
        <v>305</v>
      </c>
      <c r="AG492" s="131"/>
      <c r="AH492" s="131">
        <v>2</v>
      </c>
      <c r="AI492" s="126" t="s">
        <v>326</v>
      </c>
      <c r="AJ492" s="130" t="s">
        <v>120</v>
      </c>
      <c r="AK492" s="126" t="s">
        <v>240</v>
      </c>
      <c r="AL492" s="126" t="s">
        <v>325</v>
      </c>
      <c r="AM492" s="130"/>
      <c r="AN492" s="126"/>
      <c r="AO492" s="132"/>
      <c r="AP492" s="126"/>
      <c r="AQ492" s="126"/>
      <c r="AR492" s="130"/>
      <c r="AS492" s="126"/>
      <c r="AT492" s="127"/>
      <c r="AU492" s="127">
        <v>43453.378957291701</v>
      </c>
      <c r="AV492" s="127"/>
      <c r="AW492" s="127"/>
      <c r="AX492" s="127"/>
      <c r="AY492" s="127"/>
      <c r="AZ492" s="133">
        <v>43202</v>
      </c>
      <c r="BA49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2" s="135">
        <f>COUNTIFS(_05preva_view43[Site ID],_05preva_view43[[#This Row],[Site ID]],_05preva_view43[Prevalidation Status],"Under Prevalidation")</f>
        <v>0</v>
      </c>
      <c r="BC492" s="157" t="e">
        <f ca="1">HYPERLINK(CheckPath(_05preva_view43[[#This Row],[File Path]],_05preva_view43[[#This Row],[File Path]],_05preva_view43[[#This Row],[Folder Path3]]),CheckPath(_05preva_view43[[#This Row],[File Path]],"Open File","No File"))</f>
        <v>#VALUE!</v>
      </c>
      <c r="BD492" s="136" t="str">
        <f>CONCATENATE(_05preva_view43[[#This Row],[Site ID]]," (",_05preva_view43[[#This Row],[tenant id]],") Application",IF(_05preva_view43[[#This Row],[Colo Rev]]&gt;0," Rev "&amp;_05preva_view43[[#This Row],[Colo Rev]],""),".xlsx")</f>
        <v>ANNP_0241 (NPW0264) Application.xlsx</v>
      </c>
      <c r="BE492" s="64" t="e">
        <f t="shared" ca="1" si="9"/>
        <v>#VALUE!</v>
      </c>
      <c r="BF492" s="104" t="e">
        <f ca="1">LEFT(CELL("filename",A477),_05preva_view43[[#This Row],[Find Process &amp; Database]]-1)</f>
        <v>#VALUE!</v>
      </c>
      <c r="BG492" s="104" t="e">
        <f ca="1">_05preva_view43[Folder Path1]&amp;"Process &amp; Database\Documentation\Colo Applications"</f>
        <v>#VALUE!</v>
      </c>
      <c r="BH492" s="104" t="e">
        <f ca="1">_05preva_view43[Folder Path2]&amp;"\Colo App "&amp;_05preva_view43[[#This Row],[Operator]]&amp;"\"</f>
        <v>#VALUE!</v>
      </c>
      <c r="BI492" s="63" t="e">
        <f ca="1">_05preva_view43[[#This Row],[Folder Path3]]&amp;_05preva_view43[[#This Row],[File Name]]</f>
        <v>#VALUE!</v>
      </c>
      <c r="BJ492" s="104"/>
      <c r="BK492" s="3"/>
      <c r="BL492" s="3"/>
      <c r="CJ492" s="5"/>
      <c r="CK492" s="5"/>
      <c r="CL492" s="3"/>
      <c r="CN492" s="5"/>
      <c r="CR492" s="3"/>
      <c r="CS492" s="3"/>
      <c r="CT492" s="5"/>
      <c r="CV492" s="3"/>
      <c r="DR492" s="5"/>
      <c r="DT492" s="3"/>
      <c r="EF492" s="7"/>
      <c r="EG492" s="7"/>
      <c r="EJ492" s="4"/>
      <c r="EK492" s="4"/>
      <c r="EU492" s="2"/>
      <c r="EV492" s="2"/>
    </row>
    <row r="493" spans="1:152">
      <c r="A493" s="125">
        <v>36</v>
      </c>
      <c r="B493" s="126" t="s">
        <v>274</v>
      </c>
      <c r="C493" s="126" t="s">
        <v>116</v>
      </c>
      <c r="D493" s="126" t="s">
        <v>127</v>
      </c>
      <c r="E493" s="126" t="s">
        <v>275</v>
      </c>
      <c r="F493" s="126" t="s">
        <v>34</v>
      </c>
      <c r="G493" s="126" t="s">
        <v>1574</v>
      </c>
      <c r="H493" s="126" t="s">
        <v>1580</v>
      </c>
      <c r="I493" s="126" t="s">
        <v>118</v>
      </c>
      <c r="J493" s="126"/>
      <c r="K493" s="127">
        <v>43193</v>
      </c>
      <c r="L493" s="128"/>
      <c r="M493" s="128">
        <v>2</v>
      </c>
      <c r="N493" s="126">
        <v>6</v>
      </c>
      <c r="O493" s="126" t="s">
        <v>119</v>
      </c>
      <c r="P493" s="129" t="s">
        <v>276</v>
      </c>
      <c r="Q493" s="129" t="s">
        <v>277</v>
      </c>
      <c r="R493" s="126" t="s">
        <v>24</v>
      </c>
      <c r="S493" s="126"/>
      <c r="T493" s="130" t="s">
        <v>120</v>
      </c>
      <c r="U493" s="126" t="s">
        <v>121</v>
      </c>
      <c r="V493" s="130" t="s">
        <v>265</v>
      </c>
      <c r="W493" s="126"/>
      <c r="X493" s="130" t="s">
        <v>120</v>
      </c>
      <c r="Y493" s="126" t="s">
        <v>278</v>
      </c>
      <c r="Z493" s="165" t="s">
        <v>120</v>
      </c>
      <c r="AA493" s="158"/>
      <c r="AB493" s="158"/>
      <c r="AC493" s="170"/>
      <c r="AD493" s="126"/>
      <c r="AE493" s="130" t="s">
        <v>120</v>
      </c>
      <c r="AF493" s="127" t="s">
        <v>266</v>
      </c>
      <c r="AG493" s="131"/>
      <c r="AH493" s="131">
        <v>2</v>
      </c>
      <c r="AI493" s="126" t="s">
        <v>279</v>
      </c>
      <c r="AJ493" s="130" t="s">
        <v>120</v>
      </c>
      <c r="AK493" s="126" t="s">
        <v>240</v>
      </c>
      <c r="AL493" s="126" t="s">
        <v>258</v>
      </c>
      <c r="AM493" s="130"/>
      <c r="AN493" s="126"/>
      <c r="AO493" s="132"/>
      <c r="AP493" s="126"/>
      <c r="AQ493" s="126"/>
      <c r="AR493" s="130"/>
      <c r="AS493" s="126"/>
      <c r="AT493" s="127"/>
      <c r="AU493" s="127">
        <v>43453.378931944397</v>
      </c>
      <c r="AV493" s="127"/>
      <c r="AW493" s="127"/>
      <c r="AX493" s="127"/>
      <c r="AY493" s="127"/>
      <c r="AZ493" s="133">
        <v>43193</v>
      </c>
      <c r="BA49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3" s="135">
        <f>COUNTIFS(_05preva_view43[Site ID],_05preva_view43[[#This Row],[Site ID]],_05preva_view43[Prevalidation Status],"Under Prevalidation")</f>
        <v>0</v>
      </c>
      <c r="BC493" s="157" t="e">
        <f ca="1">HYPERLINK(CheckPath(_05preva_view43[[#This Row],[File Path]],_05preva_view43[[#This Row],[File Path]],_05preva_view43[[#This Row],[Folder Path3]]),CheckPath(_05preva_view43[[#This Row],[File Path]],"Open File","No File"))</f>
        <v>#VALUE!</v>
      </c>
      <c r="BD493" s="136" t="str">
        <f>CONCATENATE(_05preva_view43[[#This Row],[Site ID]]," (",_05preva_view43[[#This Row],[tenant id]],") Application",IF(_05preva_view43[[#This Row],[Colo Rev]]&gt;0," Rev "&amp;_05preva_view43[[#This Row],[Colo Rev]],""),".xlsx")</f>
        <v>ANKC_0017 (KCN0349) Application.xlsx</v>
      </c>
      <c r="BE493" s="64" t="e">
        <f t="shared" ca="1" si="9"/>
        <v>#VALUE!</v>
      </c>
      <c r="BF493" s="104" t="e">
        <f ca="1">LEFT(CELL("filename",A478),_05preva_view43[[#This Row],[Find Process &amp; Database]]-1)</f>
        <v>#VALUE!</v>
      </c>
      <c r="BG493" s="104" t="e">
        <f ca="1">_05preva_view43[Folder Path1]&amp;"Process &amp; Database\Documentation\Colo Applications"</f>
        <v>#VALUE!</v>
      </c>
      <c r="BH493" s="104" t="e">
        <f ca="1">_05preva_view43[Folder Path2]&amp;"\Colo App "&amp;_05preva_view43[[#This Row],[Operator]]&amp;"\"</f>
        <v>#VALUE!</v>
      </c>
      <c r="BI493" s="63" t="e">
        <f ca="1">_05preva_view43[[#This Row],[Folder Path3]]&amp;_05preva_view43[[#This Row],[File Name]]</f>
        <v>#VALUE!</v>
      </c>
      <c r="BJ493" s="104"/>
      <c r="BK493" s="3"/>
      <c r="BL493" s="3"/>
      <c r="CJ493" s="5"/>
      <c r="CK493" s="5"/>
      <c r="CL493" s="3"/>
      <c r="CN493" s="5"/>
      <c r="CR493" s="3"/>
      <c r="CS493" s="3"/>
      <c r="CT493" s="5"/>
      <c r="CV493" s="3"/>
      <c r="DR493" s="5"/>
      <c r="DT493" s="3"/>
      <c r="EF493" s="7"/>
      <c r="EG493" s="7"/>
      <c r="EJ493" s="4"/>
      <c r="EK493" s="4"/>
      <c r="EU493" s="2"/>
      <c r="EV493" s="2"/>
    </row>
    <row r="494" spans="1:152">
      <c r="A494" s="125">
        <v>37</v>
      </c>
      <c r="B494" s="126" t="s">
        <v>280</v>
      </c>
      <c r="C494" s="126" t="s">
        <v>116</v>
      </c>
      <c r="D494" s="126" t="s">
        <v>127</v>
      </c>
      <c r="E494" s="126" t="s">
        <v>281</v>
      </c>
      <c r="F494" s="126" t="s">
        <v>34</v>
      </c>
      <c r="G494" s="126" t="s">
        <v>1574</v>
      </c>
      <c r="H494" s="126" t="s">
        <v>1575</v>
      </c>
      <c r="I494" s="126" t="s">
        <v>118</v>
      </c>
      <c r="J494" s="126"/>
      <c r="K494" s="127">
        <v>43193</v>
      </c>
      <c r="L494" s="128"/>
      <c r="M494" s="128">
        <v>2</v>
      </c>
      <c r="N494" s="126">
        <v>6</v>
      </c>
      <c r="O494" s="126" t="s">
        <v>119</v>
      </c>
      <c r="P494" s="129" t="s">
        <v>276</v>
      </c>
      <c r="Q494" s="129" t="s">
        <v>277</v>
      </c>
      <c r="R494" s="126" t="s">
        <v>24</v>
      </c>
      <c r="S494" s="126"/>
      <c r="T494" s="130" t="s">
        <v>120</v>
      </c>
      <c r="U494" s="126" t="s">
        <v>121</v>
      </c>
      <c r="V494" s="130" t="s">
        <v>120</v>
      </c>
      <c r="W494" s="126"/>
      <c r="X494" s="130" t="s">
        <v>120</v>
      </c>
      <c r="Y494" s="126" t="s">
        <v>278</v>
      </c>
      <c r="Z494" s="165" t="s">
        <v>120</v>
      </c>
      <c r="AA494" s="158"/>
      <c r="AB494" s="158"/>
      <c r="AC494" s="170"/>
      <c r="AD494" s="126"/>
      <c r="AE494" s="130" t="s">
        <v>120</v>
      </c>
      <c r="AF494" s="127" t="s">
        <v>266</v>
      </c>
      <c r="AG494" s="131"/>
      <c r="AH494" s="131">
        <v>2</v>
      </c>
      <c r="AI494" s="126" t="s">
        <v>267</v>
      </c>
      <c r="AJ494" s="130" t="s">
        <v>120</v>
      </c>
      <c r="AK494" s="126" t="s">
        <v>123</v>
      </c>
      <c r="AL494" s="126"/>
      <c r="AM494" s="130"/>
      <c r="AN494" s="126"/>
      <c r="AO494" s="132"/>
      <c r="AP494" s="126"/>
      <c r="AQ494" s="126"/>
      <c r="AR494" s="130"/>
      <c r="AS494" s="126"/>
      <c r="AT494" s="127"/>
      <c r="AU494" s="127">
        <v>43453.378934606502</v>
      </c>
      <c r="AV494" s="127"/>
      <c r="AW494" s="127"/>
      <c r="AX494" s="127"/>
      <c r="AY494" s="127"/>
      <c r="AZ494" s="133">
        <v>43193</v>
      </c>
      <c r="BA49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4" s="135">
        <f>COUNTIFS(_05preva_view43[Site ID],_05preva_view43[[#This Row],[Site ID]],_05preva_view43[Prevalidation Status],"Under Prevalidation")</f>
        <v>0</v>
      </c>
      <c r="BC494" s="157" t="e">
        <f ca="1">HYPERLINK(CheckPath(_05preva_view43[[#This Row],[File Path]],_05preva_view43[[#This Row],[File Path]],_05preva_view43[[#This Row],[Folder Path3]]),CheckPath(_05preva_view43[[#This Row],[File Path]],"Open File","No File"))</f>
        <v>#VALUE!</v>
      </c>
      <c r="BD494" s="136" t="str">
        <f>CONCATENATE(_05preva_view43[[#This Row],[Site ID]]," (",_05preva_view43[[#This Row],[tenant id]],") Application",IF(_05preva_view43[[#This Row],[Colo Rev]]&gt;0," Rev "&amp;_05preva_view43[[#This Row],[Colo Rev]],""),".xlsx")</f>
        <v>ANMD_0073 (MDY0002) Application.xlsx</v>
      </c>
      <c r="BE494" s="64" t="e">
        <f t="shared" ca="1" si="9"/>
        <v>#VALUE!</v>
      </c>
      <c r="BF494" s="104" t="e">
        <f ca="1">LEFT(CELL("filename",A479),_05preva_view43[[#This Row],[Find Process &amp; Database]]-1)</f>
        <v>#VALUE!</v>
      </c>
      <c r="BG494" s="104" t="e">
        <f ca="1">_05preva_view43[Folder Path1]&amp;"Process &amp; Database\Documentation\Colo Applications"</f>
        <v>#VALUE!</v>
      </c>
      <c r="BH494" s="104" t="e">
        <f ca="1">_05preva_view43[Folder Path2]&amp;"\Colo App "&amp;_05preva_view43[[#This Row],[Operator]]&amp;"\"</f>
        <v>#VALUE!</v>
      </c>
      <c r="BI494" s="63" t="e">
        <f ca="1">_05preva_view43[[#This Row],[Folder Path3]]&amp;_05preva_view43[[#This Row],[File Name]]</f>
        <v>#VALUE!</v>
      </c>
      <c r="BJ494" s="104"/>
      <c r="BK494" s="3"/>
      <c r="BL494" s="3"/>
      <c r="CJ494" s="5"/>
      <c r="CK494" s="5"/>
      <c r="CL494" s="3"/>
      <c r="CN494" s="5"/>
      <c r="CR494" s="3"/>
      <c r="CS494" s="3"/>
      <c r="CT494" s="5"/>
      <c r="CV494" s="3"/>
      <c r="DR494" s="5"/>
      <c r="DT494" s="3"/>
      <c r="EF494" s="7"/>
      <c r="EG494" s="7"/>
      <c r="EJ494" s="4"/>
      <c r="EK494" s="4"/>
      <c r="EU494" s="2"/>
      <c r="EV494" s="2"/>
    </row>
    <row r="495" spans="1:152">
      <c r="A495" s="125">
        <v>38</v>
      </c>
      <c r="B495" s="126" t="s">
        <v>282</v>
      </c>
      <c r="C495" s="126" t="s">
        <v>116</v>
      </c>
      <c r="D495" s="126" t="s">
        <v>127</v>
      </c>
      <c r="E495" s="126" t="s">
        <v>283</v>
      </c>
      <c r="F495" s="126" t="s">
        <v>34</v>
      </c>
      <c r="G495" s="126" t="s">
        <v>118</v>
      </c>
      <c r="H495" s="126"/>
      <c r="I495" s="126" t="s">
        <v>118</v>
      </c>
      <c r="J495" s="126"/>
      <c r="K495" s="127">
        <v>43193</v>
      </c>
      <c r="L495" s="128"/>
      <c r="M495" s="128">
        <v>2</v>
      </c>
      <c r="N495" s="126">
        <v>6</v>
      </c>
      <c r="O495" s="126" t="s">
        <v>119</v>
      </c>
      <c r="P495" s="129" t="s">
        <v>284</v>
      </c>
      <c r="Q495" s="129" t="s">
        <v>285</v>
      </c>
      <c r="R495" s="126" t="s">
        <v>26</v>
      </c>
      <c r="S495" s="126"/>
      <c r="T495" s="130" t="s">
        <v>144</v>
      </c>
      <c r="U495" s="126" t="s">
        <v>286</v>
      </c>
      <c r="V495" s="130" t="s">
        <v>120</v>
      </c>
      <c r="W495" s="126"/>
      <c r="X495" s="130" t="s">
        <v>120</v>
      </c>
      <c r="Y495" s="126" t="s">
        <v>287</v>
      </c>
      <c r="Z495" s="165" t="s">
        <v>125</v>
      </c>
      <c r="AA495" s="158"/>
      <c r="AB495" s="158"/>
      <c r="AC495" s="170"/>
      <c r="AD495" s="126" t="s">
        <v>181</v>
      </c>
      <c r="AE495" s="130" t="s">
        <v>120</v>
      </c>
      <c r="AF495" s="127" t="s">
        <v>266</v>
      </c>
      <c r="AG495" s="131"/>
      <c r="AH495" s="131">
        <v>2</v>
      </c>
      <c r="AI495" s="126" t="s">
        <v>288</v>
      </c>
      <c r="AJ495" s="130"/>
      <c r="AK495" s="126"/>
      <c r="AL495" s="126"/>
      <c r="AM495" s="130"/>
      <c r="AN495" s="126"/>
      <c r="AO495" s="132"/>
      <c r="AP495" s="126"/>
      <c r="AQ495" s="126"/>
      <c r="AR495" s="130"/>
      <c r="AS495" s="126"/>
      <c r="AT495" s="127"/>
      <c r="AU495" s="127">
        <v>43453.378935763903</v>
      </c>
      <c r="AV495" s="127"/>
      <c r="AW495" s="127"/>
      <c r="AX495" s="127"/>
      <c r="AY495" s="127"/>
      <c r="AZ495" s="133">
        <v>43193</v>
      </c>
      <c r="BA49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5" s="135">
        <f>COUNTIFS(_05preva_view43[Site ID],_05preva_view43[[#This Row],[Site ID]],_05preva_view43[Prevalidation Status],"Under Prevalidation")</f>
        <v>0</v>
      </c>
      <c r="BC495" s="157" t="e">
        <f ca="1">HYPERLINK(CheckPath(_05preva_view43[[#This Row],[File Path]],_05preva_view43[[#This Row],[File Path]],_05preva_view43[[#This Row],[Folder Path3]]),CheckPath(_05preva_view43[[#This Row],[File Path]],"Open File","No File"))</f>
        <v>#VALUE!</v>
      </c>
      <c r="BD495" s="136" t="str">
        <f>CONCATENATE(_05preva_view43[[#This Row],[Site ID]]," (",_05preva_view43[[#This Row],[tenant id]],") Application",IF(_05preva_view43[[#This Row],[Colo Rev]]&gt;0," Rev "&amp;_05preva_view43[[#This Row],[Colo Rev]],""),".xlsx")</f>
        <v>ANMD_0088 (MDY0023) Application.xlsx</v>
      </c>
      <c r="BE495" s="64" t="e">
        <f t="shared" ca="1" si="9"/>
        <v>#VALUE!</v>
      </c>
      <c r="BF495" s="104" t="e">
        <f ca="1">LEFT(CELL("filename",A480),_05preva_view43[[#This Row],[Find Process &amp; Database]]-1)</f>
        <v>#VALUE!</v>
      </c>
      <c r="BG495" s="104" t="e">
        <f ca="1">_05preva_view43[Folder Path1]&amp;"Process &amp; Database\Documentation\Colo Applications"</f>
        <v>#VALUE!</v>
      </c>
      <c r="BH495" s="104" t="e">
        <f ca="1">_05preva_view43[Folder Path2]&amp;"\Colo App "&amp;_05preva_view43[[#This Row],[Operator]]&amp;"\"</f>
        <v>#VALUE!</v>
      </c>
      <c r="BI495" s="63" t="e">
        <f ca="1">_05preva_view43[[#This Row],[Folder Path3]]&amp;_05preva_view43[[#This Row],[File Name]]</f>
        <v>#VALUE!</v>
      </c>
      <c r="BJ495" s="104"/>
      <c r="BK495" s="3"/>
      <c r="BL495" s="3"/>
      <c r="CJ495" s="5"/>
      <c r="CK495" s="5"/>
      <c r="CL495" s="3"/>
      <c r="CN495" s="5"/>
      <c r="CR495" s="3"/>
      <c r="CS495" s="3"/>
      <c r="CT495" s="5"/>
      <c r="CV495" s="3"/>
      <c r="DR495" s="5"/>
      <c r="DT495" s="3"/>
      <c r="EF495" s="7"/>
      <c r="EG495" s="7"/>
      <c r="EJ495" s="4"/>
      <c r="EK495" s="4"/>
      <c r="EU495" s="2"/>
      <c r="EV495" s="2"/>
    </row>
    <row r="496" spans="1:152">
      <c r="A496" s="125">
        <v>39</v>
      </c>
      <c r="B496" s="126" t="s">
        <v>289</v>
      </c>
      <c r="C496" s="126" t="s">
        <v>116</v>
      </c>
      <c r="D496" s="126" t="s">
        <v>117</v>
      </c>
      <c r="E496" s="126" t="s">
        <v>290</v>
      </c>
      <c r="F496" s="126" t="s">
        <v>34</v>
      </c>
      <c r="G496" s="126" t="s">
        <v>118</v>
      </c>
      <c r="H496" s="126"/>
      <c r="I496" s="126" t="s">
        <v>118</v>
      </c>
      <c r="J496" s="126"/>
      <c r="K496" s="127">
        <v>43193</v>
      </c>
      <c r="L496" s="128"/>
      <c r="M496" s="128">
        <v>2</v>
      </c>
      <c r="N496" s="126">
        <v>6</v>
      </c>
      <c r="O496" s="126" t="s">
        <v>119</v>
      </c>
      <c r="P496" s="129" t="s">
        <v>291</v>
      </c>
      <c r="Q496" s="129" t="s">
        <v>292</v>
      </c>
      <c r="R496" s="126" t="s">
        <v>26</v>
      </c>
      <c r="S496" s="126"/>
      <c r="T496" s="130" t="s">
        <v>120</v>
      </c>
      <c r="U496" s="126" t="s">
        <v>121</v>
      </c>
      <c r="V496" s="130" t="s">
        <v>120</v>
      </c>
      <c r="W496" s="126"/>
      <c r="X496" s="130" t="s">
        <v>120</v>
      </c>
      <c r="Y496" s="126" t="s">
        <v>293</v>
      </c>
      <c r="Z496" s="165" t="s">
        <v>125</v>
      </c>
      <c r="AA496" s="158"/>
      <c r="AB496" s="158"/>
      <c r="AC496" s="170"/>
      <c r="AD496" s="126" t="s">
        <v>239</v>
      </c>
      <c r="AE496" s="130" t="s">
        <v>120</v>
      </c>
      <c r="AF496" s="127" t="s">
        <v>266</v>
      </c>
      <c r="AG496" s="131"/>
      <c r="AH496" s="131">
        <v>2</v>
      </c>
      <c r="AI496" s="126" t="s">
        <v>279</v>
      </c>
      <c r="AJ496" s="130"/>
      <c r="AK496" s="126" t="s">
        <v>240</v>
      </c>
      <c r="AL496" s="126" t="s">
        <v>294</v>
      </c>
      <c r="AM496" s="130"/>
      <c r="AN496" s="126"/>
      <c r="AO496" s="132"/>
      <c r="AP496" s="126"/>
      <c r="AQ496" s="126"/>
      <c r="AR496" s="130"/>
      <c r="AS496" s="126"/>
      <c r="AT496" s="127"/>
      <c r="AU496" s="127">
        <v>43453.378938541697</v>
      </c>
      <c r="AV496" s="127"/>
      <c r="AW496" s="127"/>
      <c r="AX496" s="127"/>
      <c r="AY496" s="127"/>
      <c r="AZ496" s="133">
        <v>43193</v>
      </c>
      <c r="BA49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6" s="135">
        <f>COUNTIFS(_05preva_view43[Site ID],_05preva_view43[[#This Row],[Site ID]],_05preva_view43[Prevalidation Status],"Under Prevalidation")</f>
        <v>0</v>
      </c>
      <c r="BC496" s="157" t="e">
        <f ca="1">HYPERLINK(CheckPath(_05preva_view43[[#This Row],[File Path]],_05preva_view43[[#This Row],[File Path]],_05preva_view43[[#This Row],[Folder Path3]]),CheckPath(_05preva_view43[[#This Row],[File Path]],"Open File","No File"))</f>
        <v>#VALUE!</v>
      </c>
      <c r="BD496" s="136" t="str">
        <f>CONCATENATE(_05preva_view43[[#This Row],[Site ID]]," (",_05preva_view43[[#This Row],[tenant id]],") Application",IF(_05preva_view43[[#This Row],[Colo Rev]]&gt;0," Rev "&amp;_05preva_view43[[#This Row],[Colo Rev]],""),".xlsx")</f>
        <v>ANMG_0024 (MGY0153) Application.xlsx</v>
      </c>
      <c r="BE496" s="64" t="e">
        <f t="shared" ca="1" si="9"/>
        <v>#VALUE!</v>
      </c>
      <c r="BF496" s="104" t="e">
        <f ca="1">LEFT(CELL("filename",A481),_05preva_view43[[#This Row],[Find Process &amp; Database]]-1)</f>
        <v>#VALUE!</v>
      </c>
      <c r="BG496" s="104" t="e">
        <f ca="1">_05preva_view43[Folder Path1]&amp;"Process &amp; Database\Documentation\Colo Applications"</f>
        <v>#VALUE!</v>
      </c>
      <c r="BH496" s="104" t="e">
        <f ca="1">_05preva_view43[Folder Path2]&amp;"\Colo App "&amp;_05preva_view43[[#This Row],[Operator]]&amp;"\"</f>
        <v>#VALUE!</v>
      </c>
      <c r="BI496" s="63" t="e">
        <f ca="1">_05preva_view43[[#This Row],[Folder Path3]]&amp;_05preva_view43[[#This Row],[File Name]]</f>
        <v>#VALUE!</v>
      </c>
      <c r="BJ496" s="104"/>
      <c r="BK496" s="3"/>
      <c r="BL496" s="3"/>
      <c r="CJ496" s="5"/>
      <c r="CK496" s="5"/>
      <c r="CL496" s="3"/>
      <c r="CN496" s="5"/>
      <c r="CR496" s="3"/>
      <c r="CS496" s="3"/>
      <c r="CT496" s="5"/>
      <c r="CV496" s="3"/>
      <c r="DR496" s="5"/>
      <c r="DT496" s="3"/>
      <c r="EF496" s="7"/>
      <c r="EG496" s="7"/>
      <c r="EJ496" s="4"/>
      <c r="EK496" s="4"/>
      <c r="EU496" s="2"/>
      <c r="EV496" s="2"/>
    </row>
    <row r="497" spans="1:152">
      <c r="A497" s="125">
        <v>40</v>
      </c>
      <c r="B497" s="126" t="s">
        <v>295</v>
      </c>
      <c r="C497" s="126" t="s">
        <v>116</v>
      </c>
      <c r="D497" s="126" t="s">
        <v>117</v>
      </c>
      <c r="E497" s="126" t="s">
        <v>296</v>
      </c>
      <c r="F497" s="126" t="s">
        <v>34</v>
      </c>
      <c r="G497" s="126" t="s">
        <v>1574</v>
      </c>
      <c r="H497" s="126" t="s">
        <v>1575</v>
      </c>
      <c r="I497" s="126" t="s">
        <v>118</v>
      </c>
      <c r="J497" s="126"/>
      <c r="K497" s="127">
        <v>43193</v>
      </c>
      <c r="L497" s="128"/>
      <c r="M497" s="128">
        <v>2</v>
      </c>
      <c r="N497" s="126">
        <v>6</v>
      </c>
      <c r="O497" s="126" t="s">
        <v>119</v>
      </c>
      <c r="P497" s="129" t="s">
        <v>284</v>
      </c>
      <c r="Q497" s="129" t="s">
        <v>285</v>
      </c>
      <c r="R497" s="126" t="s">
        <v>24</v>
      </c>
      <c r="S497" s="126"/>
      <c r="T497" s="130" t="s">
        <v>120</v>
      </c>
      <c r="U497" s="126" t="s">
        <v>121</v>
      </c>
      <c r="V497" s="130" t="s">
        <v>120</v>
      </c>
      <c r="W497" s="126"/>
      <c r="X497" s="130" t="s">
        <v>120</v>
      </c>
      <c r="Y497" s="126"/>
      <c r="Z497" s="165" t="s">
        <v>120</v>
      </c>
      <c r="AA497" s="158"/>
      <c r="AB497" s="158"/>
      <c r="AC497" s="170"/>
      <c r="AD497" s="126"/>
      <c r="AE497" s="130" t="s">
        <v>120</v>
      </c>
      <c r="AF497" s="127" t="s">
        <v>266</v>
      </c>
      <c r="AG497" s="131"/>
      <c r="AH497" s="131">
        <v>2</v>
      </c>
      <c r="AI497" s="126" t="s">
        <v>267</v>
      </c>
      <c r="AJ497" s="130" t="s">
        <v>120</v>
      </c>
      <c r="AK497" s="126" t="s">
        <v>123</v>
      </c>
      <c r="AL497" s="126"/>
      <c r="AM497" s="130"/>
      <c r="AN497" s="126"/>
      <c r="AO497" s="132"/>
      <c r="AP497" s="126"/>
      <c r="AQ497" s="126"/>
      <c r="AR497" s="130"/>
      <c r="AS497" s="126"/>
      <c r="AT497" s="127"/>
      <c r="AU497" s="127">
        <v>43453.3789420139</v>
      </c>
      <c r="AV497" s="127"/>
      <c r="AW497" s="127"/>
      <c r="AX497" s="127"/>
      <c r="AY497" s="127"/>
      <c r="AZ497" s="133">
        <v>43193</v>
      </c>
      <c r="BA49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7" s="135">
        <f>COUNTIFS(_05preva_view43[Site ID],_05preva_view43[[#This Row],[Site ID]],_05preva_view43[Prevalidation Status],"Under Prevalidation")</f>
        <v>0</v>
      </c>
      <c r="BC497" s="157" t="e">
        <f ca="1">HYPERLINK(CheckPath(_05preva_view43[[#This Row],[File Path]],_05preva_view43[[#This Row],[File Path]],_05preva_view43[[#This Row],[Folder Path3]]),CheckPath(_05preva_view43[[#This Row],[File Path]],"Open File","No File"))</f>
        <v>#VALUE!</v>
      </c>
      <c r="BD497" s="136" t="str">
        <f>CONCATENATE(_05preva_view43[[#This Row],[Site ID]]," (",_05preva_view43[[#This Row],[tenant id]],") Application",IF(_05preva_view43[[#This Row],[Colo Rev]]&gt;0," Rev "&amp;_05preva_view43[[#This Row],[Colo Rev]],""),".xlsx")</f>
        <v>ANMG_0187 (MGY0444) Application.xlsx</v>
      </c>
      <c r="BE497" s="64" t="e">
        <f t="shared" ca="1" si="9"/>
        <v>#VALUE!</v>
      </c>
      <c r="BF497" s="104" t="e">
        <f ca="1">LEFT(CELL("filename",A482),_05preva_view43[[#This Row],[Find Process &amp; Database]]-1)</f>
        <v>#VALUE!</v>
      </c>
      <c r="BG497" s="104" t="e">
        <f ca="1">_05preva_view43[Folder Path1]&amp;"Process &amp; Database\Documentation\Colo Applications"</f>
        <v>#VALUE!</v>
      </c>
      <c r="BH497" s="104" t="e">
        <f ca="1">_05preva_view43[Folder Path2]&amp;"\Colo App "&amp;_05preva_view43[[#This Row],[Operator]]&amp;"\"</f>
        <v>#VALUE!</v>
      </c>
      <c r="BI497" s="63" t="e">
        <f ca="1">_05preva_view43[[#This Row],[Folder Path3]]&amp;_05preva_view43[[#This Row],[File Name]]</f>
        <v>#VALUE!</v>
      </c>
      <c r="BJ497" s="104"/>
      <c r="BK497" s="3"/>
      <c r="BL497" s="3"/>
      <c r="CJ497" s="5"/>
      <c r="CK497" s="5"/>
      <c r="CL497" s="3"/>
      <c r="CN497" s="5"/>
      <c r="CR497" s="3"/>
      <c r="CS497" s="3"/>
      <c r="CT497" s="5"/>
      <c r="CV497" s="3"/>
      <c r="DR497" s="5"/>
      <c r="DT497" s="3"/>
      <c r="EF497" s="7"/>
      <c r="EG497" s="7"/>
      <c r="EJ497" s="4"/>
      <c r="EK497" s="4"/>
      <c r="EU497" s="2"/>
      <c r="EV497" s="2"/>
    </row>
    <row r="498" spans="1:152">
      <c r="A498" s="125">
        <v>41</v>
      </c>
      <c r="B498" s="126" t="s">
        <v>297</v>
      </c>
      <c r="C498" s="126" t="s">
        <v>116</v>
      </c>
      <c r="D498" s="126" t="s">
        <v>127</v>
      </c>
      <c r="E498" s="126" t="s">
        <v>298</v>
      </c>
      <c r="F498" s="126" t="s">
        <v>34</v>
      </c>
      <c r="G498" s="126"/>
      <c r="H498" s="126"/>
      <c r="I498" s="126"/>
      <c r="J498" s="126"/>
      <c r="K498" s="127">
        <v>43193</v>
      </c>
      <c r="L498" s="128"/>
      <c r="M498" s="128">
        <v>2</v>
      </c>
      <c r="N498" s="126">
        <v>6</v>
      </c>
      <c r="O498" s="126" t="s">
        <v>119</v>
      </c>
      <c r="P498" s="129" t="s">
        <v>284</v>
      </c>
      <c r="Q498" s="129" t="s">
        <v>285</v>
      </c>
      <c r="R498" s="126" t="s">
        <v>27</v>
      </c>
      <c r="S498" s="126"/>
      <c r="T498" s="130" t="s">
        <v>120</v>
      </c>
      <c r="U498" s="126" t="s">
        <v>121</v>
      </c>
      <c r="V498" s="130" t="s">
        <v>120</v>
      </c>
      <c r="W498" s="126"/>
      <c r="X498" s="130" t="s">
        <v>120</v>
      </c>
      <c r="Y498" s="126" t="s">
        <v>299</v>
      </c>
      <c r="Z498" s="165" t="s">
        <v>125</v>
      </c>
      <c r="AA498" s="158"/>
      <c r="AB498" s="158"/>
      <c r="AC498" s="170"/>
      <c r="AD498" s="126" t="s">
        <v>300</v>
      </c>
      <c r="AE498" s="130" t="s">
        <v>120</v>
      </c>
      <c r="AF498" s="127" t="s">
        <v>266</v>
      </c>
      <c r="AG498" s="131"/>
      <c r="AH498" s="131">
        <v>2</v>
      </c>
      <c r="AI498" s="126" t="s">
        <v>301</v>
      </c>
      <c r="AJ498" s="130" t="s">
        <v>120</v>
      </c>
      <c r="AK498" s="126" t="s">
        <v>123</v>
      </c>
      <c r="AL498" s="126"/>
      <c r="AM498" s="130"/>
      <c r="AN498" s="126"/>
      <c r="AO498" s="132"/>
      <c r="AP498" s="126"/>
      <c r="AQ498" s="126"/>
      <c r="AR498" s="130"/>
      <c r="AS498" s="126"/>
      <c r="AT498" s="127"/>
      <c r="AU498" s="127">
        <v>43453.378944907403</v>
      </c>
      <c r="AV498" s="127"/>
      <c r="AW498" s="127"/>
      <c r="AX498" s="127"/>
      <c r="AY498" s="127"/>
      <c r="AZ498" s="133">
        <v>43193</v>
      </c>
      <c r="BA49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8" s="135">
        <f>COUNTIFS(_05preva_view43[Site ID],_05preva_view43[[#This Row],[Site ID]],_05preva_view43[Prevalidation Status],"Under Prevalidation")</f>
        <v>0</v>
      </c>
      <c r="BC498" s="157" t="e">
        <f ca="1">HYPERLINK(CheckPath(_05preva_view43[[#This Row],[File Path]],_05preva_view43[[#This Row],[File Path]],_05preva_view43[[#This Row],[Folder Path3]]),CheckPath(_05preva_view43[[#This Row],[File Path]],"Open File","No File"))</f>
        <v>#VALUE!</v>
      </c>
      <c r="BD498" s="136" t="str">
        <f>CONCATENATE(_05preva_view43[[#This Row],[Site ID]]," (",_05preva_view43[[#This Row],[tenant id]],") Application",IF(_05preva_view43[[#This Row],[Colo Rev]]&gt;0," Rev "&amp;_05preva_view43[[#This Row],[Colo Rev]],""),".xlsx")</f>
        <v>ANSH_0034 (SHN1065) Application.xlsx</v>
      </c>
      <c r="BE498" s="64" t="e">
        <f t="shared" ca="1" si="9"/>
        <v>#VALUE!</v>
      </c>
      <c r="BF498" s="104" t="e">
        <f ca="1">LEFT(CELL("filename",A483),_05preva_view43[[#This Row],[Find Process &amp; Database]]-1)</f>
        <v>#VALUE!</v>
      </c>
      <c r="BG498" s="104" t="e">
        <f ca="1">_05preva_view43[Folder Path1]&amp;"Process &amp; Database\Documentation\Colo Applications"</f>
        <v>#VALUE!</v>
      </c>
      <c r="BH498" s="104" t="e">
        <f ca="1">_05preva_view43[Folder Path2]&amp;"\Colo App "&amp;_05preva_view43[[#This Row],[Operator]]&amp;"\"</f>
        <v>#VALUE!</v>
      </c>
      <c r="BI498" s="63" t="e">
        <f ca="1">_05preva_view43[[#This Row],[Folder Path3]]&amp;_05preva_view43[[#This Row],[File Name]]</f>
        <v>#VALUE!</v>
      </c>
      <c r="BJ498" s="104"/>
      <c r="BK498" s="3"/>
      <c r="BL498" s="3"/>
      <c r="CJ498" s="5"/>
      <c r="CK498" s="5"/>
      <c r="CL498" s="3"/>
      <c r="CN498" s="5"/>
      <c r="CR498" s="3"/>
      <c r="CS498" s="3"/>
      <c r="CT498" s="5"/>
      <c r="CV498" s="3"/>
      <c r="DR498" s="5"/>
      <c r="DT498" s="3"/>
      <c r="EF498" s="7"/>
      <c r="EG498" s="7"/>
      <c r="EJ498" s="4"/>
      <c r="EK498" s="4"/>
      <c r="EU498" s="2"/>
      <c r="EV498" s="2"/>
    </row>
    <row r="499" spans="1:152">
      <c r="A499" s="125">
        <v>35</v>
      </c>
      <c r="B499" s="126" t="s">
        <v>268</v>
      </c>
      <c r="C499" s="126" t="s">
        <v>116</v>
      </c>
      <c r="D499" s="126" t="s">
        <v>163</v>
      </c>
      <c r="E499" s="126" t="s">
        <v>269</v>
      </c>
      <c r="F499" s="126" t="s">
        <v>35</v>
      </c>
      <c r="G499" s="126" t="s">
        <v>1577</v>
      </c>
      <c r="H499" s="126" t="s">
        <v>1575</v>
      </c>
      <c r="I499" s="126" t="s">
        <v>118</v>
      </c>
      <c r="J499" s="126"/>
      <c r="K499" s="127">
        <v>43192</v>
      </c>
      <c r="L499" s="128"/>
      <c r="M499" s="128">
        <v>1.3</v>
      </c>
      <c r="N499" s="126">
        <v>5</v>
      </c>
      <c r="O499" s="126" t="s">
        <v>119</v>
      </c>
      <c r="P499" s="129" t="s">
        <v>270</v>
      </c>
      <c r="Q499" s="129" t="s">
        <v>256</v>
      </c>
      <c r="R499" s="126" t="s">
        <v>24</v>
      </c>
      <c r="S499" s="126"/>
      <c r="T499" s="130" t="s">
        <v>120</v>
      </c>
      <c r="U499" s="126" t="s">
        <v>121</v>
      </c>
      <c r="V499" s="130" t="s">
        <v>120</v>
      </c>
      <c r="W499" s="126"/>
      <c r="X499" s="130" t="s">
        <v>120</v>
      </c>
      <c r="Y499" s="126" t="s">
        <v>271</v>
      </c>
      <c r="Z499" s="165" t="s">
        <v>120</v>
      </c>
      <c r="AA499" s="158"/>
      <c r="AB499" s="158"/>
      <c r="AC499" s="170"/>
      <c r="AD499" s="126"/>
      <c r="AE499" s="130" t="s">
        <v>120</v>
      </c>
      <c r="AF499" s="127" t="s">
        <v>272</v>
      </c>
      <c r="AG499" s="131"/>
      <c r="AH499" s="131">
        <v>1.3</v>
      </c>
      <c r="AI499" s="126" t="s">
        <v>273</v>
      </c>
      <c r="AJ499" s="130" t="s">
        <v>120</v>
      </c>
      <c r="AK499" s="126" t="s">
        <v>123</v>
      </c>
      <c r="AL499" s="126"/>
      <c r="AM499" s="130"/>
      <c r="AN499" s="126"/>
      <c r="AO499" s="132"/>
      <c r="AP499" s="126"/>
      <c r="AQ499" s="126"/>
      <c r="AR499" s="130"/>
      <c r="AS499" s="126"/>
      <c r="AT499" s="127"/>
      <c r="AU499" s="127">
        <v>43453.378928472201</v>
      </c>
      <c r="AV499" s="127"/>
      <c r="AW499" s="127"/>
      <c r="AX499" s="127"/>
      <c r="AY499" s="127"/>
      <c r="AZ499" s="133">
        <v>43192</v>
      </c>
      <c r="BA49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9" s="135">
        <f>COUNTIFS(_05preva_view43[Site ID],_05preva_view43[[#This Row],[Site ID]],_05preva_view43[Prevalidation Status],"Under Prevalidation")</f>
        <v>0</v>
      </c>
      <c r="BC499" s="157" t="e">
        <f ca="1">HYPERLINK(CheckPath(_05preva_view43[[#This Row],[File Path]],_05preva_view43[[#This Row],[File Path]],_05preva_view43[[#This Row],[Folder Path3]]),CheckPath(_05preva_view43[[#This Row],[File Path]],"Open File","No File"))</f>
        <v>#VALUE!</v>
      </c>
      <c r="BD499" s="136" t="str">
        <f>CONCATENATE(_05preva_view43[[#This Row],[Site ID]]," (",_05preva_view43[[#This Row],[tenant id]],") Application",IF(_05preva_view43[[#This Row],[Colo Rev]]&gt;0," Rev "&amp;_05preva_view43[[#This Row],[Colo Rev]],""),".xlsx")</f>
        <v>AYYN_0135 (YGN02071) Application.xlsx</v>
      </c>
      <c r="BE499" s="64" t="e">
        <f t="shared" ca="1" si="9"/>
        <v>#VALUE!</v>
      </c>
      <c r="BF499" s="104" t="e">
        <f ca="1">LEFT(CELL("filename",A484),_05preva_view43[[#This Row],[Find Process &amp; Database]]-1)</f>
        <v>#VALUE!</v>
      </c>
      <c r="BG499" s="104" t="e">
        <f ca="1">_05preva_view43[Folder Path1]&amp;"Process &amp; Database\Documentation\Colo Applications"</f>
        <v>#VALUE!</v>
      </c>
      <c r="BH499" s="104" t="e">
        <f ca="1">_05preva_view43[Folder Path2]&amp;"\Colo App "&amp;_05preva_view43[[#This Row],[Operator]]&amp;"\"</f>
        <v>#VALUE!</v>
      </c>
      <c r="BI499" s="63" t="e">
        <f ca="1">_05preva_view43[[#This Row],[Folder Path3]]&amp;_05preva_view43[[#This Row],[File Name]]</f>
        <v>#VALUE!</v>
      </c>
      <c r="BJ499" s="104"/>
      <c r="BK499" s="3"/>
      <c r="BL499" s="3"/>
      <c r="CJ499" s="5"/>
      <c r="CK499" s="5"/>
      <c r="CL499" s="3"/>
      <c r="CN499" s="5"/>
      <c r="CR499" s="3"/>
      <c r="CS499" s="3"/>
      <c r="CT499" s="5"/>
      <c r="CV499" s="3"/>
      <c r="DR499" s="5"/>
      <c r="DT499" s="3"/>
      <c r="EF499" s="7"/>
      <c r="EG499" s="7"/>
      <c r="EJ499" s="4"/>
      <c r="EK499" s="4"/>
      <c r="EU499" s="2"/>
      <c r="EV499" s="2"/>
    </row>
    <row r="500" spans="1:152">
      <c r="A500" s="125">
        <v>34</v>
      </c>
      <c r="B500" s="126" t="s">
        <v>261</v>
      </c>
      <c r="C500" s="126" t="s">
        <v>116</v>
      </c>
      <c r="D500" s="126" t="s">
        <v>117</v>
      </c>
      <c r="E500" s="126" t="s">
        <v>262</v>
      </c>
      <c r="F500" s="126" t="s">
        <v>34</v>
      </c>
      <c r="G500" s="126" t="s">
        <v>1574</v>
      </c>
      <c r="H500" s="126" t="s">
        <v>1575</v>
      </c>
      <c r="I500" s="126" t="s">
        <v>118</v>
      </c>
      <c r="J500" s="126"/>
      <c r="K500" s="127">
        <v>43189</v>
      </c>
      <c r="L500" s="128"/>
      <c r="M500" s="128">
        <v>2</v>
      </c>
      <c r="N500" s="126">
        <v>6</v>
      </c>
      <c r="O500" s="126" t="s">
        <v>119</v>
      </c>
      <c r="P500" s="129" t="s">
        <v>263</v>
      </c>
      <c r="Q500" s="129" t="s">
        <v>264</v>
      </c>
      <c r="R500" s="126" t="s">
        <v>24</v>
      </c>
      <c r="S500" s="126"/>
      <c r="T500" s="130" t="s">
        <v>120</v>
      </c>
      <c r="U500" s="126" t="s">
        <v>121</v>
      </c>
      <c r="V500" s="130" t="s">
        <v>120</v>
      </c>
      <c r="W500" s="126"/>
      <c r="X500" s="130" t="s">
        <v>120</v>
      </c>
      <c r="Y500" s="126" t="s">
        <v>265</v>
      </c>
      <c r="Z500" s="165" t="s">
        <v>120</v>
      </c>
      <c r="AA500" s="158"/>
      <c r="AB500" s="158"/>
      <c r="AC500" s="170"/>
      <c r="AD500" s="126"/>
      <c r="AE500" s="130" t="s">
        <v>120</v>
      </c>
      <c r="AF500" s="127" t="s">
        <v>266</v>
      </c>
      <c r="AG500" s="131"/>
      <c r="AH500" s="131">
        <v>2</v>
      </c>
      <c r="AI500" s="126" t="s">
        <v>267</v>
      </c>
      <c r="AJ500" s="130" t="s">
        <v>120</v>
      </c>
      <c r="AK500" s="126" t="s">
        <v>123</v>
      </c>
      <c r="AL500" s="126"/>
      <c r="AM500" s="130"/>
      <c r="AN500" s="126"/>
      <c r="AO500" s="132"/>
      <c r="AP500" s="126"/>
      <c r="AQ500" s="126"/>
      <c r="AR500" s="130"/>
      <c r="AS500" s="126"/>
      <c r="AT500" s="127"/>
      <c r="AU500" s="127">
        <v>43453.3789256944</v>
      </c>
      <c r="AV500" s="127"/>
      <c r="AW500" s="127"/>
      <c r="AX500" s="127"/>
      <c r="AY500" s="127"/>
      <c r="AZ500" s="133">
        <v>43189</v>
      </c>
      <c r="BA50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0" s="135">
        <f>COUNTIFS(_05preva_view43[Site ID],_05preva_view43[[#This Row],[Site ID]],_05preva_view43[Prevalidation Status],"Under Prevalidation")</f>
        <v>0</v>
      </c>
      <c r="BC500" s="157" t="e">
        <f ca="1">HYPERLINK(CheckPath(_05preva_view43[[#This Row],[File Path]],_05preva_view43[[#This Row],[File Path]],_05preva_view43[[#This Row],[Folder Path3]]),CheckPath(_05preva_view43[[#This Row],[File Path]],"Open File","No File"))</f>
        <v>#VALUE!</v>
      </c>
      <c r="BD500" s="136" t="str">
        <f>CONCATENATE(_05preva_view43[[#This Row],[Site ID]]," (",_05preva_view43[[#This Row],[tenant id]],") Application",IF(_05preva_view43[[#This Row],[Colo Rev]]&gt;0," Rev "&amp;_05preva_view43[[#This Row],[Colo Rev]],""),".xlsx")</f>
        <v>ANNP_0252 (NPW0260) Application.xlsx</v>
      </c>
      <c r="BE500" s="64" t="e">
        <f t="shared" ca="1" si="9"/>
        <v>#VALUE!</v>
      </c>
      <c r="BF500" s="104" t="e">
        <f ca="1">LEFT(CELL("filename",A485),_05preva_view43[[#This Row],[Find Process &amp; Database]]-1)</f>
        <v>#VALUE!</v>
      </c>
      <c r="BG500" s="104" t="e">
        <f ca="1">_05preva_view43[Folder Path1]&amp;"Process &amp; Database\Documentation\Colo Applications"</f>
        <v>#VALUE!</v>
      </c>
      <c r="BH500" s="104" t="e">
        <f ca="1">_05preva_view43[Folder Path2]&amp;"\Colo App "&amp;_05preva_view43[[#This Row],[Operator]]&amp;"\"</f>
        <v>#VALUE!</v>
      </c>
      <c r="BI500" s="63" t="e">
        <f ca="1">_05preva_view43[[#This Row],[Folder Path3]]&amp;_05preva_view43[[#This Row],[File Name]]</f>
        <v>#VALUE!</v>
      </c>
      <c r="BJ500" s="104"/>
      <c r="BK500" s="3"/>
      <c r="BL500" s="3"/>
      <c r="CJ500" s="5"/>
      <c r="CK500" s="5"/>
      <c r="CL500" s="3"/>
      <c r="CN500" s="5"/>
      <c r="CR500" s="3"/>
      <c r="CS500" s="3"/>
      <c r="CT500" s="5"/>
      <c r="CV500" s="3"/>
      <c r="DR500" s="5"/>
      <c r="DT500" s="3"/>
      <c r="EF500" s="7"/>
      <c r="EG500" s="7"/>
      <c r="EJ500" s="4"/>
      <c r="EK500" s="4"/>
      <c r="EU500" s="2"/>
      <c r="EV500" s="2"/>
    </row>
    <row r="501" spans="1:152">
      <c r="A501" s="125">
        <v>33</v>
      </c>
      <c r="B501" s="126" t="s">
        <v>254</v>
      </c>
      <c r="C501" s="126" t="s">
        <v>116</v>
      </c>
      <c r="D501" s="126" t="s">
        <v>127</v>
      </c>
      <c r="E501" s="126" t="s">
        <v>255</v>
      </c>
      <c r="F501" s="126" t="s">
        <v>40</v>
      </c>
      <c r="G501" s="126" t="s">
        <v>1579</v>
      </c>
      <c r="H501" s="126" t="s">
        <v>1575</v>
      </c>
      <c r="I501" s="126" t="s">
        <v>118</v>
      </c>
      <c r="J501" s="126"/>
      <c r="K501" s="127">
        <v>43181</v>
      </c>
      <c r="L501" s="128"/>
      <c r="M501" s="128">
        <v>3.5</v>
      </c>
      <c r="N501" s="126">
        <v>5.5</v>
      </c>
      <c r="O501" s="126" t="s">
        <v>119</v>
      </c>
      <c r="P501" s="129" t="s">
        <v>256</v>
      </c>
      <c r="Q501" s="129" t="s">
        <v>257</v>
      </c>
      <c r="R501" s="126" t="s">
        <v>24</v>
      </c>
      <c r="S501" s="126"/>
      <c r="T501" s="130" t="s">
        <v>120</v>
      </c>
      <c r="U501" s="126" t="s">
        <v>121</v>
      </c>
      <c r="V501" s="130" t="s">
        <v>120</v>
      </c>
      <c r="W501" s="126" t="s">
        <v>260</v>
      </c>
      <c r="X501" s="130" t="s">
        <v>120</v>
      </c>
      <c r="Y501" s="126"/>
      <c r="Z501" s="165" t="s">
        <v>120</v>
      </c>
      <c r="AA501" s="158"/>
      <c r="AB501" s="158"/>
      <c r="AC501" s="170"/>
      <c r="AD501" s="126" t="s">
        <v>252</v>
      </c>
      <c r="AE501" s="130" t="s">
        <v>120</v>
      </c>
      <c r="AF501" s="127"/>
      <c r="AG501" s="131"/>
      <c r="AH501" s="131"/>
      <c r="AI501" s="126" t="s">
        <v>259</v>
      </c>
      <c r="AJ501" s="130" t="s">
        <v>120</v>
      </c>
      <c r="AK501" s="126" t="s">
        <v>240</v>
      </c>
      <c r="AL501" s="126" t="s">
        <v>258</v>
      </c>
      <c r="AM501" s="130"/>
      <c r="AN501" s="126"/>
      <c r="AO501" s="132"/>
      <c r="AP501" s="126"/>
      <c r="AQ501" s="126"/>
      <c r="AR501" s="130"/>
      <c r="AS501" s="126"/>
      <c r="AT501" s="127"/>
      <c r="AU501" s="127">
        <v>43453.378924421297</v>
      </c>
      <c r="AV501" s="127"/>
      <c r="AW501" s="127"/>
      <c r="AX501" s="127"/>
      <c r="AY501" s="127"/>
      <c r="AZ501" s="133">
        <v>43181</v>
      </c>
      <c r="BA50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1" s="135">
        <f>COUNTIFS(_05preva_view43[Site ID],_05preva_view43[[#This Row],[Site ID]],_05preva_view43[Prevalidation Status],"Under Prevalidation")</f>
        <v>0</v>
      </c>
      <c r="BC501" s="157" t="e">
        <f ca="1">HYPERLINK(CheckPath(_05preva_view43[[#This Row],[File Path]],_05preva_view43[[#This Row],[File Path]],_05preva_view43[[#This Row],[Folder Path3]]),CheckPath(_05preva_view43[[#This Row],[File Path]],"Open File","No File"))</f>
        <v>#VALUE!</v>
      </c>
      <c r="BD501" s="136" t="str">
        <f>CONCATENATE(_05preva_view43[[#This Row],[Site ID]]," (",_05preva_view43[[#This Row],[tenant id]],") Application",IF(_05preva_view43[[#This Row],[Colo Rev]]&gt;0," Rev "&amp;_05preva_view43[[#This Row],[Colo Rev]],""),".xlsx")</f>
        <v>ANSG_0343 (SAW0697) Application.xlsx</v>
      </c>
      <c r="BE501" s="64" t="e">
        <f t="shared" ca="1" si="9"/>
        <v>#VALUE!</v>
      </c>
      <c r="BF501" s="104" t="e">
        <f ca="1">LEFT(CELL("filename",A486),_05preva_view43[[#This Row],[Find Process &amp; Database]]-1)</f>
        <v>#VALUE!</v>
      </c>
      <c r="BG501" s="104" t="e">
        <f ca="1">_05preva_view43[Folder Path1]&amp;"Process &amp; Database\Documentation\Colo Applications"</f>
        <v>#VALUE!</v>
      </c>
      <c r="BH501" s="104" t="e">
        <f ca="1">_05preva_view43[Folder Path2]&amp;"\Colo App "&amp;_05preva_view43[[#This Row],[Operator]]&amp;"\"</f>
        <v>#VALUE!</v>
      </c>
      <c r="BI501" s="63" t="e">
        <f ca="1">_05preva_view43[[#This Row],[Folder Path3]]&amp;_05preva_view43[[#This Row],[File Name]]</f>
        <v>#VALUE!</v>
      </c>
      <c r="BJ501" s="104"/>
      <c r="BK501" s="3"/>
      <c r="BL501" s="3"/>
      <c r="CJ501" s="5"/>
      <c r="CK501" s="5"/>
      <c r="CL501" s="3"/>
      <c r="CN501" s="5"/>
      <c r="CR501" s="3"/>
      <c r="CS501" s="3"/>
      <c r="CT501" s="5"/>
      <c r="CV501" s="3"/>
      <c r="DR501" s="5"/>
      <c r="DT501" s="3"/>
      <c r="EF501" s="7"/>
      <c r="EG501" s="7"/>
      <c r="EJ501" s="4"/>
      <c r="EK501" s="4"/>
      <c r="EU501" s="2"/>
      <c r="EV501" s="2"/>
    </row>
    <row r="502" spans="1:152">
      <c r="A502" s="125">
        <v>1</v>
      </c>
      <c r="B502" s="126" t="s">
        <v>1913</v>
      </c>
      <c r="C502" s="126" t="s">
        <v>116</v>
      </c>
      <c r="D502" s="126" t="s">
        <v>117</v>
      </c>
      <c r="E502" s="126" t="s">
        <v>1914</v>
      </c>
      <c r="F502" s="126" t="s">
        <v>34</v>
      </c>
      <c r="G502" s="126" t="s">
        <v>118</v>
      </c>
      <c r="H502" s="126"/>
      <c r="I502" s="126" t="s">
        <v>118</v>
      </c>
      <c r="J502" s="126"/>
      <c r="K502" s="127">
        <v>43172</v>
      </c>
      <c r="L502" s="128"/>
      <c r="M502" s="128"/>
      <c r="N502" s="126"/>
      <c r="O502" s="126" t="s">
        <v>119</v>
      </c>
      <c r="P502" s="129"/>
      <c r="Q502" s="129"/>
      <c r="R502" s="126" t="s">
        <v>1915</v>
      </c>
      <c r="S502" s="126"/>
      <c r="T502" s="130" t="s">
        <v>120</v>
      </c>
      <c r="U502" s="126" t="s">
        <v>121</v>
      </c>
      <c r="V502" s="130" t="s">
        <v>125</v>
      </c>
      <c r="W502" s="126" t="s">
        <v>1916</v>
      </c>
      <c r="X502" s="130" t="s">
        <v>120</v>
      </c>
      <c r="Y502" s="126" t="s">
        <v>122</v>
      </c>
      <c r="Z502" s="165" t="s">
        <v>120</v>
      </c>
      <c r="AA502" s="158"/>
      <c r="AB502" s="158"/>
      <c r="AC502" s="170"/>
      <c r="AD502" s="126"/>
      <c r="AE502" s="130" t="s">
        <v>120</v>
      </c>
      <c r="AF502" s="127"/>
      <c r="AG502" s="131"/>
      <c r="AH502" s="131"/>
      <c r="AI502" s="126" t="s">
        <v>124</v>
      </c>
      <c r="AJ502" s="130" t="s">
        <v>120</v>
      </c>
      <c r="AK502" s="126" t="s">
        <v>123</v>
      </c>
      <c r="AL502" s="126"/>
      <c r="AM502" s="130"/>
      <c r="AN502" s="126"/>
      <c r="AO502" s="132"/>
      <c r="AP502" s="126"/>
      <c r="AQ502" s="126"/>
      <c r="AR502" s="130"/>
      <c r="AS502" s="126"/>
      <c r="AT502" s="127"/>
      <c r="AU502" s="127">
        <v>43453.378871412002</v>
      </c>
      <c r="AV502" s="127"/>
      <c r="AW502" s="127"/>
      <c r="AX502" s="127"/>
      <c r="AY502" s="127"/>
      <c r="AZ502" s="133"/>
      <c r="BA50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2" s="135">
        <f>COUNTIFS(_05preva_view43[Site ID],_05preva_view43[[#This Row],[Site ID]],_05preva_view43[Prevalidation Status],"Under Prevalidation")</f>
        <v>0</v>
      </c>
      <c r="BC502" s="157" t="e">
        <f ca="1">HYPERLINK(CheckPath(_05preva_view43[[#This Row],[File Path]],_05preva_view43[[#This Row],[File Path]],_05preva_view43[[#This Row],[Folder Path3]]),CheckPath(_05preva_view43[[#This Row],[File Path]],"Open File","No File"))</f>
        <v>#VALUE!</v>
      </c>
      <c r="BD502" s="136" t="str">
        <f>CONCATENATE(_05preva_view43[[#This Row],[Site ID]]," (",_05preva_view43[[#This Row],[tenant id]],") Application",IF(_05preva_view43[[#This Row],[Colo Rev]]&gt;0," Rev "&amp;_05preva_view43[[#This Row],[Colo Rev]],""),".xlsx")</f>
        <v>ACRK_0023 (RKE0090) Application.xlsx</v>
      </c>
      <c r="BE502" s="64" t="e">
        <f t="shared" ca="1" si="9"/>
        <v>#VALUE!</v>
      </c>
      <c r="BF502" s="104" t="e">
        <f ca="1">LEFT(CELL("filename",A487),_05preva_view43[[#This Row],[Find Process &amp; Database]]-1)</f>
        <v>#VALUE!</v>
      </c>
      <c r="BG502" s="104" t="e">
        <f ca="1">_05preva_view43[Folder Path1]&amp;"Process &amp; Database\Documentation\Colo Applications"</f>
        <v>#VALUE!</v>
      </c>
      <c r="BH502" s="104" t="e">
        <f ca="1">_05preva_view43[Folder Path2]&amp;"\Colo App "&amp;_05preva_view43[[#This Row],[Operator]]&amp;"\"</f>
        <v>#VALUE!</v>
      </c>
      <c r="BI502" s="63" t="e">
        <f ca="1">_05preva_view43[[#This Row],[Folder Path3]]&amp;_05preva_view43[[#This Row],[File Name]]</f>
        <v>#VALUE!</v>
      </c>
      <c r="BJ502" s="104"/>
      <c r="BK502" s="3"/>
      <c r="BL502" s="3"/>
      <c r="CJ502" s="5"/>
      <c r="CK502" s="5"/>
      <c r="CL502" s="3"/>
      <c r="CN502" s="5"/>
      <c r="CR502" s="3"/>
      <c r="CS502" s="3"/>
      <c r="CT502" s="5"/>
      <c r="CV502" s="3"/>
      <c r="DR502" s="5"/>
      <c r="DT502" s="3"/>
      <c r="EF502" s="7"/>
      <c r="EG502" s="7"/>
      <c r="EJ502" s="4"/>
      <c r="EK502" s="4"/>
      <c r="EU502" s="2"/>
      <c r="EV502" s="2"/>
    </row>
    <row r="503" spans="1:152">
      <c r="A503" s="125">
        <v>2</v>
      </c>
      <c r="B503" s="126" t="s">
        <v>126</v>
      </c>
      <c r="C503" s="126" t="s">
        <v>116</v>
      </c>
      <c r="D503" s="126" t="s">
        <v>127</v>
      </c>
      <c r="E503" s="126" t="s">
        <v>128</v>
      </c>
      <c r="F503" s="126" t="s">
        <v>34</v>
      </c>
      <c r="G503" s="126" t="s">
        <v>1574</v>
      </c>
      <c r="H503" s="126" t="s">
        <v>1575</v>
      </c>
      <c r="I503" s="126" t="s">
        <v>118</v>
      </c>
      <c r="J503" s="126"/>
      <c r="K503" s="127">
        <v>43172</v>
      </c>
      <c r="L503" s="128"/>
      <c r="M503" s="128"/>
      <c r="N503" s="126"/>
      <c r="O503" s="126" t="s">
        <v>119</v>
      </c>
      <c r="P503" s="129"/>
      <c r="Q503" s="129"/>
      <c r="R503" s="126" t="s">
        <v>24</v>
      </c>
      <c r="S503" s="126"/>
      <c r="T503" s="130" t="s">
        <v>120</v>
      </c>
      <c r="U503" s="126" t="s">
        <v>121</v>
      </c>
      <c r="V503" s="130" t="s">
        <v>120</v>
      </c>
      <c r="W503" s="126"/>
      <c r="X503" s="130" t="s">
        <v>120</v>
      </c>
      <c r="Y503" s="126" t="s">
        <v>129</v>
      </c>
      <c r="Z503" s="165" t="s">
        <v>120</v>
      </c>
      <c r="AA503" s="158"/>
      <c r="AB503" s="158"/>
      <c r="AC503" s="170"/>
      <c r="AD503" s="126"/>
      <c r="AE503" s="130" t="s">
        <v>120</v>
      </c>
      <c r="AF503" s="127"/>
      <c r="AG503" s="131"/>
      <c r="AH503" s="131"/>
      <c r="AI503" s="126" t="s">
        <v>131</v>
      </c>
      <c r="AJ503" s="130" t="s">
        <v>120</v>
      </c>
      <c r="AK503" s="126" t="s">
        <v>123</v>
      </c>
      <c r="AL503" s="126" t="s">
        <v>130</v>
      </c>
      <c r="AM503" s="130"/>
      <c r="AN503" s="126"/>
      <c r="AO503" s="132"/>
      <c r="AP503" s="126"/>
      <c r="AQ503" s="126"/>
      <c r="AR503" s="130"/>
      <c r="AS503" s="126"/>
      <c r="AT503" s="127"/>
      <c r="AU503" s="127">
        <v>43453.3788732639</v>
      </c>
      <c r="AV503" s="127"/>
      <c r="AW503" s="127"/>
      <c r="AX503" s="127"/>
      <c r="AY503" s="127"/>
      <c r="AZ503" s="133">
        <v>43172</v>
      </c>
      <c r="BA50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3" s="135">
        <f>COUNTIFS(_05preva_view43[Site ID],_05preva_view43[[#This Row],[Site ID]],_05preva_view43[Prevalidation Status],"Under Prevalidation")</f>
        <v>0</v>
      </c>
      <c r="BC503" s="157" t="e">
        <f ca="1">HYPERLINK(CheckPath(_05preva_view43[[#This Row],[File Path]],_05preva_view43[[#This Row],[File Path]],_05preva_view43[[#This Row],[Folder Path3]]),CheckPath(_05preva_view43[[#This Row],[File Path]],"Open File","No File"))</f>
        <v>#VALUE!</v>
      </c>
      <c r="BD503" s="136" t="str">
        <f>CONCATENATE(_05preva_view43[[#This Row],[Site ID]]," (",_05preva_view43[[#This Row],[tenant id]],") Application",IF(_05preva_view43[[#This Row],[Colo Rev]]&gt;0," Rev "&amp;_05preva_view43[[#This Row],[Colo Rev]],""),".xlsx")</f>
        <v>ANKC_0015 (KCN0160) Application.xlsx</v>
      </c>
      <c r="BE503" s="64" t="e">
        <f t="shared" ca="1" si="9"/>
        <v>#VALUE!</v>
      </c>
      <c r="BF503" s="104" t="e">
        <f ca="1">LEFT(CELL("filename",A488),_05preva_view43[[#This Row],[Find Process &amp; Database]]-1)</f>
        <v>#VALUE!</v>
      </c>
      <c r="BG503" s="104" t="e">
        <f ca="1">_05preva_view43[Folder Path1]&amp;"Process &amp; Database\Documentation\Colo Applications"</f>
        <v>#VALUE!</v>
      </c>
      <c r="BH503" s="104" t="e">
        <f ca="1">_05preva_view43[Folder Path2]&amp;"\Colo App "&amp;_05preva_view43[[#This Row],[Operator]]&amp;"\"</f>
        <v>#VALUE!</v>
      </c>
      <c r="BI503" s="63" t="e">
        <f ca="1">_05preva_view43[[#This Row],[Folder Path3]]&amp;_05preva_view43[[#This Row],[File Name]]</f>
        <v>#VALUE!</v>
      </c>
      <c r="BJ503" s="104"/>
      <c r="BK503" s="3"/>
      <c r="BL503" s="3"/>
      <c r="CJ503" s="5"/>
      <c r="CK503" s="5"/>
      <c r="CL503" s="3"/>
      <c r="CN503" s="5"/>
      <c r="CR503" s="3"/>
      <c r="CS503" s="3"/>
      <c r="CT503" s="5"/>
      <c r="CV503" s="3"/>
      <c r="DR503" s="5"/>
      <c r="DT503" s="3"/>
      <c r="EF503" s="7"/>
      <c r="EG503" s="7"/>
      <c r="EJ503" s="4"/>
      <c r="EK503" s="4"/>
      <c r="EU503" s="2"/>
      <c r="EV503" s="2"/>
    </row>
    <row r="504" spans="1:152">
      <c r="A504" s="125">
        <v>3</v>
      </c>
      <c r="B504" s="126" t="s">
        <v>132</v>
      </c>
      <c r="C504" s="126" t="s">
        <v>116</v>
      </c>
      <c r="D504" s="126" t="s">
        <v>127</v>
      </c>
      <c r="E504" s="126" t="s">
        <v>133</v>
      </c>
      <c r="F504" s="126" t="s">
        <v>34</v>
      </c>
      <c r="G504" s="126" t="s">
        <v>1574</v>
      </c>
      <c r="H504" s="126" t="s">
        <v>1575</v>
      </c>
      <c r="I504" s="126" t="s">
        <v>118</v>
      </c>
      <c r="J504" s="126"/>
      <c r="K504" s="127">
        <v>43172</v>
      </c>
      <c r="L504" s="128"/>
      <c r="M504" s="128"/>
      <c r="N504" s="126"/>
      <c r="O504" s="126" t="s">
        <v>119</v>
      </c>
      <c r="P504" s="129"/>
      <c r="Q504" s="129"/>
      <c r="R504" s="126" t="s">
        <v>24</v>
      </c>
      <c r="S504" s="126"/>
      <c r="T504" s="130" t="s">
        <v>120</v>
      </c>
      <c r="U504" s="126" t="s">
        <v>121</v>
      </c>
      <c r="V504" s="130" t="s">
        <v>120</v>
      </c>
      <c r="W504" s="126"/>
      <c r="X504" s="130" t="s">
        <v>120</v>
      </c>
      <c r="Y504" s="126" t="s">
        <v>122</v>
      </c>
      <c r="Z504" s="165" t="s">
        <v>120</v>
      </c>
      <c r="AA504" s="158"/>
      <c r="AB504" s="158"/>
      <c r="AC504" s="170"/>
      <c r="AD504" s="126"/>
      <c r="AE504" s="130" t="s">
        <v>120</v>
      </c>
      <c r="AF504" s="127"/>
      <c r="AG504" s="131"/>
      <c r="AH504" s="131"/>
      <c r="AI504" s="126" t="s">
        <v>134</v>
      </c>
      <c r="AJ504" s="130" t="s">
        <v>120</v>
      </c>
      <c r="AK504" s="126" t="s">
        <v>123</v>
      </c>
      <c r="AL504" s="126" t="s">
        <v>130</v>
      </c>
      <c r="AM504" s="130"/>
      <c r="AN504" s="126"/>
      <c r="AO504" s="132"/>
      <c r="AP504" s="126"/>
      <c r="AQ504" s="126"/>
      <c r="AR504" s="130"/>
      <c r="AS504" s="126"/>
      <c r="AT504" s="127"/>
      <c r="AU504" s="127">
        <v>43453.378876620402</v>
      </c>
      <c r="AV504" s="127"/>
      <c r="AW504" s="127"/>
      <c r="AX504" s="127"/>
      <c r="AY504" s="127"/>
      <c r="AZ504" s="133">
        <v>43172</v>
      </c>
      <c r="BA50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4" s="135">
        <f>COUNTIFS(_05preva_view43[Site ID],_05preva_view43[[#This Row],[Site ID]],_05preva_view43[Prevalidation Status],"Under Prevalidation")</f>
        <v>0</v>
      </c>
      <c r="BC504" s="157" t="e">
        <f ca="1">HYPERLINK(CheckPath(_05preva_view43[[#This Row],[File Path]],_05preva_view43[[#This Row],[File Path]],_05preva_view43[[#This Row],[Folder Path3]]),CheckPath(_05preva_view43[[#This Row],[File Path]],"Open File","No File"))</f>
        <v>#VALUE!</v>
      </c>
      <c r="BD504" s="136" t="str">
        <f>CONCATENATE(_05preva_view43[[#This Row],[Site ID]]," (",_05preva_view43[[#This Row],[tenant id]],") Application",IF(_05preva_view43[[#This Row],[Colo Rev]]&gt;0," Rev "&amp;_05preva_view43[[#This Row],[Colo Rev]],""),".xlsx")</f>
        <v>ANMD_0065 (MDY0723) Application.xlsx</v>
      </c>
      <c r="BE504" s="64" t="e">
        <f t="shared" ca="1" si="9"/>
        <v>#VALUE!</v>
      </c>
      <c r="BF504" s="104" t="e">
        <f ca="1">LEFT(CELL("filename",A489),_05preva_view43[[#This Row],[Find Process &amp; Database]]-1)</f>
        <v>#VALUE!</v>
      </c>
      <c r="BG504" s="104" t="e">
        <f ca="1">_05preva_view43[Folder Path1]&amp;"Process &amp; Database\Documentation\Colo Applications"</f>
        <v>#VALUE!</v>
      </c>
      <c r="BH504" s="104" t="e">
        <f ca="1">_05preva_view43[Folder Path2]&amp;"\Colo App "&amp;_05preva_view43[[#This Row],[Operator]]&amp;"\"</f>
        <v>#VALUE!</v>
      </c>
      <c r="BI504" s="63" t="e">
        <f ca="1">_05preva_view43[[#This Row],[Folder Path3]]&amp;_05preva_view43[[#This Row],[File Name]]</f>
        <v>#VALUE!</v>
      </c>
      <c r="BJ504" s="104"/>
      <c r="BK504" s="3"/>
      <c r="BL504" s="3"/>
      <c r="CJ504" s="5"/>
      <c r="CK504" s="5"/>
      <c r="CL504" s="3"/>
      <c r="CN504" s="5"/>
      <c r="CR504" s="3"/>
      <c r="CS504" s="3"/>
      <c r="CT504" s="5"/>
      <c r="CV504" s="3"/>
      <c r="DR504" s="5"/>
      <c r="DT504" s="3"/>
      <c r="EF504" s="7"/>
      <c r="EG504" s="7"/>
      <c r="EJ504" s="4"/>
      <c r="EK504" s="4"/>
      <c r="EU504" s="2"/>
      <c r="EV504" s="2"/>
    </row>
    <row r="505" spans="1:152">
      <c r="A505" s="125">
        <v>4</v>
      </c>
      <c r="B505" s="126" t="s">
        <v>135</v>
      </c>
      <c r="C505" s="126" t="s">
        <v>116</v>
      </c>
      <c r="D505" s="126" t="s">
        <v>127</v>
      </c>
      <c r="E505" s="126" t="s">
        <v>136</v>
      </c>
      <c r="F505" s="126" t="s">
        <v>34</v>
      </c>
      <c r="G505" s="126" t="s">
        <v>1574</v>
      </c>
      <c r="H505" s="126" t="s">
        <v>1575</v>
      </c>
      <c r="I505" s="126" t="s">
        <v>118</v>
      </c>
      <c r="J505" s="126"/>
      <c r="K505" s="127">
        <v>43172</v>
      </c>
      <c r="L505" s="128"/>
      <c r="M505" s="128"/>
      <c r="N505" s="126"/>
      <c r="O505" s="126" t="s">
        <v>119</v>
      </c>
      <c r="P505" s="129"/>
      <c r="Q505" s="129"/>
      <c r="R505" s="126" t="s">
        <v>24</v>
      </c>
      <c r="S505" s="126"/>
      <c r="T505" s="130" t="s">
        <v>120</v>
      </c>
      <c r="U505" s="126" t="s">
        <v>121</v>
      </c>
      <c r="V505" s="130" t="s">
        <v>120</v>
      </c>
      <c r="W505" s="126"/>
      <c r="X505" s="130" t="s">
        <v>120</v>
      </c>
      <c r="Y505" s="126" t="s">
        <v>137</v>
      </c>
      <c r="Z505" s="165" t="s">
        <v>120</v>
      </c>
      <c r="AA505" s="158"/>
      <c r="AB505" s="158"/>
      <c r="AC505" s="170"/>
      <c r="AD505" s="126" t="s">
        <v>138</v>
      </c>
      <c r="AE505" s="130" t="s">
        <v>120</v>
      </c>
      <c r="AF505" s="127"/>
      <c r="AG505" s="131"/>
      <c r="AH505" s="131"/>
      <c r="AI505" s="126" t="s">
        <v>140</v>
      </c>
      <c r="AJ505" s="130" t="s">
        <v>120</v>
      </c>
      <c r="AK505" s="126" t="s">
        <v>123</v>
      </c>
      <c r="AL505" s="126" t="s">
        <v>139</v>
      </c>
      <c r="AM505" s="130"/>
      <c r="AN505" s="126"/>
      <c r="AO505" s="132"/>
      <c r="AP505" s="126"/>
      <c r="AQ505" s="126"/>
      <c r="AR505" s="130"/>
      <c r="AS505" s="126"/>
      <c r="AT505" s="127"/>
      <c r="AU505" s="127">
        <v>43453.378878124997</v>
      </c>
      <c r="AV505" s="127"/>
      <c r="AW505" s="127"/>
      <c r="AX505" s="127"/>
      <c r="AY505" s="127"/>
      <c r="AZ505" s="133">
        <v>43172</v>
      </c>
      <c r="BA50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5" s="135">
        <f>COUNTIFS(_05preva_view43[Site ID],_05preva_view43[[#This Row],[Site ID]],_05preva_view43[Prevalidation Status],"Under Prevalidation")</f>
        <v>0</v>
      </c>
      <c r="BC505" s="157" t="e">
        <f ca="1">HYPERLINK(CheckPath(_05preva_view43[[#This Row],[File Path]],_05preva_view43[[#This Row],[File Path]],_05preva_view43[[#This Row],[Folder Path3]]),CheckPath(_05preva_view43[[#This Row],[File Path]],"Open File","No File"))</f>
        <v>#VALUE!</v>
      </c>
      <c r="BD505" s="136" t="str">
        <f>CONCATENATE(_05preva_view43[[#This Row],[Site ID]]," (",_05preva_view43[[#This Row],[tenant id]],") Application",IF(_05preva_view43[[#This Row],[Colo Rev]]&gt;0," Rev "&amp;_05preva_view43[[#This Row],[Colo Rev]],""),".xlsx")</f>
        <v>ANMD_0119 (MDY0093) Application.xlsx</v>
      </c>
      <c r="BE505" s="64" t="e">
        <f t="shared" ca="1" si="9"/>
        <v>#VALUE!</v>
      </c>
      <c r="BF505" s="104" t="e">
        <f ca="1">LEFT(CELL("filename",A490),_05preva_view43[[#This Row],[Find Process &amp; Database]]-1)</f>
        <v>#VALUE!</v>
      </c>
      <c r="BG505" s="104" t="e">
        <f ca="1">_05preva_view43[Folder Path1]&amp;"Process &amp; Database\Documentation\Colo Applications"</f>
        <v>#VALUE!</v>
      </c>
      <c r="BH505" s="104" t="e">
        <f ca="1">_05preva_view43[Folder Path2]&amp;"\Colo App "&amp;_05preva_view43[[#This Row],[Operator]]&amp;"\"</f>
        <v>#VALUE!</v>
      </c>
      <c r="BI505" s="63" t="e">
        <f ca="1">_05preva_view43[[#This Row],[Folder Path3]]&amp;_05preva_view43[[#This Row],[File Name]]</f>
        <v>#VALUE!</v>
      </c>
      <c r="BJ505" s="104"/>
      <c r="BK505" s="3"/>
      <c r="BL505" s="3"/>
      <c r="CJ505" s="5"/>
      <c r="CK505" s="5"/>
      <c r="CL505" s="3"/>
      <c r="CN505" s="5"/>
      <c r="CR505" s="3"/>
      <c r="CS505" s="3"/>
      <c r="CT505" s="5"/>
      <c r="CV505" s="3"/>
      <c r="DR505" s="5"/>
      <c r="DT505" s="3"/>
      <c r="EF505" s="7"/>
      <c r="EG505" s="7"/>
      <c r="EJ505" s="4"/>
      <c r="EK505" s="4"/>
      <c r="EU505" s="2"/>
      <c r="EV505" s="2"/>
    </row>
    <row r="506" spans="1:152">
      <c r="A506" s="125">
        <v>5</v>
      </c>
      <c r="B506" s="126" t="s">
        <v>141</v>
      </c>
      <c r="C506" s="126" t="s">
        <v>116</v>
      </c>
      <c r="D506" s="126" t="s">
        <v>127</v>
      </c>
      <c r="E506" s="126" t="s">
        <v>142</v>
      </c>
      <c r="F506" s="126" t="s">
        <v>34</v>
      </c>
      <c r="G506" s="126" t="s">
        <v>118</v>
      </c>
      <c r="H506" s="126"/>
      <c r="I506" s="126" t="s">
        <v>118</v>
      </c>
      <c r="J506" s="126"/>
      <c r="K506" s="127">
        <v>43172</v>
      </c>
      <c r="L506" s="128"/>
      <c r="M506" s="128"/>
      <c r="N506" s="126"/>
      <c r="O506" s="126" t="s">
        <v>119</v>
      </c>
      <c r="P506" s="129"/>
      <c r="Q506" s="129"/>
      <c r="R506" s="126" t="s">
        <v>26</v>
      </c>
      <c r="S506" s="126"/>
      <c r="T506" s="130" t="s">
        <v>120</v>
      </c>
      <c r="U506" s="126" t="s">
        <v>121</v>
      </c>
      <c r="V506" s="130" t="s">
        <v>120</v>
      </c>
      <c r="W506" s="126"/>
      <c r="X506" s="130" t="s">
        <v>120</v>
      </c>
      <c r="Y506" s="126" t="s">
        <v>143</v>
      </c>
      <c r="Z506" s="165" t="s">
        <v>144</v>
      </c>
      <c r="AA506" s="158"/>
      <c r="AB506" s="158"/>
      <c r="AC506" s="170"/>
      <c r="AD506" s="126" t="s">
        <v>145</v>
      </c>
      <c r="AE506" s="130" t="s">
        <v>120</v>
      </c>
      <c r="AF506" s="127"/>
      <c r="AG506" s="131"/>
      <c r="AH506" s="131"/>
      <c r="AI506" s="126" t="s">
        <v>146</v>
      </c>
      <c r="AJ506" s="130"/>
      <c r="AK506" s="126"/>
      <c r="AL506" s="126"/>
      <c r="AM506" s="130"/>
      <c r="AN506" s="126"/>
      <c r="AO506" s="132"/>
      <c r="AP506" s="126"/>
      <c r="AQ506" s="126"/>
      <c r="AR506" s="130"/>
      <c r="AS506" s="126"/>
      <c r="AT506" s="127"/>
      <c r="AU506" s="127">
        <v>43453.378879050899</v>
      </c>
      <c r="AV506" s="127"/>
      <c r="AW506" s="127"/>
      <c r="AX506" s="127"/>
      <c r="AY506" s="127"/>
      <c r="AZ506" s="133">
        <v>43172</v>
      </c>
      <c r="BA50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6" s="135">
        <f>COUNTIFS(_05preva_view43[Site ID],_05preva_view43[[#This Row],[Site ID]],_05preva_view43[Prevalidation Status],"Under Prevalidation")</f>
        <v>0</v>
      </c>
      <c r="BC506" s="157" t="e">
        <f ca="1">HYPERLINK(CheckPath(_05preva_view43[[#This Row],[File Path]],_05preva_view43[[#This Row],[File Path]],_05preva_view43[[#This Row],[Folder Path3]]),CheckPath(_05preva_view43[[#This Row],[File Path]],"Open File","No File"))</f>
        <v>#VALUE!</v>
      </c>
      <c r="BD506" s="136" t="str">
        <f>CONCATENATE(_05preva_view43[[#This Row],[Site ID]]," (",_05preva_view43[[#This Row],[tenant id]],") Application",IF(_05preva_view43[[#This Row],[Colo Rev]]&gt;0," Rev "&amp;_05preva_view43[[#This Row],[Colo Rev]],""),".xlsx")</f>
        <v>ANMD_0148 (MDY0915) Application.xlsx</v>
      </c>
      <c r="BE506" s="64" t="e">
        <f t="shared" ca="1" si="9"/>
        <v>#VALUE!</v>
      </c>
      <c r="BF506" s="104" t="e">
        <f ca="1">LEFT(CELL("filename",A491),_05preva_view43[[#This Row],[Find Process &amp; Database]]-1)</f>
        <v>#VALUE!</v>
      </c>
      <c r="BG506" s="104" t="e">
        <f ca="1">_05preva_view43[Folder Path1]&amp;"Process &amp; Database\Documentation\Colo Applications"</f>
        <v>#VALUE!</v>
      </c>
      <c r="BH506" s="104" t="e">
        <f ca="1">_05preva_view43[Folder Path2]&amp;"\Colo App "&amp;_05preva_view43[[#This Row],[Operator]]&amp;"\"</f>
        <v>#VALUE!</v>
      </c>
      <c r="BI506" s="63" t="e">
        <f ca="1">_05preva_view43[[#This Row],[Folder Path3]]&amp;_05preva_view43[[#This Row],[File Name]]</f>
        <v>#VALUE!</v>
      </c>
      <c r="BJ506" s="104"/>
      <c r="BK506" s="3"/>
      <c r="BL506" s="3"/>
      <c r="CJ506" s="5"/>
      <c r="CK506" s="5"/>
      <c r="CL506" s="3"/>
      <c r="CN506" s="5"/>
      <c r="CR506" s="3"/>
      <c r="CS506" s="3"/>
      <c r="CT506" s="5"/>
      <c r="CV506" s="3"/>
      <c r="DR506" s="5"/>
      <c r="DT506" s="3"/>
      <c r="EF506" s="7"/>
      <c r="EG506" s="7"/>
      <c r="EJ506" s="4"/>
      <c r="EK506" s="4"/>
      <c r="EU506" s="2"/>
      <c r="EV506" s="2"/>
    </row>
    <row r="507" spans="1:152">
      <c r="A507" s="125">
        <v>6</v>
      </c>
      <c r="B507" s="126" t="s">
        <v>147</v>
      </c>
      <c r="C507" s="126" t="s">
        <v>116</v>
      </c>
      <c r="D507" s="126" t="s">
        <v>127</v>
      </c>
      <c r="E507" s="126" t="s">
        <v>148</v>
      </c>
      <c r="F507" s="126" t="s">
        <v>34</v>
      </c>
      <c r="G507" s="126" t="s">
        <v>1574</v>
      </c>
      <c r="H507" s="126" t="s">
        <v>1575</v>
      </c>
      <c r="I507" s="126" t="s">
        <v>118</v>
      </c>
      <c r="J507" s="126"/>
      <c r="K507" s="127">
        <v>43172</v>
      </c>
      <c r="L507" s="128"/>
      <c r="M507" s="128"/>
      <c r="N507" s="126"/>
      <c r="O507" s="126" t="s">
        <v>119</v>
      </c>
      <c r="P507" s="129"/>
      <c r="Q507" s="129"/>
      <c r="R507" s="126" t="s">
        <v>24</v>
      </c>
      <c r="S507" s="126"/>
      <c r="T507" s="130" t="s">
        <v>120</v>
      </c>
      <c r="U507" s="126" t="s">
        <v>121</v>
      </c>
      <c r="V507" s="130" t="s">
        <v>120</v>
      </c>
      <c r="W507" s="126"/>
      <c r="X507" s="130" t="s">
        <v>120</v>
      </c>
      <c r="Y507" s="126" t="s">
        <v>149</v>
      </c>
      <c r="Z507" s="165" t="s">
        <v>120</v>
      </c>
      <c r="AA507" s="158"/>
      <c r="AB507" s="158"/>
      <c r="AC507" s="170"/>
      <c r="AD507" s="126"/>
      <c r="AE507" s="130" t="s">
        <v>120</v>
      </c>
      <c r="AF507" s="127"/>
      <c r="AG507" s="131"/>
      <c r="AH507" s="131"/>
      <c r="AI507" s="126" t="s">
        <v>140</v>
      </c>
      <c r="AJ507" s="130" t="s">
        <v>120</v>
      </c>
      <c r="AK507" s="126" t="s">
        <v>123</v>
      </c>
      <c r="AL507" s="126"/>
      <c r="AM507" s="130"/>
      <c r="AN507" s="126"/>
      <c r="AO507" s="132"/>
      <c r="AP507" s="126"/>
      <c r="AQ507" s="126"/>
      <c r="AR507" s="130"/>
      <c r="AS507" s="126"/>
      <c r="AT507" s="127"/>
      <c r="AU507" s="127">
        <v>43453.378882291698</v>
      </c>
      <c r="AV507" s="127"/>
      <c r="AW507" s="127"/>
      <c r="AX507" s="127"/>
      <c r="AY507" s="127"/>
      <c r="AZ507" s="133">
        <v>43172</v>
      </c>
      <c r="BA50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7" s="135">
        <f>COUNTIFS(_05preva_view43[Site ID],_05preva_view43[[#This Row],[Site ID]],_05preva_view43[Prevalidation Status],"Under Prevalidation")</f>
        <v>0</v>
      </c>
      <c r="BC507" s="157" t="e">
        <f ca="1">HYPERLINK(CheckPath(_05preva_view43[[#This Row],[File Path]],_05preva_view43[[#This Row],[File Path]],_05preva_view43[[#This Row],[Folder Path3]]),CheckPath(_05preva_view43[[#This Row],[File Path]],"Open File","No File"))</f>
        <v>#VALUE!</v>
      </c>
      <c r="BD507" s="136" t="str">
        <f>CONCATENATE(_05preva_view43[[#This Row],[Site ID]]," (",_05preva_view43[[#This Row],[tenant id]],") Application",IF(_05preva_view43[[#This Row],[Colo Rev]]&gt;0," Rev "&amp;_05preva_view43[[#This Row],[Colo Rev]],""),".xlsx")</f>
        <v>ANMD_0174 (MDY0004) Application.xlsx</v>
      </c>
      <c r="BE507" s="64" t="e">
        <f t="shared" ca="1" si="9"/>
        <v>#VALUE!</v>
      </c>
      <c r="BF507" s="104" t="e">
        <f ca="1">LEFT(CELL("filename",A492),_05preva_view43[[#This Row],[Find Process &amp; Database]]-1)</f>
        <v>#VALUE!</v>
      </c>
      <c r="BG507" s="104" t="e">
        <f ca="1">_05preva_view43[Folder Path1]&amp;"Process &amp; Database\Documentation\Colo Applications"</f>
        <v>#VALUE!</v>
      </c>
      <c r="BH507" s="104" t="e">
        <f ca="1">_05preva_view43[Folder Path2]&amp;"\Colo App "&amp;_05preva_view43[[#This Row],[Operator]]&amp;"\"</f>
        <v>#VALUE!</v>
      </c>
      <c r="BI507" s="63" t="e">
        <f ca="1">_05preva_view43[[#This Row],[Folder Path3]]&amp;_05preva_view43[[#This Row],[File Name]]</f>
        <v>#VALUE!</v>
      </c>
      <c r="BJ507" s="104"/>
      <c r="BK507" s="3"/>
      <c r="BL507" s="3"/>
      <c r="CJ507" s="5"/>
      <c r="CK507" s="5"/>
      <c r="CL507" s="3"/>
      <c r="CN507" s="5"/>
      <c r="CR507" s="3"/>
      <c r="CS507" s="3"/>
      <c r="CT507" s="5"/>
      <c r="CV507" s="3"/>
      <c r="DR507" s="5"/>
      <c r="DT507" s="3"/>
      <c r="EF507" s="7"/>
      <c r="EG507" s="7"/>
      <c r="EJ507" s="4"/>
      <c r="EK507" s="4"/>
      <c r="EU507" s="2"/>
      <c r="EV507" s="2"/>
    </row>
    <row r="508" spans="1:152">
      <c r="A508" s="125">
        <v>7</v>
      </c>
      <c r="B508" s="126" t="s">
        <v>150</v>
      </c>
      <c r="C508" s="126" t="s">
        <v>116</v>
      </c>
      <c r="D508" s="126" t="s">
        <v>127</v>
      </c>
      <c r="E508" s="126" t="s">
        <v>151</v>
      </c>
      <c r="F508" s="126" t="s">
        <v>34</v>
      </c>
      <c r="G508" s="126" t="s">
        <v>1574</v>
      </c>
      <c r="H508" s="126" t="s">
        <v>1575</v>
      </c>
      <c r="I508" s="126" t="s">
        <v>118</v>
      </c>
      <c r="J508" s="126"/>
      <c r="K508" s="127">
        <v>43172</v>
      </c>
      <c r="L508" s="128"/>
      <c r="M508" s="128"/>
      <c r="N508" s="126"/>
      <c r="O508" s="126" t="s">
        <v>119</v>
      </c>
      <c r="P508" s="129"/>
      <c r="Q508" s="129"/>
      <c r="R508" s="126" t="s">
        <v>24</v>
      </c>
      <c r="S508" s="126"/>
      <c r="T508" s="130" t="s">
        <v>120</v>
      </c>
      <c r="U508" s="126" t="s">
        <v>121</v>
      </c>
      <c r="V508" s="130" t="s">
        <v>120</v>
      </c>
      <c r="W508" s="126"/>
      <c r="X508" s="130" t="s">
        <v>120</v>
      </c>
      <c r="Y508" s="126" t="s">
        <v>152</v>
      </c>
      <c r="Z508" s="165" t="s">
        <v>120</v>
      </c>
      <c r="AA508" s="158"/>
      <c r="AB508" s="158"/>
      <c r="AC508" s="170"/>
      <c r="AD508" s="126"/>
      <c r="AE508" s="130" t="s">
        <v>120</v>
      </c>
      <c r="AF508" s="127"/>
      <c r="AG508" s="131"/>
      <c r="AH508" s="131"/>
      <c r="AI508" s="126" t="s">
        <v>124</v>
      </c>
      <c r="AJ508" s="130" t="s">
        <v>120</v>
      </c>
      <c r="AK508" s="126" t="s">
        <v>123</v>
      </c>
      <c r="AL508" s="126"/>
      <c r="AM508" s="130"/>
      <c r="AN508" s="126"/>
      <c r="AO508" s="132"/>
      <c r="AP508" s="126"/>
      <c r="AQ508" s="126"/>
      <c r="AR508" s="130"/>
      <c r="AS508" s="126"/>
      <c r="AT508" s="127"/>
      <c r="AU508" s="127">
        <v>43453.378884027799</v>
      </c>
      <c r="AV508" s="127"/>
      <c r="AW508" s="127"/>
      <c r="AX508" s="127"/>
      <c r="AY508" s="127"/>
      <c r="AZ508" s="133">
        <v>43172</v>
      </c>
      <c r="BA50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8" s="135">
        <f>COUNTIFS(_05preva_view43[Site ID],_05preva_view43[[#This Row],[Site ID]],_05preva_view43[Prevalidation Status],"Under Prevalidation")</f>
        <v>0</v>
      </c>
      <c r="BC508" s="157" t="e">
        <f ca="1">HYPERLINK(CheckPath(_05preva_view43[[#This Row],[File Path]],_05preva_view43[[#This Row],[File Path]],_05preva_view43[[#This Row],[Folder Path3]]),CheckPath(_05preva_view43[[#This Row],[File Path]],"Open File","No File"))</f>
        <v>#VALUE!</v>
      </c>
      <c r="BD508" s="136" t="str">
        <f>CONCATENATE(_05preva_view43[[#This Row],[Site ID]]," (",_05preva_view43[[#This Row],[tenant id]],") Application",IF(_05preva_view43[[#This Row],[Colo Rev]]&gt;0," Rev "&amp;_05preva_view43[[#This Row],[Colo Rev]],""),".xlsx")</f>
        <v>ANSG_0344 (SGG0260) Application.xlsx</v>
      </c>
      <c r="BE508" s="64" t="e">
        <f t="shared" ca="1" si="9"/>
        <v>#VALUE!</v>
      </c>
      <c r="BF508" s="104" t="e">
        <f ca="1">LEFT(CELL("filename",A493),_05preva_view43[[#This Row],[Find Process &amp; Database]]-1)</f>
        <v>#VALUE!</v>
      </c>
      <c r="BG508" s="104" t="e">
        <f ca="1">_05preva_view43[Folder Path1]&amp;"Process &amp; Database\Documentation\Colo Applications"</f>
        <v>#VALUE!</v>
      </c>
      <c r="BH508" s="104" t="e">
        <f ca="1">_05preva_view43[Folder Path2]&amp;"\Colo App "&amp;_05preva_view43[[#This Row],[Operator]]&amp;"\"</f>
        <v>#VALUE!</v>
      </c>
      <c r="BI508" s="63" t="e">
        <f ca="1">_05preva_view43[[#This Row],[Folder Path3]]&amp;_05preva_view43[[#This Row],[File Name]]</f>
        <v>#VALUE!</v>
      </c>
      <c r="BJ508" s="104"/>
      <c r="BK508" s="3"/>
      <c r="BL508" s="3"/>
      <c r="CJ508" s="5"/>
      <c r="CK508" s="5"/>
      <c r="CL508" s="3"/>
      <c r="CN508" s="5"/>
      <c r="CR508" s="3"/>
      <c r="CS508" s="3"/>
      <c r="CT508" s="5"/>
      <c r="CV508" s="3"/>
      <c r="DR508" s="5"/>
      <c r="DT508" s="3"/>
      <c r="EF508" s="7"/>
      <c r="EG508" s="7"/>
      <c r="EJ508" s="4"/>
      <c r="EK508" s="4"/>
      <c r="EU508" s="2"/>
      <c r="EV508" s="2"/>
    </row>
    <row r="509" spans="1:152">
      <c r="A509" s="125">
        <v>8</v>
      </c>
      <c r="B509" s="126" t="s">
        <v>153</v>
      </c>
      <c r="C509" s="126" t="s">
        <v>116</v>
      </c>
      <c r="D509" s="126" t="s">
        <v>127</v>
      </c>
      <c r="E509" s="126" t="s">
        <v>154</v>
      </c>
      <c r="F509" s="126" t="s">
        <v>34</v>
      </c>
      <c r="G509" s="126" t="s">
        <v>118</v>
      </c>
      <c r="H509" s="126"/>
      <c r="I509" s="126" t="s">
        <v>118</v>
      </c>
      <c r="J509" s="126"/>
      <c r="K509" s="127">
        <v>43172</v>
      </c>
      <c r="L509" s="128"/>
      <c r="M509" s="128"/>
      <c r="N509" s="126"/>
      <c r="O509" s="126" t="s">
        <v>119</v>
      </c>
      <c r="P509" s="129"/>
      <c r="Q509" s="129"/>
      <c r="R509" s="126" t="s">
        <v>26</v>
      </c>
      <c r="S509" s="126"/>
      <c r="T509" s="130" t="s">
        <v>120</v>
      </c>
      <c r="U509" s="126" t="s">
        <v>121</v>
      </c>
      <c r="V509" s="130" t="s">
        <v>120</v>
      </c>
      <c r="W509" s="126"/>
      <c r="X509" s="130"/>
      <c r="Y509" s="126" t="s">
        <v>155</v>
      </c>
      <c r="Z509" s="165" t="s">
        <v>144</v>
      </c>
      <c r="AA509" s="158"/>
      <c r="AB509" s="158"/>
      <c r="AC509" s="170"/>
      <c r="AD509" s="126" t="s">
        <v>156</v>
      </c>
      <c r="AE509" s="130" t="s">
        <v>120</v>
      </c>
      <c r="AF509" s="127"/>
      <c r="AG509" s="131"/>
      <c r="AH509" s="131"/>
      <c r="AI509" s="126" t="s">
        <v>157</v>
      </c>
      <c r="AJ509" s="130"/>
      <c r="AK509" s="126"/>
      <c r="AL509" s="126"/>
      <c r="AM509" s="130"/>
      <c r="AN509" s="126"/>
      <c r="AO509" s="132"/>
      <c r="AP509" s="126"/>
      <c r="AQ509" s="126"/>
      <c r="AR509" s="130"/>
      <c r="AS509" s="126"/>
      <c r="AT509" s="127"/>
      <c r="AU509" s="127">
        <v>43453.378884953701</v>
      </c>
      <c r="AV509" s="127"/>
      <c r="AW509" s="127"/>
      <c r="AX509" s="127"/>
      <c r="AY509" s="127"/>
      <c r="AZ509" s="133">
        <v>43172</v>
      </c>
      <c r="BA50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9" s="135">
        <f>COUNTIFS(_05preva_view43[Site ID],_05preva_view43[[#This Row],[Site ID]],_05preva_view43[Prevalidation Status],"Under Prevalidation")</f>
        <v>0</v>
      </c>
      <c r="BC509" s="157" t="e">
        <f ca="1">HYPERLINK(CheckPath(_05preva_view43[[#This Row],[File Path]],_05preva_view43[[#This Row],[File Path]],_05preva_view43[[#This Row],[Folder Path3]]),CheckPath(_05preva_view43[[#This Row],[File Path]],"Open File","No File"))</f>
        <v>#VALUE!</v>
      </c>
      <c r="BD509" s="136" t="str">
        <f>CONCATENATE(_05preva_view43[[#This Row],[Site ID]]," (",_05preva_view43[[#This Row],[tenant id]],") Application",IF(_05preva_view43[[#This Row],[Colo Rev]]&gt;0," Rev "&amp;_05preva_view43[[#This Row],[Colo Rev]],""),".xlsx")</f>
        <v>ANSG_0363 (SGG0028) Application.xlsx</v>
      </c>
      <c r="BE509" s="64" t="e">
        <f t="shared" ca="1" si="9"/>
        <v>#VALUE!</v>
      </c>
      <c r="BF509" s="104" t="e">
        <f ca="1">LEFT(CELL("filename",A494),_05preva_view43[[#This Row],[Find Process &amp; Database]]-1)</f>
        <v>#VALUE!</v>
      </c>
      <c r="BG509" s="104" t="e">
        <f ca="1">_05preva_view43[Folder Path1]&amp;"Process &amp; Database\Documentation\Colo Applications"</f>
        <v>#VALUE!</v>
      </c>
      <c r="BH509" s="104" t="e">
        <f ca="1">_05preva_view43[Folder Path2]&amp;"\Colo App "&amp;_05preva_view43[[#This Row],[Operator]]&amp;"\"</f>
        <v>#VALUE!</v>
      </c>
      <c r="BI509" s="63" t="e">
        <f ca="1">_05preva_view43[[#This Row],[Folder Path3]]&amp;_05preva_view43[[#This Row],[File Name]]</f>
        <v>#VALUE!</v>
      </c>
      <c r="BJ509" s="104"/>
      <c r="BK509" s="3"/>
      <c r="BL509" s="3"/>
      <c r="CJ509" s="5"/>
      <c r="CK509" s="5"/>
      <c r="CL509" s="3"/>
      <c r="CN509" s="5"/>
      <c r="CR509" s="3"/>
      <c r="CS509" s="3"/>
      <c r="CT509" s="5"/>
      <c r="CV509" s="3"/>
      <c r="DR509" s="5"/>
      <c r="DT509" s="3"/>
      <c r="EF509" s="7"/>
      <c r="EG509" s="7"/>
      <c r="EJ509" s="4"/>
      <c r="EK509" s="4"/>
      <c r="EU509" s="2"/>
      <c r="EV509" s="2"/>
    </row>
    <row r="510" spans="1:152">
      <c r="A510" s="125">
        <v>9</v>
      </c>
      <c r="B510" s="126" t="s">
        <v>158</v>
      </c>
      <c r="C510" s="126" t="s">
        <v>116</v>
      </c>
      <c r="D510" s="126" t="s">
        <v>117</v>
      </c>
      <c r="E510" s="126" t="s">
        <v>159</v>
      </c>
      <c r="F510" s="126" t="s">
        <v>34</v>
      </c>
      <c r="G510" s="126" t="s">
        <v>1574</v>
      </c>
      <c r="H510" s="126" t="s">
        <v>1575</v>
      </c>
      <c r="I510" s="126" t="s">
        <v>118</v>
      </c>
      <c r="J510" s="126"/>
      <c r="K510" s="127">
        <v>43172</v>
      </c>
      <c r="L510" s="128"/>
      <c r="M510" s="128"/>
      <c r="N510" s="126"/>
      <c r="O510" s="126" t="s">
        <v>119</v>
      </c>
      <c r="P510" s="129"/>
      <c r="Q510" s="129"/>
      <c r="R510" s="126" t="s">
        <v>24</v>
      </c>
      <c r="S510" s="126"/>
      <c r="T510" s="130" t="s">
        <v>120</v>
      </c>
      <c r="U510" s="126" t="s">
        <v>121</v>
      </c>
      <c r="V510" s="130" t="s">
        <v>120</v>
      </c>
      <c r="W510" s="126"/>
      <c r="X510" s="130" t="s">
        <v>120</v>
      </c>
      <c r="Y510" s="126" t="s">
        <v>160</v>
      </c>
      <c r="Z510" s="165" t="s">
        <v>120</v>
      </c>
      <c r="AA510" s="158"/>
      <c r="AB510" s="158"/>
      <c r="AC510" s="170"/>
      <c r="AD510" s="126"/>
      <c r="AE510" s="130" t="s">
        <v>120</v>
      </c>
      <c r="AF510" s="127"/>
      <c r="AG510" s="131"/>
      <c r="AH510" s="131"/>
      <c r="AI510" s="126" t="s">
        <v>161</v>
      </c>
      <c r="AJ510" s="130" t="s">
        <v>120</v>
      </c>
      <c r="AK510" s="126" t="s">
        <v>123</v>
      </c>
      <c r="AL510" s="126"/>
      <c r="AM510" s="130"/>
      <c r="AN510" s="126"/>
      <c r="AO510" s="132"/>
      <c r="AP510" s="126"/>
      <c r="AQ510" s="126"/>
      <c r="AR510" s="130"/>
      <c r="AS510" s="126"/>
      <c r="AT510" s="127"/>
      <c r="AU510" s="127">
        <v>43453.378887152801</v>
      </c>
      <c r="AV510" s="127"/>
      <c r="AW510" s="127"/>
      <c r="AX510" s="127"/>
      <c r="AY510" s="127"/>
      <c r="AZ510" s="133">
        <v>43172</v>
      </c>
      <c r="BA51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0" s="135">
        <f>COUNTIFS(_05preva_view43[Site ID],_05preva_view43[[#This Row],[Site ID]],_05preva_view43[Prevalidation Status],"Under Prevalidation")</f>
        <v>0</v>
      </c>
      <c r="BC510" s="157" t="e">
        <f ca="1">HYPERLINK(CheckPath(_05preva_view43[[#This Row],[File Path]],_05preva_view43[[#This Row],[File Path]],_05preva_view43[[#This Row],[Folder Path3]]),CheckPath(_05preva_view43[[#This Row],[File Path]],"Open File","No File"))</f>
        <v>#VALUE!</v>
      </c>
      <c r="BD510" s="136" t="str">
        <f>CONCATENATE(_05preva_view43[[#This Row],[Site ID]]," (",_05preva_view43[[#This Row],[tenant id]],") Application",IF(_05preva_view43[[#This Row],[Colo Rev]]&gt;0," Rev "&amp;_05preva_view43[[#This Row],[Colo Rev]],""),".xlsx")</f>
        <v>ANSH_0006 (SHN0876) Application.xlsx</v>
      </c>
      <c r="BE510" s="64" t="e">
        <f t="shared" ca="1" si="9"/>
        <v>#VALUE!</v>
      </c>
      <c r="BF510" s="104" t="e">
        <f ca="1">LEFT(CELL("filename",A495),_05preva_view43[[#This Row],[Find Process &amp; Database]]-1)</f>
        <v>#VALUE!</v>
      </c>
      <c r="BG510" s="104" t="e">
        <f ca="1">_05preva_view43[Folder Path1]&amp;"Process &amp; Database\Documentation\Colo Applications"</f>
        <v>#VALUE!</v>
      </c>
      <c r="BH510" s="104" t="e">
        <f ca="1">_05preva_view43[Folder Path2]&amp;"\Colo App "&amp;_05preva_view43[[#This Row],[Operator]]&amp;"\"</f>
        <v>#VALUE!</v>
      </c>
      <c r="BI510" s="63" t="e">
        <f ca="1">_05preva_view43[[#This Row],[Folder Path3]]&amp;_05preva_view43[[#This Row],[File Name]]</f>
        <v>#VALUE!</v>
      </c>
      <c r="BJ510" s="104"/>
      <c r="BK510" s="3"/>
      <c r="BL510" s="3"/>
      <c r="CJ510" s="5"/>
      <c r="CK510" s="5"/>
      <c r="CL510" s="3"/>
      <c r="CN510" s="5"/>
      <c r="CR510" s="3"/>
      <c r="CS510" s="3"/>
      <c r="CT510" s="5"/>
      <c r="CV510" s="3"/>
      <c r="DR510" s="5"/>
      <c r="DT510" s="3"/>
      <c r="EF510" s="7"/>
      <c r="EG510" s="7"/>
      <c r="EJ510" s="4"/>
      <c r="EK510" s="4"/>
      <c r="EU510" s="2"/>
      <c r="EV510" s="2"/>
    </row>
    <row r="511" spans="1:152">
      <c r="A511" s="125">
        <v>10</v>
      </c>
      <c r="B511" s="126" t="s">
        <v>162</v>
      </c>
      <c r="C511" s="126" t="s">
        <v>116</v>
      </c>
      <c r="D511" s="126" t="s">
        <v>163</v>
      </c>
      <c r="E511" s="126" t="s">
        <v>164</v>
      </c>
      <c r="F511" s="126" t="s">
        <v>34</v>
      </c>
      <c r="G511" s="126" t="s">
        <v>1574</v>
      </c>
      <c r="H511" s="126" t="s">
        <v>1575</v>
      </c>
      <c r="I511" s="126" t="s">
        <v>118</v>
      </c>
      <c r="J511" s="126"/>
      <c r="K511" s="127">
        <v>43172</v>
      </c>
      <c r="L511" s="128"/>
      <c r="M511" s="128"/>
      <c r="N511" s="126"/>
      <c r="O511" s="126" t="s">
        <v>119</v>
      </c>
      <c r="P511" s="129"/>
      <c r="Q511" s="129"/>
      <c r="R511" s="126" t="s">
        <v>24</v>
      </c>
      <c r="S511" s="126"/>
      <c r="T511" s="130" t="s">
        <v>120</v>
      </c>
      <c r="U511" s="126" t="s">
        <v>121</v>
      </c>
      <c r="V511" s="130" t="s">
        <v>120</v>
      </c>
      <c r="W511" s="126"/>
      <c r="X511" s="130" t="s">
        <v>120</v>
      </c>
      <c r="Y511" s="126" t="s">
        <v>165</v>
      </c>
      <c r="Z511" s="165" t="s">
        <v>120</v>
      </c>
      <c r="AA511" s="158"/>
      <c r="AB511" s="158"/>
      <c r="AC511" s="170"/>
      <c r="AD511" s="126"/>
      <c r="AE511" s="130" t="s">
        <v>120</v>
      </c>
      <c r="AF511" s="127"/>
      <c r="AG511" s="131"/>
      <c r="AH511" s="131"/>
      <c r="AI511" s="126" t="s">
        <v>166</v>
      </c>
      <c r="AJ511" s="130" t="s">
        <v>120</v>
      </c>
      <c r="AK511" s="126" t="s">
        <v>123</v>
      </c>
      <c r="AL511" s="126"/>
      <c r="AM511" s="130"/>
      <c r="AN511" s="126"/>
      <c r="AO511" s="132"/>
      <c r="AP511" s="126"/>
      <c r="AQ511" s="126"/>
      <c r="AR511" s="130"/>
      <c r="AS511" s="126"/>
      <c r="AT511" s="127"/>
      <c r="AU511" s="127">
        <v>43453.378889351901</v>
      </c>
      <c r="AV511" s="127"/>
      <c r="AW511" s="127"/>
      <c r="AX511" s="127"/>
      <c r="AY511" s="127"/>
      <c r="AZ511" s="133">
        <v>43172</v>
      </c>
      <c r="BA51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1" s="135">
        <f>COUNTIFS(_05preva_view43[Site ID],_05preva_view43[[#This Row],[Site ID]],_05preva_view43[Prevalidation Status],"Under Prevalidation")</f>
        <v>0</v>
      </c>
      <c r="BC511" s="157" t="e">
        <f ca="1">HYPERLINK(CheckPath(_05preva_view43[[#This Row],[File Path]],_05preva_view43[[#This Row],[File Path]],_05preva_view43[[#This Row],[Folder Path3]]),CheckPath(_05preva_view43[[#This Row],[File Path]],"Open File","No File"))</f>
        <v>#VALUE!</v>
      </c>
      <c r="BD511" s="136" t="str">
        <f>CONCATENATE(_05preva_view43[[#This Row],[Site ID]]," (",_05preva_view43[[#This Row],[tenant id]],") Application",IF(_05preva_view43[[#This Row],[Colo Rev]]&gt;0," Rev "&amp;_05preva_view43[[#This Row],[Colo Rev]],""),".xlsx")</f>
        <v>ASKA_0150 (KYN0014) Application.xlsx</v>
      </c>
      <c r="BE511" s="64" t="e">
        <f t="shared" ca="1" si="9"/>
        <v>#VALUE!</v>
      </c>
      <c r="BF511" s="104" t="e">
        <f ca="1">LEFT(CELL("filename",A496),_05preva_view43[[#This Row],[Find Process &amp; Database]]-1)</f>
        <v>#VALUE!</v>
      </c>
      <c r="BG511" s="104" t="e">
        <f ca="1">_05preva_view43[Folder Path1]&amp;"Process &amp; Database\Documentation\Colo Applications"</f>
        <v>#VALUE!</v>
      </c>
      <c r="BH511" s="104" t="e">
        <f ca="1">_05preva_view43[Folder Path2]&amp;"\Colo App "&amp;_05preva_view43[[#This Row],[Operator]]&amp;"\"</f>
        <v>#VALUE!</v>
      </c>
      <c r="BI511" s="63" t="e">
        <f ca="1">_05preva_view43[[#This Row],[Folder Path3]]&amp;_05preva_view43[[#This Row],[File Name]]</f>
        <v>#VALUE!</v>
      </c>
      <c r="BJ511" s="104"/>
      <c r="BK511" s="3"/>
      <c r="BL511" s="3"/>
      <c r="CJ511" s="5"/>
      <c r="CK511" s="5"/>
      <c r="CL511" s="3"/>
      <c r="CN511" s="5"/>
      <c r="CR511" s="3"/>
      <c r="CS511" s="3"/>
      <c r="CT511" s="5"/>
      <c r="CV511" s="3"/>
      <c r="DR511" s="5"/>
      <c r="DT511" s="3"/>
      <c r="EF511" s="7"/>
      <c r="EG511" s="7"/>
      <c r="EJ511" s="4"/>
      <c r="EK511" s="4"/>
      <c r="EU511" s="2"/>
      <c r="EV511" s="2"/>
    </row>
    <row r="512" spans="1:152">
      <c r="A512" s="125">
        <v>11</v>
      </c>
      <c r="B512" s="126" t="s">
        <v>167</v>
      </c>
      <c r="C512" s="126" t="s">
        <v>116</v>
      </c>
      <c r="D512" s="126" t="s">
        <v>163</v>
      </c>
      <c r="E512" s="126" t="s">
        <v>168</v>
      </c>
      <c r="F512" s="126" t="s">
        <v>34</v>
      </c>
      <c r="G512" s="126" t="s">
        <v>1574</v>
      </c>
      <c r="H512" s="126" t="s">
        <v>1575</v>
      </c>
      <c r="I512" s="126" t="s">
        <v>118</v>
      </c>
      <c r="J512" s="126"/>
      <c r="K512" s="127">
        <v>43172</v>
      </c>
      <c r="L512" s="128"/>
      <c r="M512" s="128"/>
      <c r="N512" s="126"/>
      <c r="O512" s="126" t="s">
        <v>119</v>
      </c>
      <c r="P512" s="129"/>
      <c r="Q512" s="129"/>
      <c r="R512" s="126" t="s">
        <v>24</v>
      </c>
      <c r="S512" s="126"/>
      <c r="T512" s="130" t="s">
        <v>120</v>
      </c>
      <c r="U512" s="126" t="s">
        <v>121</v>
      </c>
      <c r="V512" s="130" t="s">
        <v>120</v>
      </c>
      <c r="W512" s="126"/>
      <c r="X512" s="130" t="s">
        <v>120</v>
      </c>
      <c r="Y512" s="126" t="s">
        <v>169</v>
      </c>
      <c r="Z512" s="165" t="s">
        <v>120</v>
      </c>
      <c r="AA512" s="158"/>
      <c r="AB512" s="158"/>
      <c r="AC512" s="170"/>
      <c r="AD512" s="126"/>
      <c r="AE512" s="130" t="s">
        <v>120</v>
      </c>
      <c r="AF512" s="127"/>
      <c r="AG512" s="131"/>
      <c r="AH512" s="131"/>
      <c r="AI512" s="126" t="s">
        <v>170</v>
      </c>
      <c r="AJ512" s="130" t="s">
        <v>120</v>
      </c>
      <c r="AK512" s="126" t="s">
        <v>123</v>
      </c>
      <c r="AL512" s="126"/>
      <c r="AM512" s="130"/>
      <c r="AN512" s="126"/>
      <c r="AO512" s="132"/>
      <c r="AP512" s="126"/>
      <c r="AQ512" s="126"/>
      <c r="AR512" s="130"/>
      <c r="AS512" s="126"/>
      <c r="AT512" s="127"/>
      <c r="AU512" s="127">
        <v>43453.378891666704</v>
      </c>
      <c r="AV512" s="127"/>
      <c r="AW512" s="127"/>
      <c r="AX512" s="127"/>
      <c r="AY512" s="127"/>
      <c r="AZ512" s="133">
        <v>43172</v>
      </c>
      <c r="BA51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2" s="135">
        <f>COUNTIFS(_05preva_view43[Site ID],_05preva_view43[[#This Row],[Site ID]],_05preva_view43[Prevalidation Status],"Under Prevalidation")</f>
        <v>0</v>
      </c>
      <c r="BC512" s="157" t="e">
        <f ca="1">HYPERLINK(CheckPath(_05preva_view43[[#This Row],[File Path]],_05preva_view43[[#This Row],[File Path]],_05preva_view43[[#This Row],[Folder Path3]]),CheckPath(_05preva_view43[[#This Row],[File Path]],"Open File","No File"))</f>
        <v>#VALUE!</v>
      </c>
      <c r="BD512" s="136" t="str">
        <f>CONCATENATE(_05preva_view43[[#This Row],[Site ID]]," (",_05preva_view43[[#This Row],[tenant id]],") Application",IF(_05preva_view43[[#This Row],[Colo Rev]]&gt;0," Rev "&amp;_05preva_view43[[#This Row],[Colo Rev]],""),".xlsx")</f>
        <v>ASMO_0275 (MON0306) Application.xlsx</v>
      </c>
      <c r="BE512" s="64" t="e">
        <f t="shared" ca="1" si="9"/>
        <v>#VALUE!</v>
      </c>
      <c r="BF512" s="104" t="e">
        <f ca="1">LEFT(CELL("filename",A497),_05preva_view43[[#This Row],[Find Process &amp; Database]]-1)</f>
        <v>#VALUE!</v>
      </c>
      <c r="BG512" s="104" t="e">
        <f ca="1">_05preva_view43[Folder Path1]&amp;"Process &amp; Database\Documentation\Colo Applications"</f>
        <v>#VALUE!</v>
      </c>
      <c r="BH512" s="104" t="e">
        <f ca="1">_05preva_view43[Folder Path2]&amp;"\Colo App "&amp;_05preva_view43[[#This Row],[Operator]]&amp;"\"</f>
        <v>#VALUE!</v>
      </c>
      <c r="BI512" s="63" t="e">
        <f ca="1">_05preva_view43[[#This Row],[Folder Path3]]&amp;_05preva_view43[[#This Row],[File Name]]</f>
        <v>#VALUE!</v>
      </c>
      <c r="BJ512" s="104"/>
      <c r="BK512" s="3"/>
      <c r="BL512" s="3"/>
      <c r="CJ512" s="5"/>
      <c r="CK512" s="5"/>
      <c r="CL512" s="3"/>
      <c r="CN512" s="5"/>
      <c r="CR512" s="3"/>
      <c r="CS512" s="3"/>
      <c r="CT512" s="5"/>
      <c r="CV512" s="3"/>
      <c r="DR512" s="5"/>
      <c r="DT512" s="3"/>
      <c r="EF512" s="7"/>
      <c r="EG512" s="7"/>
      <c r="EJ512" s="4"/>
      <c r="EK512" s="4"/>
      <c r="EU512" s="2"/>
      <c r="EV512" s="2"/>
    </row>
    <row r="513" spans="1:152">
      <c r="A513" s="125">
        <v>12</v>
      </c>
      <c r="B513" s="126" t="s">
        <v>171</v>
      </c>
      <c r="C513" s="126" t="s">
        <v>116</v>
      </c>
      <c r="D513" s="126" t="s">
        <v>163</v>
      </c>
      <c r="E513" s="126" t="s">
        <v>172</v>
      </c>
      <c r="F513" s="126" t="s">
        <v>34</v>
      </c>
      <c r="G513" s="126" t="s">
        <v>118</v>
      </c>
      <c r="H513" s="126"/>
      <c r="I513" s="126" t="s">
        <v>118</v>
      </c>
      <c r="J513" s="126"/>
      <c r="K513" s="127">
        <v>43172</v>
      </c>
      <c r="L513" s="128"/>
      <c r="M513" s="128"/>
      <c r="N513" s="126"/>
      <c r="O513" s="126" t="s">
        <v>119</v>
      </c>
      <c r="P513" s="129"/>
      <c r="Q513" s="129"/>
      <c r="R513" s="126" t="s">
        <v>26</v>
      </c>
      <c r="S513" s="126"/>
      <c r="T513" s="130" t="s">
        <v>120</v>
      </c>
      <c r="U513" s="126" t="s">
        <v>121</v>
      </c>
      <c r="V513" s="130" t="s">
        <v>120</v>
      </c>
      <c r="W513" s="126"/>
      <c r="X513" s="130" t="s">
        <v>120</v>
      </c>
      <c r="Y513" s="126" t="s">
        <v>173</v>
      </c>
      <c r="Z513" s="165" t="s">
        <v>120</v>
      </c>
      <c r="AA513" s="158"/>
      <c r="AB513" s="158"/>
      <c r="AC513" s="170"/>
      <c r="AD513" s="126"/>
      <c r="AE513" s="130" t="s">
        <v>120</v>
      </c>
      <c r="AF513" s="127"/>
      <c r="AG513" s="131"/>
      <c r="AH513" s="131"/>
      <c r="AI513" s="126" t="s">
        <v>174</v>
      </c>
      <c r="AJ513" s="130" t="s">
        <v>120</v>
      </c>
      <c r="AK513" s="126" t="s">
        <v>123</v>
      </c>
      <c r="AL513" s="126"/>
      <c r="AM513" s="130"/>
      <c r="AN513" s="126"/>
      <c r="AO513" s="132"/>
      <c r="AP513" s="126"/>
      <c r="AQ513" s="126"/>
      <c r="AR513" s="130"/>
      <c r="AS513" s="126"/>
      <c r="AT513" s="127"/>
      <c r="AU513" s="127">
        <v>43453.378894097201</v>
      </c>
      <c r="AV513" s="127"/>
      <c r="AW513" s="127"/>
      <c r="AX513" s="127"/>
      <c r="AY513" s="127"/>
      <c r="AZ513" s="133">
        <v>43172</v>
      </c>
      <c r="BA51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3" s="135">
        <f>COUNTIFS(_05preva_view43[Site ID],_05preva_view43[[#This Row],[Site ID]],_05preva_view43[Prevalidation Status],"Under Prevalidation")</f>
        <v>0</v>
      </c>
      <c r="BC513" s="157" t="e">
        <f ca="1">HYPERLINK(CheckPath(_05preva_view43[[#This Row],[File Path]],_05preva_view43[[#This Row],[File Path]],_05preva_view43[[#This Row],[Folder Path3]]),CheckPath(_05preva_view43[[#This Row],[File Path]],"Open File","No File"))</f>
        <v>#VALUE!</v>
      </c>
      <c r="BD513" s="136" t="str">
        <f>CONCATENATE(_05preva_view43[[#This Row],[Site ID]]," (",_05preva_view43[[#This Row],[tenant id]],") Application",IF(_05preva_view43[[#This Row],[Colo Rev]]&gt;0," Rev "&amp;_05preva_view43[[#This Row],[Colo Rev]],""),".xlsx")</f>
        <v>AYYN_0095 (YGN0408) Application.xlsx</v>
      </c>
      <c r="BE513" s="64" t="e">
        <f t="shared" ca="1" si="9"/>
        <v>#VALUE!</v>
      </c>
      <c r="BF513" s="104" t="e">
        <f ca="1">LEFT(CELL("filename",A498),_05preva_view43[[#This Row],[Find Process &amp; Database]]-1)</f>
        <v>#VALUE!</v>
      </c>
      <c r="BG513" s="104" t="e">
        <f ca="1">_05preva_view43[Folder Path1]&amp;"Process &amp; Database\Documentation\Colo Applications"</f>
        <v>#VALUE!</v>
      </c>
      <c r="BH513" s="104" t="e">
        <f ca="1">_05preva_view43[Folder Path2]&amp;"\Colo App "&amp;_05preva_view43[[#This Row],[Operator]]&amp;"\"</f>
        <v>#VALUE!</v>
      </c>
      <c r="BI513" s="63" t="e">
        <f ca="1">_05preva_view43[[#This Row],[Folder Path3]]&amp;_05preva_view43[[#This Row],[File Name]]</f>
        <v>#VALUE!</v>
      </c>
      <c r="BJ513" s="104"/>
      <c r="BK513" s="3"/>
      <c r="BL513" s="3"/>
      <c r="CJ513" s="5"/>
      <c r="CK513" s="5"/>
      <c r="CL513" s="3"/>
      <c r="CN513" s="5"/>
      <c r="CR513" s="3"/>
      <c r="CS513" s="3"/>
      <c r="CT513" s="5"/>
      <c r="CV513" s="3"/>
      <c r="DR513" s="5"/>
      <c r="DT513" s="3"/>
      <c r="EF513" s="7"/>
      <c r="EG513" s="7"/>
      <c r="EJ513" s="4"/>
      <c r="EK513" s="4"/>
      <c r="EU513" s="2"/>
      <c r="EV513" s="2"/>
    </row>
    <row r="514" spans="1:152">
      <c r="A514" s="125">
        <v>13</v>
      </c>
      <c r="B514" s="126" t="s">
        <v>175</v>
      </c>
      <c r="C514" s="126" t="s">
        <v>116</v>
      </c>
      <c r="D514" s="126" t="s">
        <v>163</v>
      </c>
      <c r="E514" s="126" t="s">
        <v>176</v>
      </c>
      <c r="F514" s="126" t="s">
        <v>34</v>
      </c>
      <c r="G514" s="126" t="s">
        <v>1574</v>
      </c>
      <c r="H514" s="126" t="s">
        <v>1575</v>
      </c>
      <c r="I514" s="126" t="s">
        <v>118</v>
      </c>
      <c r="J514" s="126"/>
      <c r="K514" s="127">
        <v>43172</v>
      </c>
      <c r="L514" s="128"/>
      <c r="M514" s="128"/>
      <c r="N514" s="126"/>
      <c r="O514" s="126" t="s">
        <v>119</v>
      </c>
      <c r="P514" s="129"/>
      <c r="Q514" s="129"/>
      <c r="R514" s="126" t="s">
        <v>24</v>
      </c>
      <c r="S514" s="126"/>
      <c r="T514" s="130" t="s">
        <v>120</v>
      </c>
      <c r="U514" s="126" t="s">
        <v>121</v>
      </c>
      <c r="V514" s="130" t="s">
        <v>120</v>
      </c>
      <c r="W514" s="126"/>
      <c r="X514" s="130" t="s">
        <v>120</v>
      </c>
      <c r="Y514" s="126" t="s">
        <v>177</v>
      </c>
      <c r="Z514" s="165" t="s">
        <v>120</v>
      </c>
      <c r="AA514" s="158"/>
      <c r="AB514" s="158"/>
      <c r="AC514" s="170"/>
      <c r="AD514" s="126" t="s">
        <v>138</v>
      </c>
      <c r="AE514" s="130" t="s">
        <v>120</v>
      </c>
      <c r="AF514" s="127"/>
      <c r="AG514" s="131"/>
      <c r="AH514" s="131"/>
      <c r="AI514" s="126" t="s">
        <v>140</v>
      </c>
      <c r="AJ514" s="130" t="s">
        <v>120</v>
      </c>
      <c r="AK514" s="126" t="s">
        <v>123</v>
      </c>
      <c r="AL514" s="126"/>
      <c r="AM514" s="130"/>
      <c r="AN514" s="126"/>
      <c r="AO514" s="132"/>
      <c r="AP514" s="126"/>
      <c r="AQ514" s="126"/>
      <c r="AR514" s="130"/>
      <c r="AS514" s="126"/>
      <c r="AT514" s="127"/>
      <c r="AU514" s="127">
        <v>43453.3788965278</v>
      </c>
      <c r="AV514" s="127"/>
      <c r="AW514" s="127"/>
      <c r="AX514" s="127"/>
      <c r="AY514" s="127"/>
      <c r="AZ514" s="133">
        <v>43172</v>
      </c>
      <c r="BA51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4" s="135">
        <f>COUNTIFS(_05preva_view43[Site ID],_05preva_view43[[#This Row],[Site ID]],_05preva_view43[Prevalidation Status],"Under Prevalidation")</f>
        <v>0</v>
      </c>
      <c r="BC514" s="157" t="e">
        <f ca="1">HYPERLINK(CheckPath(_05preva_view43[[#This Row],[File Path]],_05preva_view43[[#This Row],[File Path]],_05preva_view43[[#This Row],[Folder Path3]]),CheckPath(_05preva_view43[[#This Row],[File Path]],"Open File","No File"))</f>
        <v>#VALUE!</v>
      </c>
      <c r="BD514" s="136" t="str">
        <f>CONCATENATE(_05preva_view43[[#This Row],[Site ID]]," (",_05preva_view43[[#This Row],[tenant id]],") Application",IF(_05preva_view43[[#This Row],[Colo Rev]]&gt;0," Rev "&amp;_05preva_view43[[#This Row],[Colo Rev]],""),".xlsx")</f>
        <v>AYYN_0121 (YGN1319) Application.xlsx</v>
      </c>
      <c r="BE514" s="64" t="e">
        <f t="shared" ca="1" si="9"/>
        <v>#VALUE!</v>
      </c>
      <c r="BF514" s="104" t="e">
        <f ca="1">LEFT(CELL("filename",A499),_05preva_view43[[#This Row],[Find Process &amp; Database]]-1)</f>
        <v>#VALUE!</v>
      </c>
      <c r="BG514" s="104" t="e">
        <f ca="1">_05preva_view43[Folder Path1]&amp;"Process &amp; Database\Documentation\Colo Applications"</f>
        <v>#VALUE!</v>
      </c>
      <c r="BH514" s="104" t="e">
        <f ca="1">_05preva_view43[Folder Path2]&amp;"\Colo App "&amp;_05preva_view43[[#This Row],[Operator]]&amp;"\"</f>
        <v>#VALUE!</v>
      </c>
      <c r="BI514" s="63" t="e">
        <f ca="1">_05preva_view43[[#This Row],[Folder Path3]]&amp;_05preva_view43[[#This Row],[File Name]]</f>
        <v>#VALUE!</v>
      </c>
      <c r="BJ514" s="104"/>
      <c r="BK514" s="3"/>
      <c r="BL514" s="3"/>
      <c r="CJ514" s="5"/>
      <c r="CK514" s="5"/>
      <c r="CL514" s="3"/>
      <c r="CN514" s="5"/>
      <c r="CR514" s="3"/>
      <c r="CS514" s="3"/>
      <c r="CT514" s="5"/>
      <c r="CV514" s="3"/>
      <c r="DR514" s="5"/>
      <c r="DT514" s="3"/>
      <c r="EF514" s="7"/>
      <c r="EG514" s="7"/>
      <c r="EJ514" s="4"/>
      <c r="EK514" s="4"/>
      <c r="EU514" s="2"/>
      <c r="EV514" s="2"/>
    </row>
    <row r="515" spans="1:152">
      <c r="A515" s="125">
        <v>14</v>
      </c>
      <c r="B515" s="126" t="s">
        <v>178</v>
      </c>
      <c r="C515" s="126" t="s">
        <v>116</v>
      </c>
      <c r="D515" s="126" t="s">
        <v>163</v>
      </c>
      <c r="E515" s="126" t="s">
        <v>179</v>
      </c>
      <c r="F515" s="126" t="s">
        <v>34</v>
      </c>
      <c r="G515" s="126" t="s">
        <v>118</v>
      </c>
      <c r="H515" s="126"/>
      <c r="I515" s="126" t="s">
        <v>118</v>
      </c>
      <c r="J515" s="126"/>
      <c r="K515" s="127">
        <v>43172</v>
      </c>
      <c r="L515" s="128"/>
      <c r="M515" s="128"/>
      <c r="N515" s="126"/>
      <c r="O515" s="126" t="s">
        <v>119</v>
      </c>
      <c r="P515" s="129"/>
      <c r="Q515" s="129"/>
      <c r="R515" s="126" t="s">
        <v>26</v>
      </c>
      <c r="S515" s="126"/>
      <c r="T515" s="130" t="s">
        <v>120</v>
      </c>
      <c r="U515" s="126" t="s">
        <v>121</v>
      </c>
      <c r="V515" s="130" t="s">
        <v>125</v>
      </c>
      <c r="W515" s="126" t="s">
        <v>184</v>
      </c>
      <c r="X515" s="130" t="s">
        <v>120</v>
      </c>
      <c r="Y515" s="126" t="s">
        <v>180</v>
      </c>
      <c r="Z515" s="165" t="s">
        <v>125</v>
      </c>
      <c r="AA515" s="158"/>
      <c r="AB515" s="158"/>
      <c r="AC515" s="170"/>
      <c r="AD515" s="126" t="s">
        <v>181</v>
      </c>
      <c r="AE515" s="130" t="s">
        <v>120</v>
      </c>
      <c r="AF515" s="127"/>
      <c r="AG515" s="131"/>
      <c r="AH515" s="131"/>
      <c r="AI515" s="126" t="s">
        <v>183</v>
      </c>
      <c r="AJ515" s="130" t="s">
        <v>144</v>
      </c>
      <c r="AK515" s="126"/>
      <c r="AL515" s="126" t="s">
        <v>182</v>
      </c>
      <c r="AM515" s="130"/>
      <c r="AN515" s="126"/>
      <c r="AO515" s="132"/>
      <c r="AP515" s="126"/>
      <c r="AQ515" s="126"/>
      <c r="AR515" s="130"/>
      <c r="AS515" s="126"/>
      <c r="AT515" s="127"/>
      <c r="AU515" s="127">
        <v>43453.378898495401</v>
      </c>
      <c r="AV515" s="127"/>
      <c r="AW515" s="127"/>
      <c r="AX515" s="127"/>
      <c r="AY515" s="127"/>
      <c r="AZ515" s="133">
        <v>43172</v>
      </c>
      <c r="BA51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5" s="135">
        <f>COUNTIFS(_05preva_view43[Site ID],_05preva_view43[[#This Row],[Site ID]],_05preva_view43[Prevalidation Status],"Under Prevalidation")</f>
        <v>0</v>
      </c>
      <c r="BC515" s="157" t="e">
        <f ca="1">HYPERLINK(CheckPath(_05preva_view43[[#This Row],[File Path]],_05preva_view43[[#This Row],[File Path]],_05preva_view43[[#This Row],[Folder Path3]]),CheckPath(_05preva_view43[[#This Row],[File Path]],"Open File","No File"))</f>
        <v>#VALUE!</v>
      </c>
      <c r="BD515" s="136" t="str">
        <f>CONCATENATE(_05preva_view43[[#This Row],[Site ID]]," (",_05preva_view43[[#This Row],[tenant id]],") Application",IF(_05preva_view43[[#This Row],[Colo Rev]]&gt;0," Rev "&amp;_05preva_view43[[#This Row],[Colo Rev]],""),".xlsx")</f>
        <v>AYYN_0148 (YGN1354) Application.xlsx</v>
      </c>
      <c r="BE515" s="64" t="e">
        <f t="shared" ca="1" si="9"/>
        <v>#VALUE!</v>
      </c>
      <c r="BF515" s="104" t="e">
        <f ca="1">LEFT(CELL("filename",A500),_05preva_view43[[#This Row],[Find Process &amp; Database]]-1)</f>
        <v>#VALUE!</v>
      </c>
      <c r="BG515" s="104" t="e">
        <f ca="1">_05preva_view43[Folder Path1]&amp;"Process &amp; Database\Documentation\Colo Applications"</f>
        <v>#VALUE!</v>
      </c>
      <c r="BH515" s="104" t="e">
        <f ca="1">_05preva_view43[Folder Path2]&amp;"\Colo App "&amp;_05preva_view43[[#This Row],[Operator]]&amp;"\"</f>
        <v>#VALUE!</v>
      </c>
      <c r="BI515" s="63" t="e">
        <f ca="1">_05preva_view43[[#This Row],[Folder Path3]]&amp;_05preva_view43[[#This Row],[File Name]]</f>
        <v>#VALUE!</v>
      </c>
      <c r="BJ515" s="104"/>
      <c r="BK515" s="3"/>
      <c r="BL515" s="3"/>
      <c r="CJ515" s="5"/>
      <c r="CK515" s="5"/>
      <c r="CL515" s="3"/>
      <c r="CN515" s="5"/>
      <c r="CR515" s="3"/>
      <c r="CS515" s="3"/>
      <c r="CT515" s="5"/>
      <c r="CV515" s="3"/>
      <c r="DR515" s="5"/>
      <c r="DT515" s="3"/>
      <c r="EF515" s="7"/>
      <c r="EG515" s="7"/>
      <c r="EJ515" s="4"/>
      <c r="EK515" s="4"/>
      <c r="EU515" s="2"/>
      <c r="EV515" s="2"/>
    </row>
    <row r="516" spans="1:152">
      <c r="A516" s="125">
        <v>15</v>
      </c>
      <c r="B516" s="126" t="s">
        <v>185</v>
      </c>
      <c r="C516" s="126" t="s">
        <v>116</v>
      </c>
      <c r="D516" s="126" t="s">
        <v>163</v>
      </c>
      <c r="E516" s="126" t="s">
        <v>186</v>
      </c>
      <c r="F516" s="126" t="s">
        <v>34</v>
      </c>
      <c r="G516" s="126" t="s">
        <v>118</v>
      </c>
      <c r="H516" s="126"/>
      <c r="I516" s="126" t="s">
        <v>118</v>
      </c>
      <c r="J516" s="126"/>
      <c r="K516" s="127">
        <v>43172</v>
      </c>
      <c r="L516" s="128"/>
      <c r="M516" s="128"/>
      <c r="N516" s="126"/>
      <c r="O516" s="126" t="s">
        <v>119</v>
      </c>
      <c r="P516" s="129"/>
      <c r="Q516" s="129"/>
      <c r="R516" s="126" t="s">
        <v>26</v>
      </c>
      <c r="S516" s="126"/>
      <c r="T516" s="130" t="s">
        <v>120</v>
      </c>
      <c r="U516" s="126" t="s">
        <v>121</v>
      </c>
      <c r="V516" s="130" t="s">
        <v>120</v>
      </c>
      <c r="W516" s="126"/>
      <c r="X516" s="130" t="s">
        <v>120</v>
      </c>
      <c r="Y516" s="126" t="s">
        <v>187</v>
      </c>
      <c r="Z516" s="165" t="s">
        <v>125</v>
      </c>
      <c r="AA516" s="158"/>
      <c r="AB516" s="158"/>
      <c r="AC516" s="170"/>
      <c r="AD516" s="126" t="s">
        <v>181</v>
      </c>
      <c r="AE516" s="130" t="s">
        <v>144</v>
      </c>
      <c r="AF516" s="127"/>
      <c r="AG516" s="131"/>
      <c r="AH516" s="131"/>
      <c r="AI516" s="126" t="s">
        <v>188</v>
      </c>
      <c r="AJ516" s="130" t="s">
        <v>120</v>
      </c>
      <c r="AK516" s="126"/>
      <c r="AL516" s="126" t="s">
        <v>182</v>
      </c>
      <c r="AM516" s="130"/>
      <c r="AN516" s="126"/>
      <c r="AO516" s="132"/>
      <c r="AP516" s="126"/>
      <c r="AQ516" s="126"/>
      <c r="AR516" s="130"/>
      <c r="AS516" s="126"/>
      <c r="AT516" s="127"/>
      <c r="AU516" s="127"/>
      <c r="AV516" s="127"/>
      <c r="AW516" s="127"/>
      <c r="AX516" s="127"/>
      <c r="AY516" s="127"/>
      <c r="AZ516" s="133">
        <v>43172</v>
      </c>
      <c r="BA51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6" s="135">
        <f>COUNTIFS(_05preva_view43[Site ID],_05preva_view43[[#This Row],[Site ID]],_05preva_view43[Prevalidation Status],"Under Prevalidation")</f>
        <v>0</v>
      </c>
      <c r="BC516" s="157" t="e">
        <f ca="1">HYPERLINK(CheckPath(_05preva_view43[[#This Row],[File Path]],_05preva_view43[[#This Row],[File Path]],_05preva_view43[[#This Row],[Folder Path3]]),CheckPath(_05preva_view43[[#This Row],[File Path]],"Open File","No File"))</f>
        <v>#VALUE!</v>
      </c>
      <c r="BD516" s="136" t="str">
        <f>CONCATENATE(_05preva_view43[[#This Row],[Site ID]]," (",_05preva_view43[[#This Row],[tenant id]],") Application",IF(_05preva_view43[[#This Row],[Colo Rev]]&gt;0," Rev "&amp;_05preva_view43[[#This Row],[Colo Rev]],""),".xlsx")</f>
        <v>AYYN_0153 (YGN0038) Application.xlsx</v>
      </c>
      <c r="BE516" s="64" t="e">
        <f t="shared" ca="1" si="9"/>
        <v>#VALUE!</v>
      </c>
      <c r="BF516" s="104" t="e">
        <f ca="1">LEFT(CELL("filename",A501),_05preva_view43[[#This Row],[Find Process &amp; Database]]-1)</f>
        <v>#VALUE!</v>
      </c>
      <c r="BG516" s="104" t="e">
        <f ca="1">_05preva_view43[Folder Path1]&amp;"Process &amp; Database\Documentation\Colo Applications"</f>
        <v>#VALUE!</v>
      </c>
      <c r="BH516" s="104" t="e">
        <f ca="1">_05preva_view43[Folder Path2]&amp;"\Colo App "&amp;_05preva_view43[[#This Row],[Operator]]&amp;"\"</f>
        <v>#VALUE!</v>
      </c>
      <c r="BI516" s="63" t="e">
        <f ca="1">_05preva_view43[[#This Row],[Folder Path3]]&amp;_05preva_view43[[#This Row],[File Name]]</f>
        <v>#VALUE!</v>
      </c>
      <c r="BJ516" s="104"/>
      <c r="BK516" s="3"/>
      <c r="BL516" s="3"/>
      <c r="CJ516" s="5"/>
      <c r="CK516" s="5"/>
      <c r="CL516" s="3"/>
      <c r="CN516" s="5"/>
      <c r="CR516" s="3"/>
      <c r="CS516" s="3"/>
      <c r="CT516" s="5"/>
      <c r="CV516" s="3"/>
      <c r="DR516" s="5"/>
      <c r="DT516" s="3"/>
      <c r="EF516" s="7"/>
      <c r="EG516" s="7"/>
      <c r="EJ516" s="4"/>
      <c r="EK516" s="4"/>
      <c r="EU516" s="2"/>
      <c r="EV516" s="2"/>
    </row>
    <row r="517" spans="1:152">
      <c r="A517" s="125">
        <v>16</v>
      </c>
      <c r="B517" s="126" t="s">
        <v>189</v>
      </c>
      <c r="C517" s="126" t="s">
        <v>116</v>
      </c>
      <c r="D517" s="126" t="s">
        <v>163</v>
      </c>
      <c r="E517" s="126" t="s">
        <v>190</v>
      </c>
      <c r="F517" s="126" t="s">
        <v>34</v>
      </c>
      <c r="G517" s="126" t="s">
        <v>118</v>
      </c>
      <c r="H517" s="126"/>
      <c r="I517" s="126" t="s">
        <v>118</v>
      </c>
      <c r="J517" s="126"/>
      <c r="K517" s="127">
        <v>43172</v>
      </c>
      <c r="L517" s="128"/>
      <c r="M517" s="128"/>
      <c r="N517" s="126"/>
      <c r="O517" s="126" t="s">
        <v>119</v>
      </c>
      <c r="P517" s="129"/>
      <c r="Q517" s="129"/>
      <c r="R517" s="126" t="s">
        <v>26</v>
      </c>
      <c r="S517" s="126"/>
      <c r="T517" s="130" t="s">
        <v>120</v>
      </c>
      <c r="U517" s="126" t="s">
        <v>121</v>
      </c>
      <c r="V517" s="130" t="s">
        <v>120</v>
      </c>
      <c r="W517" s="126"/>
      <c r="X517" s="130" t="s">
        <v>120</v>
      </c>
      <c r="Y517" s="126" t="s">
        <v>191</v>
      </c>
      <c r="Z517" s="165" t="s">
        <v>144</v>
      </c>
      <c r="AA517" s="158"/>
      <c r="AB517" s="158"/>
      <c r="AC517" s="170"/>
      <c r="AD517" s="126" t="s">
        <v>192</v>
      </c>
      <c r="AE517" s="130" t="s">
        <v>144</v>
      </c>
      <c r="AF517" s="127"/>
      <c r="AG517" s="131"/>
      <c r="AH517" s="131"/>
      <c r="AI517" s="126" t="s">
        <v>188</v>
      </c>
      <c r="AJ517" s="130" t="s">
        <v>144</v>
      </c>
      <c r="AK517" s="126"/>
      <c r="AL517" s="126" t="s">
        <v>182</v>
      </c>
      <c r="AM517" s="130"/>
      <c r="AN517" s="126"/>
      <c r="AO517" s="132"/>
      <c r="AP517" s="126"/>
      <c r="AQ517" s="126"/>
      <c r="AR517" s="130"/>
      <c r="AS517" s="126"/>
      <c r="AT517" s="127"/>
      <c r="AU517" s="127"/>
      <c r="AV517" s="127"/>
      <c r="AW517" s="127"/>
      <c r="AX517" s="127"/>
      <c r="AY517" s="127"/>
      <c r="AZ517" s="133">
        <v>43172</v>
      </c>
      <c r="BA51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7" s="135">
        <f>COUNTIFS(_05preva_view43[Site ID],_05preva_view43[[#This Row],[Site ID]],_05preva_view43[Prevalidation Status],"Under Prevalidation")</f>
        <v>0</v>
      </c>
      <c r="BC517" s="157" t="e">
        <f ca="1">HYPERLINK(CheckPath(_05preva_view43[[#This Row],[File Path]],_05preva_view43[[#This Row],[File Path]],_05preva_view43[[#This Row],[Folder Path3]]),CheckPath(_05preva_view43[[#This Row],[File Path]],"Open File","No File"))</f>
        <v>#VALUE!</v>
      </c>
      <c r="BD517" s="136" t="str">
        <f>CONCATENATE(_05preva_view43[[#This Row],[Site ID]]," (",_05preva_view43[[#This Row],[tenant id]],") Application",IF(_05preva_view43[[#This Row],[Colo Rev]]&gt;0," Rev "&amp;_05preva_view43[[#This Row],[Colo Rev]],""),".xlsx")</f>
        <v>AYYN_0363 (YGN1489) Application.xlsx</v>
      </c>
      <c r="BE517" s="64" t="e">
        <f t="shared" ca="1" si="9"/>
        <v>#VALUE!</v>
      </c>
      <c r="BF517" s="104" t="e">
        <f ca="1">LEFT(CELL("filename",A502),_05preva_view43[[#This Row],[Find Process &amp; Database]]-1)</f>
        <v>#VALUE!</v>
      </c>
      <c r="BG517" s="104" t="e">
        <f ca="1">_05preva_view43[Folder Path1]&amp;"Process &amp; Database\Documentation\Colo Applications"</f>
        <v>#VALUE!</v>
      </c>
      <c r="BH517" s="104" t="e">
        <f ca="1">_05preva_view43[Folder Path2]&amp;"\Colo App "&amp;_05preva_view43[[#This Row],[Operator]]&amp;"\"</f>
        <v>#VALUE!</v>
      </c>
      <c r="BI517" s="63" t="e">
        <f ca="1">_05preva_view43[[#This Row],[Folder Path3]]&amp;_05preva_view43[[#This Row],[File Name]]</f>
        <v>#VALUE!</v>
      </c>
      <c r="BJ517" s="104"/>
      <c r="BK517" s="3"/>
      <c r="BL517" s="3"/>
      <c r="CJ517" s="5"/>
      <c r="CK517" s="5"/>
      <c r="CL517" s="3"/>
      <c r="CN517" s="5"/>
      <c r="CR517" s="3"/>
      <c r="CS517" s="3"/>
      <c r="CT517" s="5"/>
      <c r="CV517" s="3"/>
      <c r="DR517" s="5"/>
      <c r="DT517" s="3"/>
      <c r="EF517" s="7"/>
      <c r="EG517" s="7"/>
      <c r="EJ517" s="4"/>
      <c r="EK517" s="4"/>
      <c r="EU517" s="2"/>
      <c r="EV517" s="2"/>
    </row>
    <row r="518" spans="1:152">
      <c r="A518" s="125">
        <v>17</v>
      </c>
      <c r="B518" s="126" t="s">
        <v>193</v>
      </c>
      <c r="C518" s="126" t="s">
        <v>116</v>
      </c>
      <c r="D518" s="126" t="s">
        <v>163</v>
      </c>
      <c r="E518" s="126" t="s">
        <v>194</v>
      </c>
      <c r="F518" s="126" t="s">
        <v>34</v>
      </c>
      <c r="G518" s="126" t="s">
        <v>118</v>
      </c>
      <c r="H518" s="126"/>
      <c r="I518" s="126" t="s">
        <v>118</v>
      </c>
      <c r="J518" s="126"/>
      <c r="K518" s="127">
        <v>43172</v>
      </c>
      <c r="L518" s="128"/>
      <c r="M518" s="128"/>
      <c r="N518" s="126"/>
      <c r="O518" s="126" t="s">
        <v>119</v>
      </c>
      <c r="P518" s="129"/>
      <c r="Q518" s="129"/>
      <c r="R518" s="126" t="s">
        <v>24</v>
      </c>
      <c r="S518" s="126"/>
      <c r="T518" s="130" t="s">
        <v>120</v>
      </c>
      <c r="U518" s="126" t="s">
        <v>121</v>
      </c>
      <c r="V518" s="130" t="s">
        <v>120</v>
      </c>
      <c r="W518" s="126"/>
      <c r="X518" s="130" t="s">
        <v>120</v>
      </c>
      <c r="Y518" s="126" t="s">
        <v>195</v>
      </c>
      <c r="Z518" s="165" t="s">
        <v>120</v>
      </c>
      <c r="AA518" s="158"/>
      <c r="AB518" s="158"/>
      <c r="AC518" s="170"/>
      <c r="AD518" s="126" t="s">
        <v>196</v>
      </c>
      <c r="AE518" s="130" t="s">
        <v>120</v>
      </c>
      <c r="AF518" s="127" t="s">
        <v>197</v>
      </c>
      <c r="AG518" s="131"/>
      <c r="AH518" s="131"/>
      <c r="AI518" s="126" t="s">
        <v>198</v>
      </c>
      <c r="AJ518" s="130" t="s">
        <v>120</v>
      </c>
      <c r="AK518" s="126"/>
      <c r="AL518" s="126" t="s">
        <v>182</v>
      </c>
      <c r="AM518" s="130"/>
      <c r="AN518" s="126"/>
      <c r="AO518" s="132"/>
      <c r="AP518" s="126"/>
      <c r="AQ518" s="126"/>
      <c r="AR518" s="130"/>
      <c r="AS518" s="126"/>
      <c r="AT518" s="127"/>
      <c r="AU518" s="127">
        <v>43453.378902662</v>
      </c>
      <c r="AV518" s="127"/>
      <c r="AW518" s="127"/>
      <c r="AX518" s="127"/>
      <c r="AY518" s="127"/>
      <c r="AZ518" s="133">
        <v>43172</v>
      </c>
      <c r="BA51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8" s="135">
        <f>COUNTIFS(_05preva_view43[Site ID],_05preva_view43[[#This Row],[Site ID]],_05preva_view43[Prevalidation Status],"Under Prevalidation")</f>
        <v>0</v>
      </c>
      <c r="BC518" s="157" t="e">
        <f ca="1">HYPERLINK(CheckPath(_05preva_view43[[#This Row],[File Path]],_05preva_view43[[#This Row],[File Path]],_05preva_view43[[#This Row],[Folder Path3]]),CheckPath(_05preva_view43[[#This Row],[File Path]],"Open File","No File"))</f>
        <v>#VALUE!</v>
      </c>
      <c r="BD518" s="136" t="str">
        <f>CONCATENATE(_05preva_view43[[#This Row],[Site ID]]," (",_05preva_view43[[#This Row],[tenant id]],") Application",IF(_05preva_view43[[#This Row],[Colo Rev]]&gt;0," Rev "&amp;_05preva_view43[[#This Row],[Colo Rev]],""),".xlsx")</f>
        <v>AYYN_0389 (YGN0167) Application.xlsx</v>
      </c>
      <c r="BE518" s="64" t="e">
        <f t="shared" ca="1" si="9"/>
        <v>#VALUE!</v>
      </c>
      <c r="BF518" s="104" t="e">
        <f ca="1">LEFT(CELL("filename",A503),_05preva_view43[[#This Row],[Find Process &amp; Database]]-1)</f>
        <v>#VALUE!</v>
      </c>
      <c r="BG518" s="104" t="e">
        <f ca="1">_05preva_view43[Folder Path1]&amp;"Process &amp; Database\Documentation\Colo Applications"</f>
        <v>#VALUE!</v>
      </c>
      <c r="BH518" s="104" t="e">
        <f ca="1">_05preva_view43[Folder Path2]&amp;"\Colo App "&amp;_05preva_view43[[#This Row],[Operator]]&amp;"\"</f>
        <v>#VALUE!</v>
      </c>
      <c r="BI518" s="63" t="e">
        <f ca="1">_05preva_view43[[#This Row],[Folder Path3]]&amp;_05preva_view43[[#This Row],[File Name]]</f>
        <v>#VALUE!</v>
      </c>
      <c r="BJ518" s="104"/>
      <c r="BK518" s="3"/>
      <c r="BL518" s="3"/>
      <c r="CJ518" s="5"/>
      <c r="CK518" s="5"/>
      <c r="CL518" s="3"/>
      <c r="CN518" s="5"/>
      <c r="CR518" s="3"/>
      <c r="CS518" s="3"/>
      <c r="CT518" s="5"/>
      <c r="CV518" s="3"/>
      <c r="DR518" s="5"/>
      <c r="DT518" s="3"/>
      <c r="EF518" s="7"/>
      <c r="EG518" s="7"/>
      <c r="EJ518" s="4"/>
      <c r="EK518" s="4"/>
      <c r="EU518" s="2"/>
      <c r="EV518" s="2"/>
    </row>
    <row r="519" spans="1:152">
      <c r="A519" s="125">
        <v>18</v>
      </c>
      <c r="B519" s="126" t="s">
        <v>199</v>
      </c>
      <c r="C519" s="126" t="s">
        <v>116</v>
      </c>
      <c r="D519" s="126" t="s">
        <v>163</v>
      </c>
      <c r="E519" s="126" t="s">
        <v>200</v>
      </c>
      <c r="F519" s="126" t="s">
        <v>34</v>
      </c>
      <c r="G519" s="126" t="s">
        <v>118</v>
      </c>
      <c r="H519" s="126"/>
      <c r="I519" s="126" t="s">
        <v>118</v>
      </c>
      <c r="J519" s="126"/>
      <c r="K519" s="127">
        <v>43172</v>
      </c>
      <c r="L519" s="128"/>
      <c r="M519" s="128"/>
      <c r="N519" s="126"/>
      <c r="O519" s="126" t="s">
        <v>119</v>
      </c>
      <c r="P519" s="129"/>
      <c r="Q519" s="129"/>
      <c r="R519" s="126" t="s">
        <v>24</v>
      </c>
      <c r="S519" s="126"/>
      <c r="T519" s="130" t="s">
        <v>120</v>
      </c>
      <c r="U519" s="126" t="s">
        <v>121</v>
      </c>
      <c r="V519" s="130" t="s">
        <v>120</v>
      </c>
      <c r="W519" s="126"/>
      <c r="X519" s="130" t="s">
        <v>120</v>
      </c>
      <c r="Y519" s="126" t="s">
        <v>201</v>
      </c>
      <c r="Z519" s="165" t="s">
        <v>120</v>
      </c>
      <c r="AA519" s="158"/>
      <c r="AB519" s="158"/>
      <c r="AC519" s="170"/>
      <c r="AD519" s="126" t="s">
        <v>202</v>
      </c>
      <c r="AE519" s="130" t="s">
        <v>120</v>
      </c>
      <c r="AF519" s="127"/>
      <c r="AG519" s="131"/>
      <c r="AH519" s="131"/>
      <c r="AI519" s="126" t="s">
        <v>183</v>
      </c>
      <c r="AJ519" s="130" t="s">
        <v>120</v>
      </c>
      <c r="AK519" s="126"/>
      <c r="AL519" s="126" t="s">
        <v>182</v>
      </c>
      <c r="AM519" s="130"/>
      <c r="AN519" s="126"/>
      <c r="AO519" s="132"/>
      <c r="AP519" s="126"/>
      <c r="AQ519" s="126"/>
      <c r="AR519" s="130"/>
      <c r="AS519" s="126"/>
      <c r="AT519" s="127"/>
      <c r="AU519" s="127">
        <v>43453.378903356497</v>
      </c>
      <c r="AV519" s="127"/>
      <c r="AW519" s="127"/>
      <c r="AX519" s="127"/>
      <c r="AY519" s="127"/>
      <c r="AZ519" s="133">
        <v>43172</v>
      </c>
      <c r="BA51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9" s="135">
        <f>COUNTIFS(_05preva_view43[Site ID],_05preva_view43[[#This Row],[Site ID]],_05preva_view43[Prevalidation Status],"Under Prevalidation")</f>
        <v>0</v>
      </c>
      <c r="BC519" s="157" t="e">
        <f ca="1">HYPERLINK(CheckPath(_05preva_view43[[#This Row],[File Path]],_05preva_view43[[#This Row],[File Path]],_05preva_view43[[#This Row],[Folder Path3]]),CheckPath(_05preva_view43[[#This Row],[File Path]],"Open File","No File"))</f>
        <v>#VALUE!</v>
      </c>
      <c r="BD519" s="136" t="str">
        <f>CONCATENATE(_05preva_view43[[#This Row],[Site ID]]," (",_05preva_view43[[#This Row],[tenant id]],") Application",IF(_05preva_view43[[#This Row],[Colo Rev]]&gt;0," Rev "&amp;_05preva_view43[[#This Row],[Colo Rev]],""),".xlsx")</f>
        <v>AYYN_0396 (YGN0171) Application.xlsx</v>
      </c>
      <c r="BE519" s="64" t="e">
        <f t="shared" ca="1" si="9"/>
        <v>#VALUE!</v>
      </c>
      <c r="BF519" s="104" t="e">
        <f ca="1">LEFT(CELL("filename",A504),_05preva_view43[[#This Row],[Find Process &amp; Database]]-1)</f>
        <v>#VALUE!</v>
      </c>
      <c r="BG519" s="104" t="e">
        <f ca="1">_05preva_view43[Folder Path1]&amp;"Process &amp; Database\Documentation\Colo Applications"</f>
        <v>#VALUE!</v>
      </c>
      <c r="BH519" s="104" t="e">
        <f ca="1">_05preva_view43[Folder Path2]&amp;"\Colo App "&amp;_05preva_view43[[#This Row],[Operator]]&amp;"\"</f>
        <v>#VALUE!</v>
      </c>
      <c r="BI519" s="63" t="e">
        <f ca="1">_05preva_view43[[#This Row],[Folder Path3]]&amp;_05preva_view43[[#This Row],[File Name]]</f>
        <v>#VALUE!</v>
      </c>
      <c r="BJ519" s="104"/>
      <c r="BK519" s="3"/>
      <c r="BL519" s="3"/>
      <c r="CJ519" s="5"/>
      <c r="CK519" s="5"/>
      <c r="CL519" s="3"/>
      <c r="CN519" s="5"/>
      <c r="CR519" s="3"/>
      <c r="CS519" s="3"/>
      <c r="CT519" s="5"/>
      <c r="CV519" s="3"/>
      <c r="DR519" s="5"/>
      <c r="DT519" s="3"/>
      <c r="EF519" s="7"/>
      <c r="EG519" s="7"/>
      <c r="EJ519" s="4"/>
      <c r="EK519" s="4"/>
      <c r="EU519" s="2"/>
      <c r="EV519" s="2"/>
    </row>
    <row r="520" spans="1:152">
      <c r="A520" s="125">
        <v>19</v>
      </c>
      <c r="B520" s="126" t="s">
        <v>203</v>
      </c>
      <c r="C520" s="126" t="s">
        <v>116</v>
      </c>
      <c r="D520" s="126" t="s">
        <v>163</v>
      </c>
      <c r="E520" s="126" t="s">
        <v>204</v>
      </c>
      <c r="F520" s="126" t="s">
        <v>34</v>
      </c>
      <c r="G520" s="126" t="s">
        <v>1574</v>
      </c>
      <c r="H520" s="126" t="s">
        <v>1575</v>
      </c>
      <c r="I520" s="126" t="s">
        <v>118</v>
      </c>
      <c r="J520" s="126"/>
      <c r="K520" s="127">
        <v>43172</v>
      </c>
      <c r="L520" s="128"/>
      <c r="M520" s="128"/>
      <c r="N520" s="126"/>
      <c r="O520" s="126" t="s">
        <v>119</v>
      </c>
      <c r="P520" s="129"/>
      <c r="Q520" s="129"/>
      <c r="R520" s="126" t="s">
        <v>24</v>
      </c>
      <c r="S520" s="126"/>
      <c r="T520" s="130" t="s">
        <v>120</v>
      </c>
      <c r="U520" s="126" t="s">
        <v>121</v>
      </c>
      <c r="V520" s="130" t="s">
        <v>120</v>
      </c>
      <c r="W520" s="126"/>
      <c r="X520" s="130" t="s">
        <v>120</v>
      </c>
      <c r="Y520" s="126" t="s">
        <v>205</v>
      </c>
      <c r="Z520" s="165" t="s">
        <v>120</v>
      </c>
      <c r="AA520" s="158"/>
      <c r="AB520" s="158"/>
      <c r="AC520" s="170"/>
      <c r="AD520" s="126" t="s">
        <v>138</v>
      </c>
      <c r="AE520" s="130" t="s">
        <v>120</v>
      </c>
      <c r="AF520" s="127"/>
      <c r="AG520" s="131"/>
      <c r="AH520" s="131"/>
      <c r="AI520" s="126" t="s">
        <v>206</v>
      </c>
      <c r="AJ520" s="130" t="s">
        <v>120</v>
      </c>
      <c r="AK520" s="126"/>
      <c r="AL520" s="126" t="s">
        <v>182</v>
      </c>
      <c r="AM520" s="130"/>
      <c r="AN520" s="126"/>
      <c r="AO520" s="132"/>
      <c r="AP520" s="126"/>
      <c r="AQ520" s="126"/>
      <c r="AR520" s="130"/>
      <c r="AS520" s="126"/>
      <c r="AT520" s="127"/>
      <c r="AU520" s="127">
        <v>43453.378905208301</v>
      </c>
      <c r="AV520" s="127"/>
      <c r="AW520" s="127"/>
      <c r="AX520" s="127"/>
      <c r="AY520" s="127"/>
      <c r="AZ520" s="133">
        <v>43172</v>
      </c>
      <c r="BA52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0" s="135">
        <f>COUNTIFS(_05preva_view43[Site ID],_05preva_view43[[#This Row],[Site ID]],_05preva_view43[Prevalidation Status],"Under Prevalidation")</f>
        <v>0</v>
      </c>
      <c r="BC520" s="157" t="e">
        <f ca="1">HYPERLINK(CheckPath(_05preva_view43[[#This Row],[File Path]],_05preva_view43[[#This Row],[File Path]],_05preva_view43[[#This Row],[Folder Path3]]),CheckPath(_05preva_view43[[#This Row],[File Path]],"Open File","No File"))</f>
        <v>#VALUE!</v>
      </c>
      <c r="BD520" s="136" t="str">
        <f>CONCATENATE(_05preva_view43[[#This Row],[Site ID]]," (",_05preva_view43[[#This Row],[tenant id]],") Application",IF(_05preva_view43[[#This Row],[Colo Rev]]&gt;0," Rev "&amp;_05preva_view43[[#This Row],[Colo Rev]],""),".xlsx")</f>
        <v>AYYN_0583 (YGN1201) Application.xlsx</v>
      </c>
      <c r="BE520" s="64" t="e">
        <f t="shared" ca="1" si="9"/>
        <v>#VALUE!</v>
      </c>
      <c r="BF520" s="104" t="e">
        <f ca="1">LEFT(CELL("filename",A505),_05preva_view43[[#This Row],[Find Process &amp; Database]]-1)</f>
        <v>#VALUE!</v>
      </c>
      <c r="BG520" s="104" t="e">
        <f ca="1">_05preva_view43[Folder Path1]&amp;"Process &amp; Database\Documentation\Colo Applications"</f>
        <v>#VALUE!</v>
      </c>
      <c r="BH520" s="104" t="e">
        <f ca="1">_05preva_view43[Folder Path2]&amp;"\Colo App "&amp;_05preva_view43[[#This Row],[Operator]]&amp;"\"</f>
        <v>#VALUE!</v>
      </c>
      <c r="BI520" s="63" t="e">
        <f ca="1">_05preva_view43[[#This Row],[Folder Path3]]&amp;_05preva_view43[[#This Row],[File Name]]</f>
        <v>#VALUE!</v>
      </c>
      <c r="BJ520" s="104"/>
      <c r="BK520" s="3"/>
      <c r="BL520" s="3"/>
      <c r="CJ520" s="5"/>
      <c r="CK520" s="5"/>
      <c r="CL520" s="3"/>
      <c r="CN520" s="5"/>
      <c r="CR520" s="3"/>
      <c r="CS520" s="3"/>
      <c r="CT520" s="5"/>
      <c r="CV520" s="3"/>
      <c r="DR520" s="5"/>
      <c r="DT520" s="3"/>
      <c r="EF520" s="7"/>
      <c r="EG520" s="7"/>
      <c r="EJ520" s="4"/>
      <c r="EK520" s="4"/>
      <c r="EU520" s="2"/>
      <c r="EV520" s="2"/>
    </row>
    <row r="521" spans="1:152">
      <c r="A521" s="125">
        <v>20</v>
      </c>
      <c r="B521" s="126" t="s">
        <v>207</v>
      </c>
      <c r="C521" s="126" t="s">
        <v>116</v>
      </c>
      <c r="D521" s="126" t="s">
        <v>127</v>
      </c>
      <c r="E521" s="126" t="s">
        <v>208</v>
      </c>
      <c r="F521" s="126" t="s">
        <v>34</v>
      </c>
      <c r="G521" s="126" t="s">
        <v>118</v>
      </c>
      <c r="H521" s="126"/>
      <c r="I521" s="126" t="s">
        <v>118</v>
      </c>
      <c r="J521" s="126"/>
      <c r="K521" s="127">
        <v>43172</v>
      </c>
      <c r="L521" s="128"/>
      <c r="M521" s="128"/>
      <c r="N521" s="126"/>
      <c r="O521" s="126" t="s">
        <v>119</v>
      </c>
      <c r="P521" s="129"/>
      <c r="Q521" s="129"/>
      <c r="R521" s="126" t="s">
        <v>26</v>
      </c>
      <c r="S521" s="126"/>
      <c r="T521" s="130" t="s">
        <v>120</v>
      </c>
      <c r="U521" s="126" t="s">
        <v>121</v>
      </c>
      <c r="V521" s="130" t="s">
        <v>144</v>
      </c>
      <c r="W521" s="126" t="s">
        <v>211</v>
      </c>
      <c r="X521" s="130" t="s">
        <v>120</v>
      </c>
      <c r="Y521" s="126" t="s">
        <v>209</v>
      </c>
      <c r="Z521" s="165" t="s">
        <v>120</v>
      </c>
      <c r="AA521" s="158"/>
      <c r="AB521" s="158"/>
      <c r="AC521" s="170"/>
      <c r="AD521" s="126"/>
      <c r="AE521" s="130" t="s">
        <v>120</v>
      </c>
      <c r="AF521" s="127" t="s">
        <v>197</v>
      </c>
      <c r="AG521" s="131"/>
      <c r="AH521" s="131"/>
      <c r="AI521" s="126" t="s">
        <v>198</v>
      </c>
      <c r="AJ521" s="130" t="s">
        <v>120</v>
      </c>
      <c r="AK521" s="126" t="s">
        <v>123</v>
      </c>
      <c r="AL521" s="126" t="s">
        <v>210</v>
      </c>
      <c r="AM521" s="130"/>
      <c r="AN521" s="126"/>
      <c r="AO521" s="132"/>
      <c r="AP521" s="126"/>
      <c r="AQ521" s="126"/>
      <c r="AR521" s="130"/>
      <c r="AS521" s="126"/>
      <c r="AT521" s="127"/>
      <c r="AU521" s="127">
        <v>43453.37890625</v>
      </c>
      <c r="AV521" s="127"/>
      <c r="AW521" s="127"/>
      <c r="AX521" s="127"/>
      <c r="AY521" s="127"/>
      <c r="AZ521" s="133">
        <v>43172</v>
      </c>
      <c r="BA52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1" s="135">
        <f>COUNTIFS(_05preva_view43[Site ID],_05preva_view43[[#This Row],[Site ID]],_05preva_view43[Prevalidation Status],"Under Prevalidation")</f>
        <v>0</v>
      </c>
      <c r="BC521" s="157" t="e">
        <f ca="1">HYPERLINK(CheckPath(_05preva_view43[[#This Row],[File Path]],_05preva_view43[[#This Row],[File Path]],_05preva_view43[[#This Row],[Folder Path3]]),CheckPath(_05preva_view43[[#This Row],[File Path]],"Open File","No File"))</f>
        <v>#VALUE!</v>
      </c>
      <c r="BD521" s="136" t="str">
        <f>CONCATENATE(_05preva_view43[[#This Row],[Site ID]]," (",_05preva_view43[[#This Row],[tenant id]],") Application",IF(_05preva_view43[[#This Row],[Colo Rev]]&gt;0," Rev "&amp;_05preva_view43[[#This Row],[Colo Rev]],""),".xlsx")</f>
        <v>ANMD_0273 (MDY0760) Application.xlsx</v>
      </c>
      <c r="BE521" s="64" t="e">
        <f t="shared" ca="1" si="9"/>
        <v>#VALUE!</v>
      </c>
      <c r="BF521" s="104" t="e">
        <f ca="1">LEFT(CELL("filename",A506),_05preva_view43[[#This Row],[Find Process &amp; Database]]-1)</f>
        <v>#VALUE!</v>
      </c>
      <c r="BG521" s="104" t="e">
        <f ca="1">_05preva_view43[Folder Path1]&amp;"Process &amp; Database\Documentation\Colo Applications"</f>
        <v>#VALUE!</v>
      </c>
      <c r="BH521" s="104" t="e">
        <f ca="1">_05preva_view43[Folder Path2]&amp;"\Colo App "&amp;_05preva_view43[[#This Row],[Operator]]&amp;"\"</f>
        <v>#VALUE!</v>
      </c>
      <c r="BI521" s="63" t="e">
        <f ca="1">_05preva_view43[[#This Row],[Folder Path3]]&amp;_05preva_view43[[#This Row],[File Name]]</f>
        <v>#VALUE!</v>
      </c>
      <c r="BJ521" s="104"/>
      <c r="BK521" s="3"/>
      <c r="BL521" s="3"/>
      <c r="CJ521" s="5"/>
      <c r="CK521" s="5"/>
      <c r="CL521" s="3"/>
      <c r="CN521" s="5"/>
      <c r="CR521" s="3"/>
      <c r="CS521" s="3"/>
      <c r="CT521" s="5"/>
      <c r="CV521" s="3"/>
      <c r="DR521" s="5"/>
      <c r="DT521" s="3"/>
      <c r="EF521" s="7"/>
      <c r="EG521" s="7"/>
      <c r="EJ521" s="4"/>
      <c r="EK521" s="4"/>
      <c r="EU521" s="2"/>
      <c r="EV521" s="2"/>
    </row>
    <row r="522" spans="1:152">
      <c r="A522" s="125">
        <v>21</v>
      </c>
      <c r="B522" s="126" t="s">
        <v>212</v>
      </c>
      <c r="C522" s="126" t="s">
        <v>116</v>
      </c>
      <c r="D522" s="126" t="s">
        <v>163</v>
      </c>
      <c r="E522" s="126" t="s">
        <v>213</v>
      </c>
      <c r="F522" s="126" t="s">
        <v>41</v>
      </c>
      <c r="G522" s="126" t="s">
        <v>1576</v>
      </c>
      <c r="H522" s="126" t="s">
        <v>1575</v>
      </c>
      <c r="I522" s="126" t="s">
        <v>118</v>
      </c>
      <c r="J522" s="126"/>
      <c r="K522" s="127">
        <v>43172</v>
      </c>
      <c r="L522" s="128"/>
      <c r="M522" s="128"/>
      <c r="N522" s="126"/>
      <c r="O522" s="126" t="s">
        <v>119</v>
      </c>
      <c r="P522" s="129"/>
      <c r="Q522" s="129"/>
      <c r="R522" s="126" t="s">
        <v>24</v>
      </c>
      <c r="S522" s="126"/>
      <c r="T522" s="130" t="s">
        <v>120</v>
      </c>
      <c r="U522" s="126" t="s">
        <v>121</v>
      </c>
      <c r="V522" s="130" t="s">
        <v>120</v>
      </c>
      <c r="W522" s="126"/>
      <c r="X522" s="130" t="s">
        <v>120</v>
      </c>
      <c r="Y522" s="126"/>
      <c r="Z522" s="165" t="s">
        <v>120</v>
      </c>
      <c r="AA522" s="158"/>
      <c r="AB522" s="158"/>
      <c r="AC522" s="170"/>
      <c r="AD522" s="126"/>
      <c r="AE522" s="130" t="s">
        <v>120</v>
      </c>
      <c r="AF522" s="127"/>
      <c r="AG522" s="131"/>
      <c r="AH522" s="131"/>
      <c r="AI522" s="126" t="s">
        <v>214</v>
      </c>
      <c r="AJ522" s="130" t="s">
        <v>120</v>
      </c>
      <c r="AK522" s="126"/>
      <c r="AL522" s="126"/>
      <c r="AM522" s="130"/>
      <c r="AN522" s="126"/>
      <c r="AO522" s="132"/>
      <c r="AP522" s="126"/>
      <c r="AQ522" s="126"/>
      <c r="AR522" s="130"/>
      <c r="AS522" s="126"/>
      <c r="AT522" s="127"/>
      <c r="AU522" s="127">
        <v>43453.378908217601</v>
      </c>
      <c r="AV522" s="127"/>
      <c r="AW522" s="127"/>
      <c r="AX522" s="127"/>
      <c r="AY522" s="127"/>
      <c r="AZ522" s="133">
        <v>43172</v>
      </c>
      <c r="BA52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2" s="135">
        <f>COUNTIFS(_05preva_view43[Site ID],_05preva_view43[[#This Row],[Site ID]],_05preva_view43[Prevalidation Status],"Under Prevalidation")</f>
        <v>0</v>
      </c>
      <c r="BC522" s="157" t="e">
        <f ca="1">HYPERLINK(CheckPath(_05preva_view43[[#This Row],[File Path]],_05preva_view43[[#This Row],[File Path]],_05preva_view43[[#This Row],[Folder Path3]]),CheckPath(_05preva_view43[[#This Row],[File Path]],"Open File","No File"))</f>
        <v>#VALUE!</v>
      </c>
      <c r="BD522" s="136" t="str">
        <f>CONCATENATE(_05preva_view43[[#This Row],[Site ID]]," (",_05preva_view43[[#This Row],[tenant id]],") Application",IF(_05preva_view43[[#This Row],[Colo Rev]]&gt;0," Rev "&amp;_05preva_view43[[#This Row],[Colo Rev]],""),".xlsx")</f>
        <v>AYYN_0269 (YGNINSN052) Application.xlsx</v>
      </c>
      <c r="BE522" s="64" t="e">
        <f t="shared" ca="1" si="9"/>
        <v>#VALUE!</v>
      </c>
      <c r="BF522" s="104" t="e">
        <f ca="1">LEFT(CELL("filename",A507),_05preva_view43[[#This Row],[Find Process &amp; Database]]-1)</f>
        <v>#VALUE!</v>
      </c>
      <c r="BG522" s="104" t="e">
        <f ca="1">_05preva_view43[Folder Path1]&amp;"Process &amp; Database\Documentation\Colo Applications"</f>
        <v>#VALUE!</v>
      </c>
      <c r="BH522" s="104" t="e">
        <f ca="1">_05preva_view43[Folder Path2]&amp;"\Colo App "&amp;_05preva_view43[[#This Row],[Operator]]&amp;"\"</f>
        <v>#VALUE!</v>
      </c>
      <c r="BI522" s="63" t="e">
        <f ca="1">_05preva_view43[[#This Row],[Folder Path3]]&amp;_05preva_view43[[#This Row],[File Name]]</f>
        <v>#VALUE!</v>
      </c>
      <c r="BJ522" s="104"/>
      <c r="BK522" s="3"/>
      <c r="BL522" s="3"/>
      <c r="CJ522" s="5"/>
      <c r="CK522" s="5"/>
      <c r="CL522" s="3"/>
      <c r="CN522" s="5"/>
      <c r="CR522" s="3"/>
      <c r="CS522" s="3"/>
      <c r="CT522" s="5"/>
      <c r="CV522" s="3"/>
      <c r="DR522" s="5"/>
      <c r="DT522" s="3"/>
      <c r="EF522" s="7"/>
      <c r="EG522" s="7"/>
      <c r="EJ522" s="4"/>
      <c r="EK522" s="4"/>
      <c r="EU522" s="2"/>
      <c r="EV522" s="2"/>
    </row>
    <row r="523" spans="1:152">
      <c r="A523" s="125">
        <v>22</v>
      </c>
      <c r="B523" s="126" t="s">
        <v>215</v>
      </c>
      <c r="C523" s="126" t="s">
        <v>116</v>
      </c>
      <c r="D523" s="126" t="s">
        <v>163</v>
      </c>
      <c r="E523" s="126" t="s">
        <v>216</v>
      </c>
      <c r="F523" s="126" t="s">
        <v>35</v>
      </c>
      <c r="G523" s="126" t="s">
        <v>1577</v>
      </c>
      <c r="H523" s="126" t="s">
        <v>1575</v>
      </c>
      <c r="I523" s="126" t="s">
        <v>118</v>
      </c>
      <c r="J523" s="126"/>
      <c r="K523" s="127">
        <v>43172</v>
      </c>
      <c r="L523" s="128"/>
      <c r="M523" s="128"/>
      <c r="N523" s="126"/>
      <c r="O523" s="126" t="s">
        <v>119</v>
      </c>
      <c r="P523" s="129"/>
      <c r="Q523" s="129"/>
      <c r="R523" s="126" t="s">
        <v>24</v>
      </c>
      <c r="S523" s="126"/>
      <c r="T523" s="130" t="s">
        <v>120</v>
      </c>
      <c r="U523" s="126" t="s">
        <v>121</v>
      </c>
      <c r="V523" s="130" t="s">
        <v>120</v>
      </c>
      <c r="W523" s="126"/>
      <c r="X523" s="130" t="s">
        <v>120</v>
      </c>
      <c r="Y523" s="126"/>
      <c r="Z523" s="165" t="s">
        <v>120</v>
      </c>
      <c r="AA523" s="158"/>
      <c r="AB523" s="158"/>
      <c r="AC523" s="170"/>
      <c r="AD523" s="126"/>
      <c r="AE523" s="130" t="s">
        <v>120</v>
      </c>
      <c r="AF523" s="127"/>
      <c r="AG523" s="131"/>
      <c r="AH523" s="131"/>
      <c r="AI523" s="126" t="s">
        <v>217</v>
      </c>
      <c r="AJ523" s="130" t="s">
        <v>120</v>
      </c>
      <c r="AK523" s="126" t="s">
        <v>123</v>
      </c>
      <c r="AL523" s="126"/>
      <c r="AM523" s="130"/>
      <c r="AN523" s="126"/>
      <c r="AO523" s="132"/>
      <c r="AP523" s="126"/>
      <c r="AQ523" s="126"/>
      <c r="AR523" s="130"/>
      <c r="AS523" s="126"/>
      <c r="AT523" s="127"/>
      <c r="AU523" s="127">
        <v>43453.378908911996</v>
      </c>
      <c r="AV523" s="127"/>
      <c r="AW523" s="127"/>
      <c r="AX523" s="127"/>
      <c r="AY523" s="127"/>
      <c r="AZ523" s="133">
        <v>43172</v>
      </c>
      <c r="BA523"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3" s="135">
        <f>COUNTIFS(_05preva_view43[Site ID],_05preva_view43[[#This Row],[Site ID]],_05preva_view43[Prevalidation Status],"Under Prevalidation")</f>
        <v>0</v>
      </c>
      <c r="BC523" s="157" t="e">
        <f ca="1">HYPERLINK(CheckPath(_05preva_view43[[#This Row],[File Path]],_05preva_view43[[#This Row],[File Path]],_05preva_view43[[#This Row],[Folder Path3]]),CheckPath(_05preva_view43[[#This Row],[File Path]],"Open File","No File"))</f>
        <v>#VALUE!</v>
      </c>
      <c r="BD523" s="136" t="str">
        <f>CONCATENATE(_05preva_view43[[#This Row],[Site ID]]," (",_05preva_view43[[#This Row],[tenant id]],") Application",IF(_05preva_view43[[#This Row],[Colo Rev]]&gt;0," Rev "&amp;_05preva_view43[[#This Row],[Colo Rev]],""),".xlsx")</f>
        <v>AYYN_0171 (YGN01927) Application.xlsx</v>
      </c>
      <c r="BE523" s="64" t="e">
        <f t="shared" ca="1" si="9"/>
        <v>#VALUE!</v>
      </c>
      <c r="BF523" s="104" t="e">
        <f ca="1">LEFT(CELL("filename",A508),_05preva_view43[[#This Row],[Find Process &amp; Database]]-1)</f>
        <v>#VALUE!</v>
      </c>
      <c r="BG523" s="104" t="e">
        <f ca="1">_05preva_view43[Folder Path1]&amp;"Process &amp; Database\Documentation\Colo Applications"</f>
        <v>#VALUE!</v>
      </c>
      <c r="BH523" s="104" t="e">
        <f ca="1">_05preva_view43[Folder Path2]&amp;"\Colo App "&amp;_05preva_view43[[#This Row],[Operator]]&amp;"\"</f>
        <v>#VALUE!</v>
      </c>
      <c r="BI523" s="63" t="e">
        <f ca="1">_05preva_view43[[#This Row],[Folder Path3]]&amp;_05preva_view43[[#This Row],[File Name]]</f>
        <v>#VALUE!</v>
      </c>
      <c r="BJ523" s="104"/>
      <c r="BK523" s="3"/>
      <c r="BL523" s="3"/>
      <c r="CJ523" s="5"/>
      <c r="CK523" s="5"/>
      <c r="CL523" s="3"/>
      <c r="CN523" s="5"/>
      <c r="CR523" s="3"/>
      <c r="CS523" s="3"/>
      <c r="CT523" s="5"/>
      <c r="CV523" s="3"/>
      <c r="DR523" s="5"/>
      <c r="DT523" s="3"/>
      <c r="EF523" s="7"/>
      <c r="EG523" s="7"/>
      <c r="EJ523" s="4"/>
      <c r="EK523" s="4"/>
      <c r="EU523" s="2"/>
      <c r="EV523" s="2"/>
    </row>
    <row r="524" spans="1:152">
      <c r="A524" s="125">
        <v>23</v>
      </c>
      <c r="B524" s="126" t="s">
        <v>218</v>
      </c>
      <c r="C524" s="126" t="s">
        <v>116</v>
      </c>
      <c r="D524" s="126" t="s">
        <v>127</v>
      </c>
      <c r="E524" s="126" t="s">
        <v>219</v>
      </c>
      <c r="F524" s="126" t="s">
        <v>35</v>
      </c>
      <c r="G524" s="126" t="s">
        <v>1577</v>
      </c>
      <c r="H524" s="126" t="s">
        <v>1575</v>
      </c>
      <c r="I524" s="126" t="s">
        <v>118</v>
      </c>
      <c r="J524" s="126"/>
      <c r="K524" s="127">
        <v>43172</v>
      </c>
      <c r="L524" s="128"/>
      <c r="M524" s="128"/>
      <c r="N524" s="126"/>
      <c r="O524" s="126" t="s">
        <v>119</v>
      </c>
      <c r="P524" s="129"/>
      <c r="Q524" s="129"/>
      <c r="R524" s="126" t="s">
        <v>24</v>
      </c>
      <c r="S524" s="126"/>
      <c r="T524" s="130" t="s">
        <v>120</v>
      </c>
      <c r="U524" s="126" t="s">
        <v>121</v>
      </c>
      <c r="V524" s="130" t="s">
        <v>120</v>
      </c>
      <c r="W524" s="126"/>
      <c r="X524" s="130" t="s">
        <v>120</v>
      </c>
      <c r="Y524" s="126"/>
      <c r="Z524" s="165" t="s">
        <v>120</v>
      </c>
      <c r="AA524" s="158"/>
      <c r="AB524" s="158"/>
      <c r="AC524" s="170"/>
      <c r="AD524" s="126"/>
      <c r="AE524" s="130" t="s">
        <v>120</v>
      </c>
      <c r="AF524" s="127"/>
      <c r="AG524" s="131"/>
      <c r="AH524" s="131"/>
      <c r="AI524" s="126" t="s">
        <v>220</v>
      </c>
      <c r="AJ524" s="130" t="s">
        <v>120</v>
      </c>
      <c r="AK524" s="126" t="s">
        <v>123</v>
      </c>
      <c r="AL524" s="126"/>
      <c r="AM524" s="130"/>
      <c r="AN524" s="126"/>
      <c r="AO524" s="132"/>
      <c r="AP524" s="126"/>
      <c r="AQ524" s="126"/>
      <c r="AR524" s="130"/>
      <c r="AS524" s="126"/>
      <c r="AT524" s="127"/>
      <c r="AU524" s="127">
        <v>43453.378910995401</v>
      </c>
      <c r="AV524" s="127"/>
      <c r="AW524" s="127"/>
      <c r="AX524" s="127"/>
      <c r="AY524" s="127"/>
      <c r="AZ524" s="133">
        <v>43172</v>
      </c>
      <c r="BA524"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4" s="135">
        <f>COUNTIFS(_05preva_view43[Site ID],_05preva_view43[[#This Row],[Site ID]],_05preva_view43[Prevalidation Status],"Under Prevalidation")</f>
        <v>0</v>
      </c>
      <c r="BC524" s="157" t="e">
        <f ca="1">HYPERLINK(CheckPath(_05preva_view43[[#This Row],[File Path]],_05preva_view43[[#This Row],[File Path]],_05preva_view43[[#This Row],[Folder Path3]]),CheckPath(_05preva_view43[[#This Row],[File Path]],"Open File","No File"))</f>
        <v>#VALUE!</v>
      </c>
      <c r="BD524" s="136" t="str">
        <f>CONCATENATE(_05preva_view43[[#This Row],[Site ID]]," (",_05preva_view43[[#This Row],[tenant id]],") Application",IF(_05preva_view43[[#This Row],[Colo Rev]]&gt;0," Rev "&amp;_05preva_view43[[#This Row],[Colo Rev]],""),".xlsx")</f>
        <v>ANSG_0355 (SGG01165) Application.xlsx</v>
      </c>
      <c r="BE524" s="64" t="e">
        <f t="shared" ca="1" si="9"/>
        <v>#VALUE!</v>
      </c>
      <c r="BF524" s="104" t="e">
        <f ca="1">LEFT(CELL("filename",A509),_05preva_view43[[#This Row],[Find Process &amp; Database]]-1)</f>
        <v>#VALUE!</v>
      </c>
      <c r="BG524" s="104" t="e">
        <f ca="1">_05preva_view43[Folder Path1]&amp;"Process &amp; Database\Documentation\Colo Applications"</f>
        <v>#VALUE!</v>
      </c>
      <c r="BH524" s="104" t="e">
        <f ca="1">_05preva_view43[Folder Path2]&amp;"\Colo App "&amp;_05preva_view43[[#This Row],[Operator]]&amp;"\"</f>
        <v>#VALUE!</v>
      </c>
      <c r="BI524" s="63" t="e">
        <f ca="1">_05preva_view43[[#This Row],[Folder Path3]]&amp;_05preva_view43[[#This Row],[File Name]]</f>
        <v>#VALUE!</v>
      </c>
      <c r="BJ524" s="104"/>
      <c r="BK524" s="3"/>
      <c r="BL524" s="3"/>
      <c r="CJ524" s="5"/>
      <c r="CK524" s="5"/>
      <c r="CL524" s="3"/>
      <c r="CN524" s="5"/>
      <c r="CR524" s="3"/>
      <c r="CS524" s="3"/>
      <c r="CT524" s="5"/>
      <c r="CV524" s="3"/>
      <c r="DR524" s="5"/>
      <c r="DT524" s="3"/>
      <c r="EF524" s="7"/>
      <c r="EG524" s="7"/>
      <c r="EJ524" s="4"/>
      <c r="EK524" s="4"/>
      <c r="EU524" s="2"/>
      <c r="EV524" s="2"/>
    </row>
    <row r="525" spans="1:152">
      <c r="A525" s="125">
        <v>24</v>
      </c>
      <c r="B525" s="126" t="s">
        <v>221</v>
      </c>
      <c r="C525" s="126" t="s">
        <v>116</v>
      </c>
      <c r="D525" s="126" t="s">
        <v>163</v>
      </c>
      <c r="E525" s="126" t="s">
        <v>222</v>
      </c>
      <c r="F525" s="126" t="s">
        <v>35</v>
      </c>
      <c r="G525" s="126" t="s">
        <v>1577</v>
      </c>
      <c r="H525" s="126" t="s">
        <v>1575</v>
      </c>
      <c r="I525" s="126" t="s">
        <v>118</v>
      </c>
      <c r="J525" s="126"/>
      <c r="K525" s="127">
        <v>43172</v>
      </c>
      <c r="L525" s="128"/>
      <c r="M525" s="128"/>
      <c r="N525" s="126"/>
      <c r="O525" s="126" t="s">
        <v>119</v>
      </c>
      <c r="P525" s="129"/>
      <c r="Q525" s="129"/>
      <c r="R525" s="126" t="s">
        <v>24</v>
      </c>
      <c r="S525" s="126"/>
      <c r="T525" s="130" t="s">
        <v>120</v>
      </c>
      <c r="U525" s="126" t="s">
        <v>121</v>
      </c>
      <c r="V525" s="130" t="s">
        <v>120</v>
      </c>
      <c r="W525" s="126"/>
      <c r="X525" s="130" t="s">
        <v>120</v>
      </c>
      <c r="Y525" s="126"/>
      <c r="Z525" s="165" t="s">
        <v>120</v>
      </c>
      <c r="AA525" s="158"/>
      <c r="AB525" s="158"/>
      <c r="AC525" s="170"/>
      <c r="AD525" s="126"/>
      <c r="AE525" s="130" t="s">
        <v>120</v>
      </c>
      <c r="AF525" s="127"/>
      <c r="AG525" s="131"/>
      <c r="AH525" s="131"/>
      <c r="AI525" s="126" t="s">
        <v>223</v>
      </c>
      <c r="AJ525" s="130" t="s">
        <v>120</v>
      </c>
      <c r="AK525" s="126" t="s">
        <v>123</v>
      </c>
      <c r="AL525" s="126"/>
      <c r="AM525" s="130"/>
      <c r="AN525" s="126"/>
      <c r="AO525" s="132"/>
      <c r="AP525" s="126"/>
      <c r="AQ525" s="126"/>
      <c r="AR525" s="130"/>
      <c r="AS525" s="126"/>
      <c r="AT525" s="127"/>
      <c r="AU525" s="127">
        <v>43453.378911689797</v>
      </c>
      <c r="AV525" s="127"/>
      <c r="AW525" s="127"/>
      <c r="AX525" s="127"/>
      <c r="AY525" s="127"/>
      <c r="AZ525" s="133">
        <v>43172</v>
      </c>
      <c r="BA525"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5" s="135">
        <f>COUNTIFS(_05preva_view43[Site ID],_05preva_view43[[#This Row],[Site ID]],_05preva_view43[Prevalidation Status],"Under Prevalidation")</f>
        <v>0</v>
      </c>
      <c r="BC525" s="157" t="e">
        <f ca="1">HYPERLINK(CheckPath(_05preva_view43[[#This Row],[File Path]],_05preva_view43[[#This Row],[File Path]],_05preva_view43[[#This Row],[Folder Path3]]),CheckPath(_05preva_view43[[#This Row],[File Path]],"Open File","No File"))</f>
        <v>#VALUE!</v>
      </c>
      <c r="BD525" s="136" t="str">
        <f>CONCATENATE(_05preva_view43[[#This Row],[Site ID]]," (",_05preva_view43[[#This Row],[tenant id]],") Application",IF(_05preva_view43[[#This Row],[Colo Rev]]&gt;0," Rev "&amp;_05preva_view43[[#This Row],[Colo Rev]],""),".xlsx")</f>
        <v>AYYN_0099 (YGN02508) Application.xlsx</v>
      </c>
      <c r="BE525" s="64" t="e">
        <f t="shared" ca="1" si="9"/>
        <v>#VALUE!</v>
      </c>
      <c r="BF525" s="104" t="e">
        <f ca="1">LEFT(CELL("filename",A510),_05preva_view43[[#This Row],[Find Process &amp; Database]]-1)</f>
        <v>#VALUE!</v>
      </c>
      <c r="BG525" s="104" t="e">
        <f ca="1">_05preva_view43[Folder Path1]&amp;"Process &amp; Database\Documentation\Colo Applications"</f>
        <v>#VALUE!</v>
      </c>
      <c r="BH525" s="104" t="e">
        <f ca="1">_05preva_view43[Folder Path2]&amp;"\Colo App "&amp;_05preva_view43[[#This Row],[Operator]]&amp;"\"</f>
        <v>#VALUE!</v>
      </c>
      <c r="BI525" s="63" t="e">
        <f ca="1">_05preva_view43[[#This Row],[Folder Path3]]&amp;_05preva_view43[[#This Row],[File Name]]</f>
        <v>#VALUE!</v>
      </c>
      <c r="BJ525" s="104"/>
    </row>
    <row r="526" spans="1:152">
      <c r="A526" s="125">
        <v>25</v>
      </c>
      <c r="B526" s="126" t="s">
        <v>224</v>
      </c>
      <c r="C526" s="126" t="s">
        <v>116</v>
      </c>
      <c r="D526" s="126" t="s">
        <v>163</v>
      </c>
      <c r="E526" s="126" t="s">
        <v>225</v>
      </c>
      <c r="F526" s="126" t="s">
        <v>35</v>
      </c>
      <c r="G526" s="126" t="s">
        <v>1577</v>
      </c>
      <c r="H526" s="126" t="s">
        <v>1575</v>
      </c>
      <c r="I526" s="126" t="s">
        <v>118</v>
      </c>
      <c r="J526" s="126"/>
      <c r="K526" s="127">
        <v>43172</v>
      </c>
      <c r="L526" s="128"/>
      <c r="M526" s="128"/>
      <c r="N526" s="126"/>
      <c r="O526" s="126" t="s">
        <v>119</v>
      </c>
      <c r="P526" s="129"/>
      <c r="Q526" s="129"/>
      <c r="R526" s="126" t="s">
        <v>24</v>
      </c>
      <c r="S526" s="126"/>
      <c r="T526" s="130" t="s">
        <v>120</v>
      </c>
      <c r="U526" s="126" t="s">
        <v>121</v>
      </c>
      <c r="V526" s="130" t="s">
        <v>120</v>
      </c>
      <c r="W526" s="126"/>
      <c r="X526" s="130" t="s">
        <v>120</v>
      </c>
      <c r="Y526" s="126"/>
      <c r="Z526" s="165" t="s">
        <v>120</v>
      </c>
      <c r="AA526" s="158"/>
      <c r="AB526" s="158"/>
      <c r="AC526" s="170"/>
      <c r="AD526" s="126"/>
      <c r="AE526" s="130" t="s">
        <v>120</v>
      </c>
      <c r="AF526" s="127"/>
      <c r="AG526" s="131"/>
      <c r="AH526" s="131"/>
      <c r="AI526" s="126" t="s">
        <v>226</v>
      </c>
      <c r="AJ526" s="130" t="s">
        <v>120</v>
      </c>
      <c r="AK526" s="126" t="s">
        <v>123</v>
      </c>
      <c r="AL526" s="126"/>
      <c r="AM526" s="130"/>
      <c r="AN526" s="126"/>
      <c r="AO526" s="132"/>
      <c r="AP526" s="126"/>
      <c r="AQ526" s="126"/>
      <c r="AR526" s="130"/>
      <c r="AS526" s="126"/>
      <c r="AT526" s="127"/>
      <c r="AU526" s="127">
        <v>43453.378913773202</v>
      </c>
      <c r="AV526" s="127"/>
      <c r="AW526" s="127"/>
      <c r="AX526" s="127"/>
      <c r="AY526" s="127"/>
      <c r="AZ526" s="133">
        <v>43172</v>
      </c>
      <c r="BA526"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6" s="135">
        <f>COUNTIFS(_05preva_view43[Site ID],_05preva_view43[[#This Row],[Site ID]],_05preva_view43[Prevalidation Status],"Under Prevalidation")</f>
        <v>0</v>
      </c>
      <c r="BC526" s="157" t="e">
        <f ca="1">HYPERLINK(CheckPath(_05preva_view43[[#This Row],[File Path]],_05preva_view43[[#This Row],[File Path]],_05preva_view43[[#This Row],[Folder Path3]]),CheckPath(_05preva_view43[[#This Row],[File Path]],"Open File","No File"))</f>
        <v>#VALUE!</v>
      </c>
      <c r="BD526" s="136" t="str">
        <f>CONCATENATE(_05preva_view43[[#This Row],[Site ID]]," (",_05preva_view43[[#This Row],[tenant id]],") Application",IF(_05preva_view43[[#This Row],[Colo Rev]]&gt;0," Rev "&amp;_05preva_view43[[#This Row],[Colo Rev]],""),".xlsx")</f>
        <v>AYYN_0251 (YGN01769) Application.xlsx</v>
      </c>
      <c r="BE526" s="64" t="e">
        <f t="shared" ca="1" si="9"/>
        <v>#VALUE!</v>
      </c>
      <c r="BF526" s="104" t="e">
        <f ca="1">LEFT(CELL("filename",A511),_05preva_view43[[#This Row],[Find Process &amp; Database]]-1)</f>
        <v>#VALUE!</v>
      </c>
      <c r="BG526" s="104" t="e">
        <f ca="1">_05preva_view43[Folder Path1]&amp;"Process &amp; Database\Documentation\Colo Applications"</f>
        <v>#VALUE!</v>
      </c>
      <c r="BH526" s="104" t="e">
        <f ca="1">_05preva_view43[Folder Path2]&amp;"\Colo App "&amp;_05preva_view43[[#This Row],[Operator]]&amp;"\"</f>
        <v>#VALUE!</v>
      </c>
      <c r="BI526" s="63" t="e">
        <f ca="1">_05preva_view43[[#This Row],[Folder Path3]]&amp;_05preva_view43[[#This Row],[File Name]]</f>
        <v>#VALUE!</v>
      </c>
      <c r="BJ526" s="104"/>
    </row>
    <row r="527" spans="1:152">
      <c r="A527" s="125">
        <v>26</v>
      </c>
      <c r="B527" s="126" t="s">
        <v>203</v>
      </c>
      <c r="C527" s="126" t="s">
        <v>116</v>
      </c>
      <c r="D527" s="126" t="s">
        <v>163</v>
      </c>
      <c r="E527" s="126" t="s">
        <v>227</v>
      </c>
      <c r="F527" s="126" t="s">
        <v>35</v>
      </c>
      <c r="G527" s="126" t="s">
        <v>1577</v>
      </c>
      <c r="H527" s="126" t="s">
        <v>1575</v>
      </c>
      <c r="I527" s="126" t="s">
        <v>118</v>
      </c>
      <c r="J527" s="126"/>
      <c r="K527" s="127">
        <v>43172</v>
      </c>
      <c r="L527" s="128"/>
      <c r="M527" s="128"/>
      <c r="N527" s="126"/>
      <c r="O527" s="126" t="s">
        <v>119</v>
      </c>
      <c r="P527" s="129"/>
      <c r="Q527" s="129"/>
      <c r="R527" s="126" t="s">
        <v>24</v>
      </c>
      <c r="S527" s="126"/>
      <c r="T527" s="130" t="s">
        <v>120</v>
      </c>
      <c r="U527" s="126" t="s">
        <v>121</v>
      </c>
      <c r="V527" s="130" t="s">
        <v>120</v>
      </c>
      <c r="W527" s="126"/>
      <c r="X527" s="130" t="s">
        <v>120</v>
      </c>
      <c r="Y527" s="126"/>
      <c r="Z527" s="165" t="s">
        <v>120</v>
      </c>
      <c r="AA527" s="158"/>
      <c r="AB527" s="158"/>
      <c r="AC527" s="170"/>
      <c r="AD527" s="126" t="s">
        <v>228</v>
      </c>
      <c r="AE527" s="130" t="s">
        <v>120</v>
      </c>
      <c r="AF527" s="127"/>
      <c r="AG527" s="131"/>
      <c r="AH527" s="131"/>
      <c r="AI527" s="126" t="s">
        <v>206</v>
      </c>
      <c r="AJ527" s="130" t="s">
        <v>120</v>
      </c>
      <c r="AK527" s="126" t="s">
        <v>123</v>
      </c>
      <c r="AL527" s="126"/>
      <c r="AM527" s="130"/>
      <c r="AN527" s="126"/>
      <c r="AO527" s="132"/>
      <c r="AP527" s="126"/>
      <c r="AQ527" s="126"/>
      <c r="AR527" s="130"/>
      <c r="AS527" s="126"/>
      <c r="AT527" s="127"/>
      <c r="AU527" s="127">
        <v>43453.378914351902</v>
      </c>
      <c r="AV527" s="127"/>
      <c r="AW527" s="127"/>
      <c r="AX527" s="127"/>
      <c r="AY527" s="127"/>
      <c r="AZ527" s="133">
        <v>43172</v>
      </c>
      <c r="BA527"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7" s="135">
        <f>COUNTIFS(_05preva_view43[Site ID],_05preva_view43[[#This Row],[Site ID]],_05preva_view43[Prevalidation Status],"Under Prevalidation")</f>
        <v>0</v>
      </c>
      <c r="BC527" s="157" t="e">
        <f ca="1">HYPERLINK(CheckPath(_05preva_view43[[#This Row],[File Path]],_05preva_view43[[#This Row],[File Path]],_05preva_view43[[#This Row],[Folder Path3]]),CheckPath(_05preva_view43[[#This Row],[File Path]],"Open File","No File"))</f>
        <v>#VALUE!</v>
      </c>
      <c r="BD527" s="136" t="str">
        <f>CONCATENATE(_05preva_view43[[#This Row],[Site ID]]," (",_05preva_view43[[#This Row],[tenant id]],") Application",IF(_05preva_view43[[#This Row],[Colo Rev]]&gt;0," Rev "&amp;_05preva_view43[[#This Row],[Colo Rev]],""),".xlsx")</f>
        <v>AYYN_0583 (YGN02364) Application.xlsx</v>
      </c>
      <c r="BE527" s="64" t="e">
        <f t="shared" ca="1" si="9"/>
        <v>#VALUE!</v>
      </c>
      <c r="BF527" s="104" t="e">
        <f ca="1">LEFT(CELL("filename",A512),_05preva_view43[[#This Row],[Find Process &amp; Database]]-1)</f>
        <v>#VALUE!</v>
      </c>
      <c r="BG527" s="104" t="e">
        <f ca="1">_05preva_view43[Folder Path1]&amp;"Process &amp; Database\Documentation\Colo Applications"</f>
        <v>#VALUE!</v>
      </c>
      <c r="BH527" s="104" t="e">
        <f ca="1">_05preva_view43[Folder Path2]&amp;"\Colo App "&amp;_05preva_view43[[#This Row],[Operator]]&amp;"\"</f>
        <v>#VALUE!</v>
      </c>
      <c r="BI527" s="63" t="e">
        <f ca="1">_05preva_view43[[#This Row],[Folder Path3]]&amp;_05preva_view43[[#This Row],[File Name]]</f>
        <v>#VALUE!</v>
      </c>
      <c r="BJ527" s="104"/>
    </row>
    <row r="528" spans="1:152">
      <c r="A528" s="125">
        <v>27</v>
      </c>
      <c r="B528" s="126" t="s">
        <v>229</v>
      </c>
      <c r="C528" s="126" t="s">
        <v>116</v>
      </c>
      <c r="D528" s="126" t="s">
        <v>127</v>
      </c>
      <c r="E528" s="126" t="s">
        <v>230</v>
      </c>
      <c r="F528" s="126" t="s">
        <v>40</v>
      </c>
      <c r="G528" s="126" t="s">
        <v>1578</v>
      </c>
      <c r="H528" s="126" t="s">
        <v>1575</v>
      </c>
      <c r="I528" s="126" t="s">
        <v>118</v>
      </c>
      <c r="J528" s="126"/>
      <c r="K528" s="127">
        <v>43172</v>
      </c>
      <c r="L528" s="128"/>
      <c r="M528" s="128"/>
      <c r="N528" s="126"/>
      <c r="O528" s="126" t="s">
        <v>119</v>
      </c>
      <c r="P528" s="129"/>
      <c r="Q528" s="129"/>
      <c r="R528" s="126" t="s">
        <v>24</v>
      </c>
      <c r="S528" s="126"/>
      <c r="T528" s="130" t="s">
        <v>120</v>
      </c>
      <c r="U528" s="126" t="s">
        <v>121</v>
      </c>
      <c r="V528" s="130" t="s">
        <v>120</v>
      </c>
      <c r="W528" s="126"/>
      <c r="X528" s="130" t="s">
        <v>120</v>
      </c>
      <c r="Y528" s="126"/>
      <c r="Z528" s="165" t="s">
        <v>120</v>
      </c>
      <c r="AA528" s="158"/>
      <c r="AB528" s="158"/>
      <c r="AC528" s="170"/>
      <c r="AD528" s="126"/>
      <c r="AE528" s="130" t="s">
        <v>120</v>
      </c>
      <c r="AF528" s="127"/>
      <c r="AG528" s="131"/>
      <c r="AH528" s="131"/>
      <c r="AI528" s="126" t="s">
        <v>232</v>
      </c>
      <c r="AJ528" s="130" t="s">
        <v>120</v>
      </c>
      <c r="AK528" s="126"/>
      <c r="AL528" s="126" t="s">
        <v>231</v>
      </c>
      <c r="AM528" s="130"/>
      <c r="AN528" s="126"/>
      <c r="AO528" s="132"/>
      <c r="AP528" s="126"/>
      <c r="AQ528" s="126"/>
      <c r="AR528" s="130"/>
      <c r="AS528" s="126"/>
      <c r="AT528" s="127"/>
      <c r="AU528" s="127">
        <v>43453.3789159722</v>
      </c>
      <c r="AV528" s="127"/>
      <c r="AW528" s="127"/>
      <c r="AX528" s="127"/>
      <c r="AY528" s="127"/>
      <c r="AZ528" s="133">
        <v>43172</v>
      </c>
      <c r="BA528"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8" s="135">
        <f>COUNTIFS(_05preva_view43[Site ID],_05preva_view43[[#This Row],[Site ID]],_05preva_view43[Prevalidation Status],"Under Prevalidation")</f>
        <v>0</v>
      </c>
      <c r="BC528" s="157" t="e">
        <f ca="1">HYPERLINK(CheckPath(_05preva_view43[[#This Row],[File Path]],_05preva_view43[[#This Row],[File Path]],_05preva_view43[[#This Row],[Folder Path3]]),CheckPath(_05preva_view43[[#This Row],[File Path]],"Open File","No File"))</f>
        <v>#VALUE!</v>
      </c>
      <c r="BD528" s="136" t="str">
        <f>CONCATENATE(_05preva_view43[[#This Row],[Site ID]]," (",_05preva_view43[[#This Row],[tenant id]],") Application",IF(_05preva_view43[[#This Row],[Colo Rev]]&gt;0," Rev "&amp;_05preva_view43[[#This Row],[Colo Rev]],""),".xlsx")</f>
        <v>ANMD_0224 (MAW2259) Application.xlsx</v>
      </c>
      <c r="BE528" s="64" t="e">
        <f t="shared" ref="BE528:BE533" ca="1" si="10">FIND("Process &amp; Database\",CELL("filename",$A$1))</f>
        <v>#VALUE!</v>
      </c>
      <c r="BF528" s="104" t="e">
        <f ca="1">LEFT(CELL("filename",A513),_05preva_view43[[#This Row],[Find Process &amp; Database]]-1)</f>
        <v>#VALUE!</v>
      </c>
      <c r="BG528" s="104" t="e">
        <f ca="1">_05preva_view43[Folder Path1]&amp;"Process &amp; Database\Documentation\Colo Applications"</f>
        <v>#VALUE!</v>
      </c>
      <c r="BH528" s="104" t="e">
        <f ca="1">_05preva_view43[Folder Path2]&amp;"\Colo App "&amp;_05preva_view43[[#This Row],[Operator]]&amp;"\"</f>
        <v>#VALUE!</v>
      </c>
      <c r="BI528" s="63" t="e">
        <f ca="1">_05preva_view43[[#This Row],[Folder Path3]]&amp;_05preva_view43[[#This Row],[File Name]]</f>
        <v>#VALUE!</v>
      </c>
      <c r="BJ528" s="104"/>
    </row>
    <row r="529" spans="1:62">
      <c r="A529" s="125">
        <v>28</v>
      </c>
      <c r="B529" s="126" t="s">
        <v>233</v>
      </c>
      <c r="C529" s="126" t="s">
        <v>116</v>
      </c>
      <c r="D529" s="126" t="s">
        <v>163</v>
      </c>
      <c r="E529" s="126" t="s">
        <v>234</v>
      </c>
      <c r="F529" s="126" t="s">
        <v>40</v>
      </c>
      <c r="G529" s="126" t="s">
        <v>1578</v>
      </c>
      <c r="H529" s="126" t="s">
        <v>1575</v>
      </c>
      <c r="I529" s="126" t="s">
        <v>118</v>
      </c>
      <c r="J529" s="126"/>
      <c r="K529" s="127">
        <v>43172</v>
      </c>
      <c r="L529" s="128"/>
      <c r="M529" s="128"/>
      <c r="N529" s="126"/>
      <c r="O529" s="126" t="s">
        <v>119</v>
      </c>
      <c r="P529" s="129"/>
      <c r="Q529" s="129"/>
      <c r="R529" s="126" t="s">
        <v>24</v>
      </c>
      <c r="S529" s="126"/>
      <c r="T529" s="130" t="s">
        <v>120</v>
      </c>
      <c r="U529" s="126" t="s">
        <v>121</v>
      </c>
      <c r="V529" s="130" t="s">
        <v>120</v>
      </c>
      <c r="W529" s="126"/>
      <c r="X529" s="130" t="s">
        <v>120</v>
      </c>
      <c r="Y529" s="126"/>
      <c r="Z529" s="165" t="s">
        <v>120</v>
      </c>
      <c r="AA529" s="158"/>
      <c r="AB529" s="158"/>
      <c r="AC529" s="170"/>
      <c r="AD529" s="126"/>
      <c r="AE529" s="130" t="s">
        <v>120</v>
      </c>
      <c r="AF529" s="127"/>
      <c r="AG529" s="131"/>
      <c r="AH529" s="131"/>
      <c r="AI529" s="126" t="s">
        <v>235</v>
      </c>
      <c r="AJ529" s="130" t="s">
        <v>120</v>
      </c>
      <c r="AK529" s="126" t="s">
        <v>123</v>
      </c>
      <c r="AL529" s="126"/>
      <c r="AM529" s="130"/>
      <c r="AN529" s="126"/>
      <c r="AO529" s="132"/>
      <c r="AP529" s="126"/>
      <c r="AQ529" s="126"/>
      <c r="AR529" s="130"/>
      <c r="AS529" s="126"/>
      <c r="AT529" s="127"/>
      <c r="AU529" s="127">
        <v>43453.378916898102</v>
      </c>
      <c r="AV529" s="127"/>
      <c r="AW529" s="127"/>
      <c r="AX529" s="127"/>
      <c r="AY529" s="127"/>
      <c r="AZ529" s="133">
        <v>43172</v>
      </c>
      <c r="BA529"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9" s="135">
        <f>COUNTIFS(_05preva_view43[Site ID],_05preva_view43[[#This Row],[Site ID]],_05preva_view43[Prevalidation Status],"Under Prevalidation")</f>
        <v>0</v>
      </c>
      <c r="BC529" s="157" t="e">
        <f ca="1">HYPERLINK(CheckPath(_05preva_view43[[#This Row],[File Path]],_05preva_view43[[#This Row],[File Path]],_05preva_view43[[#This Row],[Folder Path3]]),CheckPath(_05preva_view43[[#This Row],[File Path]],"Open File","No File"))</f>
        <v>#VALUE!</v>
      </c>
      <c r="BD529" s="136" t="str">
        <f>CONCATENATE(_05preva_view43[[#This Row],[Site ID]]," (",_05preva_view43[[#This Row],[tenant id]],") Application",IF(_05preva_view43[[#This Row],[Colo Rev]]&gt;0," Rev "&amp;_05preva_view43[[#This Row],[Colo Rev]],""),".xlsx")</f>
        <v>ASMO_0163 (MOW6065) Application.xlsx</v>
      </c>
      <c r="BE529" s="64" t="e">
        <f t="shared" ca="1" si="10"/>
        <v>#VALUE!</v>
      </c>
      <c r="BF529" s="104" t="e">
        <f ca="1">LEFT(CELL("filename",A514),_05preva_view43[[#This Row],[Find Process &amp; Database]]-1)</f>
        <v>#VALUE!</v>
      </c>
      <c r="BG529" s="104" t="e">
        <f ca="1">_05preva_view43[Folder Path1]&amp;"Process &amp; Database\Documentation\Colo Applications"</f>
        <v>#VALUE!</v>
      </c>
      <c r="BH529" s="104" t="e">
        <f ca="1">_05preva_view43[Folder Path2]&amp;"\Colo App "&amp;_05preva_view43[[#This Row],[Operator]]&amp;"\"</f>
        <v>#VALUE!</v>
      </c>
      <c r="BI529" s="63" t="e">
        <f ca="1">_05preva_view43[[#This Row],[Folder Path3]]&amp;_05preva_view43[[#This Row],[File Name]]</f>
        <v>#VALUE!</v>
      </c>
      <c r="BJ529" s="104"/>
    </row>
    <row r="530" spans="1:62">
      <c r="A530" s="125">
        <v>29</v>
      </c>
      <c r="B530" s="126" t="s">
        <v>236</v>
      </c>
      <c r="C530" s="126" t="s">
        <v>116</v>
      </c>
      <c r="D530" s="126" t="s">
        <v>163</v>
      </c>
      <c r="E530" s="126" t="s">
        <v>237</v>
      </c>
      <c r="F530" s="126" t="s">
        <v>40</v>
      </c>
      <c r="G530" s="126" t="s">
        <v>118</v>
      </c>
      <c r="H530" s="126"/>
      <c r="I530" s="126" t="s">
        <v>118</v>
      </c>
      <c r="J530" s="126"/>
      <c r="K530" s="127">
        <v>43172</v>
      </c>
      <c r="L530" s="128"/>
      <c r="M530" s="128"/>
      <c r="N530" s="126"/>
      <c r="O530" s="126" t="s">
        <v>119</v>
      </c>
      <c r="P530" s="129"/>
      <c r="Q530" s="129"/>
      <c r="R530" s="126" t="s">
        <v>26</v>
      </c>
      <c r="S530" s="126"/>
      <c r="T530" s="130" t="s">
        <v>120</v>
      </c>
      <c r="U530" s="126" t="s">
        <v>121</v>
      </c>
      <c r="V530" s="130" t="s">
        <v>120</v>
      </c>
      <c r="W530" s="126"/>
      <c r="X530" s="130"/>
      <c r="Y530" s="126" t="s">
        <v>238</v>
      </c>
      <c r="Z530" s="165" t="s">
        <v>125</v>
      </c>
      <c r="AA530" s="158"/>
      <c r="AB530" s="158"/>
      <c r="AC530" s="170"/>
      <c r="AD530" s="126" t="s">
        <v>239</v>
      </c>
      <c r="AE530" s="130" t="s">
        <v>120</v>
      </c>
      <c r="AF530" s="127" t="s">
        <v>241</v>
      </c>
      <c r="AG530" s="131"/>
      <c r="AH530" s="131">
        <v>3.5</v>
      </c>
      <c r="AI530" s="126" t="s">
        <v>242</v>
      </c>
      <c r="AJ530" s="130" t="s">
        <v>120</v>
      </c>
      <c r="AK530" s="126" t="s">
        <v>240</v>
      </c>
      <c r="AL530" s="126" t="s">
        <v>139</v>
      </c>
      <c r="AM530" s="130"/>
      <c r="AN530" s="126"/>
      <c r="AO530" s="132"/>
      <c r="AP530" s="126"/>
      <c r="AQ530" s="126"/>
      <c r="AR530" s="130"/>
      <c r="AS530" s="126"/>
      <c r="AT530" s="127"/>
      <c r="AU530" s="127">
        <v>43453.3789189815</v>
      </c>
      <c r="AV530" s="127"/>
      <c r="AW530" s="127"/>
      <c r="AX530" s="127"/>
      <c r="AY530" s="127"/>
      <c r="AZ530" s="133">
        <v>43172</v>
      </c>
      <c r="BA530"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0" s="135">
        <f>COUNTIFS(_05preva_view43[Site ID],_05preva_view43[[#This Row],[Site ID]],_05preva_view43[Prevalidation Status],"Under Prevalidation")</f>
        <v>0</v>
      </c>
      <c r="BC530" s="157" t="e">
        <f ca="1">HYPERLINK(CheckPath(_05preva_view43[[#This Row],[File Path]],_05preva_view43[[#This Row],[File Path]],_05preva_view43[[#This Row],[Folder Path3]]),CheckPath(_05preva_view43[[#This Row],[File Path]],"Open File","No File"))</f>
        <v>#VALUE!</v>
      </c>
      <c r="BD530" s="136" t="str">
        <f>CONCATENATE(_05preva_view43[[#This Row],[Site ID]]," (",_05preva_view43[[#This Row],[tenant id]],") Application",IF(_05preva_view43[[#This Row],[Colo Rev]]&gt;0," Rev "&amp;_05preva_view43[[#This Row],[Colo Rev]],""),".xlsx")</f>
        <v>AYYN_0338 (YAW4265) Application.xlsx</v>
      </c>
      <c r="BE530" s="64" t="e">
        <f t="shared" ca="1" si="10"/>
        <v>#VALUE!</v>
      </c>
      <c r="BF530" s="104" t="e">
        <f ca="1">LEFT(CELL("filename",A515),_05preva_view43[[#This Row],[Find Process &amp; Database]]-1)</f>
        <v>#VALUE!</v>
      </c>
      <c r="BG530" s="104" t="e">
        <f ca="1">_05preva_view43[Folder Path1]&amp;"Process &amp; Database\Documentation\Colo Applications"</f>
        <v>#VALUE!</v>
      </c>
      <c r="BH530" s="104" t="e">
        <f ca="1">_05preva_view43[Folder Path2]&amp;"\Colo App "&amp;_05preva_view43[[#This Row],[Operator]]&amp;"\"</f>
        <v>#VALUE!</v>
      </c>
      <c r="BI530" s="63" t="e">
        <f ca="1">_05preva_view43[[#This Row],[Folder Path3]]&amp;_05preva_view43[[#This Row],[File Name]]</f>
        <v>#VALUE!</v>
      </c>
      <c r="BJ530" s="104"/>
    </row>
    <row r="531" spans="1:62">
      <c r="A531" s="125">
        <v>30</v>
      </c>
      <c r="B531" s="126" t="s">
        <v>243</v>
      </c>
      <c r="C531" s="126" t="s">
        <v>116</v>
      </c>
      <c r="D531" s="126" t="s">
        <v>163</v>
      </c>
      <c r="E531" s="126" t="s">
        <v>244</v>
      </c>
      <c r="F531" s="126" t="s">
        <v>40</v>
      </c>
      <c r="G531" s="126" t="s">
        <v>118</v>
      </c>
      <c r="H531" s="126"/>
      <c r="I531" s="126" t="s">
        <v>118</v>
      </c>
      <c r="J531" s="126"/>
      <c r="K531" s="127">
        <v>43172</v>
      </c>
      <c r="L531" s="128"/>
      <c r="M531" s="128"/>
      <c r="N531" s="126"/>
      <c r="O531" s="126" t="s">
        <v>119</v>
      </c>
      <c r="P531" s="129"/>
      <c r="Q531" s="129"/>
      <c r="R531" s="126" t="s">
        <v>24</v>
      </c>
      <c r="S531" s="126"/>
      <c r="T531" s="130" t="s">
        <v>120</v>
      </c>
      <c r="U531" s="126" t="s">
        <v>121</v>
      </c>
      <c r="V531" s="130" t="s">
        <v>125</v>
      </c>
      <c r="W531" s="126" t="s">
        <v>246</v>
      </c>
      <c r="X531" s="130" t="s">
        <v>120</v>
      </c>
      <c r="Y531" s="126"/>
      <c r="Z531" s="165" t="s">
        <v>125</v>
      </c>
      <c r="AA531" s="158"/>
      <c r="AB531" s="158"/>
      <c r="AC531" s="170"/>
      <c r="AD531" s="126" t="s">
        <v>239</v>
      </c>
      <c r="AE531" s="130" t="s">
        <v>125</v>
      </c>
      <c r="AF531" s="127"/>
      <c r="AG531" s="131"/>
      <c r="AH531" s="131"/>
      <c r="AI531" s="126" t="s">
        <v>245</v>
      </c>
      <c r="AJ531" s="130" t="s">
        <v>120</v>
      </c>
      <c r="AK531" s="126" t="s">
        <v>123</v>
      </c>
      <c r="AL531" s="126"/>
      <c r="AM531" s="130"/>
      <c r="AN531" s="126"/>
      <c r="AO531" s="132"/>
      <c r="AP531" s="126"/>
      <c r="AQ531" s="126"/>
      <c r="AR531" s="130"/>
      <c r="AS531" s="126"/>
      <c r="AT531" s="127"/>
      <c r="AU531" s="127"/>
      <c r="AV531" s="127"/>
      <c r="AW531" s="127"/>
      <c r="AX531" s="127"/>
      <c r="AY531" s="127"/>
      <c r="AZ531" s="133"/>
      <c r="BA531"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1" s="135">
        <f>COUNTIFS(_05preva_view43[Site ID],_05preva_view43[[#This Row],[Site ID]],_05preva_view43[Prevalidation Status],"Under Prevalidation")</f>
        <v>0</v>
      </c>
      <c r="BC531" s="157" t="e">
        <f ca="1">HYPERLINK(CheckPath(_05preva_view43[[#This Row],[File Path]],_05preva_view43[[#This Row],[File Path]],_05preva_view43[[#This Row],[Folder Path3]]),CheckPath(_05preva_view43[[#This Row],[File Path]],"Open File","No File"))</f>
        <v>#VALUE!</v>
      </c>
      <c r="BD531" s="136" t="str">
        <f>CONCATENATE(_05preva_view43[[#This Row],[Site ID]]," (",_05preva_view43[[#This Row],[tenant id]],") Application",IF(_05preva_view43[[#This Row],[Colo Rev]]&gt;0," Rev "&amp;_05preva_view43[[#This Row],[Colo Rev]],""),".xlsx")</f>
        <v>AYYN_0611 (YAW4436) Application.xlsx</v>
      </c>
      <c r="BE531" s="64" t="e">
        <f t="shared" ca="1" si="10"/>
        <v>#VALUE!</v>
      </c>
      <c r="BF531" s="104" t="e">
        <f ca="1">LEFT(CELL("filename",A516),_05preva_view43[[#This Row],[Find Process &amp; Database]]-1)</f>
        <v>#VALUE!</v>
      </c>
      <c r="BG531" s="104" t="e">
        <f ca="1">_05preva_view43[Folder Path1]&amp;"Process &amp; Database\Documentation\Colo Applications"</f>
        <v>#VALUE!</v>
      </c>
      <c r="BH531" s="104" t="e">
        <f ca="1">_05preva_view43[Folder Path2]&amp;"\Colo App "&amp;_05preva_view43[[#This Row],[Operator]]&amp;"\"</f>
        <v>#VALUE!</v>
      </c>
      <c r="BI531" s="63" t="e">
        <f ca="1">_05preva_view43[[#This Row],[Folder Path3]]&amp;_05preva_view43[[#This Row],[File Name]]</f>
        <v>#VALUE!</v>
      </c>
      <c r="BJ531" s="104"/>
    </row>
    <row r="532" spans="1:62">
      <c r="A532" s="125">
        <v>31</v>
      </c>
      <c r="B532" s="126" t="s">
        <v>247</v>
      </c>
      <c r="C532" s="126" t="s">
        <v>116</v>
      </c>
      <c r="D532" s="126" t="s">
        <v>163</v>
      </c>
      <c r="E532" s="126" t="s">
        <v>248</v>
      </c>
      <c r="F532" s="126" t="s">
        <v>40</v>
      </c>
      <c r="G532" s="126"/>
      <c r="H532" s="126"/>
      <c r="I532" s="126"/>
      <c r="J532" s="126"/>
      <c r="K532" s="127">
        <v>43172</v>
      </c>
      <c r="L532" s="128"/>
      <c r="M532" s="128"/>
      <c r="N532" s="126"/>
      <c r="O532" s="126" t="s">
        <v>119</v>
      </c>
      <c r="P532" s="129"/>
      <c r="Q532" s="129"/>
      <c r="R532" s="126" t="s">
        <v>27</v>
      </c>
      <c r="S532" s="126"/>
      <c r="T532" s="130" t="s">
        <v>120</v>
      </c>
      <c r="U532" s="126" t="s">
        <v>121</v>
      </c>
      <c r="V532" s="130" t="s">
        <v>120</v>
      </c>
      <c r="W532" s="126"/>
      <c r="X532" s="130"/>
      <c r="Y532" s="126" t="s">
        <v>238</v>
      </c>
      <c r="Z532" s="165" t="s">
        <v>120</v>
      </c>
      <c r="AA532" s="158"/>
      <c r="AB532" s="158"/>
      <c r="AC532" s="170"/>
      <c r="AD532" s="126"/>
      <c r="AE532" s="130" t="s">
        <v>120</v>
      </c>
      <c r="AF532" s="127"/>
      <c r="AG532" s="131"/>
      <c r="AH532" s="131"/>
      <c r="AI532" s="126" t="s">
        <v>249</v>
      </c>
      <c r="AJ532" s="130" t="s">
        <v>120</v>
      </c>
      <c r="AK532" s="126" t="s">
        <v>240</v>
      </c>
      <c r="AL532" s="126"/>
      <c r="AM532" s="130"/>
      <c r="AN532" s="126"/>
      <c r="AO532" s="132"/>
      <c r="AP532" s="126"/>
      <c r="AQ532" s="126"/>
      <c r="AR532" s="130"/>
      <c r="AS532" s="126"/>
      <c r="AT532" s="127"/>
      <c r="AU532" s="127">
        <v>43453.378921296302</v>
      </c>
      <c r="AV532" s="127"/>
      <c r="AW532" s="127"/>
      <c r="AX532" s="127"/>
      <c r="AY532" s="127"/>
      <c r="AZ532" s="133">
        <v>43172</v>
      </c>
      <c r="BA532" s="134"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2" s="135">
        <f>COUNTIFS(_05preva_view43[Site ID],_05preva_view43[[#This Row],[Site ID]],_05preva_view43[Prevalidation Status],"Under Prevalidation")</f>
        <v>0</v>
      </c>
      <c r="BC532" s="157" t="e">
        <f ca="1">HYPERLINK(CheckPath(_05preva_view43[[#This Row],[File Path]],_05preva_view43[[#This Row],[File Path]],_05preva_view43[[#This Row],[Folder Path3]]),CheckPath(_05preva_view43[[#This Row],[File Path]],"Open File","No File"))</f>
        <v>#VALUE!</v>
      </c>
      <c r="BD532" s="136" t="str">
        <f>CONCATENATE(_05preva_view43[[#This Row],[Site ID]]," (",_05preva_view43[[#This Row],[tenant id]],") Application",IF(_05preva_view43[[#This Row],[Colo Rev]]&gt;0," Rev "&amp;_05preva_view43[[#This Row],[Colo Rev]],""),".xlsx")</f>
        <v>AYYN_0529 (YAW4447) Application.xlsx</v>
      </c>
      <c r="BE532" s="64" t="e">
        <f t="shared" ca="1" si="10"/>
        <v>#VALUE!</v>
      </c>
      <c r="BF532" s="104" t="e">
        <f ca="1">LEFT(CELL("filename",A517),_05preva_view43[[#This Row],[Find Process &amp; Database]]-1)</f>
        <v>#VALUE!</v>
      </c>
      <c r="BG532" s="104" t="e">
        <f ca="1">_05preva_view43[Folder Path1]&amp;"Process &amp; Database\Documentation\Colo Applications"</f>
        <v>#VALUE!</v>
      </c>
      <c r="BH532" s="104" t="e">
        <f ca="1">_05preva_view43[Folder Path2]&amp;"\Colo App "&amp;_05preva_view43[[#This Row],[Operator]]&amp;"\"</f>
        <v>#VALUE!</v>
      </c>
      <c r="BI532" s="63" t="e">
        <f ca="1">_05preva_view43[[#This Row],[Folder Path3]]&amp;_05preva_view43[[#This Row],[File Name]]</f>
        <v>#VALUE!</v>
      </c>
      <c r="BJ532" s="104"/>
    </row>
    <row r="533" spans="1:62">
      <c r="A533" s="112">
        <v>32</v>
      </c>
      <c r="B533" s="113" t="s">
        <v>250</v>
      </c>
      <c r="C533" s="113" t="s">
        <v>116</v>
      </c>
      <c r="D533" s="113" t="s">
        <v>127</v>
      </c>
      <c r="E533" s="113" t="s">
        <v>251</v>
      </c>
      <c r="F533" s="113" t="s">
        <v>40</v>
      </c>
      <c r="G533" s="113" t="s">
        <v>1578</v>
      </c>
      <c r="H533" s="113" t="s">
        <v>1575</v>
      </c>
      <c r="I533" s="113" t="s">
        <v>118</v>
      </c>
      <c r="J533" s="113"/>
      <c r="K533" s="114">
        <v>43172</v>
      </c>
      <c r="L533" s="115"/>
      <c r="M533" s="115"/>
      <c r="N533" s="113"/>
      <c r="O533" s="113" t="s">
        <v>119</v>
      </c>
      <c r="P533" s="116"/>
      <c r="Q533" s="116"/>
      <c r="R533" s="113" t="s">
        <v>24</v>
      </c>
      <c r="S533" s="113"/>
      <c r="T533" s="117" t="s">
        <v>120</v>
      </c>
      <c r="U533" s="113" t="s">
        <v>121</v>
      </c>
      <c r="V533" s="117" t="s">
        <v>120</v>
      </c>
      <c r="W533" s="113"/>
      <c r="X533" s="117" t="s">
        <v>120</v>
      </c>
      <c r="Y533" s="113"/>
      <c r="Z533" s="167" t="s">
        <v>120</v>
      </c>
      <c r="AA533" s="169"/>
      <c r="AB533" s="169"/>
      <c r="AC533" s="172"/>
      <c r="AD533" s="113" t="s">
        <v>252</v>
      </c>
      <c r="AE533" s="117" t="s">
        <v>120</v>
      </c>
      <c r="AF533" s="114"/>
      <c r="AG533" s="118"/>
      <c r="AH533" s="118"/>
      <c r="AI533" s="113" t="s">
        <v>253</v>
      </c>
      <c r="AJ533" s="117" t="s">
        <v>120</v>
      </c>
      <c r="AK533" s="113" t="s">
        <v>123</v>
      </c>
      <c r="AL533" s="113"/>
      <c r="AM533" s="117"/>
      <c r="AN533" s="113"/>
      <c r="AO533" s="119"/>
      <c r="AP533" s="113"/>
      <c r="AQ533" s="113"/>
      <c r="AR533" s="117"/>
      <c r="AS533" s="113"/>
      <c r="AT533" s="114"/>
      <c r="AU533" s="114">
        <v>43453.378922338001</v>
      </c>
      <c r="AV533" s="114"/>
      <c r="AW533" s="114"/>
      <c r="AX533" s="114"/>
      <c r="AY533" s="114"/>
      <c r="AZ533" s="120">
        <v>43172</v>
      </c>
      <c r="BA533"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3" s="122">
        <f>COUNTIFS(_05preva_view43[Site ID],_05preva_view43[[#This Row],[Site ID]],_05preva_view43[Prevalidation Status],"Under Prevalidation")</f>
        <v>0</v>
      </c>
      <c r="BC533" s="123" t="e">
        <f ca="1">HYPERLINK(CheckPath(_05preva_view43[[#This Row],[File Path]],_05preva_view43[[#This Row],[File Path]],_05preva_view43[[#This Row],[Folder Path3]]),CheckPath(_05preva_view43[[#This Row],[File Path]],"Open File","No File"))</f>
        <v>#VALUE!</v>
      </c>
      <c r="BD533" s="124" t="str">
        <f>CONCATENATE(_05preva_view43[[#This Row],[Site ID]]," (",_05preva_view43[[#This Row],[tenant id]],") Application",IF(_05preva_view43[[#This Row],[Colo Rev]]&gt;0," Rev "&amp;_05preva_view43[[#This Row],[Colo Rev]],""),".xlsx")</f>
        <v>ANSG_0380 (SAW0729) Application.xlsx</v>
      </c>
      <c r="BE533" s="64" t="e">
        <f t="shared" ca="1" si="10"/>
        <v>#VALUE!</v>
      </c>
      <c r="BF533" s="104" t="e">
        <f ca="1">LEFT(CELL("filename",A518),_05preva_view43[[#This Row],[Find Process &amp; Database]]-1)</f>
        <v>#VALUE!</v>
      </c>
      <c r="BG533" s="104" t="e">
        <f ca="1">_05preva_view43[Folder Path1]&amp;"Process &amp; Database\Documentation\Colo Applications"</f>
        <v>#VALUE!</v>
      </c>
      <c r="BH533" s="104" t="e">
        <f ca="1">_05preva_view43[Folder Path2]&amp;"\Colo App "&amp;_05preva_view43[[#This Row],[Operator]]&amp;"\"</f>
        <v>#VALUE!</v>
      </c>
      <c r="BI533" s="63" t="e">
        <f ca="1">_05preva_view43[[#This Row],[Folder Path3]]&amp;_05preva_view43[[#This Row],[File Name]]</f>
        <v>#VALUE!</v>
      </c>
      <c r="BJ533" s="104"/>
    </row>
  </sheetData>
  <sheetProtection insertColumns="0" insertRows="0" insertHyperlinks="0" deleteRows="0" sort="0" autoFilter="0" pivotTables="0"/>
  <conditionalFormatting sqref="Z16:AB533 T16:T533 V16:V533 X16:X533 AE16:AE533 AJ16:AJ533">
    <cfRule type="cellIs" dxfId="6" priority="6" operator="equal">
      <formula>"Review"</formula>
    </cfRule>
  </conditionalFormatting>
  <conditionalFormatting sqref="Z16:AB533 T16:T533 V16:V533 X16:X533 AE16:AE533 AJ16:AJ533 AM16:AM533 AO16:AO533 AR16:AR533">
    <cfRule type="cellIs" dxfId="5" priority="7" operator="equal">
      <formula>"Not Required"</formula>
    </cfRule>
    <cfRule type="cellIs" dxfId="4" priority="9" operator="equal">
      <formula>"Rejected"</formula>
    </cfRule>
  </conditionalFormatting>
  <conditionalFormatting sqref="Z16:AB533 T16:T533 V16:V533 X16:X533 AE16:AE533 AJ16:AJ533 AM16:AM533 AO16:AO533 AR16:AR533">
    <cfRule type="cellIs" dxfId="3" priority="10" operator="equal">
      <formula>"OK"</formula>
    </cfRule>
  </conditionalFormatting>
  <conditionalFormatting sqref="BB16:BB533">
    <cfRule type="cellIs" dxfId="2" priority="4" operator="lessThanOrEqual">
      <formula>1</formula>
    </cfRule>
    <cfRule type="cellIs" dxfId="1" priority="5" operator="greaterThan">
      <formula>1</formula>
    </cfRule>
  </conditionalFormatting>
  <conditionalFormatting sqref="BA16:BA533">
    <cfRule type="colorScale" priority="1146">
      <colorScale>
        <cfvo type="min"/>
        <cfvo type="num" val="20"/>
        <cfvo type="num" val="50"/>
        <color rgb="FF63BE7B"/>
        <color rgb="FFFFEB84"/>
        <color rgb="FFF8696B"/>
      </colorScale>
    </cfRule>
  </conditionalFormatting>
  <conditionalFormatting sqref="T16:T533 V16:V533 X16:X533 Z16:Z533 AE16:AE533 AJ16:AJ533">
    <cfRule type="cellIs" dxfId="0" priority="1" operator="equal">
      <formula>"OK with Flag"</formula>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0.54296875" bestFit="1" customWidth="1"/>
    <col min="2" max="2" width="14.1796875" style="1" bestFit="1" customWidth="1"/>
  </cols>
  <sheetData>
    <row r="3" spans="1:2">
      <c r="A3" s="110" t="s">
        <v>1814</v>
      </c>
      <c r="B3" s="1" t="s">
        <v>1767</v>
      </c>
    </row>
    <row r="4" spans="1:2">
      <c r="A4" s="111" t="s">
        <v>24</v>
      </c>
      <c r="B4" s="1">
        <v>229</v>
      </c>
    </row>
    <row r="5" spans="1:2">
      <c r="A5" s="111" t="s">
        <v>25</v>
      </c>
      <c r="B5" s="1">
        <v>41</v>
      </c>
    </row>
    <row r="6" spans="1:2">
      <c r="A6" s="111" t="s">
        <v>26</v>
      </c>
      <c r="B6" s="1">
        <v>4</v>
      </c>
    </row>
    <row r="7" spans="1:2">
      <c r="A7" s="111" t="s">
        <v>27</v>
      </c>
      <c r="B7" s="1">
        <v>5</v>
      </c>
    </row>
    <row r="8" spans="1:2">
      <c r="A8" s="111" t="s">
        <v>1766</v>
      </c>
      <c r="B8" s="1">
        <v>279</v>
      </c>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6.xml>�� 
</file>

<file path=customXml/itemProps1.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F68036-B111-4B4B-A4C7-E14E2942DCD7}">
  <ds:schemaRefs>
    <ds:schemaRef ds:uri="http://www.w3.org/2001/XMLSchema"/>
  </ds:schemaRefs>
</ds:datastoreItem>
</file>

<file path=customXml/itemProps3.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4.xml><?xml version="1.0" encoding="utf-8"?>
<ds:datastoreItem xmlns:ds="http://schemas.openxmlformats.org/officeDocument/2006/customXml" ds:itemID="{E783F6B9-E25C-45FE-9394-2D05B9923858}">
  <ds:schemaRefs>
    <ds:schemaRef ds:uri="http://www.w3.org/2001/XMLSchema"/>
  </ds:schemaRefs>
</ds:datastoreItem>
</file>

<file path=customXml/itemProps5.xml><?xml version="1.0" encoding="utf-8"?>
<ds:datastoreItem xmlns:ds="http://schemas.openxmlformats.org/officeDocument/2006/customXml" ds:itemID="{07729D1E-69B8-481A-980F-13E1DB8646B5}">
  <ds:schemaRefs>
    <ds:schemaRef ds:uri="http://schemas.microsoft.com/office/infopath/2007/PartnerControls"/>
    <ds:schemaRef ds:uri="a390e121-60b8-4fd2-9983-43b87f4d3957"/>
    <ds:schemaRef ds:uri="http://purl.org/dc/terms/"/>
    <ds:schemaRef ds:uri="7a19e65e-9de7-40b1-ad12-4e6965d24380"/>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2019-01-23T10:25:21Z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